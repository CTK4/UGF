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taylorkogan/Downloads/"/>
    </mc:Choice>
  </mc:AlternateContent>
  <xr:revisionPtr revIDLastSave="0" documentId="13_ncr:1_{05B1368F-5267-8943-A4A0-7D79CB2DA4B7}" xr6:coauthVersionLast="47" xr6:coauthVersionMax="47" xr10:uidLastSave="{00000000-0000-0000-0000-000000000000}"/>
  <bookViews>
    <workbookView xWindow="0" yWindow="760" windowWidth="29400" windowHeight="17140" firstSheet="2" activeTab="5" xr2:uid="{00000000-000D-0000-FFFF-FFFF00000000}"/>
  </bookViews>
  <sheets>
    <sheet name="League" sheetId="1" r:id="rId1"/>
    <sheet name="Conferences" sheetId="2" r:id="rId2"/>
    <sheet name="Divisions" sheetId="3" r:id="rId3"/>
    <sheet name="Teams" sheetId="4" r:id="rId4"/>
    <sheet name="Personnel" sheetId="5" r:id="rId5"/>
    <sheet name="Players" sheetId="6" r:id="rId6"/>
    <sheet name="Contracts" sheetId="7" r:id="rId7"/>
    <sheet name="DraftOrder" sheetId="8" r:id="rId8"/>
    <sheet name="DraftPicks" sheetId="9" r:id="rId9"/>
    <sheet name="TeamFinances" sheetId="10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0" i="7" l="1"/>
  <c r="I2010" i="7"/>
  <c r="J2010" i="7"/>
  <c r="K2010" i="7"/>
  <c r="L2010" i="7"/>
  <c r="H2011" i="7"/>
  <c r="K2011" i="7" s="1"/>
  <c r="I2011" i="7"/>
  <c r="J2011" i="7"/>
  <c r="L2011" i="7"/>
  <c r="H2012" i="7"/>
  <c r="I2012" i="7"/>
  <c r="J2012" i="7"/>
  <c r="K2012" i="7"/>
  <c r="L2012" i="7"/>
  <c r="H2013" i="7"/>
  <c r="I2013" i="7"/>
  <c r="K2013" i="7" s="1"/>
  <c r="J2013" i="7"/>
  <c r="L2013" i="7"/>
  <c r="H2014" i="7"/>
  <c r="K2014" i="7" s="1"/>
  <c r="I2014" i="7"/>
  <c r="J2014" i="7"/>
  <c r="L2014" i="7"/>
  <c r="H2015" i="7"/>
  <c r="I2015" i="7"/>
  <c r="J2015" i="7"/>
  <c r="K2015" i="7" s="1"/>
  <c r="L2015" i="7"/>
  <c r="H2016" i="7"/>
  <c r="I2016" i="7"/>
  <c r="J2016" i="7"/>
  <c r="L2016" i="7"/>
  <c r="H2017" i="7"/>
  <c r="I2017" i="7"/>
  <c r="J2017" i="7"/>
  <c r="L2017" i="7"/>
  <c r="H2018" i="7"/>
  <c r="I2018" i="7"/>
  <c r="J2018" i="7"/>
  <c r="K2018" i="7"/>
  <c r="L2018" i="7"/>
  <c r="H2019" i="7"/>
  <c r="K2019" i="7" s="1"/>
  <c r="I2019" i="7"/>
  <c r="J2019" i="7"/>
  <c r="L2019" i="7"/>
  <c r="H2020" i="7"/>
  <c r="K2020" i="7" s="1"/>
  <c r="I2020" i="7"/>
  <c r="J2020" i="7"/>
  <c r="L2020" i="7"/>
  <c r="H2021" i="7"/>
  <c r="I2021" i="7"/>
  <c r="J2021" i="7"/>
  <c r="L2021" i="7"/>
  <c r="H2022" i="7"/>
  <c r="I2022" i="7"/>
  <c r="J2022" i="7"/>
  <c r="L2022" i="7"/>
  <c r="H2023" i="7"/>
  <c r="I2023" i="7"/>
  <c r="J2023" i="7"/>
  <c r="K2023" i="7"/>
  <c r="L2023" i="7"/>
  <c r="H2024" i="7"/>
  <c r="K2024" i="7" s="1"/>
  <c r="I2024" i="7"/>
  <c r="J2024" i="7"/>
  <c r="L2024" i="7"/>
  <c r="H2025" i="7"/>
  <c r="K2025" i="7" s="1"/>
  <c r="I2025" i="7"/>
  <c r="J2025" i="7"/>
  <c r="L2025" i="7"/>
  <c r="H2026" i="7"/>
  <c r="K2026" i="7" s="1"/>
  <c r="I2026" i="7"/>
  <c r="J2026" i="7"/>
  <c r="L2026" i="7"/>
  <c r="H2027" i="7"/>
  <c r="I2027" i="7"/>
  <c r="J2027" i="7"/>
  <c r="L2027" i="7"/>
  <c r="H2028" i="7"/>
  <c r="K2028" i="7" s="1"/>
  <c r="I2028" i="7"/>
  <c r="J2028" i="7"/>
  <c r="L2028" i="7"/>
  <c r="H2029" i="7"/>
  <c r="I2029" i="7"/>
  <c r="J2029" i="7"/>
  <c r="L2029" i="7"/>
  <c r="H2030" i="7"/>
  <c r="I2030" i="7"/>
  <c r="J2030" i="7"/>
  <c r="L2030" i="7"/>
  <c r="H2031" i="7"/>
  <c r="K2031" i="7" s="1"/>
  <c r="I2031" i="7"/>
  <c r="J2031" i="7"/>
  <c r="L2031" i="7"/>
  <c r="H2032" i="7"/>
  <c r="K2032" i="7" s="1"/>
  <c r="I2032" i="7"/>
  <c r="J2032" i="7"/>
  <c r="L2032" i="7"/>
  <c r="H2033" i="7"/>
  <c r="I2033" i="7"/>
  <c r="J2033" i="7"/>
  <c r="L2033" i="7"/>
  <c r="H2034" i="7"/>
  <c r="K2034" i="7" s="1"/>
  <c r="I2034" i="7"/>
  <c r="J2034" i="7"/>
  <c r="L2034" i="7"/>
  <c r="H2035" i="7"/>
  <c r="I2035" i="7"/>
  <c r="J2035" i="7"/>
  <c r="L2035" i="7"/>
  <c r="H2036" i="7"/>
  <c r="I2036" i="7"/>
  <c r="J2036" i="7"/>
  <c r="K2036" i="7"/>
  <c r="L2036" i="7"/>
  <c r="H2037" i="7"/>
  <c r="I2037" i="7"/>
  <c r="J2037" i="7"/>
  <c r="L2037" i="7"/>
  <c r="H2038" i="7"/>
  <c r="I2038" i="7"/>
  <c r="J2038" i="7"/>
  <c r="L2038" i="7"/>
  <c r="H2039" i="7"/>
  <c r="I2039" i="7"/>
  <c r="J2039" i="7"/>
  <c r="K2039" i="7"/>
  <c r="L2039" i="7"/>
  <c r="H2040" i="7"/>
  <c r="I2040" i="7"/>
  <c r="J2040" i="7"/>
  <c r="L2040" i="7"/>
  <c r="H2041" i="7"/>
  <c r="I2041" i="7"/>
  <c r="J2041" i="7"/>
  <c r="L2041" i="7"/>
  <c r="H2042" i="7"/>
  <c r="K2042" i="7" s="1"/>
  <c r="I2042" i="7"/>
  <c r="J2042" i="7"/>
  <c r="L2042" i="7"/>
  <c r="H2043" i="7"/>
  <c r="I2043" i="7"/>
  <c r="J2043" i="7"/>
  <c r="L2043" i="7"/>
  <c r="H2044" i="7"/>
  <c r="K2044" i="7" s="1"/>
  <c r="I2044" i="7"/>
  <c r="J2044" i="7"/>
  <c r="L2044" i="7"/>
  <c r="H2045" i="7"/>
  <c r="I2045" i="7"/>
  <c r="J2045" i="7"/>
  <c r="L2045" i="7"/>
  <c r="H2046" i="7"/>
  <c r="I2046" i="7"/>
  <c r="J2046" i="7"/>
  <c r="L2046" i="7"/>
  <c r="H2047" i="7"/>
  <c r="I2047" i="7"/>
  <c r="K2047" i="7" s="1"/>
  <c r="J2047" i="7"/>
  <c r="L2047" i="7"/>
  <c r="H2048" i="7"/>
  <c r="I2048" i="7"/>
  <c r="J2048" i="7"/>
  <c r="L2048" i="7"/>
  <c r="H2049" i="7"/>
  <c r="K2049" i="7" s="1"/>
  <c r="I2049" i="7"/>
  <c r="J2049" i="7"/>
  <c r="L2049" i="7"/>
  <c r="H2050" i="7"/>
  <c r="I2050" i="7"/>
  <c r="J2050" i="7"/>
  <c r="K2050" i="7"/>
  <c r="L2050" i="7"/>
  <c r="H2051" i="7"/>
  <c r="I2051" i="7"/>
  <c r="J2051" i="7"/>
  <c r="L2051" i="7"/>
  <c r="H2052" i="7"/>
  <c r="I2052" i="7"/>
  <c r="J2052" i="7"/>
  <c r="K2052" i="7" s="1"/>
  <c r="L2052" i="7"/>
  <c r="H2053" i="7"/>
  <c r="I2053" i="7"/>
  <c r="J2053" i="7"/>
  <c r="L2053" i="7"/>
  <c r="H2054" i="7"/>
  <c r="I2054" i="7"/>
  <c r="J2054" i="7"/>
  <c r="L2054" i="7"/>
  <c r="H2055" i="7"/>
  <c r="K2055" i="7" s="1"/>
  <c r="I2055" i="7"/>
  <c r="J2055" i="7"/>
  <c r="L2055" i="7"/>
  <c r="H2056" i="7"/>
  <c r="I2056" i="7"/>
  <c r="J2056" i="7"/>
  <c r="L2056" i="7"/>
  <c r="H2057" i="7"/>
  <c r="K2057" i="7" s="1"/>
  <c r="I2057" i="7"/>
  <c r="J2057" i="7"/>
  <c r="L2057" i="7"/>
  <c r="H2058" i="7"/>
  <c r="K2058" i="7" s="1"/>
  <c r="I2058" i="7"/>
  <c r="J2058" i="7"/>
  <c r="L2058" i="7"/>
  <c r="H2059" i="7"/>
  <c r="I2059" i="7"/>
  <c r="J2059" i="7"/>
  <c r="L2059" i="7"/>
  <c r="H2060" i="7"/>
  <c r="I2060" i="7"/>
  <c r="K2060" i="7" s="1"/>
  <c r="J2060" i="7"/>
  <c r="L2060" i="7"/>
  <c r="H2061" i="7"/>
  <c r="I2061" i="7"/>
  <c r="J2061" i="7"/>
  <c r="K2061" i="7"/>
  <c r="L2061" i="7"/>
  <c r="H2062" i="7"/>
  <c r="I2062" i="7"/>
  <c r="J2062" i="7"/>
  <c r="L2062" i="7"/>
  <c r="H2063" i="7"/>
  <c r="I2063" i="7"/>
  <c r="J2063" i="7"/>
  <c r="K2063" i="7"/>
  <c r="L2063" i="7"/>
  <c r="H2064" i="7"/>
  <c r="K2064" i="7" s="1"/>
  <c r="I2064" i="7"/>
  <c r="J2064" i="7"/>
  <c r="L2064" i="7"/>
  <c r="H2065" i="7"/>
  <c r="I2065" i="7"/>
  <c r="J2065" i="7"/>
  <c r="L2065" i="7"/>
  <c r="H2066" i="7"/>
  <c r="K2066" i="7" s="1"/>
  <c r="I2066" i="7"/>
  <c r="J2066" i="7"/>
  <c r="L2066" i="7"/>
  <c r="H2067" i="7"/>
  <c r="I2067" i="7"/>
  <c r="J2067" i="7"/>
  <c r="L2067" i="7"/>
  <c r="H2068" i="7"/>
  <c r="I2068" i="7"/>
  <c r="J2068" i="7"/>
  <c r="K2068" i="7"/>
  <c r="L2068" i="7"/>
  <c r="H2069" i="7"/>
  <c r="K2069" i="7" s="1"/>
  <c r="I2069" i="7"/>
  <c r="J2069" i="7"/>
  <c r="L2069" i="7"/>
  <c r="H2070" i="7"/>
  <c r="I2070" i="7"/>
  <c r="J2070" i="7"/>
  <c r="L2070" i="7"/>
  <c r="H2071" i="7"/>
  <c r="K2071" i="7" s="1"/>
  <c r="I2071" i="7"/>
  <c r="J2071" i="7"/>
  <c r="L2071" i="7"/>
  <c r="H2072" i="7"/>
  <c r="I2072" i="7"/>
  <c r="J2072" i="7"/>
  <c r="L2072" i="7"/>
  <c r="H2073" i="7"/>
  <c r="I2073" i="7"/>
  <c r="J2073" i="7"/>
  <c r="L2073" i="7"/>
  <c r="H2074" i="7"/>
  <c r="K2074" i="7" s="1"/>
  <c r="I2074" i="7"/>
  <c r="J2074" i="7"/>
  <c r="L2074" i="7"/>
  <c r="H2075" i="7"/>
  <c r="I2075" i="7"/>
  <c r="J2075" i="7"/>
  <c r="L2075" i="7"/>
  <c r="H2076" i="7"/>
  <c r="K2076" i="7" s="1"/>
  <c r="I2076" i="7"/>
  <c r="J2076" i="7"/>
  <c r="L2076" i="7"/>
  <c r="H2077" i="7"/>
  <c r="I2077" i="7"/>
  <c r="J2077" i="7"/>
  <c r="K2077" i="7"/>
  <c r="L2077" i="7"/>
  <c r="H2078" i="7"/>
  <c r="I2078" i="7"/>
  <c r="J2078" i="7"/>
  <c r="L2078" i="7"/>
  <c r="H2079" i="7"/>
  <c r="I2079" i="7"/>
  <c r="J2079" i="7"/>
  <c r="K2079" i="7"/>
  <c r="L2079" i="7"/>
  <c r="H2080" i="7"/>
  <c r="K2080" i="7" s="1"/>
  <c r="I2080" i="7"/>
  <c r="J2080" i="7"/>
  <c r="L2080" i="7"/>
  <c r="H2081" i="7"/>
  <c r="I2081" i="7"/>
  <c r="J2081" i="7"/>
  <c r="L2081" i="7"/>
  <c r="H2082" i="7"/>
  <c r="K2082" i="7" s="1"/>
  <c r="I2082" i="7"/>
  <c r="J2082" i="7"/>
  <c r="L2082" i="7"/>
  <c r="H2083" i="7"/>
  <c r="K2083" i="7" s="1"/>
  <c r="I2083" i="7"/>
  <c r="J2083" i="7"/>
  <c r="L2083" i="7"/>
  <c r="H2084" i="7"/>
  <c r="I2084" i="7"/>
  <c r="J2084" i="7"/>
  <c r="K2084" i="7"/>
  <c r="L2084" i="7"/>
  <c r="H2085" i="7"/>
  <c r="K2085" i="7" s="1"/>
  <c r="I2085" i="7"/>
  <c r="J2085" i="7"/>
  <c r="L2085" i="7"/>
  <c r="H2086" i="7"/>
  <c r="I2086" i="7"/>
  <c r="J2086" i="7"/>
  <c r="L2086" i="7"/>
  <c r="H2087" i="7"/>
  <c r="K2087" i="7" s="1"/>
  <c r="I2087" i="7"/>
  <c r="J2087" i="7"/>
  <c r="L2087" i="7"/>
  <c r="H2088" i="7"/>
  <c r="I2088" i="7"/>
  <c r="J2088" i="7"/>
  <c r="L2088" i="7"/>
  <c r="H2089" i="7"/>
  <c r="I2089" i="7"/>
  <c r="J2089" i="7"/>
  <c r="L2089" i="7"/>
  <c r="H2090" i="7"/>
  <c r="K2090" i="7" s="1"/>
  <c r="I2090" i="7"/>
  <c r="J2090" i="7"/>
  <c r="L2090" i="7"/>
  <c r="H2091" i="7"/>
  <c r="K2091" i="7" s="1"/>
  <c r="I2091" i="7"/>
  <c r="J2091" i="7"/>
  <c r="L2091" i="7"/>
  <c r="H2092" i="7"/>
  <c r="I2092" i="7"/>
  <c r="J2092" i="7"/>
  <c r="L2092" i="7"/>
  <c r="H2093" i="7"/>
  <c r="I2093" i="7"/>
  <c r="J2093" i="7"/>
  <c r="K2093" i="7"/>
  <c r="L2093" i="7"/>
  <c r="H2094" i="7"/>
  <c r="K2094" i="7" s="1"/>
  <c r="I2094" i="7"/>
  <c r="J2094" i="7"/>
  <c r="L2094" i="7"/>
  <c r="H2095" i="7"/>
  <c r="I2095" i="7"/>
  <c r="J2095" i="7"/>
  <c r="K2095" i="7"/>
  <c r="L2095" i="7"/>
  <c r="H2096" i="7"/>
  <c r="I2096" i="7"/>
  <c r="J2096" i="7"/>
  <c r="L2096" i="7"/>
  <c r="H2097" i="7"/>
  <c r="I2097" i="7"/>
  <c r="J2097" i="7"/>
  <c r="L2097" i="7"/>
  <c r="H2098" i="7"/>
  <c r="K2098" i="7" s="1"/>
  <c r="I2098" i="7"/>
  <c r="J2098" i="7"/>
  <c r="L2098" i="7"/>
  <c r="H2099" i="7"/>
  <c r="I2099" i="7"/>
  <c r="J2099" i="7"/>
  <c r="L2099" i="7"/>
  <c r="H2100" i="7"/>
  <c r="I2100" i="7"/>
  <c r="J2100" i="7"/>
  <c r="L2100" i="7"/>
  <c r="H2101" i="7"/>
  <c r="I2101" i="7"/>
  <c r="J2101" i="7"/>
  <c r="L2101" i="7"/>
  <c r="H2102" i="7"/>
  <c r="K2102" i="7" s="1"/>
  <c r="I2102" i="7"/>
  <c r="J2102" i="7"/>
  <c r="L2102" i="7"/>
  <c r="H2103" i="7"/>
  <c r="K2103" i="7" s="1"/>
  <c r="I2103" i="7"/>
  <c r="J2103" i="7"/>
  <c r="L2103" i="7"/>
  <c r="H2104" i="7"/>
  <c r="K2104" i="7" s="1"/>
  <c r="I2104" i="7"/>
  <c r="J2104" i="7"/>
  <c r="L2104" i="7"/>
  <c r="H2105" i="7"/>
  <c r="I2105" i="7"/>
  <c r="J2105" i="7"/>
  <c r="L2105" i="7"/>
  <c r="H2106" i="7"/>
  <c r="I2106" i="7"/>
  <c r="J2106" i="7"/>
  <c r="K2106" i="7"/>
  <c r="L2106" i="7"/>
  <c r="H2107" i="7"/>
  <c r="K2107" i="7" s="1"/>
  <c r="I2107" i="7"/>
  <c r="J2107" i="7"/>
  <c r="L2107" i="7"/>
  <c r="H2108" i="7"/>
  <c r="I2108" i="7"/>
  <c r="J2108" i="7"/>
  <c r="K2108" i="7" s="1"/>
  <c r="L2108" i="7"/>
  <c r="H2109" i="7"/>
  <c r="K2109" i="7" s="1"/>
  <c r="I2109" i="7"/>
  <c r="J2109" i="7"/>
  <c r="L2109" i="7"/>
  <c r="H2110" i="7"/>
  <c r="I2110" i="7"/>
  <c r="J2110" i="7"/>
  <c r="L2110" i="7"/>
  <c r="H2111" i="7"/>
  <c r="K2111" i="7" s="1"/>
  <c r="I2111" i="7"/>
  <c r="J2111" i="7"/>
  <c r="L2111" i="7"/>
  <c r="H2112" i="7"/>
  <c r="I2112" i="7"/>
  <c r="J2112" i="7"/>
  <c r="L2112" i="7"/>
  <c r="H2113" i="7"/>
  <c r="I2113" i="7"/>
  <c r="J2113" i="7"/>
  <c r="L2113" i="7"/>
  <c r="H2114" i="7"/>
  <c r="K2114" i="7" s="1"/>
  <c r="I2114" i="7"/>
  <c r="J2114" i="7"/>
  <c r="L2114" i="7"/>
  <c r="H2115" i="7"/>
  <c r="K2115" i="7" s="1"/>
  <c r="I2115" i="7"/>
  <c r="J2115" i="7"/>
  <c r="L2115" i="7"/>
  <c r="H2116" i="7"/>
  <c r="I2116" i="7"/>
  <c r="J2116" i="7"/>
  <c r="L2116" i="7"/>
  <c r="H2117" i="7"/>
  <c r="I2117" i="7"/>
  <c r="J2117" i="7"/>
  <c r="K2117" i="7"/>
  <c r="L2117" i="7"/>
  <c r="H2118" i="7"/>
  <c r="K2118" i="7" s="1"/>
  <c r="I2118" i="7"/>
  <c r="J2118" i="7"/>
  <c r="L2118" i="7"/>
  <c r="H2119" i="7"/>
  <c r="I2119" i="7"/>
  <c r="J2119" i="7"/>
  <c r="K2119" i="7"/>
  <c r="L2119" i="7"/>
  <c r="H2120" i="7"/>
  <c r="I2120" i="7"/>
  <c r="J2120" i="7"/>
  <c r="L2120" i="7"/>
  <c r="H2121" i="7"/>
  <c r="I2121" i="7"/>
  <c r="J2121" i="7"/>
  <c r="L2121" i="7"/>
  <c r="H2122" i="7"/>
  <c r="K2122" i="7" s="1"/>
  <c r="I2122" i="7"/>
  <c r="J2122" i="7"/>
  <c r="L2122" i="7"/>
  <c r="H2123" i="7"/>
  <c r="I2123" i="7"/>
  <c r="J2123" i="7"/>
  <c r="L2123" i="7"/>
  <c r="H2124" i="7"/>
  <c r="I2124" i="7"/>
  <c r="J2124" i="7"/>
  <c r="L2124" i="7"/>
  <c r="H2125" i="7"/>
  <c r="K2125" i="7" s="1"/>
  <c r="I2125" i="7"/>
  <c r="J2125" i="7"/>
  <c r="L2125" i="7"/>
  <c r="H2126" i="7"/>
  <c r="K2126" i="7" s="1"/>
  <c r="I2126" i="7"/>
  <c r="J2126" i="7"/>
  <c r="L2126" i="7"/>
  <c r="H2127" i="7"/>
  <c r="K2127" i="7" s="1"/>
  <c r="I2127" i="7"/>
  <c r="J2127" i="7"/>
  <c r="L2127" i="7"/>
  <c r="H2128" i="7"/>
  <c r="I2128" i="7"/>
  <c r="J2128" i="7"/>
  <c r="L2128" i="7"/>
  <c r="H2129" i="7"/>
  <c r="I2129" i="7"/>
  <c r="J2129" i="7"/>
  <c r="L2129" i="7"/>
  <c r="H2130" i="7"/>
  <c r="I2130" i="7"/>
  <c r="J2130" i="7"/>
  <c r="K2130" i="7"/>
  <c r="L2130" i="7"/>
  <c r="H2131" i="7"/>
  <c r="I2131" i="7"/>
  <c r="J2131" i="7"/>
  <c r="L2131" i="7"/>
  <c r="H2132" i="7"/>
  <c r="I2132" i="7"/>
  <c r="J2132" i="7"/>
  <c r="K2132" i="7" s="1"/>
  <c r="L2132" i="7"/>
  <c r="H2133" i="7"/>
  <c r="I2133" i="7"/>
  <c r="J2133" i="7"/>
  <c r="L2133" i="7"/>
  <c r="H2134" i="7"/>
  <c r="I2134" i="7"/>
  <c r="J2134" i="7"/>
  <c r="L2134" i="7"/>
  <c r="H2135" i="7"/>
  <c r="K2135" i="7" s="1"/>
  <c r="I2135" i="7"/>
  <c r="J2135" i="7"/>
  <c r="L2135" i="7"/>
  <c r="H2136" i="7"/>
  <c r="I2136" i="7"/>
  <c r="J2136" i="7"/>
  <c r="L2136" i="7"/>
  <c r="H2137" i="7"/>
  <c r="I2137" i="7"/>
  <c r="J2137" i="7"/>
  <c r="L2137" i="7"/>
  <c r="H2138" i="7"/>
  <c r="K2138" i="7" s="1"/>
  <c r="I2138" i="7"/>
  <c r="J2138" i="7"/>
  <c r="L2138" i="7"/>
  <c r="H2139" i="7"/>
  <c r="K2139" i="7" s="1"/>
  <c r="I2139" i="7"/>
  <c r="J2139" i="7"/>
  <c r="L2139" i="7"/>
  <c r="H2140" i="7"/>
  <c r="I2140" i="7"/>
  <c r="J2140" i="7"/>
  <c r="L2140" i="7"/>
  <c r="H2141" i="7"/>
  <c r="I2141" i="7"/>
  <c r="J2141" i="7"/>
  <c r="L2141" i="7"/>
  <c r="H2142" i="7"/>
  <c r="K2142" i="7" s="1"/>
  <c r="I2142" i="7"/>
  <c r="J2142" i="7"/>
  <c r="L2142" i="7"/>
  <c r="H2143" i="7"/>
  <c r="I2143" i="7"/>
  <c r="J2143" i="7"/>
  <c r="K2143" i="7"/>
  <c r="L2143" i="7"/>
  <c r="H2144" i="7"/>
  <c r="K2144" i="7" s="1"/>
  <c r="I2144" i="7"/>
  <c r="J2144" i="7"/>
  <c r="L2144" i="7"/>
  <c r="H2145" i="7"/>
  <c r="I2145" i="7"/>
  <c r="J2145" i="7"/>
  <c r="L2145" i="7"/>
  <c r="H2146" i="7"/>
  <c r="K2146" i="7" s="1"/>
  <c r="I2146" i="7"/>
  <c r="J2146" i="7"/>
  <c r="L2146" i="7"/>
  <c r="H2147" i="7"/>
  <c r="I2147" i="7"/>
  <c r="J2147" i="7"/>
  <c r="L2147" i="7"/>
  <c r="H2148" i="7"/>
  <c r="I2148" i="7"/>
  <c r="J2148" i="7"/>
  <c r="L2148" i="7"/>
  <c r="H2149" i="7"/>
  <c r="I2149" i="7"/>
  <c r="J2149" i="7"/>
  <c r="K2149" i="7" s="1"/>
  <c r="L2149" i="7"/>
  <c r="H2150" i="7"/>
  <c r="K2150" i="7" s="1"/>
  <c r="I2150" i="7"/>
  <c r="J2150" i="7"/>
  <c r="L2150" i="7"/>
  <c r="H2151" i="7"/>
  <c r="K2151" i="7" s="1"/>
  <c r="I2151" i="7"/>
  <c r="J2151" i="7"/>
  <c r="L2151" i="7"/>
  <c r="H2152" i="7"/>
  <c r="K2152" i="7" s="1"/>
  <c r="I2152" i="7"/>
  <c r="J2152" i="7"/>
  <c r="L2152" i="7"/>
  <c r="H2153" i="7"/>
  <c r="I2153" i="7"/>
  <c r="J2153" i="7"/>
  <c r="L2153" i="7"/>
  <c r="H2154" i="7"/>
  <c r="I2154" i="7"/>
  <c r="J2154" i="7"/>
  <c r="K2154" i="7"/>
  <c r="L2154" i="7"/>
  <c r="H2155" i="7"/>
  <c r="K2155" i="7" s="1"/>
  <c r="I2155" i="7"/>
  <c r="J2155" i="7"/>
  <c r="L2155" i="7"/>
  <c r="H2156" i="7"/>
  <c r="I2156" i="7"/>
  <c r="J2156" i="7"/>
  <c r="K2156" i="7"/>
  <c r="L2156" i="7"/>
  <c r="H2157" i="7"/>
  <c r="I2157" i="7"/>
  <c r="J2157" i="7"/>
  <c r="L2157" i="7"/>
  <c r="H2158" i="7"/>
  <c r="I2158" i="7"/>
  <c r="J2158" i="7"/>
  <c r="L2158" i="7"/>
  <c r="H2159" i="7"/>
  <c r="K2159" i="7" s="1"/>
  <c r="I2159" i="7"/>
  <c r="J2159" i="7"/>
  <c r="L2159" i="7"/>
  <c r="H2160" i="7"/>
  <c r="I2160" i="7"/>
  <c r="J2160" i="7"/>
  <c r="L2160" i="7"/>
  <c r="H2161" i="7"/>
  <c r="I2161" i="7"/>
  <c r="J2161" i="7"/>
  <c r="L2161" i="7"/>
  <c r="H2162" i="7"/>
  <c r="K2162" i="7" s="1"/>
  <c r="I2162" i="7"/>
  <c r="J2162" i="7"/>
  <c r="L2162" i="7"/>
  <c r="H2163" i="7"/>
  <c r="K2163" i="7" s="1"/>
  <c r="I2163" i="7"/>
  <c r="J2163" i="7"/>
  <c r="L2163" i="7"/>
  <c r="H2164" i="7"/>
  <c r="K2164" i="7" s="1"/>
  <c r="I2164" i="7"/>
  <c r="J2164" i="7"/>
  <c r="L2164" i="7"/>
  <c r="H2165" i="7"/>
  <c r="I2165" i="7"/>
  <c r="J2165" i="7"/>
  <c r="L2165" i="7"/>
  <c r="H2166" i="7"/>
  <c r="K2166" i="7" s="1"/>
  <c r="I2166" i="7"/>
  <c r="J2166" i="7"/>
  <c r="L2166" i="7"/>
  <c r="H2167" i="7"/>
  <c r="I2167" i="7"/>
  <c r="J2167" i="7"/>
  <c r="K2167" i="7"/>
  <c r="L2167" i="7"/>
  <c r="H2168" i="7"/>
  <c r="I2168" i="7"/>
  <c r="J2168" i="7"/>
  <c r="L2168" i="7"/>
  <c r="H2169" i="7"/>
  <c r="I2169" i="7"/>
  <c r="J2169" i="7"/>
  <c r="L2169" i="7"/>
  <c r="H2170" i="7"/>
  <c r="K2170" i="7" s="1"/>
  <c r="I2170" i="7"/>
  <c r="J2170" i="7"/>
  <c r="L2170" i="7"/>
  <c r="H2171" i="7"/>
  <c r="I2171" i="7"/>
  <c r="J2171" i="7"/>
  <c r="L2171" i="7"/>
  <c r="H2172" i="7"/>
  <c r="I2172" i="7"/>
  <c r="J2172" i="7"/>
  <c r="L2172" i="7"/>
  <c r="H2173" i="7"/>
  <c r="I2173" i="7"/>
  <c r="K2173" i="7" s="1"/>
  <c r="J2173" i="7"/>
  <c r="L2173" i="7"/>
  <c r="H2174" i="7"/>
  <c r="K2174" i="7" s="1"/>
  <c r="I2174" i="7"/>
  <c r="J2174" i="7"/>
  <c r="L2174" i="7"/>
  <c r="H2175" i="7"/>
  <c r="K2175" i="7" s="1"/>
  <c r="I2175" i="7"/>
  <c r="J2175" i="7"/>
  <c r="L2175" i="7"/>
  <c r="H2176" i="7"/>
  <c r="K2176" i="7" s="1"/>
  <c r="I2176" i="7"/>
  <c r="J2176" i="7"/>
  <c r="L2176" i="7"/>
  <c r="H2177" i="7"/>
  <c r="I2177" i="7"/>
  <c r="J2177" i="7"/>
  <c r="L2177" i="7"/>
  <c r="H2178" i="7"/>
  <c r="I2178" i="7"/>
  <c r="J2178" i="7"/>
  <c r="K2178" i="7"/>
  <c r="L2178" i="7"/>
  <c r="H2179" i="7"/>
  <c r="K2179" i="7" s="1"/>
  <c r="I2179" i="7"/>
  <c r="J2179" i="7"/>
  <c r="L2179" i="7"/>
  <c r="H2180" i="7"/>
  <c r="I2180" i="7"/>
  <c r="J2180" i="7"/>
  <c r="K2180" i="7" s="1"/>
  <c r="L2180" i="7"/>
  <c r="H2181" i="7"/>
  <c r="K2181" i="7" s="1"/>
  <c r="I2181" i="7"/>
  <c r="J2181" i="7"/>
  <c r="L2181" i="7"/>
  <c r="H2182" i="7"/>
  <c r="I2182" i="7"/>
  <c r="J2182" i="7"/>
  <c r="L2182" i="7"/>
  <c r="H2183" i="7"/>
  <c r="K2183" i="7" s="1"/>
  <c r="I2183" i="7"/>
  <c r="J2183" i="7"/>
  <c r="L2183" i="7"/>
  <c r="H2184" i="7"/>
  <c r="I2184" i="7"/>
  <c r="J2184" i="7"/>
  <c r="L2184" i="7"/>
  <c r="H2185" i="7"/>
  <c r="I2185" i="7"/>
  <c r="K2185" i="7" s="1"/>
  <c r="J2185" i="7"/>
  <c r="L2185" i="7"/>
  <c r="H2186" i="7"/>
  <c r="I2186" i="7"/>
  <c r="J2186" i="7"/>
  <c r="K2186" i="7" s="1"/>
  <c r="L2186" i="7"/>
  <c r="H2187" i="7"/>
  <c r="K2187" i="7" s="1"/>
  <c r="I2187" i="7"/>
  <c r="J2187" i="7"/>
  <c r="L2187" i="7"/>
  <c r="H2188" i="7"/>
  <c r="K2188" i="7" s="1"/>
  <c r="I2188" i="7"/>
  <c r="J2188" i="7"/>
  <c r="L2188" i="7"/>
  <c r="H2189" i="7"/>
  <c r="I2189" i="7"/>
  <c r="J2189" i="7"/>
  <c r="L2189" i="7"/>
  <c r="H2190" i="7"/>
  <c r="K2190" i="7" s="1"/>
  <c r="I2190" i="7"/>
  <c r="J2190" i="7"/>
  <c r="L2190" i="7"/>
  <c r="H2191" i="7"/>
  <c r="I2191" i="7"/>
  <c r="J2191" i="7"/>
  <c r="K2191" i="7"/>
  <c r="L2191" i="7"/>
  <c r="H2192" i="7"/>
  <c r="K2192" i="7" s="1"/>
  <c r="I2192" i="7"/>
  <c r="J2192" i="7"/>
  <c r="L2192" i="7"/>
  <c r="H2193" i="7"/>
  <c r="I2193" i="7"/>
  <c r="J2193" i="7"/>
  <c r="L2193" i="7"/>
  <c r="H2194" i="7"/>
  <c r="K2194" i="7" s="1"/>
  <c r="I2194" i="7"/>
  <c r="J2194" i="7"/>
  <c r="L2194" i="7"/>
  <c r="H2195" i="7"/>
  <c r="I2195" i="7"/>
  <c r="J2195" i="7"/>
  <c r="L2195" i="7"/>
  <c r="H2196" i="7"/>
  <c r="I2196" i="7"/>
  <c r="J2196" i="7"/>
  <c r="L2196" i="7"/>
  <c r="H2197" i="7"/>
  <c r="I2197" i="7"/>
  <c r="J2197" i="7"/>
  <c r="L2197" i="7"/>
  <c r="H2198" i="7"/>
  <c r="I2198" i="7"/>
  <c r="J2198" i="7"/>
  <c r="L2198" i="7"/>
  <c r="H2199" i="7"/>
  <c r="I2199" i="7"/>
  <c r="J2199" i="7"/>
  <c r="K2199" i="7" s="1"/>
  <c r="L2199" i="7"/>
  <c r="H2200" i="7"/>
  <c r="K2200" i="7" s="1"/>
  <c r="I2200" i="7"/>
  <c r="J2200" i="7"/>
  <c r="L2200" i="7"/>
  <c r="H2201" i="7"/>
  <c r="I2201" i="7"/>
  <c r="K2201" i="7" s="1"/>
  <c r="J2201" i="7"/>
  <c r="L2201" i="7"/>
  <c r="H2202" i="7"/>
  <c r="K2202" i="7" s="1"/>
  <c r="I2202" i="7"/>
  <c r="J2202" i="7"/>
  <c r="L2202" i="7"/>
  <c r="H2203" i="7"/>
  <c r="K2203" i="7" s="1"/>
  <c r="I2203" i="7"/>
  <c r="J2203" i="7"/>
  <c r="L2203" i="7"/>
  <c r="H2204" i="7"/>
  <c r="I2204" i="7"/>
  <c r="J2204" i="7"/>
  <c r="L2204" i="7"/>
  <c r="H2205" i="7"/>
  <c r="I2205" i="7"/>
  <c r="J2205" i="7"/>
  <c r="L2205" i="7"/>
  <c r="H2206" i="7"/>
  <c r="K2206" i="7" s="1"/>
  <c r="I2206" i="7"/>
  <c r="J2206" i="7"/>
  <c r="L2206" i="7"/>
  <c r="H2207" i="7"/>
  <c r="K2207" i="7" s="1"/>
  <c r="I2207" i="7"/>
  <c r="J2207" i="7"/>
  <c r="L2207" i="7"/>
  <c r="H2208" i="7"/>
  <c r="I2208" i="7"/>
  <c r="J2208" i="7"/>
  <c r="L2208" i="7"/>
  <c r="H2209" i="7"/>
  <c r="I2209" i="7"/>
  <c r="J2209" i="7"/>
  <c r="L2209" i="7"/>
  <c r="H2210" i="7"/>
  <c r="I2210" i="7"/>
  <c r="J2210" i="7"/>
  <c r="K2210" i="7"/>
  <c r="L2210" i="7"/>
  <c r="H2211" i="7"/>
  <c r="I2211" i="7"/>
  <c r="J2211" i="7"/>
  <c r="L2211" i="7"/>
  <c r="H2212" i="7"/>
  <c r="I2212" i="7"/>
  <c r="J2212" i="7"/>
  <c r="K2212" i="7" s="1"/>
  <c r="L2212" i="7"/>
  <c r="H2213" i="7"/>
  <c r="I2213" i="7"/>
  <c r="K2213" i="7" s="1"/>
  <c r="J2213" i="7"/>
  <c r="L2213" i="7"/>
  <c r="H2214" i="7"/>
  <c r="I2214" i="7"/>
  <c r="J2214" i="7"/>
  <c r="L2214" i="7"/>
  <c r="H2215" i="7"/>
  <c r="K2215" i="7" s="1"/>
  <c r="I2215" i="7"/>
  <c r="J2215" i="7"/>
  <c r="L2215" i="7"/>
  <c r="H2216" i="7"/>
  <c r="I2216" i="7"/>
  <c r="J2216" i="7"/>
  <c r="L2216" i="7"/>
  <c r="H2217" i="7"/>
  <c r="I2217" i="7"/>
  <c r="J2217" i="7"/>
  <c r="L2217" i="7"/>
  <c r="H2218" i="7"/>
  <c r="K2218" i="7" s="1"/>
  <c r="I2218" i="7"/>
  <c r="J2218" i="7"/>
  <c r="L2218" i="7"/>
  <c r="H2219" i="7"/>
  <c r="K2219" i="7" s="1"/>
  <c r="I2219" i="7"/>
  <c r="J2219" i="7"/>
  <c r="L2219" i="7"/>
  <c r="H2220" i="7"/>
  <c r="K2220" i="7" s="1"/>
  <c r="I2220" i="7"/>
  <c r="J2220" i="7"/>
  <c r="L2220" i="7"/>
  <c r="H2221" i="7"/>
  <c r="I2221" i="7"/>
  <c r="J2221" i="7"/>
  <c r="L2221" i="7"/>
  <c r="H2222" i="7"/>
  <c r="K2222" i="7" s="1"/>
  <c r="I2222" i="7"/>
  <c r="J2222" i="7"/>
  <c r="L2222" i="7"/>
  <c r="H2223" i="7"/>
  <c r="I2223" i="7"/>
  <c r="J2223" i="7"/>
  <c r="K2223" i="7"/>
  <c r="L2223" i="7"/>
  <c r="H2224" i="7"/>
  <c r="I2224" i="7"/>
  <c r="J2224" i="7"/>
  <c r="L2224" i="7"/>
  <c r="H2225" i="7"/>
  <c r="I2225" i="7"/>
  <c r="J2225" i="7"/>
  <c r="L2225" i="7"/>
  <c r="H2226" i="7"/>
  <c r="K2226" i="7" s="1"/>
  <c r="I2226" i="7"/>
  <c r="J2226" i="7"/>
  <c r="L2226" i="7"/>
  <c r="H2227" i="7"/>
  <c r="I2227" i="7"/>
  <c r="J2227" i="7"/>
  <c r="L2227" i="7"/>
  <c r="H2228" i="7"/>
  <c r="K2228" i="7" s="1"/>
  <c r="I2228" i="7"/>
  <c r="J2228" i="7"/>
  <c r="L2228" i="7"/>
  <c r="H2229" i="7"/>
  <c r="I2229" i="7"/>
  <c r="J2229" i="7"/>
  <c r="L2229" i="7"/>
  <c r="H2230" i="7"/>
  <c r="K2230" i="7" s="1"/>
  <c r="I2230" i="7"/>
  <c r="J2230" i="7"/>
  <c r="L2230" i="7"/>
  <c r="H2231" i="7"/>
  <c r="K2231" i="7" s="1"/>
  <c r="I2231" i="7"/>
  <c r="J2231" i="7"/>
  <c r="L2231" i="7"/>
  <c r="H2232" i="7"/>
  <c r="I2232" i="7"/>
  <c r="J2232" i="7"/>
  <c r="L2232" i="7"/>
  <c r="H2233" i="7"/>
  <c r="I2233" i="7"/>
  <c r="J2233" i="7"/>
  <c r="L2233" i="7"/>
  <c r="H2234" i="7"/>
  <c r="I2234" i="7"/>
  <c r="J2234" i="7"/>
  <c r="K2234" i="7"/>
  <c r="L2234" i="7"/>
  <c r="H2235" i="7"/>
  <c r="I2235" i="7"/>
  <c r="J2235" i="7"/>
  <c r="L2235" i="7"/>
  <c r="H2236" i="7"/>
  <c r="I2236" i="7"/>
  <c r="J2236" i="7"/>
  <c r="K2236" i="7" s="1"/>
  <c r="L2236" i="7"/>
  <c r="H2237" i="7"/>
  <c r="I2237" i="7"/>
  <c r="J2237" i="7"/>
  <c r="L2237" i="7"/>
  <c r="H2238" i="7"/>
  <c r="I2238" i="7"/>
  <c r="J2238" i="7"/>
  <c r="L2238" i="7"/>
  <c r="H2239" i="7"/>
  <c r="K2239" i="7" s="1"/>
  <c r="I2239" i="7"/>
  <c r="J2239" i="7"/>
  <c r="L2239" i="7"/>
  <c r="H2240" i="7"/>
  <c r="K2240" i="7" s="1"/>
  <c r="I2240" i="7"/>
  <c r="J2240" i="7"/>
  <c r="L2240" i="7"/>
  <c r="H2241" i="7"/>
  <c r="I2241" i="7"/>
  <c r="J2241" i="7"/>
  <c r="L2241" i="7"/>
  <c r="H2242" i="7"/>
  <c r="K2242" i="7" s="1"/>
  <c r="I2242" i="7"/>
  <c r="J2242" i="7"/>
  <c r="L2242" i="7"/>
  <c r="H2243" i="7"/>
  <c r="I2243" i="7"/>
  <c r="J2243" i="7"/>
  <c r="L2243" i="7"/>
  <c r="H2244" i="7"/>
  <c r="K2244" i="7" s="1"/>
  <c r="I2244" i="7"/>
  <c r="J2244" i="7"/>
  <c r="L2244" i="7"/>
  <c r="H2245" i="7"/>
  <c r="I2245" i="7"/>
  <c r="J2245" i="7"/>
  <c r="L2245" i="7"/>
  <c r="H2246" i="7"/>
  <c r="I2246" i="7"/>
  <c r="J2246" i="7"/>
  <c r="L2246" i="7"/>
  <c r="H2247" i="7"/>
  <c r="I2247" i="7"/>
  <c r="J2247" i="7"/>
  <c r="K2247" i="7" s="1"/>
  <c r="L2247" i="7"/>
  <c r="H2248" i="7"/>
  <c r="K2248" i="7" s="1"/>
  <c r="I2248" i="7"/>
  <c r="J2248" i="7"/>
  <c r="L2248" i="7"/>
  <c r="H2249" i="7"/>
  <c r="I2249" i="7"/>
  <c r="K2249" i="7" s="1"/>
  <c r="J2249" i="7"/>
  <c r="L2249" i="7"/>
  <c r="H2250" i="7"/>
  <c r="K2250" i="7" s="1"/>
  <c r="I2250" i="7"/>
  <c r="J2250" i="7"/>
  <c r="L2250" i="7"/>
  <c r="H2251" i="7"/>
  <c r="K2251" i="7" s="1"/>
  <c r="I2251" i="7"/>
  <c r="J2251" i="7"/>
  <c r="L2251" i="7"/>
  <c r="H2252" i="7"/>
  <c r="I2252" i="7"/>
  <c r="J2252" i="7"/>
  <c r="L2252" i="7"/>
  <c r="H2253" i="7"/>
  <c r="K2253" i="7" s="1"/>
  <c r="I2253" i="7"/>
  <c r="J2253" i="7"/>
  <c r="L2253" i="7"/>
  <c r="H2254" i="7"/>
  <c r="K2254" i="7" s="1"/>
  <c r="I2254" i="7"/>
  <c r="J2254" i="7"/>
  <c r="L2254" i="7"/>
  <c r="H2255" i="7"/>
  <c r="K2255" i="7" s="1"/>
  <c r="I2255" i="7"/>
  <c r="J2255" i="7"/>
  <c r="L2255" i="7"/>
  <c r="H2256" i="7"/>
  <c r="I2256" i="7"/>
  <c r="J2256" i="7"/>
  <c r="L2256" i="7"/>
  <c r="H2257" i="7"/>
  <c r="I2257" i="7"/>
  <c r="J2257" i="7"/>
  <c r="L2257" i="7"/>
  <c r="H2258" i="7"/>
  <c r="I2258" i="7"/>
  <c r="J2258" i="7"/>
  <c r="K2258" i="7"/>
  <c r="L2258" i="7"/>
  <c r="H2259" i="7"/>
  <c r="I2259" i="7"/>
  <c r="J2259" i="7"/>
  <c r="L2259" i="7"/>
  <c r="H2260" i="7"/>
  <c r="I2260" i="7"/>
  <c r="J2260" i="7"/>
  <c r="K2260" i="7" s="1"/>
  <c r="L2260" i="7"/>
  <c r="H2261" i="7"/>
  <c r="K2261" i="7" s="1"/>
  <c r="I2261" i="7"/>
  <c r="J2261" i="7"/>
  <c r="L2261" i="7"/>
  <c r="H2262" i="7"/>
  <c r="I2262" i="7"/>
  <c r="J2262" i="7"/>
  <c r="L2262" i="7"/>
  <c r="H2263" i="7"/>
  <c r="K2263" i="7" s="1"/>
  <c r="I2263" i="7"/>
  <c r="J2263" i="7"/>
  <c r="L2263" i="7"/>
  <c r="H2264" i="7"/>
  <c r="K2264" i="7" s="1"/>
  <c r="I2264" i="7"/>
  <c r="J2264" i="7"/>
  <c r="L2264" i="7"/>
  <c r="H2265" i="7"/>
  <c r="I2265" i="7"/>
  <c r="J2265" i="7"/>
  <c r="L2265" i="7"/>
  <c r="H2266" i="7"/>
  <c r="K2266" i="7" s="1"/>
  <c r="I2266" i="7"/>
  <c r="J2266" i="7"/>
  <c r="L2266" i="7"/>
  <c r="H2267" i="7"/>
  <c r="I2267" i="7"/>
  <c r="J2267" i="7"/>
  <c r="L2267" i="7"/>
  <c r="H2268" i="7"/>
  <c r="K2268" i="7" s="1"/>
  <c r="I2268" i="7"/>
  <c r="J2268" i="7"/>
  <c r="L2268" i="7"/>
  <c r="H2269" i="7"/>
  <c r="I2269" i="7"/>
  <c r="J2269" i="7"/>
  <c r="K2269" i="7" s="1"/>
  <c r="L2269" i="7"/>
  <c r="H2270" i="7"/>
  <c r="I2270" i="7"/>
  <c r="J2270" i="7"/>
  <c r="L2270" i="7"/>
  <c r="H2271" i="7"/>
  <c r="I2271" i="7"/>
  <c r="J2271" i="7"/>
  <c r="K2271" i="7" s="1"/>
  <c r="L2271" i="7"/>
  <c r="H2272" i="7"/>
  <c r="K2272" i="7" s="1"/>
  <c r="I2272" i="7"/>
  <c r="J2272" i="7"/>
  <c r="L2272" i="7"/>
  <c r="H2273" i="7"/>
  <c r="I2273" i="7"/>
  <c r="K2273" i="7" s="1"/>
  <c r="J2273" i="7"/>
  <c r="L2273" i="7"/>
  <c r="H2274" i="7"/>
  <c r="K2274" i="7" s="1"/>
  <c r="I2274" i="7"/>
  <c r="J2274" i="7"/>
  <c r="L2274" i="7"/>
  <c r="H2275" i="7"/>
  <c r="K2275" i="7" s="1"/>
  <c r="I2275" i="7"/>
  <c r="J2275" i="7"/>
  <c r="L2275" i="7"/>
  <c r="H2276" i="7"/>
  <c r="I2276" i="7"/>
  <c r="J2276" i="7"/>
  <c r="L2276" i="7"/>
  <c r="H2277" i="7"/>
  <c r="I2277" i="7"/>
  <c r="J2277" i="7"/>
  <c r="L2277" i="7"/>
  <c r="H2278" i="7"/>
  <c r="K2278" i="7" s="1"/>
  <c r="I2278" i="7"/>
  <c r="J2278" i="7"/>
  <c r="L2278" i="7"/>
  <c r="H2279" i="7"/>
  <c r="K2279" i="7" s="1"/>
  <c r="I2279" i="7"/>
  <c r="J2279" i="7"/>
  <c r="L2279" i="7"/>
  <c r="H2280" i="7"/>
  <c r="I2280" i="7"/>
  <c r="J2280" i="7"/>
  <c r="L2280" i="7"/>
  <c r="H2281" i="7"/>
  <c r="I2281" i="7"/>
  <c r="J2281" i="7"/>
  <c r="L2281" i="7"/>
  <c r="H2282" i="7"/>
  <c r="I2282" i="7"/>
  <c r="J2282" i="7"/>
  <c r="K2282" i="7"/>
  <c r="L2282" i="7"/>
  <c r="H2283" i="7"/>
  <c r="I2283" i="7"/>
  <c r="J2283" i="7"/>
  <c r="L2283" i="7"/>
  <c r="H2284" i="7"/>
  <c r="I2284" i="7"/>
  <c r="J2284" i="7"/>
  <c r="K2284" i="7" s="1"/>
  <c r="L2284" i="7"/>
  <c r="H2285" i="7"/>
  <c r="I2285" i="7"/>
  <c r="J2285" i="7"/>
  <c r="L2285" i="7"/>
  <c r="H2286" i="7"/>
  <c r="I2286" i="7"/>
  <c r="J2286" i="7"/>
  <c r="L2286" i="7"/>
  <c r="H2287" i="7"/>
  <c r="I2287" i="7"/>
  <c r="J2287" i="7"/>
  <c r="K2287" i="7"/>
  <c r="L2287" i="7"/>
  <c r="H2288" i="7"/>
  <c r="K2288" i="7" s="1"/>
  <c r="I2288" i="7"/>
  <c r="J2288" i="7"/>
  <c r="L2288" i="7"/>
  <c r="H2289" i="7"/>
  <c r="I2289" i="7"/>
  <c r="J2289" i="7"/>
  <c r="L2289" i="7"/>
  <c r="H2290" i="7"/>
  <c r="K2290" i="7" s="1"/>
  <c r="I2290" i="7"/>
  <c r="J2290" i="7"/>
  <c r="L2290" i="7"/>
  <c r="H2291" i="7"/>
  <c r="I2291" i="7"/>
  <c r="J2291" i="7"/>
  <c r="L2291" i="7"/>
  <c r="H2292" i="7"/>
  <c r="I2292" i="7"/>
  <c r="J2292" i="7"/>
  <c r="K2292" i="7"/>
  <c r="L2292" i="7"/>
  <c r="H2293" i="7"/>
  <c r="I2293" i="7"/>
  <c r="J2293" i="7"/>
  <c r="K2293" i="7" s="1"/>
  <c r="L2293" i="7"/>
  <c r="H2294" i="7"/>
  <c r="I2294" i="7"/>
  <c r="J2294" i="7"/>
  <c r="L2294" i="7"/>
  <c r="H2295" i="7"/>
  <c r="K2295" i="7" s="1"/>
  <c r="I2295" i="7"/>
  <c r="J2295" i="7"/>
  <c r="L2295" i="7"/>
  <c r="H2296" i="7"/>
  <c r="I2296" i="7"/>
  <c r="J2296" i="7"/>
  <c r="L2296" i="7"/>
  <c r="H2297" i="7"/>
  <c r="I2297" i="7"/>
  <c r="K2297" i="7" s="1"/>
  <c r="J2297" i="7"/>
  <c r="L2297" i="7"/>
  <c r="H2298" i="7"/>
  <c r="I2298" i="7"/>
  <c r="J2298" i="7"/>
  <c r="K2298" i="7"/>
  <c r="L2298" i="7"/>
  <c r="H2299" i="7"/>
  <c r="K2299" i="7" s="1"/>
  <c r="I2299" i="7"/>
  <c r="J2299" i="7"/>
  <c r="L2299" i="7"/>
  <c r="H2300" i="7"/>
  <c r="I2300" i="7"/>
  <c r="J2300" i="7"/>
  <c r="K2300" i="7"/>
  <c r="L2300" i="7"/>
  <c r="H2301" i="7"/>
  <c r="I2301" i="7"/>
  <c r="J2301" i="7"/>
  <c r="K2301" i="7" s="1"/>
  <c r="L2301" i="7"/>
  <c r="H2302" i="7"/>
  <c r="I2302" i="7"/>
  <c r="J2302" i="7"/>
  <c r="L2302" i="7"/>
  <c r="H2303" i="7"/>
  <c r="I2303" i="7"/>
  <c r="J2303" i="7"/>
  <c r="K2303" i="7"/>
  <c r="L2303" i="7"/>
  <c r="H2304" i="7"/>
  <c r="I2304" i="7"/>
  <c r="J2304" i="7"/>
  <c r="L2304" i="7"/>
  <c r="H2305" i="7"/>
  <c r="I2305" i="7"/>
  <c r="J2305" i="7"/>
  <c r="L2305" i="7"/>
  <c r="H2306" i="7"/>
  <c r="K2306" i="7" s="1"/>
  <c r="I2306" i="7"/>
  <c r="J2306" i="7"/>
  <c r="L2306" i="7"/>
  <c r="H2307" i="7"/>
  <c r="I2307" i="7"/>
  <c r="J2307" i="7"/>
  <c r="L2307" i="7"/>
  <c r="H2308" i="7"/>
  <c r="I2308" i="7"/>
  <c r="J2308" i="7"/>
  <c r="L2308" i="7"/>
  <c r="H2309" i="7"/>
  <c r="I2309" i="7"/>
  <c r="J2309" i="7"/>
  <c r="L2309" i="7"/>
  <c r="H2310" i="7"/>
  <c r="I2310" i="7"/>
  <c r="J2310" i="7"/>
  <c r="L2310" i="7"/>
  <c r="H2311" i="7"/>
  <c r="I2311" i="7"/>
  <c r="J2311" i="7"/>
  <c r="K2311" i="7"/>
  <c r="L2311" i="7"/>
  <c r="H2312" i="7"/>
  <c r="K2312" i="7" s="1"/>
  <c r="I2312" i="7"/>
  <c r="J2312" i="7"/>
  <c r="L2312" i="7"/>
  <c r="H2313" i="7"/>
  <c r="I2313" i="7"/>
  <c r="J2313" i="7"/>
  <c r="L2313" i="7"/>
  <c r="H2314" i="7"/>
  <c r="K2314" i="7" s="1"/>
  <c r="I2314" i="7"/>
  <c r="J2314" i="7"/>
  <c r="L2314" i="7"/>
  <c r="H2315" i="7"/>
  <c r="I2315" i="7"/>
  <c r="J2315" i="7"/>
  <c r="L2315" i="7"/>
  <c r="H2316" i="7"/>
  <c r="I2316" i="7"/>
  <c r="J2316" i="7"/>
  <c r="K2316" i="7" s="1"/>
  <c r="L2316" i="7"/>
  <c r="H2317" i="7"/>
  <c r="I2317" i="7"/>
  <c r="J2317" i="7"/>
  <c r="K2317" i="7" s="1"/>
  <c r="L2317" i="7"/>
  <c r="H2318" i="7"/>
  <c r="I2318" i="7"/>
  <c r="J2318" i="7"/>
  <c r="L2318" i="7"/>
  <c r="H2319" i="7"/>
  <c r="I2319" i="7"/>
  <c r="J2319" i="7"/>
  <c r="K2319" i="7"/>
  <c r="L2319" i="7"/>
  <c r="H2320" i="7"/>
  <c r="I2320" i="7"/>
  <c r="J2320" i="7"/>
  <c r="L2320" i="7"/>
  <c r="H2321" i="7"/>
  <c r="I2321" i="7"/>
  <c r="J2321" i="7"/>
  <c r="L2321" i="7"/>
  <c r="H2322" i="7"/>
  <c r="I2322" i="7"/>
  <c r="K2322" i="7" s="1"/>
  <c r="J2322" i="7"/>
  <c r="L2322" i="7"/>
  <c r="H2323" i="7"/>
  <c r="I2323" i="7"/>
  <c r="J2323" i="7"/>
  <c r="L2323" i="7"/>
  <c r="H2324" i="7"/>
  <c r="I2324" i="7"/>
  <c r="J2324" i="7"/>
  <c r="L2324" i="7"/>
  <c r="H2325" i="7"/>
  <c r="I2325" i="7"/>
  <c r="K2325" i="7" s="1"/>
  <c r="J2325" i="7"/>
  <c r="L2325" i="7"/>
  <c r="H2326" i="7"/>
  <c r="I2326" i="7"/>
  <c r="J2326" i="7"/>
  <c r="L2326" i="7"/>
  <c r="H2327" i="7"/>
  <c r="K2327" i="7" s="1"/>
  <c r="I2327" i="7"/>
  <c r="J2327" i="7"/>
  <c r="L2327" i="7"/>
  <c r="H2328" i="7"/>
  <c r="I2328" i="7"/>
  <c r="J2328" i="7"/>
  <c r="L2328" i="7"/>
  <c r="H2329" i="7"/>
  <c r="I2329" i="7"/>
  <c r="J2329" i="7"/>
  <c r="L2329" i="7"/>
  <c r="H2330" i="7"/>
  <c r="I2330" i="7"/>
  <c r="J2330" i="7"/>
  <c r="K2330" i="7"/>
  <c r="L2330" i="7"/>
  <c r="H2331" i="7"/>
  <c r="I2331" i="7"/>
  <c r="J2331" i="7"/>
  <c r="L2331" i="7"/>
  <c r="H2332" i="7"/>
  <c r="I2332" i="7"/>
  <c r="J2332" i="7"/>
  <c r="K2332" i="7" s="1"/>
  <c r="L2332" i="7"/>
  <c r="H2333" i="7"/>
  <c r="I2333" i="7"/>
  <c r="J2333" i="7"/>
  <c r="K2333" i="7" s="1"/>
  <c r="L2333" i="7"/>
  <c r="H2334" i="7"/>
  <c r="I2334" i="7"/>
  <c r="J2334" i="7"/>
  <c r="L2334" i="7"/>
  <c r="H2335" i="7"/>
  <c r="I2335" i="7"/>
  <c r="J2335" i="7"/>
  <c r="K2335" i="7"/>
  <c r="L2335" i="7"/>
  <c r="H2336" i="7"/>
  <c r="I2336" i="7"/>
  <c r="J2336" i="7"/>
  <c r="L2336" i="7"/>
  <c r="H2337" i="7"/>
  <c r="I2337" i="7"/>
  <c r="J2337" i="7"/>
  <c r="L2337" i="7"/>
  <c r="H2338" i="7"/>
  <c r="K2338" i="7" s="1"/>
  <c r="I2338" i="7"/>
  <c r="J2338" i="7"/>
  <c r="L2338" i="7"/>
  <c r="H2339" i="7"/>
  <c r="I2339" i="7"/>
  <c r="J2339" i="7"/>
  <c r="L2339" i="7"/>
  <c r="H2340" i="7"/>
  <c r="I2340" i="7"/>
  <c r="J2340" i="7"/>
  <c r="L2340" i="7"/>
  <c r="H2341" i="7"/>
  <c r="I2341" i="7"/>
  <c r="J2341" i="7"/>
  <c r="L2341" i="7"/>
  <c r="H2342" i="7"/>
  <c r="I2342" i="7"/>
  <c r="J2342" i="7"/>
  <c r="L2342" i="7"/>
  <c r="H2343" i="7"/>
  <c r="K2343" i="7" s="1"/>
  <c r="I2343" i="7"/>
  <c r="J2343" i="7"/>
  <c r="L2343" i="7"/>
  <c r="H2344" i="7"/>
  <c r="K2344" i="7" s="1"/>
  <c r="I2344" i="7"/>
  <c r="J2344" i="7"/>
  <c r="L2344" i="7"/>
  <c r="H2345" i="7"/>
  <c r="I2345" i="7"/>
  <c r="J2345" i="7"/>
  <c r="L2345" i="7"/>
  <c r="H2346" i="7"/>
  <c r="K2346" i="7" s="1"/>
  <c r="I2346" i="7"/>
  <c r="J2346" i="7"/>
  <c r="L2346" i="7"/>
  <c r="H2347" i="7"/>
  <c r="I2347" i="7"/>
  <c r="J2347" i="7"/>
  <c r="L2347" i="7"/>
  <c r="H2348" i="7"/>
  <c r="I2348" i="7"/>
  <c r="J2348" i="7"/>
  <c r="L2348" i="7"/>
  <c r="H2349" i="7"/>
  <c r="I2349" i="7"/>
  <c r="J2349" i="7"/>
  <c r="L2349" i="7"/>
  <c r="H2350" i="7"/>
  <c r="I2350" i="7"/>
  <c r="J2350" i="7"/>
  <c r="L2350" i="7"/>
  <c r="H2351" i="7"/>
  <c r="K2351" i="7" s="1"/>
  <c r="I2351" i="7"/>
  <c r="J2351" i="7"/>
  <c r="L2351" i="7"/>
  <c r="H2352" i="7"/>
  <c r="I2352" i="7"/>
  <c r="J2352" i="7"/>
  <c r="L2352" i="7"/>
  <c r="H2353" i="7"/>
  <c r="I2353" i="7"/>
  <c r="J2353" i="7"/>
  <c r="L2353" i="7"/>
  <c r="H2354" i="7"/>
  <c r="I2354" i="7"/>
  <c r="J2354" i="7"/>
  <c r="L2354" i="7"/>
  <c r="H2355" i="7"/>
  <c r="I2355" i="7"/>
  <c r="J2355" i="7"/>
  <c r="L2355" i="7"/>
  <c r="H2356" i="7"/>
  <c r="I2356" i="7"/>
  <c r="J2356" i="7"/>
  <c r="L2356" i="7"/>
  <c r="H2357" i="7"/>
  <c r="I2357" i="7"/>
  <c r="J2357" i="7"/>
  <c r="L2357" i="7"/>
  <c r="H2358" i="7"/>
  <c r="I2358" i="7"/>
  <c r="J2358" i="7"/>
  <c r="L2358" i="7"/>
  <c r="H2359" i="7"/>
  <c r="I2359" i="7"/>
  <c r="J2359" i="7"/>
  <c r="L2359" i="7"/>
  <c r="H2360" i="7"/>
  <c r="I2360" i="7"/>
  <c r="J2360" i="7"/>
  <c r="L2360" i="7"/>
  <c r="H2361" i="7"/>
  <c r="I2361" i="7"/>
  <c r="J2361" i="7"/>
  <c r="L2361" i="7"/>
  <c r="H2362" i="7"/>
  <c r="K2362" i="7" s="1"/>
  <c r="I2362" i="7"/>
  <c r="J2362" i="7"/>
  <c r="L2362" i="7"/>
  <c r="H2363" i="7"/>
  <c r="I2363" i="7"/>
  <c r="J2363" i="7"/>
  <c r="L2363" i="7"/>
  <c r="H2364" i="7"/>
  <c r="I2364" i="7"/>
  <c r="J2364" i="7"/>
  <c r="L2364" i="7"/>
  <c r="H2365" i="7"/>
  <c r="I2365" i="7"/>
  <c r="J2365" i="7"/>
  <c r="L2365" i="7"/>
  <c r="H2366" i="7"/>
  <c r="I2366" i="7"/>
  <c r="J2366" i="7"/>
  <c r="L2366" i="7"/>
  <c r="H2367" i="7"/>
  <c r="I2367" i="7"/>
  <c r="J2367" i="7"/>
  <c r="L2367" i="7"/>
  <c r="H2368" i="7"/>
  <c r="I2368" i="7"/>
  <c r="J2368" i="7"/>
  <c r="L2368" i="7"/>
  <c r="H2369" i="7"/>
  <c r="I2369" i="7"/>
  <c r="J2369" i="7"/>
  <c r="L2369" i="7"/>
  <c r="H2370" i="7"/>
  <c r="K2370" i="7" s="1"/>
  <c r="I2370" i="7"/>
  <c r="J2370" i="7"/>
  <c r="L2370" i="7"/>
  <c r="H2371" i="7"/>
  <c r="I2371" i="7"/>
  <c r="J2371" i="7"/>
  <c r="L2371" i="7"/>
  <c r="H2372" i="7"/>
  <c r="K2372" i="7" s="1"/>
  <c r="I2372" i="7"/>
  <c r="J2372" i="7"/>
  <c r="L2372" i="7"/>
  <c r="H2373" i="7"/>
  <c r="I2373" i="7"/>
  <c r="J2373" i="7"/>
  <c r="L2373" i="7"/>
  <c r="H2374" i="7"/>
  <c r="I2374" i="7"/>
  <c r="J2374" i="7"/>
  <c r="L2374" i="7"/>
  <c r="H2375" i="7"/>
  <c r="K2375" i="7" s="1"/>
  <c r="I2375" i="7"/>
  <c r="J2375" i="7"/>
  <c r="L2375" i="7"/>
  <c r="H2376" i="7"/>
  <c r="I2376" i="7"/>
  <c r="J2376" i="7"/>
  <c r="L2376" i="7"/>
  <c r="H2377" i="7"/>
  <c r="I2377" i="7"/>
  <c r="J2377" i="7"/>
  <c r="L2377" i="7"/>
  <c r="H2378" i="7"/>
  <c r="I2378" i="7"/>
  <c r="K2378" i="7" s="1"/>
  <c r="J2378" i="7"/>
  <c r="L2378" i="7"/>
  <c r="H2379" i="7"/>
  <c r="I2379" i="7"/>
  <c r="J2379" i="7"/>
  <c r="L2379" i="7"/>
  <c r="H2380" i="7"/>
  <c r="I2380" i="7"/>
  <c r="J2380" i="7"/>
  <c r="K2380" i="7"/>
  <c r="L2380" i="7"/>
  <c r="H2381" i="7"/>
  <c r="K2381" i="7" s="1"/>
  <c r="I2381" i="7"/>
  <c r="J2381" i="7"/>
  <c r="L2381" i="7"/>
  <c r="H2382" i="7"/>
  <c r="I2382" i="7"/>
  <c r="J2382" i="7"/>
  <c r="L2382" i="7"/>
  <c r="H2383" i="7"/>
  <c r="K2383" i="7" s="1"/>
  <c r="I2383" i="7"/>
  <c r="J2383" i="7"/>
  <c r="L2383" i="7"/>
  <c r="H2384" i="7"/>
  <c r="I2384" i="7"/>
  <c r="J2384" i="7"/>
  <c r="L2384" i="7"/>
  <c r="H2385" i="7"/>
  <c r="I2385" i="7"/>
  <c r="J2385" i="7"/>
  <c r="L2385" i="7"/>
  <c r="H2386" i="7"/>
  <c r="I2386" i="7"/>
  <c r="J2386" i="7"/>
  <c r="K2386" i="7"/>
  <c r="L2386" i="7"/>
  <c r="H2387" i="7"/>
  <c r="I2387" i="7"/>
  <c r="J2387" i="7"/>
  <c r="L2387" i="7"/>
  <c r="H2388" i="7"/>
  <c r="I2388" i="7"/>
  <c r="J2388" i="7"/>
  <c r="K2388" i="7" s="1"/>
  <c r="L2388" i="7"/>
  <c r="H2389" i="7"/>
  <c r="I2389" i="7"/>
  <c r="J2389" i="7"/>
  <c r="L2389" i="7"/>
  <c r="H2390" i="7"/>
  <c r="I2390" i="7"/>
  <c r="J2390" i="7"/>
  <c r="L2390" i="7"/>
  <c r="H2391" i="7"/>
  <c r="I2391" i="7"/>
  <c r="J2391" i="7"/>
  <c r="L2391" i="7"/>
  <c r="H2392" i="7"/>
  <c r="I2392" i="7"/>
  <c r="J2392" i="7"/>
  <c r="L2392" i="7"/>
  <c r="H2393" i="7"/>
  <c r="I2393" i="7"/>
  <c r="K2393" i="7" s="1"/>
  <c r="J2393" i="7"/>
  <c r="L2393" i="7"/>
  <c r="H2394" i="7"/>
  <c r="I2394" i="7"/>
  <c r="J2394" i="7"/>
  <c r="L2394" i="7"/>
  <c r="H2395" i="7"/>
  <c r="I2395" i="7"/>
  <c r="J2395" i="7"/>
  <c r="L2395" i="7"/>
  <c r="H2396" i="7"/>
  <c r="I2396" i="7"/>
  <c r="J2396" i="7"/>
  <c r="L2396" i="7"/>
  <c r="H2397" i="7"/>
  <c r="I2397" i="7"/>
  <c r="J2397" i="7"/>
  <c r="L2397" i="7"/>
  <c r="H2398" i="7"/>
  <c r="I2398" i="7"/>
  <c r="J2398" i="7"/>
  <c r="L2398" i="7"/>
  <c r="H2399" i="7"/>
  <c r="K2399" i="7" s="1"/>
  <c r="I2399" i="7"/>
  <c r="J2399" i="7"/>
  <c r="L2399" i="7"/>
  <c r="H2400" i="7"/>
  <c r="I2400" i="7"/>
  <c r="J2400" i="7"/>
  <c r="L2400" i="7"/>
  <c r="H2401" i="7"/>
  <c r="I2401" i="7"/>
  <c r="K2401" i="7" s="1"/>
  <c r="J2401" i="7"/>
  <c r="L2401" i="7"/>
  <c r="H2402" i="7"/>
  <c r="I2402" i="7"/>
  <c r="J2402" i="7"/>
  <c r="K2402" i="7"/>
  <c r="L2402" i="7"/>
  <c r="H2403" i="7"/>
  <c r="I2403" i="7"/>
  <c r="J2403" i="7"/>
  <c r="L2403" i="7"/>
  <c r="H2404" i="7"/>
  <c r="I2404" i="7"/>
  <c r="J2404" i="7"/>
  <c r="K2404" i="7" s="1"/>
  <c r="L2404" i="7"/>
  <c r="H2405" i="7"/>
  <c r="I2405" i="7"/>
  <c r="J2405" i="7"/>
  <c r="L2405" i="7"/>
  <c r="H2406" i="7"/>
  <c r="I2406" i="7"/>
  <c r="J2406" i="7"/>
  <c r="L2406" i="7"/>
  <c r="H2407" i="7"/>
  <c r="K2407" i="7" s="1"/>
  <c r="I2407" i="7"/>
  <c r="J2407" i="7"/>
  <c r="L2407" i="7"/>
  <c r="H2408" i="7"/>
  <c r="I2408" i="7"/>
  <c r="J2408" i="7"/>
  <c r="L2408" i="7"/>
  <c r="H2409" i="7"/>
  <c r="I2409" i="7"/>
  <c r="J2409" i="7"/>
  <c r="L2409" i="7"/>
  <c r="H2410" i="7"/>
  <c r="K2410" i="7" s="1"/>
  <c r="I2410" i="7"/>
  <c r="J2410" i="7"/>
  <c r="L2410" i="7"/>
  <c r="H2411" i="7"/>
  <c r="I2411" i="7"/>
  <c r="J2411" i="7"/>
  <c r="L2411" i="7"/>
  <c r="H2412" i="7"/>
  <c r="K2412" i="7" s="1"/>
  <c r="I2412" i="7"/>
  <c r="J2412" i="7"/>
  <c r="L2412" i="7"/>
  <c r="H2413" i="7"/>
  <c r="K2413" i="7" s="1"/>
  <c r="I2413" i="7"/>
  <c r="J2413" i="7"/>
  <c r="L2413" i="7"/>
  <c r="H2414" i="7"/>
  <c r="I2414" i="7"/>
  <c r="J2414" i="7"/>
  <c r="L2414" i="7"/>
  <c r="H2415" i="7"/>
  <c r="I2415" i="7"/>
  <c r="J2415" i="7"/>
  <c r="K2415" i="7" s="1"/>
  <c r="L2415" i="7"/>
  <c r="H2416" i="7"/>
  <c r="I2416" i="7"/>
  <c r="J2416" i="7"/>
  <c r="L2416" i="7"/>
  <c r="H2417" i="7"/>
  <c r="I2417" i="7"/>
  <c r="J2417" i="7"/>
  <c r="L2417" i="7"/>
  <c r="H2418" i="7"/>
  <c r="I2418" i="7"/>
  <c r="J2418" i="7"/>
  <c r="L2418" i="7"/>
  <c r="H2419" i="7"/>
  <c r="I2419" i="7"/>
  <c r="J2419" i="7"/>
  <c r="L2419" i="7"/>
  <c r="H2420" i="7"/>
  <c r="K2420" i="7" s="1"/>
  <c r="I2420" i="7"/>
  <c r="J2420" i="7"/>
  <c r="L2420" i="7"/>
  <c r="H2421" i="7"/>
  <c r="I2421" i="7"/>
  <c r="K2421" i="7" s="1"/>
  <c r="J2421" i="7"/>
  <c r="L2421" i="7"/>
  <c r="H2422" i="7"/>
  <c r="I2422" i="7"/>
  <c r="J2422" i="7"/>
  <c r="L2422" i="7"/>
  <c r="H2423" i="7"/>
  <c r="I2423" i="7"/>
  <c r="J2423" i="7"/>
  <c r="K2423" i="7"/>
  <c r="L2423" i="7"/>
  <c r="H2424" i="7"/>
  <c r="I2424" i="7"/>
  <c r="J2424" i="7"/>
  <c r="L2424" i="7"/>
  <c r="H2425" i="7"/>
  <c r="I2425" i="7"/>
  <c r="J2425" i="7"/>
  <c r="L2425" i="7"/>
  <c r="H2426" i="7"/>
  <c r="K2426" i="7" s="1"/>
  <c r="I2426" i="7"/>
  <c r="J2426" i="7"/>
  <c r="L2426" i="7"/>
  <c r="H2427" i="7"/>
  <c r="I2427" i="7"/>
  <c r="J2427" i="7"/>
  <c r="L2427" i="7"/>
  <c r="H2428" i="7"/>
  <c r="I2428" i="7"/>
  <c r="J2428" i="7"/>
  <c r="L2428" i="7"/>
  <c r="H2429" i="7"/>
  <c r="I2429" i="7"/>
  <c r="J2429" i="7"/>
  <c r="L2429" i="7"/>
  <c r="H2430" i="7"/>
  <c r="K2430" i="7" s="1"/>
  <c r="I2430" i="7"/>
  <c r="J2430" i="7"/>
  <c r="L2430" i="7"/>
  <c r="H2431" i="7"/>
  <c r="I2431" i="7"/>
  <c r="J2431" i="7"/>
  <c r="K2431" i="7"/>
  <c r="L2431" i="7"/>
  <c r="H2432" i="7"/>
  <c r="K2432" i="7" s="1"/>
  <c r="I2432" i="7"/>
  <c r="J2432" i="7"/>
  <c r="L2432" i="7"/>
  <c r="H2433" i="7"/>
  <c r="I2433" i="7"/>
  <c r="J2433" i="7"/>
  <c r="L2433" i="7"/>
  <c r="H2434" i="7"/>
  <c r="K2434" i="7" s="1"/>
  <c r="I2434" i="7"/>
  <c r="J2434" i="7"/>
  <c r="L2434" i="7"/>
  <c r="H2435" i="7"/>
  <c r="I2435" i="7"/>
  <c r="J2435" i="7"/>
  <c r="L2435" i="7"/>
  <c r="H2436" i="7"/>
  <c r="K2436" i="7" s="1"/>
  <c r="I2436" i="7"/>
  <c r="J2436" i="7"/>
  <c r="L2436" i="7"/>
  <c r="H2437" i="7"/>
  <c r="I2437" i="7"/>
  <c r="J2437" i="7"/>
  <c r="L2437" i="7"/>
  <c r="H2438" i="7"/>
  <c r="I2438" i="7"/>
  <c r="J2438" i="7"/>
  <c r="L2438" i="7"/>
  <c r="H2439" i="7"/>
  <c r="I2439" i="7"/>
  <c r="J2439" i="7"/>
  <c r="L2439" i="7"/>
  <c r="H2440" i="7"/>
  <c r="I2440" i="7"/>
  <c r="J2440" i="7"/>
  <c r="L2440" i="7"/>
  <c r="H2441" i="7"/>
  <c r="I2441" i="7"/>
  <c r="J2441" i="7"/>
  <c r="L2441" i="7"/>
  <c r="H2442" i="7"/>
  <c r="I2442" i="7"/>
  <c r="J2442" i="7"/>
  <c r="L2442" i="7"/>
  <c r="H2443" i="7"/>
  <c r="I2443" i="7"/>
  <c r="J2443" i="7"/>
  <c r="L2443" i="7"/>
  <c r="H2444" i="7"/>
  <c r="I2444" i="7"/>
  <c r="J2444" i="7"/>
  <c r="L2444" i="7"/>
  <c r="H2445" i="7"/>
  <c r="I2445" i="7"/>
  <c r="K2445" i="7" s="1"/>
  <c r="J2445" i="7"/>
  <c r="L2445" i="7"/>
  <c r="H2446" i="7"/>
  <c r="I2446" i="7"/>
  <c r="J2446" i="7"/>
  <c r="L2446" i="7"/>
  <c r="H2447" i="7"/>
  <c r="K2447" i="7" s="1"/>
  <c r="I2447" i="7"/>
  <c r="J2447" i="7"/>
  <c r="L2447" i="7"/>
  <c r="H2448" i="7"/>
  <c r="I2448" i="7"/>
  <c r="J2448" i="7"/>
  <c r="L2448" i="7"/>
  <c r="H2449" i="7"/>
  <c r="I2449" i="7"/>
  <c r="J2449" i="7"/>
  <c r="L2449" i="7"/>
  <c r="H2450" i="7"/>
  <c r="I2450" i="7"/>
  <c r="J2450" i="7"/>
  <c r="L2450" i="7"/>
  <c r="H2451" i="7"/>
  <c r="I2451" i="7"/>
  <c r="J2451" i="7"/>
  <c r="L2451" i="7"/>
  <c r="H2452" i="7"/>
  <c r="I2452" i="7"/>
  <c r="J2452" i="7"/>
  <c r="L2452" i="7"/>
  <c r="H2453" i="7"/>
  <c r="I2453" i="7"/>
  <c r="J2453" i="7"/>
  <c r="L2453" i="7"/>
  <c r="H2454" i="7"/>
  <c r="I2454" i="7"/>
  <c r="J2454" i="7"/>
  <c r="L2454" i="7"/>
  <c r="H2455" i="7"/>
  <c r="I2455" i="7"/>
  <c r="J2455" i="7"/>
  <c r="L2455" i="7"/>
  <c r="H2456" i="7"/>
  <c r="I2456" i="7"/>
  <c r="J2456" i="7"/>
  <c r="L2456" i="7"/>
  <c r="H2457" i="7"/>
  <c r="I2457" i="7"/>
  <c r="J2457" i="7"/>
  <c r="L2457" i="7"/>
  <c r="H2458" i="7"/>
  <c r="I2458" i="7"/>
  <c r="J2458" i="7"/>
  <c r="K2458" i="7"/>
  <c r="L2458" i="7"/>
  <c r="H2459" i="7"/>
  <c r="K2459" i="7" s="1"/>
  <c r="I2459" i="7"/>
  <c r="J2459" i="7"/>
  <c r="L2459" i="7"/>
  <c r="H2460" i="7"/>
  <c r="I2460" i="7"/>
  <c r="J2460" i="7"/>
  <c r="K2460" i="7" s="1"/>
  <c r="L2460" i="7"/>
  <c r="H2461" i="7"/>
  <c r="I2461" i="7"/>
  <c r="J2461" i="7"/>
  <c r="L2461" i="7"/>
  <c r="H2462" i="7"/>
  <c r="I2462" i="7"/>
  <c r="J2462" i="7"/>
  <c r="L2462" i="7"/>
  <c r="H2463" i="7"/>
  <c r="K2463" i="7" s="1"/>
  <c r="I2463" i="7"/>
  <c r="J2463" i="7"/>
  <c r="L2463" i="7"/>
  <c r="H2464" i="7"/>
  <c r="I2464" i="7"/>
  <c r="J2464" i="7"/>
  <c r="L2464" i="7"/>
  <c r="H2465" i="7"/>
  <c r="I2465" i="7"/>
  <c r="J2465" i="7"/>
  <c r="L2465" i="7"/>
  <c r="H2466" i="7"/>
  <c r="I2466" i="7"/>
  <c r="K2466" i="7" s="1"/>
  <c r="J2466" i="7"/>
  <c r="L2466" i="7"/>
  <c r="H2467" i="7"/>
  <c r="I2467" i="7"/>
  <c r="J2467" i="7"/>
  <c r="L2467" i="7"/>
  <c r="H2468" i="7"/>
  <c r="K2468" i="7" s="1"/>
  <c r="I2468" i="7"/>
  <c r="J2468" i="7"/>
  <c r="L2468" i="7"/>
  <c r="H2469" i="7"/>
  <c r="I2469" i="7"/>
  <c r="J2469" i="7"/>
  <c r="K2469" i="7"/>
  <c r="L2469" i="7"/>
  <c r="H2470" i="7"/>
  <c r="K2470" i="7" s="1"/>
  <c r="I2470" i="7"/>
  <c r="J2470" i="7"/>
  <c r="L2470" i="7"/>
  <c r="H2471" i="7"/>
  <c r="I2471" i="7"/>
  <c r="J2471" i="7"/>
  <c r="K2471" i="7"/>
  <c r="L2471" i="7"/>
  <c r="H2472" i="7"/>
  <c r="I2472" i="7"/>
  <c r="J2472" i="7"/>
  <c r="L2472" i="7"/>
  <c r="H2473" i="7"/>
  <c r="I2473" i="7"/>
  <c r="J2473" i="7"/>
  <c r="L2473" i="7"/>
  <c r="H2474" i="7"/>
  <c r="I2474" i="7"/>
  <c r="J2474" i="7"/>
  <c r="K2474" i="7" s="1"/>
  <c r="L2474" i="7"/>
  <c r="H2475" i="7"/>
  <c r="I2475" i="7"/>
  <c r="J2475" i="7"/>
  <c r="L2475" i="7"/>
  <c r="H2476" i="7"/>
  <c r="I2476" i="7"/>
  <c r="J2476" i="7"/>
  <c r="K2476" i="7"/>
  <c r="L2476" i="7"/>
  <c r="H2477" i="7"/>
  <c r="K2477" i="7" s="1"/>
  <c r="I2477" i="7"/>
  <c r="J2477" i="7"/>
  <c r="L2477" i="7"/>
  <c r="H2478" i="7"/>
  <c r="I2478" i="7"/>
  <c r="J2478" i="7"/>
  <c r="L2478" i="7"/>
  <c r="H2479" i="7"/>
  <c r="K2479" i="7" s="1"/>
  <c r="I2479" i="7"/>
  <c r="J2479" i="7"/>
  <c r="L2479" i="7"/>
  <c r="H2480" i="7"/>
  <c r="I2480" i="7"/>
  <c r="J2480" i="7"/>
  <c r="L2480" i="7"/>
  <c r="H2481" i="7"/>
  <c r="I2481" i="7"/>
  <c r="J2481" i="7"/>
  <c r="L2481" i="7"/>
  <c r="H2482" i="7"/>
  <c r="I2482" i="7"/>
  <c r="K2482" i="7" s="1"/>
  <c r="J2482" i="7"/>
  <c r="L2482" i="7"/>
  <c r="H2483" i="7"/>
  <c r="I2483" i="7"/>
  <c r="J2483" i="7"/>
  <c r="L2483" i="7"/>
  <c r="H2484" i="7"/>
  <c r="K2484" i="7" s="1"/>
  <c r="I2484" i="7"/>
  <c r="J2484" i="7"/>
  <c r="L2484" i="7"/>
  <c r="H2485" i="7"/>
  <c r="I2485" i="7"/>
  <c r="J2485" i="7"/>
  <c r="L2485" i="7"/>
  <c r="H2486" i="7"/>
  <c r="K2486" i="7" s="1"/>
  <c r="I2486" i="7"/>
  <c r="J2486" i="7"/>
  <c r="L2486" i="7"/>
  <c r="H2487" i="7"/>
  <c r="I2487" i="7"/>
  <c r="J2487" i="7"/>
  <c r="K2487" i="7"/>
  <c r="L2487" i="7"/>
  <c r="H2488" i="7"/>
  <c r="K2488" i="7" s="1"/>
  <c r="I2488" i="7"/>
  <c r="J2488" i="7"/>
  <c r="L2488" i="7"/>
  <c r="H2489" i="7"/>
  <c r="I2489" i="7"/>
  <c r="J2489" i="7"/>
  <c r="L2489" i="7"/>
  <c r="H2490" i="7"/>
  <c r="K2490" i="7" s="1"/>
  <c r="I2490" i="7"/>
  <c r="J2490" i="7"/>
  <c r="L2490" i="7"/>
  <c r="H2491" i="7"/>
  <c r="I2491" i="7"/>
  <c r="J2491" i="7"/>
  <c r="L2491" i="7"/>
  <c r="H2492" i="7"/>
  <c r="I2492" i="7"/>
  <c r="J2492" i="7"/>
  <c r="L2492" i="7"/>
  <c r="H2493" i="7"/>
  <c r="I2493" i="7"/>
  <c r="J2493" i="7"/>
  <c r="L2493" i="7"/>
  <c r="H2494" i="7"/>
  <c r="I2494" i="7"/>
  <c r="J2494" i="7"/>
  <c r="L2494" i="7"/>
  <c r="H2495" i="7"/>
  <c r="I2495" i="7"/>
  <c r="K2495" i="7" s="1"/>
  <c r="J2495" i="7"/>
  <c r="L2495" i="7"/>
  <c r="H2496" i="7"/>
  <c r="K2496" i="7" s="1"/>
  <c r="I2496" i="7"/>
  <c r="J2496" i="7"/>
  <c r="L2496" i="7"/>
  <c r="H2497" i="7"/>
  <c r="I2497" i="7"/>
  <c r="K2497" i="7" s="1"/>
  <c r="J2497" i="7"/>
  <c r="L2497" i="7"/>
  <c r="H2498" i="7"/>
  <c r="I2498" i="7"/>
  <c r="J2498" i="7"/>
  <c r="K2498" i="7"/>
  <c r="L2498" i="7"/>
  <c r="H2499" i="7"/>
  <c r="K2499" i="7" s="1"/>
  <c r="I2499" i="7"/>
  <c r="J2499" i="7"/>
  <c r="L2499" i="7"/>
  <c r="H2500" i="7"/>
  <c r="I2500" i="7"/>
  <c r="J2500" i="7"/>
  <c r="K2500" i="7" s="1"/>
  <c r="L2500" i="7"/>
  <c r="H2501" i="7"/>
  <c r="I2501" i="7"/>
  <c r="J2501" i="7"/>
  <c r="L2501" i="7"/>
  <c r="H2502" i="7"/>
  <c r="I2502" i="7"/>
  <c r="J2502" i="7"/>
  <c r="L2502" i="7"/>
  <c r="H2503" i="7"/>
  <c r="K2503" i="7" s="1"/>
  <c r="I2503" i="7"/>
  <c r="J2503" i="7"/>
  <c r="L2503" i="7"/>
  <c r="H2504" i="7"/>
  <c r="I2504" i="7"/>
  <c r="J2504" i="7"/>
  <c r="L2504" i="7"/>
  <c r="H2505" i="7"/>
  <c r="I2505" i="7"/>
  <c r="J2505" i="7"/>
  <c r="L2505" i="7"/>
  <c r="H2506" i="7"/>
  <c r="I2506" i="7"/>
  <c r="J2506" i="7"/>
  <c r="K2506" i="7"/>
  <c r="L2506" i="7"/>
  <c r="H2507" i="7"/>
  <c r="I2507" i="7"/>
  <c r="J2507" i="7"/>
  <c r="L2507" i="7"/>
  <c r="H2508" i="7"/>
  <c r="I2508" i="7"/>
  <c r="J2508" i="7"/>
  <c r="K2508" i="7" s="1"/>
  <c r="L2508" i="7"/>
  <c r="H2509" i="7"/>
  <c r="I2509" i="7"/>
  <c r="K2509" i="7" s="1"/>
  <c r="J2509" i="7"/>
  <c r="L2509" i="7"/>
  <c r="H2510" i="7"/>
  <c r="I2510" i="7"/>
  <c r="J2510" i="7"/>
  <c r="L2510" i="7"/>
  <c r="H2511" i="7"/>
  <c r="I2511" i="7"/>
  <c r="K2511" i="7" s="1"/>
  <c r="J2511" i="7"/>
  <c r="L2511" i="7"/>
  <c r="H2512" i="7"/>
  <c r="I2512" i="7"/>
  <c r="J2512" i="7"/>
  <c r="L2512" i="7"/>
  <c r="H2513" i="7"/>
  <c r="I2513" i="7"/>
  <c r="K2513" i="7" s="1"/>
  <c r="J2513" i="7"/>
  <c r="L2513" i="7"/>
  <c r="H2514" i="7"/>
  <c r="K2514" i="7" s="1"/>
  <c r="I2514" i="7"/>
  <c r="J2514" i="7"/>
  <c r="L2514" i="7"/>
  <c r="H2515" i="7"/>
  <c r="I2515" i="7"/>
  <c r="J2515" i="7"/>
  <c r="L2515" i="7"/>
  <c r="H2516" i="7"/>
  <c r="K2516" i="7" s="1"/>
  <c r="I2516" i="7"/>
  <c r="J2516" i="7"/>
  <c r="L2516" i="7"/>
  <c r="H2517" i="7"/>
  <c r="I2517" i="7"/>
  <c r="J2517" i="7"/>
  <c r="L2517" i="7"/>
  <c r="H2518" i="7"/>
  <c r="K2518" i="7" s="1"/>
  <c r="I2518" i="7"/>
  <c r="J2518" i="7"/>
  <c r="L2518" i="7"/>
  <c r="H2519" i="7"/>
  <c r="I2519" i="7"/>
  <c r="J2519" i="7"/>
  <c r="K2519" i="7"/>
  <c r="L2519" i="7"/>
  <c r="H2520" i="7"/>
  <c r="I2520" i="7"/>
  <c r="J2520" i="7"/>
  <c r="L2520" i="7"/>
  <c r="H2521" i="7"/>
  <c r="I2521" i="7"/>
  <c r="J2521" i="7"/>
  <c r="L2521" i="7"/>
  <c r="H2522" i="7"/>
  <c r="I2522" i="7"/>
  <c r="K2522" i="7" s="1"/>
  <c r="J2522" i="7"/>
  <c r="L2522" i="7"/>
  <c r="H2523" i="7"/>
  <c r="I2523" i="7"/>
  <c r="J2523" i="7"/>
  <c r="L2523" i="7"/>
  <c r="H2524" i="7"/>
  <c r="I2524" i="7"/>
  <c r="J2524" i="7"/>
  <c r="L2524" i="7"/>
  <c r="H2525" i="7"/>
  <c r="I2525" i="7"/>
  <c r="J2525" i="7"/>
  <c r="L2525" i="7"/>
  <c r="H2526" i="7"/>
  <c r="I2526" i="7"/>
  <c r="J2526" i="7"/>
  <c r="L2526" i="7"/>
  <c r="H2527" i="7"/>
  <c r="K2527" i="7" s="1"/>
  <c r="I2527" i="7"/>
  <c r="J2527" i="7"/>
  <c r="L2527" i="7"/>
  <c r="H2528" i="7"/>
  <c r="I2528" i="7"/>
  <c r="J2528" i="7"/>
  <c r="L2528" i="7"/>
  <c r="H2529" i="7"/>
  <c r="I2529" i="7"/>
  <c r="J2529" i="7"/>
  <c r="L2529" i="7"/>
  <c r="H2530" i="7"/>
  <c r="I2530" i="7"/>
  <c r="J2530" i="7"/>
  <c r="K2530" i="7"/>
  <c r="L2530" i="7"/>
  <c r="H2531" i="7"/>
  <c r="K2531" i="7" s="1"/>
  <c r="I2531" i="7"/>
  <c r="J2531" i="7"/>
  <c r="L2531" i="7"/>
  <c r="H2532" i="7"/>
  <c r="I2532" i="7"/>
  <c r="J2532" i="7"/>
  <c r="K2532" i="7" s="1"/>
  <c r="L2532" i="7"/>
  <c r="H2533" i="7"/>
  <c r="I2533" i="7"/>
  <c r="J2533" i="7"/>
  <c r="L2533" i="7"/>
  <c r="H2534" i="7"/>
  <c r="I2534" i="7"/>
  <c r="J2534" i="7"/>
  <c r="L2534" i="7"/>
  <c r="H2535" i="7"/>
  <c r="K2535" i="7" s="1"/>
  <c r="I2535" i="7"/>
  <c r="J2535" i="7"/>
  <c r="L2535" i="7"/>
  <c r="H2536" i="7"/>
  <c r="I2536" i="7"/>
  <c r="J2536" i="7"/>
  <c r="L2536" i="7"/>
  <c r="H2537" i="7"/>
  <c r="I2537" i="7"/>
  <c r="K2537" i="7" s="1"/>
  <c r="J2537" i="7"/>
  <c r="L2537" i="7"/>
  <c r="H2538" i="7"/>
  <c r="I2538" i="7"/>
  <c r="K2538" i="7" s="1"/>
  <c r="J2538" i="7"/>
  <c r="L2538" i="7"/>
  <c r="H2539" i="7"/>
  <c r="K2539" i="7" s="1"/>
  <c r="I2539" i="7"/>
  <c r="J2539" i="7"/>
  <c r="L2539" i="7"/>
  <c r="H2540" i="7"/>
  <c r="I2540" i="7"/>
  <c r="J2540" i="7"/>
  <c r="L2540" i="7"/>
  <c r="H2541" i="7"/>
  <c r="I2541" i="7"/>
  <c r="J2541" i="7"/>
  <c r="L2541" i="7"/>
  <c r="H2542" i="7"/>
  <c r="I2542" i="7"/>
  <c r="J2542" i="7"/>
  <c r="L2542" i="7"/>
  <c r="H2543" i="7"/>
  <c r="I2543" i="7"/>
  <c r="J2543" i="7"/>
  <c r="K2543" i="7"/>
  <c r="L2543" i="7"/>
  <c r="H2544" i="7"/>
  <c r="K2544" i="7" s="1"/>
  <c r="I2544" i="7"/>
  <c r="J2544" i="7"/>
  <c r="L2544" i="7"/>
  <c r="H2545" i="7"/>
  <c r="I2545" i="7"/>
  <c r="J2545" i="7"/>
  <c r="L2545" i="7"/>
  <c r="H2546" i="7"/>
  <c r="K2546" i="7" s="1"/>
  <c r="I2546" i="7"/>
  <c r="J2546" i="7"/>
  <c r="L2546" i="7"/>
  <c r="H2547" i="7"/>
  <c r="I2547" i="7"/>
  <c r="J2547" i="7"/>
  <c r="L2547" i="7"/>
  <c r="H2548" i="7"/>
  <c r="K2548" i="7" s="1"/>
  <c r="I2548" i="7"/>
  <c r="J2548" i="7"/>
  <c r="L2548" i="7"/>
  <c r="H2549" i="7"/>
  <c r="I2549" i="7"/>
  <c r="J2549" i="7"/>
  <c r="L2549" i="7"/>
  <c r="H2550" i="7"/>
  <c r="I2550" i="7"/>
  <c r="J2550" i="7"/>
  <c r="L2550" i="7"/>
  <c r="H2551" i="7"/>
  <c r="I2551" i="7"/>
  <c r="K2551" i="7" s="1"/>
  <c r="J2551" i="7"/>
  <c r="L2551" i="7"/>
  <c r="H2552" i="7"/>
  <c r="K2552" i="7" s="1"/>
  <c r="I2552" i="7"/>
  <c r="J2552" i="7"/>
  <c r="L2552" i="7"/>
  <c r="H2553" i="7"/>
  <c r="I2553" i="7"/>
  <c r="K2553" i="7" s="1"/>
  <c r="J2553" i="7"/>
  <c r="L2553" i="7"/>
  <c r="H2554" i="7"/>
  <c r="I2554" i="7"/>
  <c r="J2554" i="7"/>
  <c r="K2554" i="7"/>
  <c r="L2554" i="7"/>
  <c r="H2555" i="7"/>
  <c r="K2555" i="7" s="1"/>
  <c r="I2555" i="7"/>
  <c r="J2555" i="7"/>
  <c r="L2555" i="7"/>
  <c r="H2556" i="7"/>
  <c r="I2556" i="7"/>
  <c r="J2556" i="7"/>
  <c r="K2556" i="7" s="1"/>
  <c r="L2556" i="7"/>
  <c r="H2557" i="7"/>
  <c r="K2557" i="7" s="1"/>
  <c r="I2557" i="7"/>
  <c r="J2557" i="7"/>
  <c r="L2557" i="7"/>
  <c r="H2558" i="7"/>
  <c r="I2558" i="7"/>
  <c r="J2558" i="7"/>
  <c r="L2558" i="7"/>
  <c r="H2559" i="7"/>
  <c r="K2559" i="7" s="1"/>
  <c r="I2559" i="7"/>
  <c r="J2559" i="7"/>
  <c r="L2559" i="7"/>
  <c r="H2560" i="7"/>
  <c r="I2560" i="7"/>
  <c r="J2560" i="7"/>
  <c r="L2560" i="7"/>
  <c r="H2561" i="7"/>
  <c r="I2561" i="7"/>
  <c r="J2561" i="7"/>
  <c r="L2561" i="7"/>
  <c r="H2562" i="7"/>
  <c r="I2562" i="7"/>
  <c r="J2562" i="7"/>
  <c r="K2562" i="7"/>
  <c r="L2562" i="7"/>
  <c r="H2563" i="7"/>
  <c r="I2563" i="7"/>
  <c r="J2563" i="7"/>
  <c r="L2563" i="7"/>
  <c r="H2564" i="7"/>
  <c r="I2564" i="7"/>
  <c r="J2564" i="7"/>
  <c r="K2564" i="7" s="1"/>
  <c r="L2564" i="7"/>
  <c r="H2565" i="7"/>
  <c r="I2565" i="7"/>
  <c r="K2565" i="7" s="1"/>
  <c r="J2565" i="7"/>
  <c r="L2565" i="7"/>
  <c r="H2566" i="7"/>
  <c r="I2566" i="7"/>
  <c r="J2566" i="7"/>
  <c r="L2566" i="7"/>
  <c r="H2567" i="7"/>
  <c r="I2567" i="7"/>
  <c r="K2567" i="7" s="1"/>
  <c r="J2567" i="7"/>
  <c r="L2567" i="7"/>
  <c r="H2568" i="7"/>
  <c r="I2568" i="7"/>
  <c r="J2568" i="7"/>
  <c r="L2568" i="7"/>
  <c r="H2569" i="7"/>
  <c r="I2569" i="7"/>
  <c r="J2569" i="7"/>
  <c r="L2569" i="7"/>
  <c r="H2570" i="7"/>
  <c r="K2570" i="7" s="1"/>
  <c r="I2570" i="7"/>
  <c r="J2570" i="7"/>
  <c r="L2570" i="7"/>
  <c r="H2571" i="7"/>
  <c r="I2571" i="7"/>
  <c r="J2571" i="7"/>
  <c r="L2571" i="7"/>
  <c r="H2572" i="7"/>
  <c r="I2572" i="7"/>
  <c r="J2572" i="7"/>
  <c r="L2572" i="7"/>
  <c r="H2573" i="7"/>
  <c r="I2573" i="7"/>
  <c r="J2573" i="7"/>
  <c r="K2573" i="7"/>
  <c r="L2573" i="7"/>
  <c r="H2574" i="7"/>
  <c r="K2574" i="7" s="1"/>
  <c r="I2574" i="7"/>
  <c r="J2574" i="7"/>
  <c r="L2574" i="7"/>
  <c r="H2575" i="7"/>
  <c r="I2575" i="7"/>
  <c r="J2575" i="7"/>
  <c r="K2575" i="7"/>
  <c r="L2575" i="7"/>
  <c r="H2576" i="7"/>
  <c r="I2576" i="7"/>
  <c r="J2576" i="7"/>
  <c r="L2576" i="7"/>
  <c r="H2577" i="7"/>
  <c r="I2577" i="7"/>
  <c r="J2577" i="7"/>
  <c r="L2577" i="7"/>
  <c r="H2578" i="7"/>
  <c r="I2578" i="7"/>
  <c r="K2578" i="7" s="1"/>
  <c r="J2578" i="7"/>
  <c r="L2578" i="7"/>
  <c r="H2579" i="7"/>
  <c r="I2579" i="7"/>
  <c r="J2579" i="7"/>
  <c r="L2579" i="7"/>
  <c r="H2580" i="7"/>
  <c r="I2580" i="7"/>
  <c r="J2580" i="7"/>
  <c r="K2580" i="7"/>
  <c r="L2580" i="7"/>
  <c r="H2581" i="7"/>
  <c r="K2581" i="7" s="1"/>
  <c r="I2581" i="7"/>
  <c r="J2581" i="7"/>
  <c r="L2581" i="7"/>
  <c r="H2582" i="7"/>
  <c r="I2582" i="7"/>
  <c r="J2582" i="7"/>
  <c r="L2582" i="7"/>
  <c r="H2583" i="7"/>
  <c r="K2583" i="7" s="1"/>
  <c r="I2583" i="7"/>
  <c r="J2583" i="7"/>
  <c r="L2583" i="7"/>
  <c r="H2584" i="7"/>
  <c r="I2584" i="7"/>
  <c r="J2584" i="7"/>
  <c r="L2584" i="7"/>
  <c r="H2585" i="7"/>
  <c r="I2585" i="7"/>
  <c r="K2585" i="7" s="1"/>
  <c r="J2585" i="7"/>
  <c r="L2585" i="7"/>
  <c r="H2586" i="7"/>
  <c r="I2586" i="7"/>
  <c r="K2586" i="7" s="1"/>
  <c r="J2586" i="7"/>
  <c r="L2586" i="7"/>
  <c r="H2587" i="7"/>
  <c r="K2587" i="7" s="1"/>
  <c r="I2587" i="7"/>
  <c r="J2587" i="7"/>
  <c r="L2587" i="7"/>
  <c r="H2588" i="7"/>
  <c r="K2588" i="7" s="1"/>
  <c r="I2588" i="7"/>
  <c r="J2588" i="7"/>
  <c r="L2588" i="7"/>
  <c r="H2589" i="7"/>
  <c r="I2589" i="7"/>
  <c r="J2589" i="7"/>
  <c r="K2589" i="7"/>
  <c r="L2589" i="7"/>
  <c r="H2590" i="7"/>
  <c r="K2590" i="7" s="1"/>
  <c r="I2590" i="7"/>
  <c r="J2590" i="7"/>
  <c r="L2590" i="7"/>
  <c r="L2009" i="7"/>
  <c r="J2009" i="7"/>
  <c r="I2009" i="7"/>
  <c r="H2009" i="7"/>
  <c r="K2009" i="7" s="1"/>
  <c r="L2008" i="7"/>
  <c r="J2008" i="7"/>
  <c r="I2008" i="7"/>
  <c r="H2008" i="7"/>
  <c r="K2008" i="7" s="1"/>
  <c r="L2007" i="7"/>
  <c r="J2007" i="7"/>
  <c r="I2007" i="7"/>
  <c r="K2007" i="7" s="1"/>
  <c r="H2007" i="7"/>
  <c r="L2006" i="7"/>
  <c r="J2006" i="7"/>
  <c r="I2006" i="7"/>
  <c r="H2006" i="7"/>
  <c r="K2006" i="7" s="1"/>
  <c r="L2005" i="7"/>
  <c r="K2005" i="7"/>
  <c r="J2005" i="7"/>
  <c r="I2005" i="7"/>
  <c r="H2005" i="7"/>
  <c r="L2004" i="7"/>
  <c r="J2004" i="7"/>
  <c r="I2004" i="7"/>
  <c r="H2004" i="7"/>
  <c r="K2004" i="7" s="1"/>
  <c r="L2003" i="7"/>
  <c r="J2003" i="7"/>
  <c r="I2003" i="7"/>
  <c r="H2003" i="7"/>
  <c r="K2003" i="7" s="1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373" i="5"/>
  <c r="I374" i="5"/>
  <c r="I375" i="5"/>
  <c r="I376" i="5"/>
  <c r="I377" i="5"/>
  <c r="I378" i="5"/>
  <c r="I372" i="5"/>
  <c r="I371" i="5"/>
  <c r="H4" i="7"/>
  <c r="I4" i="7"/>
  <c r="J4" i="7"/>
  <c r="H5" i="7"/>
  <c r="I5" i="7"/>
  <c r="J5" i="7"/>
  <c r="H6" i="7"/>
  <c r="I6" i="7"/>
  <c r="J6" i="7"/>
  <c r="H7" i="7"/>
  <c r="I7" i="7"/>
  <c r="J7" i="7"/>
  <c r="H8" i="7"/>
  <c r="I8" i="7"/>
  <c r="J8" i="7"/>
  <c r="H9" i="7"/>
  <c r="I9" i="7"/>
  <c r="J9" i="7"/>
  <c r="H10" i="7"/>
  <c r="I10" i="7"/>
  <c r="J10" i="7"/>
  <c r="H11" i="7"/>
  <c r="I11" i="7"/>
  <c r="J11" i="7"/>
  <c r="H12" i="7"/>
  <c r="I12" i="7"/>
  <c r="J12" i="7"/>
  <c r="H13" i="7"/>
  <c r="I13" i="7"/>
  <c r="J13" i="7"/>
  <c r="H14" i="7"/>
  <c r="I14" i="7"/>
  <c r="J14" i="7"/>
  <c r="H15" i="7"/>
  <c r="I15" i="7"/>
  <c r="J15" i="7"/>
  <c r="H16" i="7"/>
  <c r="I16" i="7"/>
  <c r="J16" i="7"/>
  <c r="H17" i="7"/>
  <c r="I17" i="7"/>
  <c r="J17" i="7"/>
  <c r="H18" i="7"/>
  <c r="I18" i="7"/>
  <c r="J18" i="7"/>
  <c r="H19" i="7"/>
  <c r="I19" i="7"/>
  <c r="J19" i="7"/>
  <c r="H20" i="7"/>
  <c r="I20" i="7"/>
  <c r="J20" i="7"/>
  <c r="H21" i="7"/>
  <c r="I21" i="7"/>
  <c r="J21" i="7"/>
  <c r="H22" i="7"/>
  <c r="I22" i="7"/>
  <c r="J22" i="7"/>
  <c r="H23" i="7"/>
  <c r="I23" i="7"/>
  <c r="J23" i="7"/>
  <c r="H24" i="7"/>
  <c r="I24" i="7"/>
  <c r="J24" i="7"/>
  <c r="H25" i="7"/>
  <c r="I25" i="7"/>
  <c r="J25" i="7"/>
  <c r="H26" i="7"/>
  <c r="I26" i="7"/>
  <c r="J26" i="7"/>
  <c r="H27" i="7"/>
  <c r="I27" i="7"/>
  <c r="J27" i="7"/>
  <c r="H28" i="7"/>
  <c r="I28" i="7"/>
  <c r="J28" i="7"/>
  <c r="H29" i="7"/>
  <c r="I29" i="7"/>
  <c r="J29" i="7"/>
  <c r="H30" i="7"/>
  <c r="I30" i="7"/>
  <c r="J30" i="7"/>
  <c r="H31" i="7"/>
  <c r="I31" i="7"/>
  <c r="J31" i="7"/>
  <c r="H32" i="7"/>
  <c r="I32" i="7"/>
  <c r="J32" i="7"/>
  <c r="H33" i="7"/>
  <c r="I33" i="7"/>
  <c r="J33" i="7"/>
  <c r="H34" i="7"/>
  <c r="I34" i="7"/>
  <c r="J34" i="7"/>
  <c r="H35" i="7"/>
  <c r="I35" i="7"/>
  <c r="J35" i="7"/>
  <c r="H36" i="7"/>
  <c r="I36" i="7"/>
  <c r="J36" i="7"/>
  <c r="H37" i="7"/>
  <c r="I37" i="7"/>
  <c r="J37" i="7"/>
  <c r="H38" i="7"/>
  <c r="I38" i="7"/>
  <c r="J38" i="7"/>
  <c r="H39" i="7"/>
  <c r="I39" i="7"/>
  <c r="J39" i="7"/>
  <c r="H40" i="7"/>
  <c r="I40" i="7"/>
  <c r="J40" i="7"/>
  <c r="H41" i="7"/>
  <c r="I41" i="7"/>
  <c r="J41" i="7"/>
  <c r="H42" i="7"/>
  <c r="I42" i="7"/>
  <c r="J42" i="7"/>
  <c r="H43" i="7"/>
  <c r="I43" i="7"/>
  <c r="J43" i="7"/>
  <c r="H44" i="7"/>
  <c r="I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H52" i="7"/>
  <c r="I52" i="7"/>
  <c r="J52" i="7"/>
  <c r="H53" i="7"/>
  <c r="I53" i="7"/>
  <c r="J53" i="7"/>
  <c r="H54" i="7"/>
  <c r="I54" i="7"/>
  <c r="J54" i="7"/>
  <c r="H55" i="7"/>
  <c r="I55" i="7"/>
  <c r="J55" i="7"/>
  <c r="H56" i="7"/>
  <c r="I56" i="7"/>
  <c r="J56" i="7"/>
  <c r="H57" i="7"/>
  <c r="I57" i="7"/>
  <c r="J57" i="7"/>
  <c r="H58" i="7"/>
  <c r="I58" i="7"/>
  <c r="J58" i="7"/>
  <c r="H59" i="7"/>
  <c r="I59" i="7"/>
  <c r="J59" i="7"/>
  <c r="H60" i="7"/>
  <c r="I60" i="7"/>
  <c r="J60" i="7"/>
  <c r="H61" i="7"/>
  <c r="I61" i="7"/>
  <c r="J61" i="7"/>
  <c r="H62" i="7"/>
  <c r="I62" i="7"/>
  <c r="J62" i="7"/>
  <c r="H63" i="7"/>
  <c r="I63" i="7"/>
  <c r="J63" i="7"/>
  <c r="H64" i="7"/>
  <c r="I64" i="7"/>
  <c r="J64" i="7"/>
  <c r="H65" i="7"/>
  <c r="I65" i="7"/>
  <c r="J65" i="7"/>
  <c r="H66" i="7"/>
  <c r="I66" i="7"/>
  <c r="J66" i="7"/>
  <c r="H67" i="7"/>
  <c r="I67" i="7"/>
  <c r="J67" i="7"/>
  <c r="H68" i="7"/>
  <c r="I68" i="7"/>
  <c r="J68" i="7"/>
  <c r="H69" i="7"/>
  <c r="I69" i="7"/>
  <c r="J69" i="7"/>
  <c r="H70" i="7"/>
  <c r="I70" i="7"/>
  <c r="J70" i="7"/>
  <c r="H71" i="7"/>
  <c r="I71" i="7"/>
  <c r="J71" i="7"/>
  <c r="H72" i="7"/>
  <c r="I72" i="7"/>
  <c r="J72" i="7"/>
  <c r="H73" i="7"/>
  <c r="I73" i="7"/>
  <c r="J73" i="7"/>
  <c r="H74" i="7"/>
  <c r="I74" i="7"/>
  <c r="J74" i="7"/>
  <c r="H75" i="7"/>
  <c r="I75" i="7"/>
  <c r="J75" i="7"/>
  <c r="H76" i="7"/>
  <c r="I76" i="7"/>
  <c r="J76" i="7"/>
  <c r="H77" i="7"/>
  <c r="I77" i="7"/>
  <c r="J77" i="7"/>
  <c r="H78" i="7"/>
  <c r="I78" i="7"/>
  <c r="J78" i="7"/>
  <c r="H79" i="7"/>
  <c r="I79" i="7"/>
  <c r="J79" i="7"/>
  <c r="H80" i="7"/>
  <c r="I80" i="7"/>
  <c r="J80" i="7"/>
  <c r="H81" i="7"/>
  <c r="I81" i="7"/>
  <c r="J81" i="7"/>
  <c r="H82" i="7"/>
  <c r="I82" i="7"/>
  <c r="J82" i="7"/>
  <c r="H83" i="7"/>
  <c r="I83" i="7"/>
  <c r="J83" i="7"/>
  <c r="H84" i="7"/>
  <c r="I84" i="7"/>
  <c r="J84" i="7"/>
  <c r="H85" i="7"/>
  <c r="I85" i="7"/>
  <c r="J85" i="7"/>
  <c r="H86" i="7"/>
  <c r="I86" i="7"/>
  <c r="J86" i="7"/>
  <c r="H87" i="7"/>
  <c r="I87" i="7"/>
  <c r="J87" i="7"/>
  <c r="H88" i="7"/>
  <c r="I88" i="7"/>
  <c r="J88" i="7"/>
  <c r="H89" i="7"/>
  <c r="I89" i="7"/>
  <c r="J89" i="7"/>
  <c r="H90" i="7"/>
  <c r="I90" i="7"/>
  <c r="J90" i="7"/>
  <c r="H91" i="7"/>
  <c r="I91" i="7"/>
  <c r="J91" i="7"/>
  <c r="H92" i="7"/>
  <c r="I92" i="7"/>
  <c r="J92" i="7"/>
  <c r="H93" i="7"/>
  <c r="I93" i="7"/>
  <c r="J93" i="7"/>
  <c r="H94" i="7"/>
  <c r="I94" i="7"/>
  <c r="J94" i="7"/>
  <c r="H95" i="7"/>
  <c r="I95" i="7"/>
  <c r="J95" i="7"/>
  <c r="H96" i="7"/>
  <c r="I96" i="7"/>
  <c r="J96" i="7"/>
  <c r="H97" i="7"/>
  <c r="I97" i="7"/>
  <c r="J97" i="7"/>
  <c r="H98" i="7"/>
  <c r="I98" i="7"/>
  <c r="J98" i="7"/>
  <c r="H99" i="7"/>
  <c r="I99" i="7"/>
  <c r="J99" i="7"/>
  <c r="H100" i="7"/>
  <c r="I100" i="7"/>
  <c r="J100" i="7"/>
  <c r="H101" i="7"/>
  <c r="I101" i="7"/>
  <c r="J101" i="7"/>
  <c r="H102" i="7"/>
  <c r="I102" i="7"/>
  <c r="J102" i="7"/>
  <c r="H103" i="7"/>
  <c r="I103" i="7"/>
  <c r="J103" i="7"/>
  <c r="H104" i="7"/>
  <c r="I104" i="7"/>
  <c r="J104" i="7"/>
  <c r="H105" i="7"/>
  <c r="I105" i="7"/>
  <c r="J105" i="7"/>
  <c r="H106" i="7"/>
  <c r="I106" i="7"/>
  <c r="J106" i="7"/>
  <c r="H107" i="7"/>
  <c r="I107" i="7"/>
  <c r="J107" i="7"/>
  <c r="H108" i="7"/>
  <c r="I108" i="7"/>
  <c r="J108" i="7"/>
  <c r="H109" i="7"/>
  <c r="I109" i="7"/>
  <c r="J109" i="7"/>
  <c r="H110" i="7"/>
  <c r="I110" i="7"/>
  <c r="J110" i="7"/>
  <c r="H111" i="7"/>
  <c r="I111" i="7"/>
  <c r="J111" i="7"/>
  <c r="H112" i="7"/>
  <c r="I112" i="7"/>
  <c r="J112" i="7"/>
  <c r="H113" i="7"/>
  <c r="I113" i="7"/>
  <c r="J113" i="7"/>
  <c r="H114" i="7"/>
  <c r="I114" i="7"/>
  <c r="J114" i="7"/>
  <c r="H115" i="7"/>
  <c r="I115" i="7"/>
  <c r="J115" i="7"/>
  <c r="H116" i="7"/>
  <c r="I116" i="7"/>
  <c r="J116" i="7"/>
  <c r="H117" i="7"/>
  <c r="I117" i="7"/>
  <c r="J117" i="7"/>
  <c r="H118" i="7"/>
  <c r="I118" i="7"/>
  <c r="J118" i="7"/>
  <c r="H119" i="7"/>
  <c r="I119" i="7"/>
  <c r="J119" i="7"/>
  <c r="H120" i="7"/>
  <c r="I120" i="7"/>
  <c r="J120" i="7"/>
  <c r="H121" i="7"/>
  <c r="I121" i="7"/>
  <c r="J121" i="7"/>
  <c r="H122" i="7"/>
  <c r="I122" i="7"/>
  <c r="J122" i="7"/>
  <c r="H123" i="7"/>
  <c r="I123" i="7"/>
  <c r="J123" i="7"/>
  <c r="H124" i="7"/>
  <c r="I124" i="7"/>
  <c r="J124" i="7"/>
  <c r="H125" i="7"/>
  <c r="I125" i="7"/>
  <c r="J125" i="7"/>
  <c r="H126" i="7"/>
  <c r="I126" i="7"/>
  <c r="J126" i="7"/>
  <c r="H127" i="7"/>
  <c r="I127" i="7"/>
  <c r="J127" i="7"/>
  <c r="H128" i="7"/>
  <c r="I128" i="7"/>
  <c r="J128" i="7"/>
  <c r="H129" i="7"/>
  <c r="I129" i="7"/>
  <c r="J129" i="7"/>
  <c r="H130" i="7"/>
  <c r="I130" i="7"/>
  <c r="J130" i="7"/>
  <c r="H131" i="7"/>
  <c r="I131" i="7"/>
  <c r="J131" i="7"/>
  <c r="H132" i="7"/>
  <c r="I132" i="7"/>
  <c r="J132" i="7"/>
  <c r="H133" i="7"/>
  <c r="I133" i="7"/>
  <c r="J133" i="7"/>
  <c r="H134" i="7"/>
  <c r="I134" i="7"/>
  <c r="J134" i="7"/>
  <c r="H135" i="7"/>
  <c r="I135" i="7"/>
  <c r="J135" i="7"/>
  <c r="H136" i="7"/>
  <c r="I136" i="7"/>
  <c r="J136" i="7"/>
  <c r="H137" i="7"/>
  <c r="I137" i="7"/>
  <c r="J137" i="7"/>
  <c r="H138" i="7"/>
  <c r="I138" i="7"/>
  <c r="J138" i="7"/>
  <c r="H139" i="7"/>
  <c r="I139" i="7"/>
  <c r="J139" i="7"/>
  <c r="H140" i="7"/>
  <c r="I140" i="7"/>
  <c r="J140" i="7"/>
  <c r="H141" i="7"/>
  <c r="I141" i="7"/>
  <c r="J141" i="7"/>
  <c r="H142" i="7"/>
  <c r="I142" i="7"/>
  <c r="J142" i="7"/>
  <c r="H143" i="7"/>
  <c r="I143" i="7"/>
  <c r="J143" i="7"/>
  <c r="H144" i="7"/>
  <c r="I144" i="7"/>
  <c r="J144" i="7"/>
  <c r="H145" i="7"/>
  <c r="I145" i="7"/>
  <c r="J145" i="7"/>
  <c r="H146" i="7"/>
  <c r="I146" i="7"/>
  <c r="J146" i="7"/>
  <c r="H147" i="7"/>
  <c r="I147" i="7"/>
  <c r="J147" i="7"/>
  <c r="H148" i="7"/>
  <c r="I148" i="7"/>
  <c r="J148" i="7"/>
  <c r="H149" i="7"/>
  <c r="I149" i="7"/>
  <c r="J149" i="7"/>
  <c r="H150" i="7"/>
  <c r="I150" i="7"/>
  <c r="J150" i="7"/>
  <c r="H151" i="7"/>
  <c r="I151" i="7"/>
  <c r="J151" i="7"/>
  <c r="H152" i="7"/>
  <c r="I152" i="7"/>
  <c r="J152" i="7"/>
  <c r="H153" i="7"/>
  <c r="I153" i="7"/>
  <c r="J153" i="7"/>
  <c r="H154" i="7"/>
  <c r="I154" i="7"/>
  <c r="J154" i="7"/>
  <c r="H155" i="7"/>
  <c r="I155" i="7"/>
  <c r="J155" i="7"/>
  <c r="H156" i="7"/>
  <c r="I156" i="7"/>
  <c r="J156" i="7"/>
  <c r="H157" i="7"/>
  <c r="I157" i="7"/>
  <c r="J157" i="7"/>
  <c r="H158" i="7"/>
  <c r="I158" i="7"/>
  <c r="J158" i="7"/>
  <c r="H159" i="7"/>
  <c r="I159" i="7"/>
  <c r="J159" i="7"/>
  <c r="H160" i="7"/>
  <c r="I160" i="7"/>
  <c r="J160" i="7"/>
  <c r="H161" i="7"/>
  <c r="I161" i="7"/>
  <c r="J161" i="7"/>
  <c r="H162" i="7"/>
  <c r="I162" i="7"/>
  <c r="J162" i="7"/>
  <c r="H163" i="7"/>
  <c r="I163" i="7"/>
  <c r="J163" i="7"/>
  <c r="H164" i="7"/>
  <c r="I164" i="7"/>
  <c r="J164" i="7"/>
  <c r="H165" i="7"/>
  <c r="I165" i="7"/>
  <c r="J165" i="7"/>
  <c r="H166" i="7"/>
  <c r="I166" i="7"/>
  <c r="J166" i="7"/>
  <c r="H167" i="7"/>
  <c r="I167" i="7"/>
  <c r="J167" i="7"/>
  <c r="H168" i="7"/>
  <c r="I168" i="7"/>
  <c r="J168" i="7"/>
  <c r="H169" i="7"/>
  <c r="I169" i="7"/>
  <c r="J169" i="7"/>
  <c r="H170" i="7"/>
  <c r="I170" i="7"/>
  <c r="J170" i="7"/>
  <c r="H171" i="7"/>
  <c r="I171" i="7"/>
  <c r="J171" i="7"/>
  <c r="H172" i="7"/>
  <c r="I172" i="7"/>
  <c r="J172" i="7"/>
  <c r="H173" i="7"/>
  <c r="I173" i="7"/>
  <c r="J173" i="7"/>
  <c r="H174" i="7"/>
  <c r="I174" i="7"/>
  <c r="J174" i="7"/>
  <c r="H175" i="7"/>
  <c r="I175" i="7"/>
  <c r="J175" i="7"/>
  <c r="H176" i="7"/>
  <c r="I176" i="7"/>
  <c r="J176" i="7"/>
  <c r="H177" i="7"/>
  <c r="I177" i="7"/>
  <c r="J177" i="7"/>
  <c r="H178" i="7"/>
  <c r="I178" i="7"/>
  <c r="J178" i="7"/>
  <c r="H179" i="7"/>
  <c r="I179" i="7"/>
  <c r="J179" i="7"/>
  <c r="H180" i="7"/>
  <c r="I180" i="7"/>
  <c r="J180" i="7"/>
  <c r="H181" i="7"/>
  <c r="I181" i="7"/>
  <c r="J181" i="7"/>
  <c r="H182" i="7"/>
  <c r="I182" i="7"/>
  <c r="J182" i="7"/>
  <c r="H183" i="7"/>
  <c r="I183" i="7"/>
  <c r="J183" i="7"/>
  <c r="H184" i="7"/>
  <c r="I184" i="7"/>
  <c r="J184" i="7"/>
  <c r="H185" i="7"/>
  <c r="I185" i="7"/>
  <c r="J185" i="7"/>
  <c r="H186" i="7"/>
  <c r="I186" i="7"/>
  <c r="J186" i="7"/>
  <c r="H187" i="7"/>
  <c r="I187" i="7"/>
  <c r="J187" i="7"/>
  <c r="H188" i="7"/>
  <c r="I188" i="7"/>
  <c r="J188" i="7"/>
  <c r="H189" i="7"/>
  <c r="I189" i="7"/>
  <c r="J189" i="7"/>
  <c r="H190" i="7"/>
  <c r="I190" i="7"/>
  <c r="J190" i="7"/>
  <c r="H191" i="7"/>
  <c r="I191" i="7"/>
  <c r="J191" i="7"/>
  <c r="H192" i="7"/>
  <c r="I192" i="7"/>
  <c r="J192" i="7"/>
  <c r="H193" i="7"/>
  <c r="I193" i="7"/>
  <c r="J193" i="7"/>
  <c r="H194" i="7"/>
  <c r="I194" i="7"/>
  <c r="J194" i="7"/>
  <c r="H195" i="7"/>
  <c r="I195" i="7"/>
  <c r="J195" i="7"/>
  <c r="H196" i="7"/>
  <c r="I196" i="7"/>
  <c r="J196" i="7"/>
  <c r="H197" i="7"/>
  <c r="I197" i="7"/>
  <c r="J197" i="7"/>
  <c r="H198" i="7"/>
  <c r="I198" i="7"/>
  <c r="J198" i="7"/>
  <c r="H199" i="7"/>
  <c r="I199" i="7"/>
  <c r="J199" i="7"/>
  <c r="H200" i="7"/>
  <c r="I200" i="7"/>
  <c r="J200" i="7"/>
  <c r="H201" i="7"/>
  <c r="I201" i="7"/>
  <c r="J201" i="7"/>
  <c r="H202" i="7"/>
  <c r="I202" i="7"/>
  <c r="J202" i="7"/>
  <c r="H203" i="7"/>
  <c r="I203" i="7"/>
  <c r="J203" i="7"/>
  <c r="H204" i="7"/>
  <c r="I204" i="7"/>
  <c r="J204" i="7"/>
  <c r="H205" i="7"/>
  <c r="I205" i="7"/>
  <c r="J205" i="7"/>
  <c r="H206" i="7"/>
  <c r="I206" i="7"/>
  <c r="J206" i="7"/>
  <c r="H207" i="7"/>
  <c r="I207" i="7"/>
  <c r="J207" i="7"/>
  <c r="H208" i="7"/>
  <c r="I208" i="7"/>
  <c r="J208" i="7"/>
  <c r="H209" i="7"/>
  <c r="I209" i="7"/>
  <c r="J209" i="7"/>
  <c r="H210" i="7"/>
  <c r="I210" i="7"/>
  <c r="J210" i="7"/>
  <c r="H211" i="7"/>
  <c r="I211" i="7"/>
  <c r="J211" i="7"/>
  <c r="H212" i="7"/>
  <c r="I212" i="7"/>
  <c r="J212" i="7"/>
  <c r="H213" i="7"/>
  <c r="I213" i="7"/>
  <c r="J213" i="7"/>
  <c r="H214" i="7"/>
  <c r="I214" i="7"/>
  <c r="J214" i="7"/>
  <c r="H215" i="7"/>
  <c r="I215" i="7"/>
  <c r="J215" i="7"/>
  <c r="H216" i="7"/>
  <c r="I216" i="7"/>
  <c r="J216" i="7"/>
  <c r="H217" i="7"/>
  <c r="I217" i="7"/>
  <c r="J217" i="7"/>
  <c r="H218" i="7"/>
  <c r="I218" i="7"/>
  <c r="J218" i="7"/>
  <c r="H219" i="7"/>
  <c r="I219" i="7"/>
  <c r="J219" i="7"/>
  <c r="H220" i="7"/>
  <c r="I220" i="7"/>
  <c r="J220" i="7"/>
  <c r="H221" i="7"/>
  <c r="I221" i="7"/>
  <c r="J221" i="7"/>
  <c r="H222" i="7"/>
  <c r="I222" i="7"/>
  <c r="J222" i="7"/>
  <c r="H223" i="7"/>
  <c r="I223" i="7"/>
  <c r="J223" i="7"/>
  <c r="H224" i="7"/>
  <c r="I224" i="7"/>
  <c r="J224" i="7"/>
  <c r="H225" i="7"/>
  <c r="I225" i="7"/>
  <c r="J225" i="7"/>
  <c r="H226" i="7"/>
  <c r="I226" i="7"/>
  <c r="J226" i="7"/>
  <c r="H227" i="7"/>
  <c r="I227" i="7"/>
  <c r="J227" i="7"/>
  <c r="H228" i="7"/>
  <c r="I228" i="7"/>
  <c r="J228" i="7"/>
  <c r="H229" i="7"/>
  <c r="I229" i="7"/>
  <c r="J229" i="7"/>
  <c r="H230" i="7"/>
  <c r="I230" i="7"/>
  <c r="J230" i="7"/>
  <c r="H231" i="7"/>
  <c r="I231" i="7"/>
  <c r="J231" i="7"/>
  <c r="H232" i="7"/>
  <c r="I232" i="7"/>
  <c r="J232" i="7"/>
  <c r="H233" i="7"/>
  <c r="I233" i="7"/>
  <c r="J233" i="7"/>
  <c r="H234" i="7"/>
  <c r="I234" i="7"/>
  <c r="J234" i="7"/>
  <c r="H235" i="7"/>
  <c r="I235" i="7"/>
  <c r="J235" i="7"/>
  <c r="H236" i="7"/>
  <c r="I236" i="7"/>
  <c r="J236" i="7"/>
  <c r="H237" i="7"/>
  <c r="I237" i="7"/>
  <c r="J237" i="7"/>
  <c r="H238" i="7"/>
  <c r="I238" i="7"/>
  <c r="J238" i="7"/>
  <c r="H239" i="7"/>
  <c r="I239" i="7"/>
  <c r="J239" i="7"/>
  <c r="H240" i="7"/>
  <c r="I240" i="7"/>
  <c r="J240" i="7"/>
  <c r="H241" i="7"/>
  <c r="I241" i="7"/>
  <c r="J241" i="7"/>
  <c r="H242" i="7"/>
  <c r="I242" i="7"/>
  <c r="J242" i="7"/>
  <c r="H243" i="7"/>
  <c r="I243" i="7"/>
  <c r="J243" i="7"/>
  <c r="H244" i="7"/>
  <c r="I244" i="7"/>
  <c r="J244" i="7"/>
  <c r="H245" i="7"/>
  <c r="I245" i="7"/>
  <c r="J245" i="7"/>
  <c r="H246" i="7"/>
  <c r="I246" i="7"/>
  <c r="J246" i="7"/>
  <c r="H247" i="7"/>
  <c r="I247" i="7"/>
  <c r="J247" i="7"/>
  <c r="H248" i="7"/>
  <c r="I248" i="7"/>
  <c r="J248" i="7"/>
  <c r="H249" i="7"/>
  <c r="I249" i="7"/>
  <c r="J249" i="7"/>
  <c r="H250" i="7"/>
  <c r="I250" i="7"/>
  <c r="J250" i="7"/>
  <c r="H251" i="7"/>
  <c r="I251" i="7"/>
  <c r="J251" i="7"/>
  <c r="H252" i="7"/>
  <c r="I252" i="7"/>
  <c r="J252" i="7"/>
  <c r="H253" i="7"/>
  <c r="I253" i="7"/>
  <c r="J253" i="7"/>
  <c r="H254" i="7"/>
  <c r="I254" i="7"/>
  <c r="J254" i="7"/>
  <c r="H255" i="7"/>
  <c r="I255" i="7"/>
  <c r="J255" i="7"/>
  <c r="H256" i="7"/>
  <c r="I256" i="7"/>
  <c r="J256" i="7"/>
  <c r="H257" i="7"/>
  <c r="I257" i="7"/>
  <c r="J257" i="7"/>
  <c r="H258" i="7"/>
  <c r="I258" i="7"/>
  <c r="J258" i="7"/>
  <c r="H259" i="7"/>
  <c r="I259" i="7"/>
  <c r="J259" i="7"/>
  <c r="H260" i="7"/>
  <c r="I260" i="7"/>
  <c r="J260" i="7"/>
  <c r="H261" i="7"/>
  <c r="I261" i="7"/>
  <c r="J261" i="7"/>
  <c r="H262" i="7"/>
  <c r="I262" i="7"/>
  <c r="J262" i="7"/>
  <c r="H263" i="7"/>
  <c r="I263" i="7"/>
  <c r="J263" i="7"/>
  <c r="H264" i="7"/>
  <c r="I264" i="7"/>
  <c r="J264" i="7"/>
  <c r="H265" i="7"/>
  <c r="I265" i="7"/>
  <c r="J265" i="7"/>
  <c r="H266" i="7"/>
  <c r="I266" i="7"/>
  <c r="J266" i="7"/>
  <c r="H267" i="7"/>
  <c r="I267" i="7"/>
  <c r="J267" i="7"/>
  <c r="H268" i="7"/>
  <c r="I268" i="7"/>
  <c r="J268" i="7"/>
  <c r="H269" i="7"/>
  <c r="I269" i="7"/>
  <c r="J269" i="7"/>
  <c r="H270" i="7"/>
  <c r="I270" i="7"/>
  <c r="J270" i="7"/>
  <c r="H271" i="7"/>
  <c r="I271" i="7"/>
  <c r="J271" i="7"/>
  <c r="H272" i="7"/>
  <c r="I272" i="7"/>
  <c r="J272" i="7"/>
  <c r="H273" i="7"/>
  <c r="I273" i="7"/>
  <c r="J273" i="7"/>
  <c r="H274" i="7"/>
  <c r="I274" i="7"/>
  <c r="J274" i="7"/>
  <c r="H275" i="7"/>
  <c r="I275" i="7"/>
  <c r="J275" i="7"/>
  <c r="H276" i="7"/>
  <c r="I276" i="7"/>
  <c r="J276" i="7"/>
  <c r="H277" i="7"/>
  <c r="I277" i="7"/>
  <c r="J277" i="7"/>
  <c r="H278" i="7"/>
  <c r="I278" i="7"/>
  <c r="J278" i="7"/>
  <c r="H279" i="7"/>
  <c r="I279" i="7"/>
  <c r="J279" i="7"/>
  <c r="H280" i="7"/>
  <c r="I280" i="7"/>
  <c r="J280" i="7"/>
  <c r="H281" i="7"/>
  <c r="I281" i="7"/>
  <c r="J281" i="7"/>
  <c r="H282" i="7"/>
  <c r="I282" i="7"/>
  <c r="J282" i="7"/>
  <c r="H283" i="7"/>
  <c r="I283" i="7"/>
  <c r="J283" i="7"/>
  <c r="H284" i="7"/>
  <c r="I284" i="7"/>
  <c r="J284" i="7"/>
  <c r="H285" i="7"/>
  <c r="I285" i="7"/>
  <c r="J285" i="7"/>
  <c r="H286" i="7"/>
  <c r="I286" i="7"/>
  <c r="J286" i="7"/>
  <c r="H287" i="7"/>
  <c r="I287" i="7"/>
  <c r="J287" i="7"/>
  <c r="H288" i="7"/>
  <c r="I288" i="7"/>
  <c r="J288" i="7"/>
  <c r="H289" i="7"/>
  <c r="I289" i="7"/>
  <c r="J289" i="7"/>
  <c r="H290" i="7"/>
  <c r="I290" i="7"/>
  <c r="J290" i="7"/>
  <c r="H291" i="7"/>
  <c r="I291" i="7"/>
  <c r="J291" i="7"/>
  <c r="H292" i="7"/>
  <c r="I292" i="7"/>
  <c r="J292" i="7"/>
  <c r="H293" i="7"/>
  <c r="I293" i="7"/>
  <c r="J293" i="7"/>
  <c r="H294" i="7"/>
  <c r="I294" i="7"/>
  <c r="J294" i="7"/>
  <c r="H295" i="7"/>
  <c r="I295" i="7"/>
  <c r="J295" i="7"/>
  <c r="H296" i="7"/>
  <c r="I296" i="7"/>
  <c r="J296" i="7"/>
  <c r="H297" i="7"/>
  <c r="I297" i="7"/>
  <c r="J297" i="7"/>
  <c r="H298" i="7"/>
  <c r="I298" i="7"/>
  <c r="J298" i="7"/>
  <c r="H299" i="7"/>
  <c r="I299" i="7"/>
  <c r="J299" i="7"/>
  <c r="H300" i="7"/>
  <c r="I300" i="7"/>
  <c r="J300" i="7"/>
  <c r="H301" i="7"/>
  <c r="I301" i="7"/>
  <c r="J301" i="7"/>
  <c r="H302" i="7"/>
  <c r="I302" i="7"/>
  <c r="J302" i="7"/>
  <c r="H303" i="7"/>
  <c r="I303" i="7"/>
  <c r="J303" i="7"/>
  <c r="H304" i="7"/>
  <c r="I304" i="7"/>
  <c r="J304" i="7"/>
  <c r="H305" i="7"/>
  <c r="I305" i="7"/>
  <c r="J305" i="7"/>
  <c r="H306" i="7"/>
  <c r="I306" i="7"/>
  <c r="J306" i="7"/>
  <c r="H307" i="7"/>
  <c r="I307" i="7"/>
  <c r="J307" i="7"/>
  <c r="H308" i="7"/>
  <c r="I308" i="7"/>
  <c r="J308" i="7"/>
  <c r="H309" i="7"/>
  <c r="I309" i="7"/>
  <c r="J309" i="7"/>
  <c r="H310" i="7"/>
  <c r="I310" i="7"/>
  <c r="J310" i="7"/>
  <c r="H311" i="7"/>
  <c r="I311" i="7"/>
  <c r="J311" i="7"/>
  <c r="H312" i="7"/>
  <c r="I312" i="7"/>
  <c r="J312" i="7"/>
  <c r="H313" i="7"/>
  <c r="I313" i="7"/>
  <c r="J313" i="7"/>
  <c r="H314" i="7"/>
  <c r="I314" i="7"/>
  <c r="J314" i="7"/>
  <c r="H315" i="7"/>
  <c r="I315" i="7"/>
  <c r="J315" i="7"/>
  <c r="H316" i="7"/>
  <c r="I316" i="7"/>
  <c r="J316" i="7"/>
  <c r="H317" i="7"/>
  <c r="I317" i="7"/>
  <c r="J317" i="7"/>
  <c r="H318" i="7"/>
  <c r="I318" i="7"/>
  <c r="J318" i="7"/>
  <c r="H319" i="7"/>
  <c r="I319" i="7"/>
  <c r="J319" i="7"/>
  <c r="H320" i="7"/>
  <c r="I320" i="7"/>
  <c r="J320" i="7"/>
  <c r="H321" i="7"/>
  <c r="I321" i="7"/>
  <c r="J321" i="7"/>
  <c r="H322" i="7"/>
  <c r="I322" i="7"/>
  <c r="J322" i="7"/>
  <c r="H323" i="7"/>
  <c r="I323" i="7"/>
  <c r="J323" i="7"/>
  <c r="H324" i="7"/>
  <c r="I324" i="7"/>
  <c r="J324" i="7"/>
  <c r="H325" i="7"/>
  <c r="I325" i="7"/>
  <c r="J325" i="7"/>
  <c r="H326" i="7"/>
  <c r="I326" i="7"/>
  <c r="J326" i="7"/>
  <c r="H327" i="7"/>
  <c r="I327" i="7"/>
  <c r="J327" i="7"/>
  <c r="H328" i="7"/>
  <c r="I328" i="7"/>
  <c r="J328" i="7"/>
  <c r="H329" i="7"/>
  <c r="I329" i="7"/>
  <c r="J329" i="7"/>
  <c r="H330" i="7"/>
  <c r="I330" i="7"/>
  <c r="J330" i="7"/>
  <c r="H331" i="7"/>
  <c r="I331" i="7"/>
  <c r="J331" i="7"/>
  <c r="H332" i="7"/>
  <c r="I332" i="7"/>
  <c r="J332" i="7"/>
  <c r="H333" i="7"/>
  <c r="I333" i="7"/>
  <c r="J333" i="7"/>
  <c r="H334" i="7"/>
  <c r="I334" i="7"/>
  <c r="J334" i="7"/>
  <c r="H335" i="7"/>
  <c r="I335" i="7"/>
  <c r="J335" i="7"/>
  <c r="H336" i="7"/>
  <c r="I336" i="7"/>
  <c r="J336" i="7"/>
  <c r="H337" i="7"/>
  <c r="I337" i="7"/>
  <c r="J337" i="7"/>
  <c r="H338" i="7"/>
  <c r="I338" i="7"/>
  <c r="J338" i="7"/>
  <c r="H339" i="7"/>
  <c r="I339" i="7"/>
  <c r="J339" i="7"/>
  <c r="H340" i="7"/>
  <c r="I340" i="7"/>
  <c r="J340" i="7"/>
  <c r="H341" i="7"/>
  <c r="I341" i="7"/>
  <c r="J341" i="7"/>
  <c r="H342" i="7"/>
  <c r="I342" i="7"/>
  <c r="J342" i="7"/>
  <c r="H343" i="7"/>
  <c r="I343" i="7"/>
  <c r="J343" i="7"/>
  <c r="H344" i="7"/>
  <c r="I344" i="7"/>
  <c r="J344" i="7"/>
  <c r="H345" i="7"/>
  <c r="I345" i="7"/>
  <c r="J345" i="7"/>
  <c r="H346" i="7"/>
  <c r="I346" i="7"/>
  <c r="J346" i="7"/>
  <c r="H347" i="7"/>
  <c r="I347" i="7"/>
  <c r="J347" i="7"/>
  <c r="H348" i="7"/>
  <c r="I348" i="7"/>
  <c r="J348" i="7"/>
  <c r="H349" i="7"/>
  <c r="I349" i="7"/>
  <c r="J349" i="7"/>
  <c r="H350" i="7"/>
  <c r="I350" i="7"/>
  <c r="J350" i="7"/>
  <c r="H351" i="7"/>
  <c r="I351" i="7"/>
  <c r="J351" i="7"/>
  <c r="H352" i="7"/>
  <c r="I352" i="7"/>
  <c r="J352" i="7"/>
  <c r="H353" i="7"/>
  <c r="I353" i="7"/>
  <c r="J353" i="7"/>
  <c r="H354" i="7"/>
  <c r="I354" i="7"/>
  <c r="J354" i="7"/>
  <c r="H355" i="7"/>
  <c r="I355" i="7"/>
  <c r="J355" i="7"/>
  <c r="H356" i="7"/>
  <c r="I356" i="7"/>
  <c r="J356" i="7"/>
  <c r="H357" i="7"/>
  <c r="I357" i="7"/>
  <c r="J357" i="7"/>
  <c r="H358" i="7"/>
  <c r="I358" i="7"/>
  <c r="J358" i="7"/>
  <c r="H359" i="7"/>
  <c r="I359" i="7"/>
  <c r="J359" i="7"/>
  <c r="H360" i="7"/>
  <c r="I360" i="7"/>
  <c r="J360" i="7"/>
  <c r="H361" i="7"/>
  <c r="I361" i="7"/>
  <c r="J361" i="7"/>
  <c r="H362" i="7"/>
  <c r="I362" i="7"/>
  <c r="J362" i="7"/>
  <c r="H363" i="7"/>
  <c r="I363" i="7"/>
  <c r="J363" i="7"/>
  <c r="H364" i="7"/>
  <c r="I364" i="7"/>
  <c r="J364" i="7"/>
  <c r="H365" i="7"/>
  <c r="I365" i="7"/>
  <c r="J365" i="7"/>
  <c r="H366" i="7"/>
  <c r="I366" i="7"/>
  <c r="J366" i="7"/>
  <c r="H367" i="7"/>
  <c r="I367" i="7"/>
  <c r="J367" i="7"/>
  <c r="H368" i="7"/>
  <c r="I368" i="7"/>
  <c r="J368" i="7"/>
  <c r="H369" i="7"/>
  <c r="I369" i="7"/>
  <c r="J369" i="7"/>
  <c r="H370" i="7"/>
  <c r="I370" i="7"/>
  <c r="J370" i="7"/>
  <c r="H371" i="7"/>
  <c r="I371" i="7"/>
  <c r="J371" i="7"/>
  <c r="H372" i="7"/>
  <c r="I372" i="7"/>
  <c r="J372" i="7"/>
  <c r="H373" i="7"/>
  <c r="I373" i="7"/>
  <c r="J373" i="7"/>
  <c r="H374" i="7"/>
  <c r="I374" i="7"/>
  <c r="J374" i="7"/>
  <c r="H375" i="7"/>
  <c r="I375" i="7"/>
  <c r="J375" i="7"/>
  <c r="H376" i="7"/>
  <c r="I376" i="7"/>
  <c r="J376" i="7"/>
  <c r="H377" i="7"/>
  <c r="I377" i="7"/>
  <c r="J377" i="7"/>
  <c r="H378" i="7"/>
  <c r="I378" i="7"/>
  <c r="J378" i="7"/>
  <c r="H379" i="7"/>
  <c r="I379" i="7"/>
  <c r="J379" i="7"/>
  <c r="H380" i="7"/>
  <c r="I380" i="7"/>
  <c r="J380" i="7"/>
  <c r="H381" i="7"/>
  <c r="I381" i="7"/>
  <c r="J381" i="7"/>
  <c r="H382" i="7"/>
  <c r="I382" i="7"/>
  <c r="J382" i="7"/>
  <c r="H383" i="7"/>
  <c r="I383" i="7"/>
  <c r="J383" i="7"/>
  <c r="H384" i="7"/>
  <c r="I384" i="7"/>
  <c r="J384" i="7"/>
  <c r="H385" i="7"/>
  <c r="I385" i="7"/>
  <c r="J385" i="7"/>
  <c r="H386" i="7"/>
  <c r="I386" i="7"/>
  <c r="J386" i="7"/>
  <c r="H387" i="7"/>
  <c r="I387" i="7"/>
  <c r="J387" i="7"/>
  <c r="H388" i="7"/>
  <c r="I388" i="7"/>
  <c r="J388" i="7"/>
  <c r="H389" i="7"/>
  <c r="I389" i="7"/>
  <c r="J389" i="7"/>
  <c r="H390" i="7"/>
  <c r="I390" i="7"/>
  <c r="J390" i="7"/>
  <c r="H391" i="7"/>
  <c r="I391" i="7"/>
  <c r="J391" i="7"/>
  <c r="H392" i="7"/>
  <c r="I392" i="7"/>
  <c r="J392" i="7"/>
  <c r="H393" i="7"/>
  <c r="I393" i="7"/>
  <c r="J393" i="7"/>
  <c r="H394" i="7"/>
  <c r="I394" i="7"/>
  <c r="J394" i="7"/>
  <c r="H395" i="7"/>
  <c r="I395" i="7"/>
  <c r="J395" i="7"/>
  <c r="H396" i="7"/>
  <c r="I396" i="7"/>
  <c r="J396" i="7"/>
  <c r="H397" i="7"/>
  <c r="I397" i="7"/>
  <c r="J397" i="7"/>
  <c r="H398" i="7"/>
  <c r="I398" i="7"/>
  <c r="J398" i="7"/>
  <c r="H399" i="7"/>
  <c r="I399" i="7"/>
  <c r="J399" i="7"/>
  <c r="H400" i="7"/>
  <c r="I400" i="7"/>
  <c r="J400" i="7"/>
  <c r="H401" i="7"/>
  <c r="I401" i="7"/>
  <c r="J401" i="7"/>
  <c r="H402" i="7"/>
  <c r="I402" i="7"/>
  <c r="J402" i="7"/>
  <c r="H403" i="7"/>
  <c r="I403" i="7"/>
  <c r="J403" i="7"/>
  <c r="H404" i="7"/>
  <c r="I404" i="7"/>
  <c r="J404" i="7"/>
  <c r="H405" i="7"/>
  <c r="I405" i="7"/>
  <c r="J405" i="7"/>
  <c r="H406" i="7"/>
  <c r="I406" i="7"/>
  <c r="J406" i="7"/>
  <c r="H407" i="7"/>
  <c r="I407" i="7"/>
  <c r="J407" i="7"/>
  <c r="H408" i="7"/>
  <c r="I408" i="7"/>
  <c r="J408" i="7"/>
  <c r="H409" i="7"/>
  <c r="I409" i="7"/>
  <c r="J409" i="7"/>
  <c r="H410" i="7"/>
  <c r="I410" i="7"/>
  <c r="J410" i="7"/>
  <c r="H411" i="7"/>
  <c r="I411" i="7"/>
  <c r="J411" i="7"/>
  <c r="H412" i="7"/>
  <c r="I412" i="7"/>
  <c r="J412" i="7"/>
  <c r="H413" i="7"/>
  <c r="I413" i="7"/>
  <c r="J413" i="7"/>
  <c r="H414" i="7"/>
  <c r="I414" i="7"/>
  <c r="J414" i="7"/>
  <c r="H415" i="7"/>
  <c r="I415" i="7"/>
  <c r="J415" i="7"/>
  <c r="H416" i="7"/>
  <c r="I416" i="7"/>
  <c r="J416" i="7"/>
  <c r="H417" i="7"/>
  <c r="I417" i="7"/>
  <c r="J417" i="7"/>
  <c r="H418" i="7"/>
  <c r="I418" i="7"/>
  <c r="J418" i="7"/>
  <c r="H419" i="7"/>
  <c r="I419" i="7"/>
  <c r="J419" i="7"/>
  <c r="H420" i="7"/>
  <c r="I420" i="7"/>
  <c r="J420" i="7"/>
  <c r="H421" i="7"/>
  <c r="I421" i="7"/>
  <c r="J421" i="7"/>
  <c r="H422" i="7"/>
  <c r="I422" i="7"/>
  <c r="J422" i="7"/>
  <c r="H423" i="7"/>
  <c r="I423" i="7"/>
  <c r="J423" i="7"/>
  <c r="H424" i="7"/>
  <c r="I424" i="7"/>
  <c r="J424" i="7"/>
  <c r="H425" i="7"/>
  <c r="I425" i="7"/>
  <c r="J425" i="7"/>
  <c r="H426" i="7"/>
  <c r="I426" i="7"/>
  <c r="J426" i="7"/>
  <c r="H427" i="7"/>
  <c r="I427" i="7"/>
  <c r="J427" i="7"/>
  <c r="H428" i="7"/>
  <c r="I428" i="7"/>
  <c r="J428" i="7"/>
  <c r="H429" i="7"/>
  <c r="I429" i="7"/>
  <c r="J429" i="7"/>
  <c r="H430" i="7"/>
  <c r="I430" i="7"/>
  <c r="J430" i="7"/>
  <c r="H431" i="7"/>
  <c r="I431" i="7"/>
  <c r="J431" i="7"/>
  <c r="H432" i="7"/>
  <c r="I432" i="7"/>
  <c r="J432" i="7"/>
  <c r="H433" i="7"/>
  <c r="I433" i="7"/>
  <c r="J433" i="7"/>
  <c r="H434" i="7"/>
  <c r="I434" i="7"/>
  <c r="J434" i="7"/>
  <c r="H435" i="7"/>
  <c r="I435" i="7"/>
  <c r="J435" i="7"/>
  <c r="H436" i="7"/>
  <c r="I436" i="7"/>
  <c r="J436" i="7"/>
  <c r="H437" i="7"/>
  <c r="I437" i="7"/>
  <c r="J437" i="7"/>
  <c r="H438" i="7"/>
  <c r="I438" i="7"/>
  <c r="J438" i="7"/>
  <c r="H439" i="7"/>
  <c r="I439" i="7"/>
  <c r="J439" i="7"/>
  <c r="H440" i="7"/>
  <c r="I440" i="7"/>
  <c r="J440" i="7"/>
  <c r="H441" i="7"/>
  <c r="I441" i="7"/>
  <c r="J441" i="7"/>
  <c r="H442" i="7"/>
  <c r="I442" i="7"/>
  <c r="J442" i="7"/>
  <c r="H443" i="7"/>
  <c r="I443" i="7"/>
  <c r="J443" i="7"/>
  <c r="H444" i="7"/>
  <c r="I444" i="7"/>
  <c r="J444" i="7"/>
  <c r="H445" i="7"/>
  <c r="I445" i="7"/>
  <c r="J445" i="7"/>
  <c r="H446" i="7"/>
  <c r="I446" i="7"/>
  <c r="J446" i="7"/>
  <c r="H447" i="7"/>
  <c r="I447" i="7"/>
  <c r="J447" i="7"/>
  <c r="H448" i="7"/>
  <c r="I448" i="7"/>
  <c r="J448" i="7"/>
  <c r="H449" i="7"/>
  <c r="I449" i="7"/>
  <c r="J449" i="7"/>
  <c r="H450" i="7"/>
  <c r="I450" i="7"/>
  <c r="J450" i="7"/>
  <c r="H451" i="7"/>
  <c r="I451" i="7"/>
  <c r="J451" i="7"/>
  <c r="H452" i="7"/>
  <c r="I452" i="7"/>
  <c r="J452" i="7"/>
  <c r="H453" i="7"/>
  <c r="I453" i="7"/>
  <c r="J453" i="7"/>
  <c r="H454" i="7"/>
  <c r="I454" i="7"/>
  <c r="J454" i="7"/>
  <c r="H455" i="7"/>
  <c r="I455" i="7"/>
  <c r="J455" i="7"/>
  <c r="H456" i="7"/>
  <c r="I456" i="7"/>
  <c r="J456" i="7"/>
  <c r="H457" i="7"/>
  <c r="I457" i="7"/>
  <c r="J457" i="7"/>
  <c r="H458" i="7"/>
  <c r="I458" i="7"/>
  <c r="J458" i="7"/>
  <c r="H459" i="7"/>
  <c r="I459" i="7"/>
  <c r="J459" i="7"/>
  <c r="H460" i="7"/>
  <c r="I460" i="7"/>
  <c r="J460" i="7"/>
  <c r="H461" i="7"/>
  <c r="I461" i="7"/>
  <c r="J461" i="7"/>
  <c r="H462" i="7"/>
  <c r="I462" i="7"/>
  <c r="J462" i="7"/>
  <c r="H463" i="7"/>
  <c r="I463" i="7"/>
  <c r="J463" i="7"/>
  <c r="H464" i="7"/>
  <c r="I464" i="7"/>
  <c r="J464" i="7"/>
  <c r="H465" i="7"/>
  <c r="I465" i="7"/>
  <c r="J465" i="7"/>
  <c r="H466" i="7"/>
  <c r="I466" i="7"/>
  <c r="J466" i="7"/>
  <c r="H467" i="7"/>
  <c r="I467" i="7"/>
  <c r="J467" i="7"/>
  <c r="H468" i="7"/>
  <c r="I468" i="7"/>
  <c r="J468" i="7"/>
  <c r="H469" i="7"/>
  <c r="I469" i="7"/>
  <c r="J469" i="7"/>
  <c r="H470" i="7"/>
  <c r="I470" i="7"/>
  <c r="J470" i="7"/>
  <c r="H471" i="7"/>
  <c r="I471" i="7"/>
  <c r="J471" i="7"/>
  <c r="H472" i="7"/>
  <c r="I472" i="7"/>
  <c r="J472" i="7"/>
  <c r="H473" i="7"/>
  <c r="I473" i="7"/>
  <c r="J473" i="7"/>
  <c r="H474" i="7"/>
  <c r="I474" i="7"/>
  <c r="J474" i="7"/>
  <c r="H475" i="7"/>
  <c r="I475" i="7"/>
  <c r="J475" i="7"/>
  <c r="H476" i="7"/>
  <c r="I476" i="7"/>
  <c r="J476" i="7"/>
  <c r="H477" i="7"/>
  <c r="I477" i="7"/>
  <c r="J477" i="7"/>
  <c r="H478" i="7"/>
  <c r="I478" i="7"/>
  <c r="J478" i="7"/>
  <c r="H479" i="7"/>
  <c r="I479" i="7"/>
  <c r="J479" i="7"/>
  <c r="H480" i="7"/>
  <c r="I480" i="7"/>
  <c r="J480" i="7"/>
  <c r="H481" i="7"/>
  <c r="I481" i="7"/>
  <c r="J481" i="7"/>
  <c r="H482" i="7"/>
  <c r="I482" i="7"/>
  <c r="J482" i="7"/>
  <c r="H483" i="7"/>
  <c r="I483" i="7"/>
  <c r="J483" i="7"/>
  <c r="H484" i="7"/>
  <c r="I484" i="7"/>
  <c r="J484" i="7"/>
  <c r="H485" i="7"/>
  <c r="I485" i="7"/>
  <c r="J485" i="7"/>
  <c r="H486" i="7"/>
  <c r="I486" i="7"/>
  <c r="J486" i="7"/>
  <c r="H487" i="7"/>
  <c r="I487" i="7"/>
  <c r="J487" i="7"/>
  <c r="H488" i="7"/>
  <c r="I488" i="7"/>
  <c r="J488" i="7"/>
  <c r="H489" i="7"/>
  <c r="I489" i="7"/>
  <c r="J489" i="7"/>
  <c r="H490" i="7"/>
  <c r="I490" i="7"/>
  <c r="J490" i="7"/>
  <c r="H491" i="7"/>
  <c r="I491" i="7"/>
  <c r="J491" i="7"/>
  <c r="H492" i="7"/>
  <c r="I492" i="7"/>
  <c r="J492" i="7"/>
  <c r="H493" i="7"/>
  <c r="I493" i="7"/>
  <c r="J493" i="7"/>
  <c r="H494" i="7"/>
  <c r="I494" i="7"/>
  <c r="J494" i="7"/>
  <c r="H495" i="7"/>
  <c r="I495" i="7"/>
  <c r="J495" i="7"/>
  <c r="H496" i="7"/>
  <c r="I496" i="7"/>
  <c r="J496" i="7"/>
  <c r="H497" i="7"/>
  <c r="I497" i="7"/>
  <c r="J497" i="7"/>
  <c r="H498" i="7"/>
  <c r="I498" i="7"/>
  <c r="J498" i="7"/>
  <c r="H499" i="7"/>
  <c r="I499" i="7"/>
  <c r="J499" i="7"/>
  <c r="H500" i="7"/>
  <c r="I500" i="7"/>
  <c r="J500" i="7"/>
  <c r="H501" i="7"/>
  <c r="I501" i="7"/>
  <c r="J501" i="7"/>
  <c r="H502" i="7"/>
  <c r="I502" i="7"/>
  <c r="J502" i="7"/>
  <c r="H503" i="7"/>
  <c r="I503" i="7"/>
  <c r="J503" i="7"/>
  <c r="H504" i="7"/>
  <c r="I504" i="7"/>
  <c r="J504" i="7"/>
  <c r="H505" i="7"/>
  <c r="I505" i="7"/>
  <c r="J505" i="7"/>
  <c r="H506" i="7"/>
  <c r="I506" i="7"/>
  <c r="J506" i="7"/>
  <c r="H507" i="7"/>
  <c r="I507" i="7"/>
  <c r="J507" i="7"/>
  <c r="H508" i="7"/>
  <c r="I508" i="7"/>
  <c r="J508" i="7"/>
  <c r="H509" i="7"/>
  <c r="I509" i="7"/>
  <c r="J509" i="7"/>
  <c r="H510" i="7"/>
  <c r="I510" i="7"/>
  <c r="J510" i="7"/>
  <c r="H511" i="7"/>
  <c r="I511" i="7"/>
  <c r="J511" i="7"/>
  <c r="H512" i="7"/>
  <c r="I512" i="7"/>
  <c r="J512" i="7"/>
  <c r="H513" i="7"/>
  <c r="I513" i="7"/>
  <c r="J513" i="7"/>
  <c r="H514" i="7"/>
  <c r="I514" i="7"/>
  <c r="J514" i="7"/>
  <c r="H515" i="7"/>
  <c r="I515" i="7"/>
  <c r="J515" i="7"/>
  <c r="H516" i="7"/>
  <c r="I516" i="7"/>
  <c r="J516" i="7"/>
  <c r="H517" i="7"/>
  <c r="I517" i="7"/>
  <c r="J517" i="7"/>
  <c r="H518" i="7"/>
  <c r="I518" i="7"/>
  <c r="J518" i="7"/>
  <c r="H519" i="7"/>
  <c r="I519" i="7"/>
  <c r="J519" i="7"/>
  <c r="H520" i="7"/>
  <c r="I520" i="7"/>
  <c r="J520" i="7"/>
  <c r="H521" i="7"/>
  <c r="I521" i="7"/>
  <c r="J521" i="7"/>
  <c r="H522" i="7"/>
  <c r="I522" i="7"/>
  <c r="J522" i="7"/>
  <c r="H523" i="7"/>
  <c r="I523" i="7"/>
  <c r="J523" i="7"/>
  <c r="H524" i="7"/>
  <c r="I524" i="7"/>
  <c r="J524" i="7"/>
  <c r="H525" i="7"/>
  <c r="I525" i="7"/>
  <c r="J525" i="7"/>
  <c r="H526" i="7"/>
  <c r="I526" i="7"/>
  <c r="J526" i="7"/>
  <c r="H527" i="7"/>
  <c r="I527" i="7"/>
  <c r="J527" i="7"/>
  <c r="H528" i="7"/>
  <c r="I528" i="7"/>
  <c r="J528" i="7"/>
  <c r="H529" i="7"/>
  <c r="I529" i="7"/>
  <c r="J529" i="7"/>
  <c r="H530" i="7"/>
  <c r="I530" i="7"/>
  <c r="J530" i="7"/>
  <c r="H531" i="7"/>
  <c r="I531" i="7"/>
  <c r="J531" i="7"/>
  <c r="H532" i="7"/>
  <c r="I532" i="7"/>
  <c r="J532" i="7"/>
  <c r="H533" i="7"/>
  <c r="I533" i="7"/>
  <c r="J533" i="7"/>
  <c r="H534" i="7"/>
  <c r="I534" i="7"/>
  <c r="J534" i="7"/>
  <c r="H535" i="7"/>
  <c r="I535" i="7"/>
  <c r="J535" i="7"/>
  <c r="H536" i="7"/>
  <c r="I536" i="7"/>
  <c r="J536" i="7"/>
  <c r="H537" i="7"/>
  <c r="I537" i="7"/>
  <c r="J537" i="7"/>
  <c r="H538" i="7"/>
  <c r="I538" i="7"/>
  <c r="J538" i="7"/>
  <c r="H539" i="7"/>
  <c r="I539" i="7"/>
  <c r="J539" i="7"/>
  <c r="H540" i="7"/>
  <c r="I540" i="7"/>
  <c r="J540" i="7"/>
  <c r="H541" i="7"/>
  <c r="I541" i="7"/>
  <c r="J541" i="7"/>
  <c r="H542" i="7"/>
  <c r="I542" i="7"/>
  <c r="J542" i="7"/>
  <c r="H543" i="7"/>
  <c r="I543" i="7"/>
  <c r="J543" i="7"/>
  <c r="H544" i="7"/>
  <c r="I544" i="7"/>
  <c r="J544" i="7"/>
  <c r="H545" i="7"/>
  <c r="I545" i="7"/>
  <c r="J545" i="7"/>
  <c r="H546" i="7"/>
  <c r="I546" i="7"/>
  <c r="J546" i="7"/>
  <c r="H547" i="7"/>
  <c r="I547" i="7"/>
  <c r="J547" i="7"/>
  <c r="H548" i="7"/>
  <c r="I548" i="7"/>
  <c r="J548" i="7"/>
  <c r="H549" i="7"/>
  <c r="I549" i="7"/>
  <c r="J549" i="7"/>
  <c r="H550" i="7"/>
  <c r="I550" i="7"/>
  <c r="J550" i="7"/>
  <c r="H551" i="7"/>
  <c r="I551" i="7"/>
  <c r="J551" i="7"/>
  <c r="H552" i="7"/>
  <c r="I552" i="7"/>
  <c r="J552" i="7"/>
  <c r="H553" i="7"/>
  <c r="I553" i="7"/>
  <c r="J553" i="7"/>
  <c r="H554" i="7"/>
  <c r="I554" i="7"/>
  <c r="J554" i="7"/>
  <c r="H555" i="7"/>
  <c r="I555" i="7"/>
  <c r="J555" i="7"/>
  <c r="H556" i="7"/>
  <c r="I556" i="7"/>
  <c r="J556" i="7"/>
  <c r="H557" i="7"/>
  <c r="I557" i="7"/>
  <c r="J557" i="7"/>
  <c r="H558" i="7"/>
  <c r="I558" i="7"/>
  <c r="J558" i="7"/>
  <c r="H559" i="7"/>
  <c r="I559" i="7"/>
  <c r="J559" i="7"/>
  <c r="H560" i="7"/>
  <c r="I560" i="7"/>
  <c r="J560" i="7"/>
  <c r="H561" i="7"/>
  <c r="I561" i="7"/>
  <c r="J561" i="7"/>
  <c r="H562" i="7"/>
  <c r="I562" i="7"/>
  <c r="J562" i="7"/>
  <c r="H563" i="7"/>
  <c r="I563" i="7"/>
  <c r="J563" i="7"/>
  <c r="H564" i="7"/>
  <c r="I564" i="7"/>
  <c r="J564" i="7"/>
  <c r="H565" i="7"/>
  <c r="I565" i="7"/>
  <c r="J565" i="7"/>
  <c r="H566" i="7"/>
  <c r="I566" i="7"/>
  <c r="J566" i="7"/>
  <c r="H567" i="7"/>
  <c r="I567" i="7"/>
  <c r="J567" i="7"/>
  <c r="H568" i="7"/>
  <c r="I568" i="7"/>
  <c r="J568" i="7"/>
  <c r="H569" i="7"/>
  <c r="I569" i="7"/>
  <c r="J569" i="7"/>
  <c r="H570" i="7"/>
  <c r="I570" i="7"/>
  <c r="J570" i="7"/>
  <c r="H571" i="7"/>
  <c r="I571" i="7"/>
  <c r="J571" i="7"/>
  <c r="H572" i="7"/>
  <c r="I572" i="7"/>
  <c r="J572" i="7"/>
  <c r="H573" i="7"/>
  <c r="I573" i="7"/>
  <c r="J573" i="7"/>
  <c r="H574" i="7"/>
  <c r="I574" i="7"/>
  <c r="J574" i="7"/>
  <c r="H575" i="7"/>
  <c r="I575" i="7"/>
  <c r="J575" i="7"/>
  <c r="H576" i="7"/>
  <c r="I576" i="7"/>
  <c r="J576" i="7"/>
  <c r="H577" i="7"/>
  <c r="I577" i="7"/>
  <c r="J577" i="7"/>
  <c r="H578" i="7"/>
  <c r="I578" i="7"/>
  <c r="J578" i="7"/>
  <c r="H579" i="7"/>
  <c r="I579" i="7"/>
  <c r="J579" i="7"/>
  <c r="H580" i="7"/>
  <c r="I580" i="7"/>
  <c r="J580" i="7"/>
  <c r="H581" i="7"/>
  <c r="I581" i="7"/>
  <c r="J581" i="7"/>
  <c r="H582" i="7"/>
  <c r="I582" i="7"/>
  <c r="J582" i="7"/>
  <c r="H583" i="7"/>
  <c r="I583" i="7"/>
  <c r="J583" i="7"/>
  <c r="H584" i="7"/>
  <c r="I584" i="7"/>
  <c r="J584" i="7"/>
  <c r="H585" i="7"/>
  <c r="I585" i="7"/>
  <c r="J585" i="7"/>
  <c r="H586" i="7"/>
  <c r="I586" i="7"/>
  <c r="J586" i="7"/>
  <c r="H587" i="7"/>
  <c r="I587" i="7"/>
  <c r="J587" i="7"/>
  <c r="H588" i="7"/>
  <c r="I588" i="7"/>
  <c r="J588" i="7"/>
  <c r="H589" i="7"/>
  <c r="I589" i="7"/>
  <c r="J589" i="7"/>
  <c r="H590" i="7"/>
  <c r="I590" i="7"/>
  <c r="J590" i="7"/>
  <c r="H591" i="7"/>
  <c r="I591" i="7"/>
  <c r="J591" i="7"/>
  <c r="H592" i="7"/>
  <c r="I592" i="7"/>
  <c r="J592" i="7"/>
  <c r="H593" i="7"/>
  <c r="I593" i="7"/>
  <c r="J593" i="7"/>
  <c r="H594" i="7"/>
  <c r="I594" i="7"/>
  <c r="J594" i="7"/>
  <c r="H595" i="7"/>
  <c r="I595" i="7"/>
  <c r="J595" i="7"/>
  <c r="H596" i="7"/>
  <c r="I596" i="7"/>
  <c r="J596" i="7"/>
  <c r="H597" i="7"/>
  <c r="I597" i="7"/>
  <c r="J597" i="7"/>
  <c r="H598" i="7"/>
  <c r="I598" i="7"/>
  <c r="J598" i="7"/>
  <c r="H599" i="7"/>
  <c r="I599" i="7"/>
  <c r="J599" i="7"/>
  <c r="H600" i="7"/>
  <c r="I600" i="7"/>
  <c r="J600" i="7"/>
  <c r="H601" i="7"/>
  <c r="I601" i="7"/>
  <c r="J601" i="7"/>
  <c r="H602" i="7"/>
  <c r="I602" i="7"/>
  <c r="J602" i="7"/>
  <c r="H603" i="7"/>
  <c r="I603" i="7"/>
  <c r="J603" i="7"/>
  <c r="H604" i="7"/>
  <c r="I604" i="7"/>
  <c r="J604" i="7"/>
  <c r="H605" i="7"/>
  <c r="I605" i="7"/>
  <c r="J605" i="7"/>
  <c r="H606" i="7"/>
  <c r="I606" i="7"/>
  <c r="J606" i="7"/>
  <c r="H607" i="7"/>
  <c r="I607" i="7"/>
  <c r="J607" i="7"/>
  <c r="H608" i="7"/>
  <c r="I608" i="7"/>
  <c r="J608" i="7"/>
  <c r="H609" i="7"/>
  <c r="I609" i="7"/>
  <c r="J609" i="7"/>
  <c r="H610" i="7"/>
  <c r="I610" i="7"/>
  <c r="J610" i="7"/>
  <c r="H611" i="7"/>
  <c r="I611" i="7"/>
  <c r="J611" i="7"/>
  <c r="H612" i="7"/>
  <c r="I612" i="7"/>
  <c r="J612" i="7"/>
  <c r="H613" i="7"/>
  <c r="I613" i="7"/>
  <c r="J613" i="7"/>
  <c r="H614" i="7"/>
  <c r="I614" i="7"/>
  <c r="J614" i="7"/>
  <c r="H615" i="7"/>
  <c r="I615" i="7"/>
  <c r="J615" i="7"/>
  <c r="H616" i="7"/>
  <c r="I616" i="7"/>
  <c r="J616" i="7"/>
  <c r="H617" i="7"/>
  <c r="I617" i="7"/>
  <c r="J617" i="7"/>
  <c r="H618" i="7"/>
  <c r="I618" i="7"/>
  <c r="J618" i="7"/>
  <c r="H619" i="7"/>
  <c r="I619" i="7"/>
  <c r="J619" i="7"/>
  <c r="H620" i="7"/>
  <c r="I620" i="7"/>
  <c r="J620" i="7"/>
  <c r="H621" i="7"/>
  <c r="I621" i="7"/>
  <c r="J621" i="7"/>
  <c r="H622" i="7"/>
  <c r="I622" i="7"/>
  <c r="J622" i="7"/>
  <c r="H623" i="7"/>
  <c r="I623" i="7"/>
  <c r="J623" i="7"/>
  <c r="H624" i="7"/>
  <c r="I624" i="7"/>
  <c r="J624" i="7"/>
  <c r="H625" i="7"/>
  <c r="I625" i="7"/>
  <c r="J625" i="7"/>
  <c r="H626" i="7"/>
  <c r="I626" i="7"/>
  <c r="J626" i="7"/>
  <c r="H627" i="7"/>
  <c r="I627" i="7"/>
  <c r="J627" i="7"/>
  <c r="H628" i="7"/>
  <c r="I628" i="7"/>
  <c r="J628" i="7"/>
  <c r="H629" i="7"/>
  <c r="I629" i="7"/>
  <c r="J629" i="7"/>
  <c r="H630" i="7"/>
  <c r="I630" i="7"/>
  <c r="J630" i="7"/>
  <c r="H631" i="7"/>
  <c r="I631" i="7"/>
  <c r="J631" i="7"/>
  <c r="H632" i="7"/>
  <c r="I632" i="7"/>
  <c r="J632" i="7"/>
  <c r="H633" i="7"/>
  <c r="I633" i="7"/>
  <c r="J633" i="7"/>
  <c r="H634" i="7"/>
  <c r="I634" i="7"/>
  <c r="J634" i="7"/>
  <c r="H635" i="7"/>
  <c r="I635" i="7"/>
  <c r="J635" i="7"/>
  <c r="H636" i="7"/>
  <c r="I636" i="7"/>
  <c r="J636" i="7"/>
  <c r="H637" i="7"/>
  <c r="I637" i="7"/>
  <c r="J637" i="7"/>
  <c r="H638" i="7"/>
  <c r="I638" i="7"/>
  <c r="J638" i="7"/>
  <c r="H639" i="7"/>
  <c r="I639" i="7"/>
  <c r="J639" i="7"/>
  <c r="H640" i="7"/>
  <c r="I640" i="7"/>
  <c r="J640" i="7"/>
  <c r="H641" i="7"/>
  <c r="I641" i="7"/>
  <c r="J641" i="7"/>
  <c r="H642" i="7"/>
  <c r="I642" i="7"/>
  <c r="J642" i="7"/>
  <c r="H643" i="7"/>
  <c r="I643" i="7"/>
  <c r="J643" i="7"/>
  <c r="H644" i="7"/>
  <c r="I644" i="7"/>
  <c r="J644" i="7"/>
  <c r="H645" i="7"/>
  <c r="I645" i="7"/>
  <c r="J645" i="7"/>
  <c r="H646" i="7"/>
  <c r="I646" i="7"/>
  <c r="J646" i="7"/>
  <c r="H647" i="7"/>
  <c r="I647" i="7"/>
  <c r="J647" i="7"/>
  <c r="H648" i="7"/>
  <c r="I648" i="7"/>
  <c r="J648" i="7"/>
  <c r="H649" i="7"/>
  <c r="I649" i="7"/>
  <c r="J649" i="7"/>
  <c r="H650" i="7"/>
  <c r="I650" i="7"/>
  <c r="J650" i="7"/>
  <c r="H651" i="7"/>
  <c r="I651" i="7"/>
  <c r="J651" i="7"/>
  <c r="H652" i="7"/>
  <c r="I652" i="7"/>
  <c r="J652" i="7"/>
  <c r="H653" i="7"/>
  <c r="I653" i="7"/>
  <c r="J653" i="7"/>
  <c r="H654" i="7"/>
  <c r="I654" i="7"/>
  <c r="J654" i="7"/>
  <c r="H655" i="7"/>
  <c r="I655" i="7"/>
  <c r="J655" i="7"/>
  <c r="H656" i="7"/>
  <c r="I656" i="7"/>
  <c r="J656" i="7"/>
  <c r="H657" i="7"/>
  <c r="I657" i="7"/>
  <c r="J657" i="7"/>
  <c r="H658" i="7"/>
  <c r="I658" i="7"/>
  <c r="J658" i="7"/>
  <c r="H659" i="7"/>
  <c r="I659" i="7"/>
  <c r="J659" i="7"/>
  <c r="H660" i="7"/>
  <c r="I660" i="7"/>
  <c r="J660" i="7"/>
  <c r="H661" i="7"/>
  <c r="I661" i="7"/>
  <c r="J661" i="7"/>
  <c r="H662" i="7"/>
  <c r="I662" i="7"/>
  <c r="J662" i="7"/>
  <c r="H663" i="7"/>
  <c r="I663" i="7"/>
  <c r="J663" i="7"/>
  <c r="H664" i="7"/>
  <c r="I664" i="7"/>
  <c r="J664" i="7"/>
  <c r="H665" i="7"/>
  <c r="I665" i="7"/>
  <c r="J665" i="7"/>
  <c r="H666" i="7"/>
  <c r="I666" i="7"/>
  <c r="J666" i="7"/>
  <c r="H667" i="7"/>
  <c r="I667" i="7"/>
  <c r="J667" i="7"/>
  <c r="H668" i="7"/>
  <c r="I668" i="7"/>
  <c r="J668" i="7"/>
  <c r="H669" i="7"/>
  <c r="I669" i="7"/>
  <c r="J669" i="7"/>
  <c r="H670" i="7"/>
  <c r="I670" i="7"/>
  <c r="J670" i="7"/>
  <c r="H671" i="7"/>
  <c r="I671" i="7"/>
  <c r="J671" i="7"/>
  <c r="H672" i="7"/>
  <c r="I672" i="7"/>
  <c r="J672" i="7"/>
  <c r="H673" i="7"/>
  <c r="I673" i="7"/>
  <c r="J673" i="7"/>
  <c r="H674" i="7"/>
  <c r="I674" i="7"/>
  <c r="J674" i="7"/>
  <c r="H675" i="7"/>
  <c r="I675" i="7"/>
  <c r="J675" i="7"/>
  <c r="H676" i="7"/>
  <c r="I676" i="7"/>
  <c r="J676" i="7"/>
  <c r="H677" i="7"/>
  <c r="I677" i="7"/>
  <c r="J677" i="7"/>
  <c r="H678" i="7"/>
  <c r="I678" i="7"/>
  <c r="J678" i="7"/>
  <c r="H679" i="7"/>
  <c r="I679" i="7"/>
  <c r="J679" i="7"/>
  <c r="H680" i="7"/>
  <c r="I680" i="7"/>
  <c r="J680" i="7"/>
  <c r="H681" i="7"/>
  <c r="I681" i="7"/>
  <c r="J681" i="7"/>
  <c r="H682" i="7"/>
  <c r="I682" i="7"/>
  <c r="J682" i="7"/>
  <c r="H683" i="7"/>
  <c r="I683" i="7"/>
  <c r="J683" i="7"/>
  <c r="H684" i="7"/>
  <c r="I684" i="7"/>
  <c r="J684" i="7"/>
  <c r="H685" i="7"/>
  <c r="I685" i="7"/>
  <c r="J685" i="7"/>
  <c r="H686" i="7"/>
  <c r="I686" i="7"/>
  <c r="J686" i="7"/>
  <c r="H687" i="7"/>
  <c r="I687" i="7"/>
  <c r="J687" i="7"/>
  <c r="H688" i="7"/>
  <c r="I688" i="7"/>
  <c r="J688" i="7"/>
  <c r="H689" i="7"/>
  <c r="I689" i="7"/>
  <c r="J689" i="7"/>
  <c r="H690" i="7"/>
  <c r="I690" i="7"/>
  <c r="J690" i="7"/>
  <c r="H691" i="7"/>
  <c r="I691" i="7"/>
  <c r="J691" i="7"/>
  <c r="H692" i="7"/>
  <c r="I692" i="7"/>
  <c r="J692" i="7"/>
  <c r="H693" i="7"/>
  <c r="I693" i="7"/>
  <c r="J693" i="7"/>
  <c r="H694" i="7"/>
  <c r="I694" i="7"/>
  <c r="J694" i="7"/>
  <c r="H695" i="7"/>
  <c r="I695" i="7"/>
  <c r="J695" i="7"/>
  <c r="H696" i="7"/>
  <c r="I696" i="7"/>
  <c r="J696" i="7"/>
  <c r="H697" i="7"/>
  <c r="I697" i="7"/>
  <c r="J697" i="7"/>
  <c r="H698" i="7"/>
  <c r="I698" i="7"/>
  <c r="J698" i="7"/>
  <c r="H699" i="7"/>
  <c r="I699" i="7"/>
  <c r="J699" i="7"/>
  <c r="H700" i="7"/>
  <c r="I700" i="7"/>
  <c r="J700" i="7"/>
  <c r="H701" i="7"/>
  <c r="I701" i="7"/>
  <c r="J701" i="7"/>
  <c r="H702" i="7"/>
  <c r="I702" i="7"/>
  <c r="J702" i="7"/>
  <c r="H703" i="7"/>
  <c r="I703" i="7"/>
  <c r="J703" i="7"/>
  <c r="H704" i="7"/>
  <c r="I704" i="7"/>
  <c r="J704" i="7"/>
  <c r="H705" i="7"/>
  <c r="I705" i="7"/>
  <c r="J705" i="7"/>
  <c r="H706" i="7"/>
  <c r="I706" i="7"/>
  <c r="J706" i="7"/>
  <c r="H707" i="7"/>
  <c r="I707" i="7"/>
  <c r="J707" i="7"/>
  <c r="H708" i="7"/>
  <c r="I708" i="7"/>
  <c r="J708" i="7"/>
  <c r="H709" i="7"/>
  <c r="I709" i="7"/>
  <c r="J709" i="7"/>
  <c r="H710" i="7"/>
  <c r="I710" i="7"/>
  <c r="J710" i="7"/>
  <c r="H711" i="7"/>
  <c r="I711" i="7"/>
  <c r="J711" i="7"/>
  <c r="H712" i="7"/>
  <c r="I712" i="7"/>
  <c r="J712" i="7"/>
  <c r="H713" i="7"/>
  <c r="I713" i="7"/>
  <c r="J713" i="7"/>
  <c r="H714" i="7"/>
  <c r="I714" i="7"/>
  <c r="J714" i="7"/>
  <c r="H715" i="7"/>
  <c r="I715" i="7"/>
  <c r="J715" i="7"/>
  <c r="H716" i="7"/>
  <c r="I716" i="7"/>
  <c r="J716" i="7"/>
  <c r="H717" i="7"/>
  <c r="I717" i="7"/>
  <c r="J717" i="7"/>
  <c r="H718" i="7"/>
  <c r="I718" i="7"/>
  <c r="J718" i="7"/>
  <c r="H719" i="7"/>
  <c r="I719" i="7"/>
  <c r="J719" i="7"/>
  <c r="H720" i="7"/>
  <c r="I720" i="7"/>
  <c r="J720" i="7"/>
  <c r="H721" i="7"/>
  <c r="I721" i="7"/>
  <c r="J721" i="7"/>
  <c r="H722" i="7"/>
  <c r="I722" i="7"/>
  <c r="J722" i="7"/>
  <c r="H723" i="7"/>
  <c r="I723" i="7"/>
  <c r="J723" i="7"/>
  <c r="H724" i="7"/>
  <c r="I724" i="7"/>
  <c r="J724" i="7"/>
  <c r="H725" i="7"/>
  <c r="I725" i="7"/>
  <c r="J725" i="7"/>
  <c r="H726" i="7"/>
  <c r="I726" i="7"/>
  <c r="J726" i="7"/>
  <c r="H727" i="7"/>
  <c r="I727" i="7"/>
  <c r="J727" i="7"/>
  <c r="H728" i="7"/>
  <c r="I728" i="7"/>
  <c r="J728" i="7"/>
  <c r="H729" i="7"/>
  <c r="I729" i="7"/>
  <c r="J729" i="7"/>
  <c r="H730" i="7"/>
  <c r="I730" i="7"/>
  <c r="J730" i="7"/>
  <c r="H731" i="7"/>
  <c r="I731" i="7"/>
  <c r="J731" i="7"/>
  <c r="H732" i="7"/>
  <c r="I732" i="7"/>
  <c r="J732" i="7"/>
  <c r="H733" i="7"/>
  <c r="I733" i="7"/>
  <c r="J733" i="7"/>
  <c r="H734" i="7"/>
  <c r="I734" i="7"/>
  <c r="J734" i="7"/>
  <c r="H735" i="7"/>
  <c r="I735" i="7"/>
  <c r="J735" i="7"/>
  <c r="H736" i="7"/>
  <c r="I736" i="7"/>
  <c r="J736" i="7"/>
  <c r="H737" i="7"/>
  <c r="I737" i="7"/>
  <c r="J737" i="7"/>
  <c r="H738" i="7"/>
  <c r="I738" i="7"/>
  <c r="J738" i="7"/>
  <c r="H739" i="7"/>
  <c r="I739" i="7"/>
  <c r="J739" i="7"/>
  <c r="H740" i="7"/>
  <c r="I740" i="7"/>
  <c r="J740" i="7"/>
  <c r="H741" i="7"/>
  <c r="I741" i="7"/>
  <c r="J741" i="7"/>
  <c r="H742" i="7"/>
  <c r="I742" i="7"/>
  <c r="J742" i="7"/>
  <c r="H743" i="7"/>
  <c r="I743" i="7"/>
  <c r="J743" i="7"/>
  <c r="H744" i="7"/>
  <c r="I744" i="7"/>
  <c r="J744" i="7"/>
  <c r="H745" i="7"/>
  <c r="I745" i="7"/>
  <c r="J745" i="7"/>
  <c r="H746" i="7"/>
  <c r="I746" i="7"/>
  <c r="J746" i="7"/>
  <c r="H747" i="7"/>
  <c r="I747" i="7"/>
  <c r="J747" i="7"/>
  <c r="H748" i="7"/>
  <c r="I748" i="7"/>
  <c r="J748" i="7"/>
  <c r="H749" i="7"/>
  <c r="I749" i="7"/>
  <c r="J749" i="7"/>
  <c r="H750" i="7"/>
  <c r="I750" i="7"/>
  <c r="J750" i="7"/>
  <c r="H751" i="7"/>
  <c r="I751" i="7"/>
  <c r="J751" i="7"/>
  <c r="H752" i="7"/>
  <c r="I752" i="7"/>
  <c r="J752" i="7"/>
  <c r="H753" i="7"/>
  <c r="I753" i="7"/>
  <c r="J753" i="7"/>
  <c r="H754" i="7"/>
  <c r="I754" i="7"/>
  <c r="J754" i="7"/>
  <c r="H755" i="7"/>
  <c r="I755" i="7"/>
  <c r="J755" i="7"/>
  <c r="H756" i="7"/>
  <c r="I756" i="7"/>
  <c r="J756" i="7"/>
  <c r="H757" i="7"/>
  <c r="I757" i="7"/>
  <c r="J757" i="7"/>
  <c r="H758" i="7"/>
  <c r="I758" i="7"/>
  <c r="J758" i="7"/>
  <c r="H759" i="7"/>
  <c r="I759" i="7"/>
  <c r="J759" i="7"/>
  <c r="H760" i="7"/>
  <c r="I760" i="7"/>
  <c r="J760" i="7"/>
  <c r="H761" i="7"/>
  <c r="I761" i="7"/>
  <c r="J761" i="7"/>
  <c r="H762" i="7"/>
  <c r="I762" i="7"/>
  <c r="J762" i="7"/>
  <c r="H763" i="7"/>
  <c r="I763" i="7"/>
  <c r="J763" i="7"/>
  <c r="H764" i="7"/>
  <c r="I764" i="7"/>
  <c r="J764" i="7"/>
  <c r="H765" i="7"/>
  <c r="I765" i="7"/>
  <c r="J765" i="7"/>
  <c r="H766" i="7"/>
  <c r="I766" i="7"/>
  <c r="J766" i="7"/>
  <c r="H767" i="7"/>
  <c r="I767" i="7"/>
  <c r="J767" i="7"/>
  <c r="H768" i="7"/>
  <c r="I768" i="7"/>
  <c r="J768" i="7"/>
  <c r="H769" i="7"/>
  <c r="I769" i="7"/>
  <c r="J769" i="7"/>
  <c r="H770" i="7"/>
  <c r="I770" i="7"/>
  <c r="J770" i="7"/>
  <c r="H771" i="7"/>
  <c r="I771" i="7"/>
  <c r="J771" i="7"/>
  <c r="H772" i="7"/>
  <c r="I772" i="7"/>
  <c r="J772" i="7"/>
  <c r="H773" i="7"/>
  <c r="I773" i="7"/>
  <c r="J773" i="7"/>
  <c r="H774" i="7"/>
  <c r="I774" i="7"/>
  <c r="J774" i="7"/>
  <c r="H775" i="7"/>
  <c r="I775" i="7"/>
  <c r="J775" i="7"/>
  <c r="H776" i="7"/>
  <c r="I776" i="7"/>
  <c r="J776" i="7"/>
  <c r="H777" i="7"/>
  <c r="I777" i="7"/>
  <c r="J777" i="7"/>
  <c r="H778" i="7"/>
  <c r="I778" i="7"/>
  <c r="J778" i="7"/>
  <c r="H779" i="7"/>
  <c r="I779" i="7"/>
  <c r="J779" i="7"/>
  <c r="H780" i="7"/>
  <c r="I780" i="7"/>
  <c r="J780" i="7"/>
  <c r="H781" i="7"/>
  <c r="I781" i="7"/>
  <c r="J781" i="7"/>
  <c r="H782" i="7"/>
  <c r="I782" i="7"/>
  <c r="J782" i="7"/>
  <c r="H783" i="7"/>
  <c r="I783" i="7"/>
  <c r="J783" i="7"/>
  <c r="H784" i="7"/>
  <c r="I784" i="7"/>
  <c r="J784" i="7"/>
  <c r="H785" i="7"/>
  <c r="I785" i="7"/>
  <c r="J785" i="7"/>
  <c r="H786" i="7"/>
  <c r="I786" i="7"/>
  <c r="J786" i="7"/>
  <c r="H787" i="7"/>
  <c r="I787" i="7"/>
  <c r="J787" i="7"/>
  <c r="H788" i="7"/>
  <c r="I788" i="7"/>
  <c r="J788" i="7"/>
  <c r="H789" i="7"/>
  <c r="I789" i="7"/>
  <c r="J789" i="7"/>
  <c r="H790" i="7"/>
  <c r="I790" i="7"/>
  <c r="J790" i="7"/>
  <c r="H791" i="7"/>
  <c r="I791" i="7"/>
  <c r="J791" i="7"/>
  <c r="H792" i="7"/>
  <c r="I792" i="7"/>
  <c r="J792" i="7"/>
  <c r="H793" i="7"/>
  <c r="I793" i="7"/>
  <c r="J793" i="7"/>
  <c r="H794" i="7"/>
  <c r="I794" i="7"/>
  <c r="J794" i="7"/>
  <c r="H795" i="7"/>
  <c r="I795" i="7"/>
  <c r="J795" i="7"/>
  <c r="H796" i="7"/>
  <c r="I796" i="7"/>
  <c r="J796" i="7"/>
  <c r="H797" i="7"/>
  <c r="I797" i="7"/>
  <c r="J797" i="7"/>
  <c r="H798" i="7"/>
  <c r="I798" i="7"/>
  <c r="J798" i="7"/>
  <c r="H799" i="7"/>
  <c r="I799" i="7"/>
  <c r="J799" i="7"/>
  <c r="H800" i="7"/>
  <c r="I800" i="7"/>
  <c r="J800" i="7"/>
  <c r="H801" i="7"/>
  <c r="I801" i="7"/>
  <c r="J801" i="7"/>
  <c r="H802" i="7"/>
  <c r="I802" i="7"/>
  <c r="J802" i="7"/>
  <c r="H803" i="7"/>
  <c r="I803" i="7"/>
  <c r="J803" i="7"/>
  <c r="H804" i="7"/>
  <c r="I804" i="7"/>
  <c r="J804" i="7"/>
  <c r="H805" i="7"/>
  <c r="I805" i="7"/>
  <c r="J805" i="7"/>
  <c r="H806" i="7"/>
  <c r="I806" i="7"/>
  <c r="J806" i="7"/>
  <c r="H807" i="7"/>
  <c r="I807" i="7"/>
  <c r="J807" i="7"/>
  <c r="H808" i="7"/>
  <c r="I808" i="7"/>
  <c r="J808" i="7"/>
  <c r="H809" i="7"/>
  <c r="I809" i="7"/>
  <c r="J809" i="7"/>
  <c r="H810" i="7"/>
  <c r="I810" i="7"/>
  <c r="J810" i="7"/>
  <c r="H811" i="7"/>
  <c r="I811" i="7"/>
  <c r="J811" i="7"/>
  <c r="H812" i="7"/>
  <c r="I812" i="7"/>
  <c r="J812" i="7"/>
  <c r="H813" i="7"/>
  <c r="I813" i="7"/>
  <c r="J813" i="7"/>
  <c r="H814" i="7"/>
  <c r="I814" i="7"/>
  <c r="J814" i="7"/>
  <c r="H815" i="7"/>
  <c r="I815" i="7"/>
  <c r="J815" i="7"/>
  <c r="H816" i="7"/>
  <c r="I816" i="7"/>
  <c r="J816" i="7"/>
  <c r="H817" i="7"/>
  <c r="I817" i="7"/>
  <c r="J817" i="7"/>
  <c r="H818" i="7"/>
  <c r="I818" i="7"/>
  <c r="J818" i="7"/>
  <c r="H819" i="7"/>
  <c r="I819" i="7"/>
  <c r="J819" i="7"/>
  <c r="H820" i="7"/>
  <c r="I820" i="7"/>
  <c r="J820" i="7"/>
  <c r="H821" i="7"/>
  <c r="I821" i="7"/>
  <c r="J821" i="7"/>
  <c r="H822" i="7"/>
  <c r="I822" i="7"/>
  <c r="J822" i="7"/>
  <c r="H823" i="7"/>
  <c r="I823" i="7"/>
  <c r="J823" i="7"/>
  <c r="H824" i="7"/>
  <c r="I824" i="7"/>
  <c r="J824" i="7"/>
  <c r="H825" i="7"/>
  <c r="I825" i="7"/>
  <c r="J825" i="7"/>
  <c r="H826" i="7"/>
  <c r="I826" i="7"/>
  <c r="J826" i="7"/>
  <c r="H827" i="7"/>
  <c r="I827" i="7"/>
  <c r="J827" i="7"/>
  <c r="H828" i="7"/>
  <c r="I828" i="7"/>
  <c r="J828" i="7"/>
  <c r="H829" i="7"/>
  <c r="I829" i="7"/>
  <c r="J829" i="7"/>
  <c r="H830" i="7"/>
  <c r="I830" i="7"/>
  <c r="J830" i="7"/>
  <c r="H831" i="7"/>
  <c r="I831" i="7"/>
  <c r="J831" i="7"/>
  <c r="H832" i="7"/>
  <c r="I832" i="7"/>
  <c r="J832" i="7"/>
  <c r="H833" i="7"/>
  <c r="I833" i="7"/>
  <c r="J833" i="7"/>
  <c r="H834" i="7"/>
  <c r="I834" i="7"/>
  <c r="J834" i="7"/>
  <c r="H835" i="7"/>
  <c r="I835" i="7"/>
  <c r="J835" i="7"/>
  <c r="H836" i="7"/>
  <c r="I836" i="7"/>
  <c r="J836" i="7"/>
  <c r="H837" i="7"/>
  <c r="I837" i="7"/>
  <c r="J837" i="7"/>
  <c r="H838" i="7"/>
  <c r="I838" i="7"/>
  <c r="J838" i="7"/>
  <c r="H839" i="7"/>
  <c r="I839" i="7"/>
  <c r="J839" i="7"/>
  <c r="H840" i="7"/>
  <c r="I840" i="7"/>
  <c r="J840" i="7"/>
  <c r="H841" i="7"/>
  <c r="I841" i="7"/>
  <c r="J841" i="7"/>
  <c r="H842" i="7"/>
  <c r="I842" i="7"/>
  <c r="J842" i="7"/>
  <c r="H843" i="7"/>
  <c r="I843" i="7"/>
  <c r="J843" i="7"/>
  <c r="H844" i="7"/>
  <c r="I844" i="7"/>
  <c r="J844" i="7"/>
  <c r="H845" i="7"/>
  <c r="I845" i="7"/>
  <c r="J845" i="7"/>
  <c r="H846" i="7"/>
  <c r="I846" i="7"/>
  <c r="J846" i="7"/>
  <c r="H847" i="7"/>
  <c r="I847" i="7"/>
  <c r="J847" i="7"/>
  <c r="H848" i="7"/>
  <c r="I848" i="7"/>
  <c r="J848" i="7"/>
  <c r="H849" i="7"/>
  <c r="I849" i="7"/>
  <c r="J849" i="7"/>
  <c r="H850" i="7"/>
  <c r="I850" i="7"/>
  <c r="J850" i="7"/>
  <c r="H851" i="7"/>
  <c r="I851" i="7"/>
  <c r="J851" i="7"/>
  <c r="H852" i="7"/>
  <c r="I852" i="7"/>
  <c r="J852" i="7"/>
  <c r="H853" i="7"/>
  <c r="I853" i="7"/>
  <c r="J853" i="7"/>
  <c r="H854" i="7"/>
  <c r="I854" i="7"/>
  <c r="J854" i="7"/>
  <c r="H855" i="7"/>
  <c r="I855" i="7"/>
  <c r="J855" i="7"/>
  <c r="H856" i="7"/>
  <c r="I856" i="7"/>
  <c r="J856" i="7"/>
  <c r="H857" i="7"/>
  <c r="I857" i="7"/>
  <c r="J857" i="7"/>
  <c r="H858" i="7"/>
  <c r="I858" i="7"/>
  <c r="J858" i="7"/>
  <c r="H859" i="7"/>
  <c r="I859" i="7"/>
  <c r="J859" i="7"/>
  <c r="H860" i="7"/>
  <c r="I860" i="7"/>
  <c r="J860" i="7"/>
  <c r="H861" i="7"/>
  <c r="I861" i="7"/>
  <c r="J861" i="7"/>
  <c r="H862" i="7"/>
  <c r="I862" i="7"/>
  <c r="J862" i="7"/>
  <c r="H863" i="7"/>
  <c r="I863" i="7"/>
  <c r="J863" i="7"/>
  <c r="H864" i="7"/>
  <c r="I864" i="7"/>
  <c r="J864" i="7"/>
  <c r="H865" i="7"/>
  <c r="I865" i="7"/>
  <c r="J865" i="7"/>
  <c r="H866" i="7"/>
  <c r="I866" i="7"/>
  <c r="J866" i="7"/>
  <c r="H867" i="7"/>
  <c r="I867" i="7"/>
  <c r="J867" i="7"/>
  <c r="H868" i="7"/>
  <c r="I868" i="7"/>
  <c r="J868" i="7"/>
  <c r="H869" i="7"/>
  <c r="I869" i="7"/>
  <c r="J869" i="7"/>
  <c r="H870" i="7"/>
  <c r="I870" i="7"/>
  <c r="J870" i="7"/>
  <c r="H871" i="7"/>
  <c r="I871" i="7"/>
  <c r="J871" i="7"/>
  <c r="H872" i="7"/>
  <c r="I872" i="7"/>
  <c r="J872" i="7"/>
  <c r="H873" i="7"/>
  <c r="I873" i="7"/>
  <c r="J873" i="7"/>
  <c r="H874" i="7"/>
  <c r="I874" i="7"/>
  <c r="J874" i="7"/>
  <c r="H875" i="7"/>
  <c r="I875" i="7"/>
  <c r="J875" i="7"/>
  <c r="H876" i="7"/>
  <c r="I876" i="7"/>
  <c r="J876" i="7"/>
  <c r="H877" i="7"/>
  <c r="I877" i="7"/>
  <c r="J877" i="7"/>
  <c r="H878" i="7"/>
  <c r="I878" i="7"/>
  <c r="J878" i="7"/>
  <c r="H879" i="7"/>
  <c r="I879" i="7"/>
  <c r="J879" i="7"/>
  <c r="H880" i="7"/>
  <c r="I880" i="7"/>
  <c r="J880" i="7"/>
  <c r="H881" i="7"/>
  <c r="I881" i="7"/>
  <c r="J881" i="7"/>
  <c r="H882" i="7"/>
  <c r="I882" i="7"/>
  <c r="J882" i="7"/>
  <c r="H883" i="7"/>
  <c r="I883" i="7"/>
  <c r="J883" i="7"/>
  <c r="H884" i="7"/>
  <c r="I884" i="7"/>
  <c r="J884" i="7"/>
  <c r="H885" i="7"/>
  <c r="I885" i="7"/>
  <c r="J885" i="7"/>
  <c r="H886" i="7"/>
  <c r="I886" i="7"/>
  <c r="J886" i="7"/>
  <c r="H887" i="7"/>
  <c r="I887" i="7"/>
  <c r="J887" i="7"/>
  <c r="H888" i="7"/>
  <c r="I888" i="7"/>
  <c r="J888" i="7"/>
  <c r="H889" i="7"/>
  <c r="I889" i="7"/>
  <c r="J889" i="7"/>
  <c r="H890" i="7"/>
  <c r="I890" i="7"/>
  <c r="J890" i="7"/>
  <c r="H891" i="7"/>
  <c r="I891" i="7"/>
  <c r="J891" i="7"/>
  <c r="H892" i="7"/>
  <c r="I892" i="7"/>
  <c r="J892" i="7"/>
  <c r="H893" i="7"/>
  <c r="I893" i="7"/>
  <c r="J893" i="7"/>
  <c r="H894" i="7"/>
  <c r="I894" i="7"/>
  <c r="J894" i="7"/>
  <c r="H895" i="7"/>
  <c r="I895" i="7"/>
  <c r="J895" i="7"/>
  <c r="H896" i="7"/>
  <c r="I896" i="7"/>
  <c r="J896" i="7"/>
  <c r="H897" i="7"/>
  <c r="I897" i="7"/>
  <c r="J897" i="7"/>
  <c r="H898" i="7"/>
  <c r="I898" i="7"/>
  <c r="J898" i="7"/>
  <c r="H899" i="7"/>
  <c r="I899" i="7"/>
  <c r="J899" i="7"/>
  <c r="H900" i="7"/>
  <c r="I900" i="7"/>
  <c r="J900" i="7"/>
  <c r="H901" i="7"/>
  <c r="I901" i="7"/>
  <c r="J901" i="7"/>
  <c r="H902" i="7"/>
  <c r="I902" i="7"/>
  <c r="J902" i="7"/>
  <c r="H903" i="7"/>
  <c r="I903" i="7"/>
  <c r="J903" i="7"/>
  <c r="H904" i="7"/>
  <c r="I904" i="7"/>
  <c r="J904" i="7"/>
  <c r="H905" i="7"/>
  <c r="I905" i="7"/>
  <c r="J905" i="7"/>
  <c r="H906" i="7"/>
  <c r="I906" i="7"/>
  <c r="J906" i="7"/>
  <c r="H907" i="7"/>
  <c r="I907" i="7"/>
  <c r="J907" i="7"/>
  <c r="H908" i="7"/>
  <c r="I908" i="7"/>
  <c r="J908" i="7"/>
  <c r="H909" i="7"/>
  <c r="I909" i="7"/>
  <c r="J909" i="7"/>
  <c r="H910" i="7"/>
  <c r="I910" i="7"/>
  <c r="J910" i="7"/>
  <c r="H911" i="7"/>
  <c r="I911" i="7"/>
  <c r="J911" i="7"/>
  <c r="H912" i="7"/>
  <c r="I912" i="7"/>
  <c r="J912" i="7"/>
  <c r="H913" i="7"/>
  <c r="I913" i="7"/>
  <c r="J913" i="7"/>
  <c r="H914" i="7"/>
  <c r="I914" i="7"/>
  <c r="J914" i="7"/>
  <c r="H915" i="7"/>
  <c r="I915" i="7"/>
  <c r="J915" i="7"/>
  <c r="H916" i="7"/>
  <c r="I916" i="7"/>
  <c r="J916" i="7"/>
  <c r="H917" i="7"/>
  <c r="I917" i="7"/>
  <c r="J917" i="7"/>
  <c r="H918" i="7"/>
  <c r="I918" i="7"/>
  <c r="J918" i="7"/>
  <c r="H919" i="7"/>
  <c r="I919" i="7"/>
  <c r="J919" i="7"/>
  <c r="H920" i="7"/>
  <c r="I920" i="7"/>
  <c r="J920" i="7"/>
  <c r="H921" i="7"/>
  <c r="I921" i="7"/>
  <c r="J921" i="7"/>
  <c r="H922" i="7"/>
  <c r="I922" i="7"/>
  <c r="J922" i="7"/>
  <c r="H923" i="7"/>
  <c r="I923" i="7"/>
  <c r="J923" i="7"/>
  <c r="H924" i="7"/>
  <c r="I924" i="7"/>
  <c r="J924" i="7"/>
  <c r="H925" i="7"/>
  <c r="I925" i="7"/>
  <c r="J925" i="7"/>
  <c r="H926" i="7"/>
  <c r="I926" i="7"/>
  <c r="J926" i="7"/>
  <c r="H927" i="7"/>
  <c r="I927" i="7"/>
  <c r="J927" i="7"/>
  <c r="H928" i="7"/>
  <c r="I928" i="7"/>
  <c r="J928" i="7"/>
  <c r="H929" i="7"/>
  <c r="I929" i="7"/>
  <c r="J929" i="7"/>
  <c r="H930" i="7"/>
  <c r="I930" i="7"/>
  <c r="J930" i="7"/>
  <c r="H931" i="7"/>
  <c r="I931" i="7"/>
  <c r="J931" i="7"/>
  <c r="H932" i="7"/>
  <c r="I932" i="7"/>
  <c r="J932" i="7"/>
  <c r="H933" i="7"/>
  <c r="I933" i="7"/>
  <c r="J933" i="7"/>
  <c r="H934" i="7"/>
  <c r="I934" i="7"/>
  <c r="J934" i="7"/>
  <c r="H935" i="7"/>
  <c r="I935" i="7"/>
  <c r="J935" i="7"/>
  <c r="H936" i="7"/>
  <c r="I936" i="7"/>
  <c r="J936" i="7"/>
  <c r="H937" i="7"/>
  <c r="I937" i="7"/>
  <c r="J937" i="7"/>
  <c r="H938" i="7"/>
  <c r="I938" i="7"/>
  <c r="J938" i="7"/>
  <c r="H939" i="7"/>
  <c r="I939" i="7"/>
  <c r="J939" i="7"/>
  <c r="H940" i="7"/>
  <c r="I940" i="7"/>
  <c r="J940" i="7"/>
  <c r="H941" i="7"/>
  <c r="I941" i="7"/>
  <c r="J941" i="7"/>
  <c r="H942" i="7"/>
  <c r="I942" i="7"/>
  <c r="J942" i="7"/>
  <c r="H943" i="7"/>
  <c r="I943" i="7"/>
  <c r="J943" i="7"/>
  <c r="H944" i="7"/>
  <c r="I944" i="7"/>
  <c r="J944" i="7"/>
  <c r="H945" i="7"/>
  <c r="I945" i="7"/>
  <c r="J945" i="7"/>
  <c r="H946" i="7"/>
  <c r="I946" i="7"/>
  <c r="J946" i="7"/>
  <c r="H947" i="7"/>
  <c r="I947" i="7"/>
  <c r="J947" i="7"/>
  <c r="H948" i="7"/>
  <c r="I948" i="7"/>
  <c r="J948" i="7"/>
  <c r="H949" i="7"/>
  <c r="I949" i="7"/>
  <c r="J949" i="7"/>
  <c r="H950" i="7"/>
  <c r="I950" i="7"/>
  <c r="J950" i="7"/>
  <c r="H951" i="7"/>
  <c r="I951" i="7"/>
  <c r="J951" i="7"/>
  <c r="H952" i="7"/>
  <c r="I952" i="7"/>
  <c r="J952" i="7"/>
  <c r="H953" i="7"/>
  <c r="I953" i="7"/>
  <c r="J953" i="7"/>
  <c r="H954" i="7"/>
  <c r="I954" i="7"/>
  <c r="J954" i="7"/>
  <c r="H955" i="7"/>
  <c r="I955" i="7"/>
  <c r="J955" i="7"/>
  <c r="H956" i="7"/>
  <c r="I956" i="7"/>
  <c r="J956" i="7"/>
  <c r="H957" i="7"/>
  <c r="I957" i="7"/>
  <c r="J957" i="7"/>
  <c r="H958" i="7"/>
  <c r="I958" i="7"/>
  <c r="J958" i="7"/>
  <c r="H959" i="7"/>
  <c r="I959" i="7"/>
  <c r="J959" i="7"/>
  <c r="H960" i="7"/>
  <c r="I960" i="7"/>
  <c r="J960" i="7"/>
  <c r="H961" i="7"/>
  <c r="I961" i="7"/>
  <c r="J961" i="7"/>
  <c r="H962" i="7"/>
  <c r="I962" i="7"/>
  <c r="J962" i="7"/>
  <c r="H963" i="7"/>
  <c r="I963" i="7"/>
  <c r="J963" i="7"/>
  <c r="H964" i="7"/>
  <c r="I964" i="7"/>
  <c r="J964" i="7"/>
  <c r="H965" i="7"/>
  <c r="I965" i="7"/>
  <c r="J965" i="7"/>
  <c r="H966" i="7"/>
  <c r="I966" i="7"/>
  <c r="J966" i="7"/>
  <c r="H967" i="7"/>
  <c r="I967" i="7"/>
  <c r="J967" i="7"/>
  <c r="H968" i="7"/>
  <c r="I968" i="7"/>
  <c r="J968" i="7"/>
  <c r="H969" i="7"/>
  <c r="I969" i="7"/>
  <c r="J969" i="7"/>
  <c r="H970" i="7"/>
  <c r="I970" i="7"/>
  <c r="J970" i="7"/>
  <c r="H971" i="7"/>
  <c r="I971" i="7"/>
  <c r="J971" i="7"/>
  <c r="H972" i="7"/>
  <c r="I972" i="7"/>
  <c r="J972" i="7"/>
  <c r="H973" i="7"/>
  <c r="I973" i="7"/>
  <c r="J973" i="7"/>
  <c r="H974" i="7"/>
  <c r="I974" i="7"/>
  <c r="J974" i="7"/>
  <c r="H975" i="7"/>
  <c r="I975" i="7"/>
  <c r="J975" i="7"/>
  <c r="H976" i="7"/>
  <c r="I976" i="7"/>
  <c r="J976" i="7"/>
  <c r="H977" i="7"/>
  <c r="I977" i="7"/>
  <c r="J977" i="7"/>
  <c r="H978" i="7"/>
  <c r="I978" i="7"/>
  <c r="J978" i="7"/>
  <c r="H979" i="7"/>
  <c r="I979" i="7"/>
  <c r="J979" i="7"/>
  <c r="H980" i="7"/>
  <c r="I980" i="7"/>
  <c r="J980" i="7"/>
  <c r="H981" i="7"/>
  <c r="I981" i="7"/>
  <c r="J981" i="7"/>
  <c r="H982" i="7"/>
  <c r="I982" i="7"/>
  <c r="J982" i="7"/>
  <c r="H983" i="7"/>
  <c r="I983" i="7"/>
  <c r="J983" i="7"/>
  <c r="H984" i="7"/>
  <c r="I984" i="7"/>
  <c r="J984" i="7"/>
  <c r="H985" i="7"/>
  <c r="I985" i="7"/>
  <c r="J985" i="7"/>
  <c r="H986" i="7"/>
  <c r="I986" i="7"/>
  <c r="J986" i="7"/>
  <c r="H987" i="7"/>
  <c r="I987" i="7"/>
  <c r="J987" i="7"/>
  <c r="H988" i="7"/>
  <c r="I988" i="7"/>
  <c r="J988" i="7"/>
  <c r="H989" i="7"/>
  <c r="I989" i="7"/>
  <c r="J989" i="7"/>
  <c r="H990" i="7"/>
  <c r="I990" i="7"/>
  <c r="J990" i="7"/>
  <c r="H991" i="7"/>
  <c r="I991" i="7"/>
  <c r="J991" i="7"/>
  <c r="H992" i="7"/>
  <c r="I992" i="7"/>
  <c r="J992" i="7"/>
  <c r="H993" i="7"/>
  <c r="I993" i="7"/>
  <c r="J993" i="7"/>
  <c r="H994" i="7"/>
  <c r="I994" i="7"/>
  <c r="J994" i="7"/>
  <c r="H995" i="7"/>
  <c r="I995" i="7"/>
  <c r="J995" i="7"/>
  <c r="H996" i="7"/>
  <c r="I996" i="7"/>
  <c r="J996" i="7"/>
  <c r="H997" i="7"/>
  <c r="I997" i="7"/>
  <c r="J997" i="7"/>
  <c r="H998" i="7"/>
  <c r="I998" i="7"/>
  <c r="J998" i="7"/>
  <c r="H999" i="7"/>
  <c r="I999" i="7"/>
  <c r="J999" i="7"/>
  <c r="H1000" i="7"/>
  <c r="I1000" i="7"/>
  <c r="J1000" i="7"/>
  <c r="H1001" i="7"/>
  <c r="I1001" i="7"/>
  <c r="J1001" i="7"/>
  <c r="H1002" i="7"/>
  <c r="I1002" i="7"/>
  <c r="J1002" i="7"/>
  <c r="H1003" i="7"/>
  <c r="I1003" i="7"/>
  <c r="J1003" i="7"/>
  <c r="H1004" i="7"/>
  <c r="I1004" i="7"/>
  <c r="J1004" i="7"/>
  <c r="H1005" i="7"/>
  <c r="I1005" i="7"/>
  <c r="J1005" i="7"/>
  <c r="H1006" i="7"/>
  <c r="I1006" i="7"/>
  <c r="J1006" i="7"/>
  <c r="H1007" i="7"/>
  <c r="I1007" i="7"/>
  <c r="J1007" i="7"/>
  <c r="H1008" i="7"/>
  <c r="I1008" i="7"/>
  <c r="J1008" i="7"/>
  <c r="H1009" i="7"/>
  <c r="I1009" i="7"/>
  <c r="J1009" i="7"/>
  <c r="H1010" i="7"/>
  <c r="I1010" i="7"/>
  <c r="J1010" i="7"/>
  <c r="H1011" i="7"/>
  <c r="I1011" i="7"/>
  <c r="J1011" i="7"/>
  <c r="H1012" i="7"/>
  <c r="I1012" i="7"/>
  <c r="J1012" i="7"/>
  <c r="H1013" i="7"/>
  <c r="I1013" i="7"/>
  <c r="J1013" i="7"/>
  <c r="H1014" i="7"/>
  <c r="I1014" i="7"/>
  <c r="J1014" i="7"/>
  <c r="H1015" i="7"/>
  <c r="I1015" i="7"/>
  <c r="J1015" i="7"/>
  <c r="H1016" i="7"/>
  <c r="I1016" i="7"/>
  <c r="J1016" i="7"/>
  <c r="H1017" i="7"/>
  <c r="I1017" i="7"/>
  <c r="J1017" i="7"/>
  <c r="H1018" i="7"/>
  <c r="I1018" i="7"/>
  <c r="J1018" i="7"/>
  <c r="H1019" i="7"/>
  <c r="I1019" i="7"/>
  <c r="J1019" i="7"/>
  <c r="H1020" i="7"/>
  <c r="I1020" i="7"/>
  <c r="J1020" i="7"/>
  <c r="H1021" i="7"/>
  <c r="I1021" i="7"/>
  <c r="J1021" i="7"/>
  <c r="H1022" i="7"/>
  <c r="I1022" i="7"/>
  <c r="J1022" i="7"/>
  <c r="H1023" i="7"/>
  <c r="I1023" i="7"/>
  <c r="J1023" i="7"/>
  <c r="H1024" i="7"/>
  <c r="I1024" i="7"/>
  <c r="J1024" i="7"/>
  <c r="H1025" i="7"/>
  <c r="I1025" i="7"/>
  <c r="J1025" i="7"/>
  <c r="H1026" i="7"/>
  <c r="I1026" i="7"/>
  <c r="J1026" i="7"/>
  <c r="H1027" i="7"/>
  <c r="I1027" i="7"/>
  <c r="J1027" i="7"/>
  <c r="H1028" i="7"/>
  <c r="I1028" i="7"/>
  <c r="J1028" i="7"/>
  <c r="H1029" i="7"/>
  <c r="I1029" i="7"/>
  <c r="J1029" i="7"/>
  <c r="H1030" i="7"/>
  <c r="I1030" i="7"/>
  <c r="J1030" i="7"/>
  <c r="H1031" i="7"/>
  <c r="I1031" i="7"/>
  <c r="J1031" i="7"/>
  <c r="H1032" i="7"/>
  <c r="I1032" i="7"/>
  <c r="J1032" i="7"/>
  <c r="H1033" i="7"/>
  <c r="I1033" i="7"/>
  <c r="J1033" i="7"/>
  <c r="H1034" i="7"/>
  <c r="I1034" i="7"/>
  <c r="J1034" i="7"/>
  <c r="H1035" i="7"/>
  <c r="I1035" i="7"/>
  <c r="J1035" i="7"/>
  <c r="H1036" i="7"/>
  <c r="I1036" i="7"/>
  <c r="J1036" i="7"/>
  <c r="H1037" i="7"/>
  <c r="I1037" i="7"/>
  <c r="J1037" i="7"/>
  <c r="H1038" i="7"/>
  <c r="I1038" i="7"/>
  <c r="J1038" i="7"/>
  <c r="H1039" i="7"/>
  <c r="I1039" i="7"/>
  <c r="J1039" i="7"/>
  <c r="H1040" i="7"/>
  <c r="I1040" i="7"/>
  <c r="J1040" i="7"/>
  <c r="H1041" i="7"/>
  <c r="I1041" i="7"/>
  <c r="J1041" i="7"/>
  <c r="H1042" i="7"/>
  <c r="I1042" i="7"/>
  <c r="J1042" i="7"/>
  <c r="H1043" i="7"/>
  <c r="I1043" i="7"/>
  <c r="J1043" i="7"/>
  <c r="H1044" i="7"/>
  <c r="I1044" i="7"/>
  <c r="J1044" i="7"/>
  <c r="H1045" i="7"/>
  <c r="I1045" i="7"/>
  <c r="J1045" i="7"/>
  <c r="H1046" i="7"/>
  <c r="I1046" i="7"/>
  <c r="J1046" i="7"/>
  <c r="H1047" i="7"/>
  <c r="I1047" i="7"/>
  <c r="J1047" i="7"/>
  <c r="H1048" i="7"/>
  <c r="I1048" i="7"/>
  <c r="J1048" i="7"/>
  <c r="H1049" i="7"/>
  <c r="I1049" i="7"/>
  <c r="J1049" i="7"/>
  <c r="H1050" i="7"/>
  <c r="I1050" i="7"/>
  <c r="J1050" i="7"/>
  <c r="H1051" i="7"/>
  <c r="I1051" i="7"/>
  <c r="J1051" i="7"/>
  <c r="H1052" i="7"/>
  <c r="I1052" i="7"/>
  <c r="J1052" i="7"/>
  <c r="H1053" i="7"/>
  <c r="I1053" i="7"/>
  <c r="J1053" i="7"/>
  <c r="H1054" i="7"/>
  <c r="I1054" i="7"/>
  <c r="J1054" i="7"/>
  <c r="H1055" i="7"/>
  <c r="I1055" i="7"/>
  <c r="J1055" i="7"/>
  <c r="H1056" i="7"/>
  <c r="I1056" i="7"/>
  <c r="J1056" i="7"/>
  <c r="H1057" i="7"/>
  <c r="I1057" i="7"/>
  <c r="J1057" i="7"/>
  <c r="H1058" i="7"/>
  <c r="I1058" i="7"/>
  <c r="J1058" i="7"/>
  <c r="H1059" i="7"/>
  <c r="I1059" i="7"/>
  <c r="J1059" i="7"/>
  <c r="H1060" i="7"/>
  <c r="I1060" i="7"/>
  <c r="J1060" i="7"/>
  <c r="H1061" i="7"/>
  <c r="I1061" i="7"/>
  <c r="J1061" i="7"/>
  <c r="H1062" i="7"/>
  <c r="I1062" i="7"/>
  <c r="J1062" i="7"/>
  <c r="H1063" i="7"/>
  <c r="I1063" i="7"/>
  <c r="J1063" i="7"/>
  <c r="H1064" i="7"/>
  <c r="I1064" i="7"/>
  <c r="J1064" i="7"/>
  <c r="H1065" i="7"/>
  <c r="I1065" i="7"/>
  <c r="J1065" i="7"/>
  <c r="H1066" i="7"/>
  <c r="I1066" i="7"/>
  <c r="J1066" i="7"/>
  <c r="H1067" i="7"/>
  <c r="I1067" i="7"/>
  <c r="J1067" i="7"/>
  <c r="H1068" i="7"/>
  <c r="I1068" i="7"/>
  <c r="J1068" i="7"/>
  <c r="H1069" i="7"/>
  <c r="I1069" i="7"/>
  <c r="J1069" i="7"/>
  <c r="H1070" i="7"/>
  <c r="I1070" i="7"/>
  <c r="J1070" i="7"/>
  <c r="H1071" i="7"/>
  <c r="I1071" i="7"/>
  <c r="J1071" i="7"/>
  <c r="H1072" i="7"/>
  <c r="I1072" i="7"/>
  <c r="J1072" i="7"/>
  <c r="H1073" i="7"/>
  <c r="I1073" i="7"/>
  <c r="J1073" i="7"/>
  <c r="H1074" i="7"/>
  <c r="I1074" i="7"/>
  <c r="J1074" i="7"/>
  <c r="H1075" i="7"/>
  <c r="I1075" i="7"/>
  <c r="J1075" i="7"/>
  <c r="H1076" i="7"/>
  <c r="I1076" i="7"/>
  <c r="J1076" i="7"/>
  <c r="H1077" i="7"/>
  <c r="I1077" i="7"/>
  <c r="J1077" i="7"/>
  <c r="H1078" i="7"/>
  <c r="I1078" i="7"/>
  <c r="J1078" i="7"/>
  <c r="H1079" i="7"/>
  <c r="I1079" i="7"/>
  <c r="J1079" i="7"/>
  <c r="H1080" i="7"/>
  <c r="I1080" i="7"/>
  <c r="J1080" i="7"/>
  <c r="H1081" i="7"/>
  <c r="I1081" i="7"/>
  <c r="J1081" i="7"/>
  <c r="H1082" i="7"/>
  <c r="I1082" i="7"/>
  <c r="J1082" i="7"/>
  <c r="H1083" i="7"/>
  <c r="I1083" i="7"/>
  <c r="J1083" i="7"/>
  <c r="H1084" i="7"/>
  <c r="I1084" i="7"/>
  <c r="J1084" i="7"/>
  <c r="H1085" i="7"/>
  <c r="I1085" i="7"/>
  <c r="J1085" i="7"/>
  <c r="H1086" i="7"/>
  <c r="I1086" i="7"/>
  <c r="J1086" i="7"/>
  <c r="H1087" i="7"/>
  <c r="I1087" i="7"/>
  <c r="J1087" i="7"/>
  <c r="H1088" i="7"/>
  <c r="I1088" i="7"/>
  <c r="J1088" i="7"/>
  <c r="H1089" i="7"/>
  <c r="I1089" i="7"/>
  <c r="J1089" i="7"/>
  <c r="H1090" i="7"/>
  <c r="I1090" i="7"/>
  <c r="J1090" i="7"/>
  <c r="H1091" i="7"/>
  <c r="I1091" i="7"/>
  <c r="J1091" i="7"/>
  <c r="H1092" i="7"/>
  <c r="I1092" i="7"/>
  <c r="J1092" i="7"/>
  <c r="H1093" i="7"/>
  <c r="I1093" i="7"/>
  <c r="J1093" i="7"/>
  <c r="H1094" i="7"/>
  <c r="I1094" i="7"/>
  <c r="J1094" i="7"/>
  <c r="H1095" i="7"/>
  <c r="I1095" i="7"/>
  <c r="J1095" i="7"/>
  <c r="H1096" i="7"/>
  <c r="I1096" i="7"/>
  <c r="J1096" i="7"/>
  <c r="H1097" i="7"/>
  <c r="I1097" i="7"/>
  <c r="J1097" i="7"/>
  <c r="H1098" i="7"/>
  <c r="I1098" i="7"/>
  <c r="J1098" i="7"/>
  <c r="H1099" i="7"/>
  <c r="I1099" i="7"/>
  <c r="J1099" i="7"/>
  <c r="H1100" i="7"/>
  <c r="I1100" i="7"/>
  <c r="J1100" i="7"/>
  <c r="H1101" i="7"/>
  <c r="I1101" i="7"/>
  <c r="J1101" i="7"/>
  <c r="H1102" i="7"/>
  <c r="I1102" i="7"/>
  <c r="J1102" i="7"/>
  <c r="H1103" i="7"/>
  <c r="I1103" i="7"/>
  <c r="J1103" i="7"/>
  <c r="H1104" i="7"/>
  <c r="I1104" i="7"/>
  <c r="J1104" i="7"/>
  <c r="H1105" i="7"/>
  <c r="I1105" i="7"/>
  <c r="J1105" i="7"/>
  <c r="H1106" i="7"/>
  <c r="I1106" i="7"/>
  <c r="J1106" i="7"/>
  <c r="H1107" i="7"/>
  <c r="I1107" i="7"/>
  <c r="J1107" i="7"/>
  <c r="H1108" i="7"/>
  <c r="I1108" i="7"/>
  <c r="J1108" i="7"/>
  <c r="H1109" i="7"/>
  <c r="I1109" i="7"/>
  <c r="J1109" i="7"/>
  <c r="H1110" i="7"/>
  <c r="I1110" i="7"/>
  <c r="J1110" i="7"/>
  <c r="H1111" i="7"/>
  <c r="I1111" i="7"/>
  <c r="J1111" i="7"/>
  <c r="H1112" i="7"/>
  <c r="I1112" i="7"/>
  <c r="J1112" i="7"/>
  <c r="H1113" i="7"/>
  <c r="I1113" i="7"/>
  <c r="J1113" i="7"/>
  <c r="H1114" i="7"/>
  <c r="I1114" i="7"/>
  <c r="J1114" i="7"/>
  <c r="H1115" i="7"/>
  <c r="I1115" i="7"/>
  <c r="J1115" i="7"/>
  <c r="H1116" i="7"/>
  <c r="I1116" i="7"/>
  <c r="J1116" i="7"/>
  <c r="H1117" i="7"/>
  <c r="I1117" i="7"/>
  <c r="J1117" i="7"/>
  <c r="H1118" i="7"/>
  <c r="I1118" i="7"/>
  <c r="J1118" i="7"/>
  <c r="H1119" i="7"/>
  <c r="I1119" i="7"/>
  <c r="J1119" i="7"/>
  <c r="H1120" i="7"/>
  <c r="I1120" i="7"/>
  <c r="J1120" i="7"/>
  <c r="H1121" i="7"/>
  <c r="I1121" i="7"/>
  <c r="J1121" i="7"/>
  <c r="H1122" i="7"/>
  <c r="I1122" i="7"/>
  <c r="J1122" i="7"/>
  <c r="H1123" i="7"/>
  <c r="I1123" i="7"/>
  <c r="J1123" i="7"/>
  <c r="H1124" i="7"/>
  <c r="I1124" i="7"/>
  <c r="J1124" i="7"/>
  <c r="H1125" i="7"/>
  <c r="I1125" i="7"/>
  <c r="J1125" i="7"/>
  <c r="H1126" i="7"/>
  <c r="I1126" i="7"/>
  <c r="J1126" i="7"/>
  <c r="H1127" i="7"/>
  <c r="I1127" i="7"/>
  <c r="J1127" i="7"/>
  <c r="H1128" i="7"/>
  <c r="I1128" i="7"/>
  <c r="J1128" i="7"/>
  <c r="H1129" i="7"/>
  <c r="I1129" i="7"/>
  <c r="J1129" i="7"/>
  <c r="H1130" i="7"/>
  <c r="I1130" i="7"/>
  <c r="J1130" i="7"/>
  <c r="H1131" i="7"/>
  <c r="I1131" i="7"/>
  <c r="J1131" i="7"/>
  <c r="H1132" i="7"/>
  <c r="I1132" i="7"/>
  <c r="J1132" i="7"/>
  <c r="H1133" i="7"/>
  <c r="I1133" i="7"/>
  <c r="J1133" i="7"/>
  <c r="H1134" i="7"/>
  <c r="I1134" i="7"/>
  <c r="J1134" i="7"/>
  <c r="H1135" i="7"/>
  <c r="I1135" i="7"/>
  <c r="J1135" i="7"/>
  <c r="H1136" i="7"/>
  <c r="I1136" i="7"/>
  <c r="J1136" i="7"/>
  <c r="H1137" i="7"/>
  <c r="I1137" i="7"/>
  <c r="J1137" i="7"/>
  <c r="H1138" i="7"/>
  <c r="I1138" i="7"/>
  <c r="J1138" i="7"/>
  <c r="H1139" i="7"/>
  <c r="I1139" i="7"/>
  <c r="J1139" i="7"/>
  <c r="H1140" i="7"/>
  <c r="I1140" i="7"/>
  <c r="J1140" i="7"/>
  <c r="H1141" i="7"/>
  <c r="I1141" i="7"/>
  <c r="J1141" i="7"/>
  <c r="H1142" i="7"/>
  <c r="I1142" i="7"/>
  <c r="J1142" i="7"/>
  <c r="H1143" i="7"/>
  <c r="I1143" i="7"/>
  <c r="J1143" i="7"/>
  <c r="H1144" i="7"/>
  <c r="I1144" i="7"/>
  <c r="J1144" i="7"/>
  <c r="H1145" i="7"/>
  <c r="I1145" i="7"/>
  <c r="J1145" i="7"/>
  <c r="H1146" i="7"/>
  <c r="I1146" i="7"/>
  <c r="J1146" i="7"/>
  <c r="H1147" i="7"/>
  <c r="I1147" i="7"/>
  <c r="J1147" i="7"/>
  <c r="H1148" i="7"/>
  <c r="I1148" i="7"/>
  <c r="J1148" i="7"/>
  <c r="H1149" i="7"/>
  <c r="I1149" i="7"/>
  <c r="J1149" i="7"/>
  <c r="H1150" i="7"/>
  <c r="I1150" i="7"/>
  <c r="J1150" i="7"/>
  <c r="H1151" i="7"/>
  <c r="I1151" i="7"/>
  <c r="J1151" i="7"/>
  <c r="H1152" i="7"/>
  <c r="I1152" i="7"/>
  <c r="J1152" i="7"/>
  <c r="H1153" i="7"/>
  <c r="I1153" i="7"/>
  <c r="J1153" i="7"/>
  <c r="H1154" i="7"/>
  <c r="I1154" i="7"/>
  <c r="J1154" i="7"/>
  <c r="H1155" i="7"/>
  <c r="I1155" i="7"/>
  <c r="J1155" i="7"/>
  <c r="H1156" i="7"/>
  <c r="I1156" i="7"/>
  <c r="J1156" i="7"/>
  <c r="H1157" i="7"/>
  <c r="I1157" i="7"/>
  <c r="J1157" i="7"/>
  <c r="H1158" i="7"/>
  <c r="I1158" i="7"/>
  <c r="J1158" i="7"/>
  <c r="H1159" i="7"/>
  <c r="I1159" i="7"/>
  <c r="J1159" i="7"/>
  <c r="H1160" i="7"/>
  <c r="I1160" i="7"/>
  <c r="J1160" i="7"/>
  <c r="H1161" i="7"/>
  <c r="I1161" i="7"/>
  <c r="J1161" i="7"/>
  <c r="H1162" i="7"/>
  <c r="I1162" i="7"/>
  <c r="J1162" i="7"/>
  <c r="H1163" i="7"/>
  <c r="I1163" i="7"/>
  <c r="J1163" i="7"/>
  <c r="H1164" i="7"/>
  <c r="I1164" i="7"/>
  <c r="J1164" i="7"/>
  <c r="H1165" i="7"/>
  <c r="I1165" i="7"/>
  <c r="J1165" i="7"/>
  <c r="H1166" i="7"/>
  <c r="I1166" i="7"/>
  <c r="J1166" i="7"/>
  <c r="H1167" i="7"/>
  <c r="I1167" i="7"/>
  <c r="J1167" i="7"/>
  <c r="H1168" i="7"/>
  <c r="I1168" i="7"/>
  <c r="J1168" i="7"/>
  <c r="H1169" i="7"/>
  <c r="I1169" i="7"/>
  <c r="J1169" i="7"/>
  <c r="H1170" i="7"/>
  <c r="I1170" i="7"/>
  <c r="J1170" i="7"/>
  <c r="H1171" i="7"/>
  <c r="I1171" i="7"/>
  <c r="J1171" i="7"/>
  <c r="H1172" i="7"/>
  <c r="I1172" i="7"/>
  <c r="J1172" i="7"/>
  <c r="H1173" i="7"/>
  <c r="I1173" i="7"/>
  <c r="J1173" i="7"/>
  <c r="H1174" i="7"/>
  <c r="I1174" i="7"/>
  <c r="J1174" i="7"/>
  <c r="H1175" i="7"/>
  <c r="I1175" i="7"/>
  <c r="J1175" i="7"/>
  <c r="H1176" i="7"/>
  <c r="I1176" i="7"/>
  <c r="J1176" i="7"/>
  <c r="H1177" i="7"/>
  <c r="I1177" i="7"/>
  <c r="J1177" i="7"/>
  <c r="H1178" i="7"/>
  <c r="I1178" i="7"/>
  <c r="J1178" i="7"/>
  <c r="H1179" i="7"/>
  <c r="I1179" i="7"/>
  <c r="J1179" i="7"/>
  <c r="H1180" i="7"/>
  <c r="I1180" i="7"/>
  <c r="J1180" i="7"/>
  <c r="H1181" i="7"/>
  <c r="I1181" i="7"/>
  <c r="J1181" i="7"/>
  <c r="H1182" i="7"/>
  <c r="I1182" i="7"/>
  <c r="J1182" i="7"/>
  <c r="H1183" i="7"/>
  <c r="I1183" i="7"/>
  <c r="J1183" i="7"/>
  <c r="H1184" i="7"/>
  <c r="I1184" i="7"/>
  <c r="J1184" i="7"/>
  <c r="H1185" i="7"/>
  <c r="I1185" i="7"/>
  <c r="J1185" i="7"/>
  <c r="H1186" i="7"/>
  <c r="I1186" i="7"/>
  <c r="J1186" i="7"/>
  <c r="H1187" i="7"/>
  <c r="I1187" i="7"/>
  <c r="J1187" i="7"/>
  <c r="H1188" i="7"/>
  <c r="I1188" i="7"/>
  <c r="J1188" i="7"/>
  <c r="H1189" i="7"/>
  <c r="I1189" i="7"/>
  <c r="J1189" i="7"/>
  <c r="H1190" i="7"/>
  <c r="I1190" i="7"/>
  <c r="J1190" i="7"/>
  <c r="H1191" i="7"/>
  <c r="I1191" i="7"/>
  <c r="J1191" i="7"/>
  <c r="H1192" i="7"/>
  <c r="I1192" i="7"/>
  <c r="J1192" i="7"/>
  <c r="H1193" i="7"/>
  <c r="I1193" i="7"/>
  <c r="J1193" i="7"/>
  <c r="H1194" i="7"/>
  <c r="I1194" i="7"/>
  <c r="J1194" i="7"/>
  <c r="H1195" i="7"/>
  <c r="I1195" i="7"/>
  <c r="J1195" i="7"/>
  <c r="H1196" i="7"/>
  <c r="I1196" i="7"/>
  <c r="J1196" i="7"/>
  <c r="H1197" i="7"/>
  <c r="I1197" i="7"/>
  <c r="J1197" i="7"/>
  <c r="H1198" i="7"/>
  <c r="I1198" i="7"/>
  <c r="J1198" i="7"/>
  <c r="H1199" i="7"/>
  <c r="I1199" i="7"/>
  <c r="J1199" i="7"/>
  <c r="H1200" i="7"/>
  <c r="I1200" i="7"/>
  <c r="J1200" i="7"/>
  <c r="H1201" i="7"/>
  <c r="I1201" i="7"/>
  <c r="J1201" i="7"/>
  <c r="H1202" i="7"/>
  <c r="I1202" i="7"/>
  <c r="J1202" i="7"/>
  <c r="H1203" i="7"/>
  <c r="I1203" i="7"/>
  <c r="J1203" i="7"/>
  <c r="H1204" i="7"/>
  <c r="I1204" i="7"/>
  <c r="J1204" i="7"/>
  <c r="H1205" i="7"/>
  <c r="I1205" i="7"/>
  <c r="J1205" i="7"/>
  <c r="H1206" i="7"/>
  <c r="I1206" i="7"/>
  <c r="J1206" i="7"/>
  <c r="H1207" i="7"/>
  <c r="I1207" i="7"/>
  <c r="J1207" i="7"/>
  <c r="H1208" i="7"/>
  <c r="I1208" i="7"/>
  <c r="J1208" i="7"/>
  <c r="H1209" i="7"/>
  <c r="I1209" i="7"/>
  <c r="J1209" i="7"/>
  <c r="H1210" i="7"/>
  <c r="I1210" i="7"/>
  <c r="J1210" i="7"/>
  <c r="H1211" i="7"/>
  <c r="I1211" i="7"/>
  <c r="J1211" i="7"/>
  <c r="H1212" i="7"/>
  <c r="I1212" i="7"/>
  <c r="J1212" i="7"/>
  <c r="H1213" i="7"/>
  <c r="I1213" i="7"/>
  <c r="J1213" i="7"/>
  <c r="H1214" i="7"/>
  <c r="I1214" i="7"/>
  <c r="J1214" i="7"/>
  <c r="H1215" i="7"/>
  <c r="I1215" i="7"/>
  <c r="J1215" i="7"/>
  <c r="H1216" i="7"/>
  <c r="I1216" i="7"/>
  <c r="J1216" i="7"/>
  <c r="H1217" i="7"/>
  <c r="I1217" i="7"/>
  <c r="J1217" i="7"/>
  <c r="H1218" i="7"/>
  <c r="I1218" i="7"/>
  <c r="J1218" i="7"/>
  <c r="H1219" i="7"/>
  <c r="I1219" i="7"/>
  <c r="J1219" i="7"/>
  <c r="H1220" i="7"/>
  <c r="I1220" i="7"/>
  <c r="J1220" i="7"/>
  <c r="H1221" i="7"/>
  <c r="I1221" i="7"/>
  <c r="J1221" i="7"/>
  <c r="H1222" i="7"/>
  <c r="I1222" i="7"/>
  <c r="J1222" i="7"/>
  <c r="H1223" i="7"/>
  <c r="I1223" i="7"/>
  <c r="J1223" i="7"/>
  <c r="H1224" i="7"/>
  <c r="I1224" i="7"/>
  <c r="J1224" i="7"/>
  <c r="H1225" i="7"/>
  <c r="I1225" i="7"/>
  <c r="J1225" i="7"/>
  <c r="H1226" i="7"/>
  <c r="I1226" i="7"/>
  <c r="J1226" i="7"/>
  <c r="H1227" i="7"/>
  <c r="I1227" i="7"/>
  <c r="J1227" i="7"/>
  <c r="H1228" i="7"/>
  <c r="I1228" i="7"/>
  <c r="J1228" i="7"/>
  <c r="H1229" i="7"/>
  <c r="I1229" i="7"/>
  <c r="J1229" i="7"/>
  <c r="H1230" i="7"/>
  <c r="I1230" i="7"/>
  <c r="J1230" i="7"/>
  <c r="H1231" i="7"/>
  <c r="I1231" i="7"/>
  <c r="J1231" i="7"/>
  <c r="H1232" i="7"/>
  <c r="I1232" i="7"/>
  <c r="J1232" i="7"/>
  <c r="H1233" i="7"/>
  <c r="I1233" i="7"/>
  <c r="J1233" i="7"/>
  <c r="H1234" i="7"/>
  <c r="I1234" i="7"/>
  <c r="J1234" i="7"/>
  <c r="H1235" i="7"/>
  <c r="I1235" i="7"/>
  <c r="J1235" i="7"/>
  <c r="H1236" i="7"/>
  <c r="I1236" i="7"/>
  <c r="J1236" i="7"/>
  <c r="H1237" i="7"/>
  <c r="I1237" i="7"/>
  <c r="J1237" i="7"/>
  <c r="H1238" i="7"/>
  <c r="I1238" i="7"/>
  <c r="J1238" i="7"/>
  <c r="H1239" i="7"/>
  <c r="I1239" i="7"/>
  <c r="J1239" i="7"/>
  <c r="H1240" i="7"/>
  <c r="I1240" i="7"/>
  <c r="J1240" i="7"/>
  <c r="H1241" i="7"/>
  <c r="I1241" i="7"/>
  <c r="J1241" i="7"/>
  <c r="H1242" i="7"/>
  <c r="I1242" i="7"/>
  <c r="J1242" i="7"/>
  <c r="H1243" i="7"/>
  <c r="I1243" i="7"/>
  <c r="J1243" i="7"/>
  <c r="H1244" i="7"/>
  <c r="I1244" i="7"/>
  <c r="J1244" i="7"/>
  <c r="H1245" i="7"/>
  <c r="I1245" i="7"/>
  <c r="J1245" i="7"/>
  <c r="H1246" i="7"/>
  <c r="I1246" i="7"/>
  <c r="J1246" i="7"/>
  <c r="H1247" i="7"/>
  <c r="I1247" i="7"/>
  <c r="J1247" i="7"/>
  <c r="H1248" i="7"/>
  <c r="I1248" i="7"/>
  <c r="J1248" i="7"/>
  <c r="H1249" i="7"/>
  <c r="I1249" i="7"/>
  <c r="J1249" i="7"/>
  <c r="H1250" i="7"/>
  <c r="I1250" i="7"/>
  <c r="J1250" i="7"/>
  <c r="H1251" i="7"/>
  <c r="I1251" i="7"/>
  <c r="J1251" i="7"/>
  <c r="H1252" i="7"/>
  <c r="I1252" i="7"/>
  <c r="J1252" i="7"/>
  <c r="H1253" i="7"/>
  <c r="I1253" i="7"/>
  <c r="J1253" i="7"/>
  <c r="H1254" i="7"/>
  <c r="I1254" i="7"/>
  <c r="J1254" i="7"/>
  <c r="H1255" i="7"/>
  <c r="I1255" i="7"/>
  <c r="J1255" i="7"/>
  <c r="H1256" i="7"/>
  <c r="I1256" i="7"/>
  <c r="J1256" i="7"/>
  <c r="H1257" i="7"/>
  <c r="I1257" i="7"/>
  <c r="J1257" i="7"/>
  <c r="H1258" i="7"/>
  <c r="I1258" i="7"/>
  <c r="J1258" i="7"/>
  <c r="H1259" i="7"/>
  <c r="I1259" i="7"/>
  <c r="J1259" i="7"/>
  <c r="H1260" i="7"/>
  <c r="I1260" i="7"/>
  <c r="J1260" i="7"/>
  <c r="H1261" i="7"/>
  <c r="I1261" i="7"/>
  <c r="J1261" i="7"/>
  <c r="H1262" i="7"/>
  <c r="I1262" i="7"/>
  <c r="J1262" i="7"/>
  <c r="H1263" i="7"/>
  <c r="I1263" i="7"/>
  <c r="J1263" i="7"/>
  <c r="H1264" i="7"/>
  <c r="I1264" i="7"/>
  <c r="J1264" i="7"/>
  <c r="H1265" i="7"/>
  <c r="I1265" i="7"/>
  <c r="J1265" i="7"/>
  <c r="H1266" i="7"/>
  <c r="I1266" i="7"/>
  <c r="J1266" i="7"/>
  <c r="H1267" i="7"/>
  <c r="I1267" i="7"/>
  <c r="J1267" i="7"/>
  <c r="H1268" i="7"/>
  <c r="I1268" i="7"/>
  <c r="J1268" i="7"/>
  <c r="H1269" i="7"/>
  <c r="I1269" i="7"/>
  <c r="J1269" i="7"/>
  <c r="H1270" i="7"/>
  <c r="I1270" i="7"/>
  <c r="J1270" i="7"/>
  <c r="H1271" i="7"/>
  <c r="I1271" i="7"/>
  <c r="J1271" i="7"/>
  <c r="H1272" i="7"/>
  <c r="I1272" i="7"/>
  <c r="J1272" i="7"/>
  <c r="H1273" i="7"/>
  <c r="I1273" i="7"/>
  <c r="J1273" i="7"/>
  <c r="H1274" i="7"/>
  <c r="I1274" i="7"/>
  <c r="J1274" i="7"/>
  <c r="H1275" i="7"/>
  <c r="I1275" i="7"/>
  <c r="J1275" i="7"/>
  <c r="H1276" i="7"/>
  <c r="I1276" i="7"/>
  <c r="J1276" i="7"/>
  <c r="H1277" i="7"/>
  <c r="I1277" i="7"/>
  <c r="J1277" i="7"/>
  <c r="H1278" i="7"/>
  <c r="I1278" i="7"/>
  <c r="J1278" i="7"/>
  <c r="H1279" i="7"/>
  <c r="I1279" i="7"/>
  <c r="J1279" i="7"/>
  <c r="H1280" i="7"/>
  <c r="I1280" i="7"/>
  <c r="J1280" i="7"/>
  <c r="H1281" i="7"/>
  <c r="I1281" i="7"/>
  <c r="J1281" i="7"/>
  <c r="H1282" i="7"/>
  <c r="I1282" i="7"/>
  <c r="J1282" i="7"/>
  <c r="H1283" i="7"/>
  <c r="I1283" i="7"/>
  <c r="J1283" i="7"/>
  <c r="H1284" i="7"/>
  <c r="I1284" i="7"/>
  <c r="J1284" i="7"/>
  <c r="H1285" i="7"/>
  <c r="I1285" i="7"/>
  <c r="J1285" i="7"/>
  <c r="H1286" i="7"/>
  <c r="I1286" i="7"/>
  <c r="J1286" i="7"/>
  <c r="H1287" i="7"/>
  <c r="I1287" i="7"/>
  <c r="J1287" i="7"/>
  <c r="H1288" i="7"/>
  <c r="I1288" i="7"/>
  <c r="J1288" i="7"/>
  <c r="H1289" i="7"/>
  <c r="I1289" i="7"/>
  <c r="J1289" i="7"/>
  <c r="H1290" i="7"/>
  <c r="I1290" i="7"/>
  <c r="J1290" i="7"/>
  <c r="H1291" i="7"/>
  <c r="I1291" i="7"/>
  <c r="J1291" i="7"/>
  <c r="H1292" i="7"/>
  <c r="I1292" i="7"/>
  <c r="J1292" i="7"/>
  <c r="H1293" i="7"/>
  <c r="I1293" i="7"/>
  <c r="J1293" i="7"/>
  <c r="H1294" i="7"/>
  <c r="I1294" i="7"/>
  <c r="J1294" i="7"/>
  <c r="H1295" i="7"/>
  <c r="I1295" i="7"/>
  <c r="J1295" i="7"/>
  <c r="H1296" i="7"/>
  <c r="I1296" i="7"/>
  <c r="J1296" i="7"/>
  <c r="H1297" i="7"/>
  <c r="I1297" i="7"/>
  <c r="J1297" i="7"/>
  <c r="H1298" i="7"/>
  <c r="I1298" i="7"/>
  <c r="J1298" i="7"/>
  <c r="H1299" i="7"/>
  <c r="I1299" i="7"/>
  <c r="J1299" i="7"/>
  <c r="H1300" i="7"/>
  <c r="I1300" i="7"/>
  <c r="J1300" i="7"/>
  <c r="H1301" i="7"/>
  <c r="I1301" i="7"/>
  <c r="J1301" i="7"/>
  <c r="H1302" i="7"/>
  <c r="I1302" i="7"/>
  <c r="J1302" i="7"/>
  <c r="H1303" i="7"/>
  <c r="I1303" i="7"/>
  <c r="J1303" i="7"/>
  <c r="H1304" i="7"/>
  <c r="I1304" i="7"/>
  <c r="J1304" i="7"/>
  <c r="H1305" i="7"/>
  <c r="I1305" i="7"/>
  <c r="J1305" i="7"/>
  <c r="H1306" i="7"/>
  <c r="I1306" i="7"/>
  <c r="J1306" i="7"/>
  <c r="H1307" i="7"/>
  <c r="I1307" i="7"/>
  <c r="J1307" i="7"/>
  <c r="H1308" i="7"/>
  <c r="I1308" i="7"/>
  <c r="J1308" i="7"/>
  <c r="H1309" i="7"/>
  <c r="I1309" i="7"/>
  <c r="J1309" i="7"/>
  <c r="H1310" i="7"/>
  <c r="I1310" i="7"/>
  <c r="J1310" i="7"/>
  <c r="H1311" i="7"/>
  <c r="I1311" i="7"/>
  <c r="J1311" i="7"/>
  <c r="H1312" i="7"/>
  <c r="I1312" i="7"/>
  <c r="J1312" i="7"/>
  <c r="H1313" i="7"/>
  <c r="I1313" i="7"/>
  <c r="J1313" i="7"/>
  <c r="H1314" i="7"/>
  <c r="I1314" i="7"/>
  <c r="J1314" i="7"/>
  <c r="H1315" i="7"/>
  <c r="I1315" i="7"/>
  <c r="J1315" i="7"/>
  <c r="H1316" i="7"/>
  <c r="I1316" i="7"/>
  <c r="J1316" i="7"/>
  <c r="H1317" i="7"/>
  <c r="I1317" i="7"/>
  <c r="J1317" i="7"/>
  <c r="H1318" i="7"/>
  <c r="I1318" i="7"/>
  <c r="J1318" i="7"/>
  <c r="H1319" i="7"/>
  <c r="I1319" i="7"/>
  <c r="J1319" i="7"/>
  <c r="H1320" i="7"/>
  <c r="I1320" i="7"/>
  <c r="J1320" i="7"/>
  <c r="H1321" i="7"/>
  <c r="I1321" i="7"/>
  <c r="J1321" i="7"/>
  <c r="H1322" i="7"/>
  <c r="I1322" i="7"/>
  <c r="J1322" i="7"/>
  <c r="H1323" i="7"/>
  <c r="I1323" i="7"/>
  <c r="J1323" i="7"/>
  <c r="H1324" i="7"/>
  <c r="I1324" i="7"/>
  <c r="J1324" i="7"/>
  <c r="H1325" i="7"/>
  <c r="I1325" i="7"/>
  <c r="J1325" i="7"/>
  <c r="H1326" i="7"/>
  <c r="I1326" i="7"/>
  <c r="J1326" i="7"/>
  <c r="H1327" i="7"/>
  <c r="I1327" i="7"/>
  <c r="J1327" i="7"/>
  <c r="H1328" i="7"/>
  <c r="I1328" i="7"/>
  <c r="J1328" i="7"/>
  <c r="H1329" i="7"/>
  <c r="I1329" i="7"/>
  <c r="J1329" i="7"/>
  <c r="H1330" i="7"/>
  <c r="I1330" i="7"/>
  <c r="J1330" i="7"/>
  <c r="H1331" i="7"/>
  <c r="I1331" i="7"/>
  <c r="J1331" i="7"/>
  <c r="H1332" i="7"/>
  <c r="I1332" i="7"/>
  <c r="J1332" i="7"/>
  <c r="H1333" i="7"/>
  <c r="I1333" i="7"/>
  <c r="J1333" i="7"/>
  <c r="H1334" i="7"/>
  <c r="I1334" i="7"/>
  <c r="J1334" i="7"/>
  <c r="H1335" i="7"/>
  <c r="I1335" i="7"/>
  <c r="J1335" i="7"/>
  <c r="H1336" i="7"/>
  <c r="I1336" i="7"/>
  <c r="J1336" i="7"/>
  <c r="H1337" i="7"/>
  <c r="I1337" i="7"/>
  <c r="J1337" i="7"/>
  <c r="H1338" i="7"/>
  <c r="I1338" i="7"/>
  <c r="J1338" i="7"/>
  <c r="H1339" i="7"/>
  <c r="I1339" i="7"/>
  <c r="J1339" i="7"/>
  <c r="H1340" i="7"/>
  <c r="I1340" i="7"/>
  <c r="J1340" i="7"/>
  <c r="H1341" i="7"/>
  <c r="I1341" i="7"/>
  <c r="J1341" i="7"/>
  <c r="H1342" i="7"/>
  <c r="I1342" i="7"/>
  <c r="J1342" i="7"/>
  <c r="H1343" i="7"/>
  <c r="I1343" i="7"/>
  <c r="J1343" i="7"/>
  <c r="H1344" i="7"/>
  <c r="I1344" i="7"/>
  <c r="J1344" i="7"/>
  <c r="H1345" i="7"/>
  <c r="I1345" i="7"/>
  <c r="J1345" i="7"/>
  <c r="H1346" i="7"/>
  <c r="I1346" i="7"/>
  <c r="J1346" i="7"/>
  <c r="H1347" i="7"/>
  <c r="I1347" i="7"/>
  <c r="J1347" i="7"/>
  <c r="H1348" i="7"/>
  <c r="I1348" i="7"/>
  <c r="J1348" i="7"/>
  <c r="H1349" i="7"/>
  <c r="I1349" i="7"/>
  <c r="J1349" i="7"/>
  <c r="H1350" i="7"/>
  <c r="I1350" i="7"/>
  <c r="J1350" i="7"/>
  <c r="H1351" i="7"/>
  <c r="I1351" i="7"/>
  <c r="J1351" i="7"/>
  <c r="H1352" i="7"/>
  <c r="I1352" i="7"/>
  <c r="J1352" i="7"/>
  <c r="H1353" i="7"/>
  <c r="I1353" i="7"/>
  <c r="J1353" i="7"/>
  <c r="H1354" i="7"/>
  <c r="I1354" i="7"/>
  <c r="J1354" i="7"/>
  <c r="H1355" i="7"/>
  <c r="I1355" i="7"/>
  <c r="J1355" i="7"/>
  <c r="H1356" i="7"/>
  <c r="I1356" i="7"/>
  <c r="J1356" i="7"/>
  <c r="H1357" i="7"/>
  <c r="I1357" i="7"/>
  <c r="J1357" i="7"/>
  <c r="H1358" i="7"/>
  <c r="I1358" i="7"/>
  <c r="J1358" i="7"/>
  <c r="H1359" i="7"/>
  <c r="I1359" i="7"/>
  <c r="J1359" i="7"/>
  <c r="H1360" i="7"/>
  <c r="I1360" i="7"/>
  <c r="J1360" i="7"/>
  <c r="H1361" i="7"/>
  <c r="I1361" i="7"/>
  <c r="J1361" i="7"/>
  <c r="H1362" i="7"/>
  <c r="I1362" i="7"/>
  <c r="J1362" i="7"/>
  <c r="H1363" i="7"/>
  <c r="I1363" i="7"/>
  <c r="J1363" i="7"/>
  <c r="H1364" i="7"/>
  <c r="I1364" i="7"/>
  <c r="J1364" i="7"/>
  <c r="H1365" i="7"/>
  <c r="I1365" i="7"/>
  <c r="J1365" i="7"/>
  <c r="H1366" i="7"/>
  <c r="I1366" i="7"/>
  <c r="J1366" i="7"/>
  <c r="H1367" i="7"/>
  <c r="I1367" i="7"/>
  <c r="J1367" i="7"/>
  <c r="H1368" i="7"/>
  <c r="I1368" i="7"/>
  <c r="J1368" i="7"/>
  <c r="H1369" i="7"/>
  <c r="I1369" i="7"/>
  <c r="J1369" i="7"/>
  <c r="H1370" i="7"/>
  <c r="I1370" i="7"/>
  <c r="J1370" i="7"/>
  <c r="H1371" i="7"/>
  <c r="I1371" i="7"/>
  <c r="J1371" i="7"/>
  <c r="H1372" i="7"/>
  <c r="I1372" i="7"/>
  <c r="J1372" i="7"/>
  <c r="H1373" i="7"/>
  <c r="I1373" i="7"/>
  <c r="J1373" i="7"/>
  <c r="H1374" i="7"/>
  <c r="I1374" i="7"/>
  <c r="J1374" i="7"/>
  <c r="H1375" i="7"/>
  <c r="I1375" i="7"/>
  <c r="J1375" i="7"/>
  <c r="H1376" i="7"/>
  <c r="I1376" i="7"/>
  <c r="J1376" i="7"/>
  <c r="H1377" i="7"/>
  <c r="I1377" i="7"/>
  <c r="J1377" i="7"/>
  <c r="H1378" i="7"/>
  <c r="I1378" i="7"/>
  <c r="J1378" i="7"/>
  <c r="H1379" i="7"/>
  <c r="I1379" i="7"/>
  <c r="J1379" i="7"/>
  <c r="H1380" i="7"/>
  <c r="I1380" i="7"/>
  <c r="J1380" i="7"/>
  <c r="H1381" i="7"/>
  <c r="I1381" i="7"/>
  <c r="J1381" i="7"/>
  <c r="H1382" i="7"/>
  <c r="I1382" i="7"/>
  <c r="J1382" i="7"/>
  <c r="H1383" i="7"/>
  <c r="I1383" i="7"/>
  <c r="J1383" i="7"/>
  <c r="H1384" i="7"/>
  <c r="I1384" i="7"/>
  <c r="J1384" i="7"/>
  <c r="H1385" i="7"/>
  <c r="I1385" i="7"/>
  <c r="J1385" i="7"/>
  <c r="H1386" i="7"/>
  <c r="I1386" i="7"/>
  <c r="J1386" i="7"/>
  <c r="H1387" i="7"/>
  <c r="I1387" i="7"/>
  <c r="J1387" i="7"/>
  <c r="H1388" i="7"/>
  <c r="I1388" i="7"/>
  <c r="J1388" i="7"/>
  <c r="H1389" i="7"/>
  <c r="I1389" i="7"/>
  <c r="J1389" i="7"/>
  <c r="H1390" i="7"/>
  <c r="I1390" i="7"/>
  <c r="J1390" i="7"/>
  <c r="H1391" i="7"/>
  <c r="I1391" i="7"/>
  <c r="J1391" i="7"/>
  <c r="H1392" i="7"/>
  <c r="I1392" i="7"/>
  <c r="J1392" i="7"/>
  <c r="H1393" i="7"/>
  <c r="I1393" i="7"/>
  <c r="J1393" i="7"/>
  <c r="H1394" i="7"/>
  <c r="I1394" i="7"/>
  <c r="J1394" i="7"/>
  <c r="H1395" i="7"/>
  <c r="I1395" i="7"/>
  <c r="J1395" i="7"/>
  <c r="H1396" i="7"/>
  <c r="I1396" i="7"/>
  <c r="J1396" i="7"/>
  <c r="H1397" i="7"/>
  <c r="I1397" i="7"/>
  <c r="J1397" i="7"/>
  <c r="H1398" i="7"/>
  <c r="I1398" i="7"/>
  <c r="J1398" i="7"/>
  <c r="H1399" i="7"/>
  <c r="I1399" i="7"/>
  <c r="J1399" i="7"/>
  <c r="H1400" i="7"/>
  <c r="I1400" i="7"/>
  <c r="J1400" i="7"/>
  <c r="H1401" i="7"/>
  <c r="I1401" i="7"/>
  <c r="J1401" i="7"/>
  <c r="H1402" i="7"/>
  <c r="I1402" i="7"/>
  <c r="J1402" i="7"/>
  <c r="H1403" i="7"/>
  <c r="I1403" i="7"/>
  <c r="J1403" i="7"/>
  <c r="H1404" i="7"/>
  <c r="I1404" i="7"/>
  <c r="J1404" i="7"/>
  <c r="H1405" i="7"/>
  <c r="I1405" i="7"/>
  <c r="J1405" i="7"/>
  <c r="H1406" i="7"/>
  <c r="I1406" i="7"/>
  <c r="J1406" i="7"/>
  <c r="H1407" i="7"/>
  <c r="I1407" i="7"/>
  <c r="J1407" i="7"/>
  <c r="H1408" i="7"/>
  <c r="I1408" i="7"/>
  <c r="J1408" i="7"/>
  <c r="H1409" i="7"/>
  <c r="I1409" i="7"/>
  <c r="J1409" i="7"/>
  <c r="H1410" i="7"/>
  <c r="I1410" i="7"/>
  <c r="J1410" i="7"/>
  <c r="H1411" i="7"/>
  <c r="I1411" i="7"/>
  <c r="J1411" i="7"/>
  <c r="H1412" i="7"/>
  <c r="I1412" i="7"/>
  <c r="J1412" i="7"/>
  <c r="H1413" i="7"/>
  <c r="I1413" i="7"/>
  <c r="J1413" i="7"/>
  <c r="H1414" i="7"/>
  <c r="I1414" i="7"/>
  <c r="J1414" i="7"/>
  <c r="H1415" i="7"/>
  <c r="I1415" i="7"/>
  <c r="J1415" i="7"/>
  <c r="H1416" i="7"/>
  <c r="I1416" i="7"/>
  <c r="J1416" i="7"/>
  <c r="H1417" i="7"/>
  <c r="I1417" i="7"/>
  <c r="J1417" i="7"/>
  <c r="H1418" i="7"/>
  <c r="I1418" i="7"/>
  <c r="J1418" i="7"/>
  <c r="H1419" i="7"/>
  <c r="I1419" i="7"/>
  <c r="J1419" i="7"/>
  <c r="H1420" i="7"/>
  <c r="I1420" i="7"/>
  <c r="J1420" i="7"/>
  <c r="H1421" i="7"/>
  <c r="I1421" i="7"/>
  <c r="J1421" i="7"/>
  <c r="H1422" i="7"/>
  <c r="I1422" i="7"/>
  <c r="J1422" i="7"/>
  <c r="H1423" i="7"/>
  <c r="I1423" i="7"/>
  <c r="J1423" i="7"/>
  <c r="H1424" i="7"/>
  <c r="I1424" i="7"/>
  <c r="J1424" i="7"/>
  <c r="H1425" i="7"/>
  <c r="I1425" i="7"/>
  <c r="J1425" i="7"/>
  <c r="H1426" i="7"/>
  <c r="I1426" i="7"/>
  <c r="J1426" i="7"/>
  <c r="H1427" i="7"/>
  <c r="I1427" i="7"/>
  <c r="J1427" i="7"/>
  <c r="H1428" i="7"/>
  <c r="I1428" i="7"/>
  <c r="J1428" i="7"/>
  <c r="H1429" i="7"/>
  <c r="I1429" i="7"/>
  <c r="J1429" i="7"/>
  <c r="H1430" i="7"/>
  <c r="I1430" i="7"/>
  <c r="J1430" i="7"/>
  <c r="H1431" i="7"/>
  <c r="I1431" i="7"/>
  <c r="J1431" i="7"/>
  <c r="H1432" i="7"/>
  <c r="I1432" i="7"/>
  <c r="J1432" i="7"/>
  <c r="H1433" i="7"/>
  <c r="I1433" i="7"/>
  <c r="J1433" i="7"/>
  <c r="H1434" i="7"/>
  <c r="I1434" i="7"/>
  <c r="J1434" i="7"/>
  <c r="H1435" i="7"/>
  <c r="I1435" i="7"/>
  <c r="J1435" i="7"/>
  <c r="H1436" i="7"/>
  <c r="I1436" i="7"/>
  <c r="J1436" i="7"/>
  <c r="H1437" i="7"/>
  <c r="I1437" i="7"/>
  <c r="J1437" i="7"/>
  <c r="H1438" i="7"/>
  <c r="I1438" i="7"/>
  <c r="J1438" i="7"/>
  <c r="H1439" i="7"/>
  <c r="I1439" i="7"/>
  <c r="J1439" i="7"/>
  <c r="H1440" i="7"/>
  <c r="I1440" i="7"/>
  <c r="J1440" i="7"/>
  <c r="H1441" i="7"/>
  <c r="I1441" i="7"/>
  <c r="J1441" i="7"/>
  <c r="H1442" i="7"/>
  <c r="I1442" i="7"/>
  <c r="J1442" i="7"/>
  <c r="H1443" i="7"/>
  <c r="I1443" i="7"/>
  <c r="J1443" i="7"/>
  <c r="H1444" i="7"/>
  <c r="I1444" i="7"/>
  <c r="J1444" i="7"/>
  <c r="H1445" i="7"/>
  <c r="I1445" i="7"/>
  <c r="J1445" i="7"/>
  <c r="H1446" i="7"/>
  <c r="I1446" i="7"/>
  <c r="J1446" i="7"/>
  <c r="H1447" i="7"/>
  <c r="I1447" i="7"/>
  <c r="J1447" i="7"/>
  <c r="H1448" i="7"/>
  <c r="I1448" i="7"/>
  <c r="J1448" i="7"/>
  <c r="H1449" i="7"/>
  <c r="I1449" i="7"/>
  <c r="J1449" i="7"/>
  <c r="H1450" i="7"/>
  <c r="I1450" i="7"/>
  <c r="J1450" i="7"/>
  <c r="H1451" i="7"/>
  <c r="I1451" i="7"/>
  <c r="J1451" i="7"/>
  <c r="H1452" i="7"/>
  <c r="I1452" i="7"/>
  <c r="J1452" i="7"/>
  <c r="H1453" i="7"/>
  <c r="I1453" i="7"/>
  <c r="J1453" i="7"/>
  <c r="H1454" i="7"/>
  <c r="I1454" i="7"/>
  <c r="J1454" i="7"/>
  <c r="H1455" i="7"/>
  <c r="I1455" i="7"/>
  <c r="J1455" i="7"/>
  <c r="H1456" i="7"/>
  <c r="I1456" i="7"/>
  <c r="J1456" i="7"/>
  <c r="H1457" i="7"/>
  <c r="I1457" i="7"/>
  <c r="J1457" i="7"/>
  <c r="H1458" i="7"/>
  <c r="I1458" i="7"/>
  <c r="J1458" i="7"/>
  <c r="H1459" i="7"/>
  <c r="I1459" i="7"/>
  <c r="J1459" i="7"/>
  <c r="H1460" i="7"/>
  <c r="I1460" i="7"/>
  <c r="J1460" i="7"/>
  <c r="H1461" i="7"/>
  <c r="I1461" i="7"/>
  <c r="J1461" i="7"/>
  <c r="H1462" i="7"/>
  <c r="I1462" i="7"/>
  <c r="J1462" i="7"/>
  <c r="H1463" i="7"/>
  <c r="I1463" i="7"/>
  <c r="J1463" i="7"/>
  <c r="H1464" i="7"/>
  <c r="I1464" i="7"/>
  <c r="J1464" i="7"/>
  <c r="H1465" i="7"/>
  <c r="I1465" i="7"/>
  <c r="J1465" i="7"/>
  <c r="H1466" i="7"/>
  <c r="I1466" i="7"/>
  <c r="J1466" i="7"/>
  <c r="H1467" i="7"/>
  <c r="I1467" i="7"/>
  <c r="J1467" i="7"/>
  <c r="H1468" i="7"/>
  <c r="I1468" i="7"/>
  <c r="J1468" i="7"/>
  <c r="H1469" i="7"/>
  <c r="I1469" i="7"/>
  <c r="J1469" i="7"/>
  <c r="H1470" i="7"/>
  <c r="I1470" i="7"/>
  <c r="J1470" i="7"/>
  <c r="H1471" i="7"/>
  <c r="I1471" i="7"/>
  <c r="J1471" i="7"/>
  <c r="H1472" i="7"/>
  <c r="I1472" i="7"/>
  <c r="J1472" i="7"/>
  <c r="H1473" i="7"/>
  <c r="I1473" i="7"/>
  <c r="J1473" i="7"/>
  <c r="H1474" i="7"/>
  <c r="I1474" i="7"/>
  <c r="J1474" i="7"/>
  <c r="H1475" i="7"/>
  <c r="I1475" i="7"/>
  <c r="J1475" i="7"/>
  <c r="H1476" i="7"/>
  <c r="I1476" i="7"/>
  <c r="J1476" i="7"/>
  <c r="H1477" i="7"/>
  <c r="I1477" i="7"/>
  <c r="J1477" i="7"/>
  <c r="H1478" i="7"/>
  <c r="I1478" i="7"/>
  <c r="J1478" i="7"/>
  <c r="H1479" i="7"/>
  <c r="I1479" i="7"/>
  <c r="J1479" i="7"/>
  <c r="H1480" i="7"/>
  <c r="I1480" i="7"/>
  <c r="J1480" i="7"/>
  <c r="H1481" i="7"/>
  <c r="I1481" i="7"/>
  <c r="J1481" i="7"/>
  <c r="H1482" i="7"/>
  <c r="I1482" i="7"/>
  <c r="J1482" i="7"/>
  <c r="H1483" i="7"/>
  <c r="I1483" i="7"/>
  <c r="J1483" i="7"/>
  <c r="H1484" i="7"/>
  <c r="I1484" i="7"/>
  <c r="J1484" i="7"/>
  <c r="H1485" i="7"/>
  <c r="I1485" i="7"/>
  <c r="J1485" i="7"/>
  <c r="H1486" i="7"/>
  <c r="I1486" i="7"/>
  <c r="J1486" i="7"/>
  <c r="H1487" i="7"/>
  <c r="I1487" i="7"/>
  <c r="J1487" i="7"/>
  <c r="H1488" i="7"/>
  <c r="I1488" i="7"/>
  <c r="J1488" i="7"/>
  <c r="H1489" i="7"/>
  <c r="I1489" i="7"/>
  <c r="J1489" i="7"/>
  <c r="H1490" i="7"/>
  <c r="I1490" i="7"/>
  <c r="J1490" i="7"/>
  <c r="H1491" i="7"/>
  <c r="I1491" i="7"/>
  <c r="J1491" i="7"/>
  <c r="H1492" i="7"/>
  <c r="I1492" i="7"/>
  <c r="J1492" i="7"/>
  <c r="H1493" i="7"/>
  <c r="I1493" i="7"/>
  <c r="J1493" i="7"/>
  <c r="H1494" i="7"/>
  <c r="I1494" i="7"/>
  <c r="J1494" i="7"/>
  <c r="H1495" i="7"/>
  <c r="I1495" i="7"/>
  <c r="J1495" i="7"/>
  <c r="H1496" i="7"/>
  <c r="I1496" i="7"/>
  <c r="J1496" i="7"/>
  <c r="H1497" i="7"/>
  <c r="I1497" i="7"/>
  <c r="J1497" i="7"/>
  <c r="H1498" i="7"/>
  <c r="I1498" i="7"/>
  <c r="J1498" i="7"/>
  <c r="H1499" i="7"/>
  <c r="I1499" i="7"/>
  <c r="J1499" i="7"/>
  <c r="H1500" i="7"/>
  <c r="I1500" i="7"/>
  <c r="J1500" i="7"/>
  <c r="H1501" i="7"/>
  <c r="I1501" i="7"/>
  <c r="J1501" i="7"/>
  <c r="H1502" i="7"/>
  <c r="I1502" i="7"/>
  <c r="J1502" i="7"/>
  <c r="H1503" i="7"/>
  <c r="I1503" i="7"/>
  <c r="J1503" i="7"/>
  <c r="H1504" i="7"/>
  <c r="I1504" i="7"/>
  <c r="J1504" i="7"/>
  <c r="H1505" i="7"/>
  <c r="I1505" i="7"/>
  <c r="J1505" i="7"/>
  <c r="H1506" i="7"/>
  <c r="I1506" i="7"/>
  <c r="J1506" i="7"/>
  <c r="H1507" i="7"/>
  <c r="I1507" i="7"/>
  <c r="J1507" i="7"/>
  <c r="H1508" i="7"/>
  <c r="I1508" i="7"/>
  <c r="J1508" i="7"/>
  <c r="H1509" i="7"/>
  <c r="I1509" i="7"/>
  <c r="J1509" i="7"/>
  <c r="H1510" i="7"/>
  <c r="I1510" i="7"/>
  <c r="J1510" i="7"/>
  <c r="H1511" i="7"/>
  <c r="I1511" i="7"/>
  <c r="J1511" i="7"/>
  <c r="H1512" i="7"/>
  <c r="I1512" i="7"/>
  <c r="J1512" i="7"/>
  <c r="H1513" i="7"/>
  <c r="I1513" i="7"/>
  <c r="J1513" i="7"/>
  <c r="H1514" i="7"/>
  <c r="I1514" i="7"/>
  <c r="J1514" i="7"/>
  <c r="H1515" i="7"/>
  <c r="I1515" i="7"/>
  <c r="J1515" i="7"/>
  <c r="H1516" i="7"/>
  <c r="I1516" i="7"/>
  <c r="J1516" i="7"/>
  <c r="H1517" i="7"/>
  <c r="I1517" i="7"/>
  <c r="J1517" i="7"/>
  <c r="H1518" i="7"/>
  <c r="I1518" i="7"/>
  <c r="J1518" i="7"/>
  <c r="H1519" i="7"/>
  <c r="I1519" i="7"/>
  <c r="J1519" i="7"/>
  <c r="H1520" i="7"/>
  <c r="I1520" i="7"/>
  <c r="J1520" i="7"/>
  <c r="H1521" i="7"/>
  <c r="I1521" i="7"/>
  <c r="J1521" i="7"/>
  <c r="H1522" i="7"/>
  <c r="I1522" i="7"/>
  <c r="J1522" i="7"/>
  <c r="H1523" i="7"/>
  <c r="I1523" i="7"/>
  <c r="J1523" i="7"/>
  <c r="H1524" i="7"/>
  <c r="I1524" i="7"/>
  <c r="J1524" i="7"/>
  <c r="H1525" i="7"/>
  <c r="I1525" i="7"/>
  <c r="J1525" i="7"/>
  <c r="H1526" i="7"/>
  <c r="I1526" i="7"/>
  <c r="J1526" i="7"/>
  <c r="H1527" i="7"/>
  <c r="I1527" i="7"/>
  <c r="J1527" i="7"/>
  <c r="H1528" i="7"/>
  <c r="I1528" i="7"/>
  <c r="J1528" i="7"/>
  <c r="H1529" i="7"/>
  <c r="I1529" i="7"/>
  <c r="J1529" i="7"/>
  <c r="H1530" i="7"/>
  <c r="I1530" i="7"/>
  <c r="J1530" i="7"/>
  <c r="H1531" i="7"/>
  <c r="I1531" i="7"/>
  <c r="J1531" i="7"/>
  <c r="H1532" i="7"/>
  <c r="I1532" i="7"/>
  <c r="J1532" i="7"/>
  <c r="H1533" i="7"/>
  <c r="I1533" i="7"/>
  <c r="J1533" i="7"/>
  <c r="H1534" i="7"/>
  <c r="I1534" i="7"/>
  <c r="J1534" i="7"/>
  <c r="H1535" i="7"/>
  <c r="I1535" i="7"/>
  <c r="J1535" i="7"/>
  <c r="H1536" i="7"/>
  <c r="I1536" i="7"/>
  <c r="J1536" i="7"/>
  <c r="H1537" i="7"/>
  <c r="I1537" i="7"/>
  <c r="J1537" i="7"/>
  <c r="H1538" i="7"/>
  <c r="I1538" i="7"/>
  <c r="J1538" i="7"/>
  <c r="H1539" i="7"/>
  <c r="I1539" i="7"/>
  <c r="J1539" i="7"/>
  <c r="H1540" i="7"/>
  <c r="I1540" i="7"/>
  <c r="J1540" i="7"/>
  <c r="H1541" i="7"/>
  <c r="I1541" i="7"/>
  <c r="J1541" i="7"/>
  <c r="H1542" i="7"/>
  <c r="I1542" i="7"/>
  <c r="J1542" i="7"/>
  <c r="H1543" i="7"/>
  <c r="I1543" i="7"/>
  <c r="J1543" i="7"/>
  <c r="H1544" i="7"/>
  <c r="I1544" i="7"/>
  <c r="J1544" i="7"/>
  <c r="H1545" i="7"/>
  <c r="I1545" i="7"/>
  <c r="J1545" i="7"/>
  <c r="H1546" i="7"/>
  <c r="I1546" i="7"/>
  <c r="J1546" i="7"/>
  <c r="H1547" i="7"/>
  <c r="I1547" i="7"/>
  <c r="J1547" i="7"/>
  <c r="H1548" i="7"/>
  <c r="I1548" i="7"/>
  <c r="J1548" i="7"/>
  <c r="H1549" i="7"/>
  <c r="I1549" i="7"/>
  <c r="J1549" i="7"/>
  <c r="H1550" i="7"/>
  <c r="I1550" i="7"/>
  <c r="J1550" i="7"/>
  <c r="H1551" i="7"/>
  <c r="I1551" i="7"/>
  <c r="J1551" i="7"/>
  <c r="H1552" i="7"/>
  <c r="I1552" i="7"/>
  <c r="J1552" i="7"/>
  <c r="H1553" i="7"/>
  <c r="I1553" i="7"/>
  <c r="J1553" i="7"/>
  <c r="H1554" i="7"/>
  <c r="I1554" i="7"/>
  <c r="J1554" i="7"/>
  <c r="H1555" i="7"/>
  <c r="I1555" i="7"/>
  <c r="J1555" i="7"/>
  <c r="H1556" i="7"/>
  <c r="I1556" i="7"/>
  <c r="J1556" i="7"/>
  <c r="H1557" i="7"/>
  <c r="I1557" i="7"/>
  <c r="J1557" i="7"/>
  <c r="H1558" i="7"/>
  <c r="I1558" i="7"/>
  <c r="J1558" i="7"/>
  <c r="H1559" i="7"/>
  <c r="I1559" i="7"/>
  <c r="J1559" i="7"/>
  <c r="H1560" i="7"/>
  <c r="I1560" i="7"/>
  <c r="J1560" i="7"/>
  <c r="H1561" i="7"/>
  <c r="I1561" i="7"/>
  <c r="J1561" i="7"/>
  <c r="H1562" i="7"/>
  <c r="I1562" i="7"/>
  <c r="J1562" i="7"/>
  <c r="H1563" i="7"/>
  <c r="I1563" i="7"/>
  <c r="J1563" i="7"/>
  <c r="H1564" i="7"/>
  <c r="I1564" i="7"/>
  <c r="J1564" i="7"/>
  <c r="H1565" i="7"/>
  <c r="I1565" i="7"/>
  <c r="J1565" i="7"/>
  <c r="H1566" i="7"/>
  <c r="I1566" i="7"/>
  <c r="J1566" i="7"/>
  <c r="H1567" i="7"/>
  <c r="I1567" i="7"/>
  <c r="J1567" i="7"/>
  <c r="H1568" i="7"/>
  <c r="I1568" i="7"/>
  <c r="J1568" i="7"/>
  <c r="H1569" i="7"/>
  <c r="I1569" i="7"/>
  <c r="J1569" i="7"/>
  <c r="H1570" i="7"/>
  <c r="I1570" i="7"/>
  <c r="J1570" i="7"/>
  <c r="H1571" i="7"/>
  <c r="I1571" i="7"/>
  <c r="J1571" i="7"/>
  <c r="H1572" i="7"/>
  <c r="I1572" i="7"/>
  <c r="J1572" i="7"/>
  <c r="H1573" i="7"/>
  <c r="I1573" i="7"/>
  <c r="J1573" i="7"/>
  <c r="H1574" i="7"/>
  <c r="I1574" i="7"/>
  <c r="J1574" i="7"/>
  <c r="H1575" i="7"/>
  <c r="I1575" i="7"/>
  <c r="J1575" i="7"/>
  <c r="H1576" i="7"/>
  <c r="I1576" i="7"/>
  <c r="J1576" i="7"/>
  <c r="H1577" i="7"/>
  <c r="I1577" i="7"/>
  <c r="J1577" i="7"/>
  <c r="H1578" i="7"/>
  <c r="I1578" i="7"/>
  <c r="J1578" i="7"/>
  <c r="H1579" i="7"/>
  <c r="I1579" i="7"/>
  <c r="J1579" i="7"/>
  <c r="H1580" i="7"/>
  <c r="I1580" i="7"/>
  <c r="J1580" i="7"/>
  <c r="H1581" i="7"/>
  <c r="I1581" i="7"/>
  <c r="J1581" i="7"/>
  <c r="H1582" i="7"/>
  <c r="I1582" i="7"/>
  <c r="J1582" i="7"/>
  <c r="H1583" i="7"/>
  <c r="I1583" i="7"/>
  <c r="J1583" i="7"/>
  <c r="H1584" i="7"/>
  <c r="I1584" i="7"/>
  <c r="J1584" i="7"/>
  <c r="H1585" i="7"/>
  <c r="I1585" i="7"/>
  <c r="J1585" i="7"/>
  <c r="H1586" i="7"/>
  <c r="I1586" i="7"/>
  <c r="J1586" i="7"/>
  <c r="H1587" i="7"/>
  <c r="I1587" i="7"/>
  <c r="J1587" i="7"/>
  <c r="H1588" i="7"/>
  <c r="I1588" i="7"/>
  <c r="J1588" i="7"/>
  <c r="H1589" i="7"/>
  <c r="I1589" i="7"/>
  <c r="J1589" i="7"/>
  <c r="H1590" i="7"/>
  <c r="I1590" i="7"/>
  <c r="J1590" i="7"/>
  <c r="H1591" i="7"/>
  <c r="I1591" i="7"/>
  <c r="J1591" i="7"/>
  <c r="H1592" i="7"/>
  <c r="I1592" i="7"/>
  <c r="J1592" i="7"/>
  <c r="H1593" i="7"/>
  <c r="I1593" i="7"/>
  <c r="J1593" i="7"/>
  <c r="H1594" i="7"/>
  <c r="I1594" i="7"/>
  <c r="J1594" i="7"/>
  <c r="H1595" i="7"/>
  <c r="I1595" i="7"/>
  <c r="J1595" i="7"/>
  <c r="H1596" i="7"/>
  <c r="I1596" i="7"/>
  <c r="J1596" i="7"/>
  <c r="H1597" i="7"/>
  <c r="I1597" i="7"/>
  <c r="J1597" i="7"/>
  <c r="H1598" i="7"/>
  <c r="I1598" i="7"/>
  <c r="J1598" i="7"/>
  <c r="H1599" i="7"/>
  <c r="I1599" i="7"/>
  <c r="J1599" i="7"/>
  <c r="H1600" i="7"/>
  <c r="I1600" i="7"/>
  <c r="J1600" i="7"/>
  <c r="H1601" i="7"/>
  <c r="I1601" i="7"/>
  <c r="J1601" i="7"/>
  <c r="H1602" i="7"/>
  <c r="I1602" i="7"/>
  <c r="J1602" i="7"/>
  <c r="H1603" i="7"/>
  <c r="I1603" i="7"/>
  <c r="J1603" i="7"/>
  <c r="H1604" i="7"/>
  <c r="I1604" i="7"/>
  <c r="J1604" i="7"/>
  <c r="H1605" i="7"/>
  <c r="I1605" i="7"/>
  <c r="J1605" i="7"/>
  <c r="H1606" i="7"/>
  <c r="I1606" i="7"/>
  <c r="J1606" i="7"/>
  <c r="H1607" i="7"/>
  <c r="I1607" i="7"/>
  <c r="J1607" i="7"/>
  <c r="H1608" i="7"/>
  <c r="I1608" i="7"/>
  <c r="J1608" i="7"/>
  <c r="H1609" i="7"/>
  <c r="I1609" i="7"/>
  <c r="J1609" i="7"/>
  <c r="H1610" i="7"/>
  <c r="I1610" i="7"/>
  <c r="J1610" i="7"/>
  <c r="H1611" i="7"/>
  <c r="I1611" i="7"/>
  <c r="J1611" i="7"/>
  <c r="H1612" i="7"/>
  <c r="I1612" i="7"/>
  <c r="J1612" i="7"/>
  <c r="H1613" i="7"/>
  <c r="I1613" i="7"/>
  <c r="J1613" i="7"/>
  <c r="H1614" i="7"/>
  <c r="I1614" i="7"/>
  <c r="J1614" i="7"/>
  <c r="H1615" i="7"/>
  <c r="I1615" i="7"/>
  <c r="J1615" i="7"/>
  <c r="H1616" i="7"/>
  <c r="I1616" i="7"/>
  <c r="J1616" i="7"/>
  <c r="H1617" i="7"/>
  <c r="I1617" i="7"/>
  <c r="J1617" i="7"/>
  <c r="H1618" i="7"/>
  <c r="I1618" i="7"/>
  <c r="J1618" i="7"/>
  <c r="H1619" i="7"/>
  <c r="I1619" i="7"/>
  <c r="J1619" i="7"/>
  <c r="H1620" i="7"/>
  <c r="I1620" i="7"/>
  <c r="J1620" i="7"/>
  <c r="H1621" i="7"/>
  <c r="I1621" i="7"/>
  <c r="J1621" i="7"/>
  <c r="H1622" i="7"/>
  <c r="I1622" i="7"/>
  <c r="J1622" i="7"/>
  <c r="H1623" i="7"/>
  <c r="I1623" i="7"/>
  <c r="J1623" i="7"/>
  <c r="H1624" i="7"/>
  <c r="I1624" i="7"/>
  <c r="J1624" i="7"/>
  <c r="H1625" i="7"/>
  <c r="I1625" i="7"/>
  <c r="J1625" i="7"/>
  <c r="H1626" i="7"/>
  <c r="I1626" i="7"/>
  <c r="J1626" i="7"/>
  <c r="H1627" i="7"/>
  <c r="I1627" i="7"/>
  <c r="J1627" i="7"/>
  <c r="H1628" i="7"/>
  <c r="I1628" i="7"/>
  <c r="J1628" i="7"/>
  <c r="H1629" i="7"/>
  <c r="I1629" i="7"/>
  <c r="J1629" i="7"/>
  <c r="H1630" i="7"/>
  <c r="I1630" i="7"/>
  <c r="J1630" i="7"/>
  <c r="H1631" i="7"/>
  <c r="I1631" i="7"/>
  <c r="J1631" i="7"/>
  <c r="H1632" i="7"/>
  <c r="I1632" i="7"/>
  <c r="J1632" i="7"/>
  <c r="H1633" i="7"/>
  <c r="I1633" i="7"/>
  <c r="J1633" i="7"/>
  <c r="H1634" i="7"/>
  <c r="I1634" i="7"/>
  <c r="J1634" i="7"/>
  <c r="H1635" i="7"/>
  <c r="I1635" i="7"/>
  <c r="J1635" i="7"/>
  <c r="H1636" i="7"/>
  <c r="I1636" i="7"/>
  <c r="J1636" i="7"/>
  <c r="H1637" i="7"/>
  <c r="I1637" i="7"/>
  <c r="J1637" i="7"/>
  <c r="H1638" i="7"/>
  <c r="I1638" i="7"/>
  <c r="J1638" i="7"/>
  <c r="H1639" i="7"/>
  <c r="I1639" i="7"/>
  <c r="J1639" i="7"/>
  <c r="H1640" i="7"/>
  <c r="I1640" i="7"/>
  <c r="J1640" i="7"/>
  <c r="H1641" i="7"/>
  <c r="I1641" i="7"/>
  <c r="J1641" i="7"/>
  <c r="H1642" i="7"/>
  <c r="I1642" i="7"/>
  <c r="J1642" i="7"/>
  <c r="H1643" i="7"/>
  <c r="I1643" i="7"/>
  <c r="J1643" i="7"/>
  <c r="H1644" i="7"/>
  <c r="I1644" i="7"/>
  <c r="J1644" i="7"/>
  <c r="H1645" i="7"/>
  <c r="I1645" i="7"/>
  <c r="J1645" i="7"/>
  <c r="H1646" i="7"/>
  <c r="I1646" i="7"/>
  <c r="J1646" i="7"/>
  <c r="H1647" i="7"/>
  <c r="I1647" i="7"/>
  <c r="J1647" i="7"/>
  <c r="H1648" i="7"/>
  <c r="I1648" i="7"/>
  <c r="J1648" i="7"/>
  <c r="H1649" i="7"/>
  <c r="I1649" i="7"/>
  <c r="J1649" i="7"/>
  <c r="H1650" i="7"/>
  <c r="I1650" i="7"/>
  <c r="J1650" i="7"/>
  <c r="H1651" i="7"/>
  <c r="I1651" i="7"/>
  <c r="J1651" i="7"/>
  <c r="H1652" i="7"/>
  <c r="I1652" i="7"/>
  <c r="J1652" i="7"/>
  <c r="H1653" i="7"/>
  <c r="I1653" i="7"/>
  <c r="J1653" i="7"/>
  <c r="H1654" i="7"/>
  <c r="I1654" i="7"/>
  <c r="J1654" i="7"/>
  <c r="H1655" i="7"/>
  <c r="I1655" i="7"/>
  <c r="J1655" i="7"/>
  <c r="H1656" i="7"/>
  <c r="I1656" i="7"/>
  <c r="J1656" i="7"/>
  <c r="H1657" i="7"/>
  <c r="I1657" i="7"/>
  <c r="J1657" i="7"/>
  <c r="H1658" i="7"/>
  <c r="I1658" i="7"/>
  <c r="J1658" i="7"/>
  <c r="H1659" i="7"/>
  <c r="I1659" i="7"/>
  <c r="J1659" i="7"/>
  <c r="H1660" i="7"/>
  <c r="I1660" i="7"/>
  <c r="J1660" i="7"/>
  <c r="H1661" i="7"/>
  <c r="I1661" i="7"/>
  <c r="J1661" i="7"/>
  <c r="H1662" i="7"/>
  <c r="I1662" i="7"/>
  <c r="J1662" i="7"/>
  <c r="H1663" i="7"/>
  <c r="I1663" i="7"/>
  <c r="J1663" i="7"/>
  <c r="H1664" i="7"/>
  <c r="I1664" i="7"/>
  <c r="J1664" i="7"/>
  <c r="H1665" i="7"/>
  <c r="I1665" i="7"/>
  <c r="J1665" i="7"/>
  <c r="H1666" i="7"/>
  <c r="I1666" i="7"/>
  <c r="J1666" i="7"/>
  <c r="H1667" i="7"/>
  <c r="I1667" i="7"/>
  <c r="J1667" i="7"/>
  <c r="H1668" i="7"/>
  <c r="I1668" i="7"/>
  <c r="J1668" i="7"/>
  <c r="H1669" i="7"/>
  <c r="I1669" i="7"/>
  <c r="J1669" i="7"/>
  <c r="H1670" i="7"/>
  <c r="I1670" i="7"/>
  <c r="J1670" i="7"/>
  <c r="H1671" i="7"/>
  <c r="I1671" i="7"/>
  <c r="J1671" i="7"/>
  <c r="H1672" i="7"/>
  <c r="I1672" i="7"/>
  <c r="J1672" i="7"/>
  <c r="H1673" i="7"/>
  <c r="I1673" i="7"/>
  <c r="J1673" i="7"/>
  <c r="H1674" i="7"/>
  <c r="I1674" i="7"/>
  <c r="J1674" i="7"/>
  <c r="H1675" i="7"/>
  <c r="I1675" i="7"/>
  <c r="J1675" i="7"/>
  <c r="H1676" i="7"/>
  <c r="I1676" i="7"/>
  <c r="J1676" i="7"/>
  <c r="H1677" i="7"/>
  <c r="I1677" i="7"/>
  <c r="J1677" i="7"/>
  <c r="H1678" i="7"/>
  <c r="I1678" i="7"/>
  <c r="J1678" i="7"/>
  <c r="H1679" i="7"/>
  <c r="I1679" i="7"/>
  <c r="J1679" i="7"/>
  <c r="H1680" i="7"/>
  <c r="I1680" i="7"/>
  <c r="J1680" i="7"/>
  <c r="H1681" i="7"/>
  <c r="I1681" i="7"/>
  <c r="J1681" i="7"/>
  <c r="H1682" i="7"/>
  <c r="I1682" i="7"/>
  <c r="J1682" i="7"/>
  <c r="H1683" i="7"/>
  <c r="I1683" i="7"/>
  <c r="J1683" i="7"/>
  <c r="H1684" i="7"/>
  <c r="I1684" i="7"/>
  <c r="J1684" i="7"/>
  <c r="H1685" i="7"/>
  <c r="I1685" i="7"/>
  <c r="J1685" i="7"/>
  <c r="H1686" i="7"/>
  <c r="I1686" i="7"/>
  <c r="J1686" i="7"/>
  <c r="H1687" i="7"/>
  <c r="I1687" i="7"/>
  <c r="J1687" i="7"/>
  <c r="H1688" i="7"/>
  <c r="I1688" i="7"/>
  <c r="J1688" i="7"/>
  <c r="H1689" i="7"/>
  <c r="I1689" i="7"/>
  <c r="J1689" i="7"/>
  <c r="H1690" i="7"/>
  <c r="I1690" i="7"/>
  <c r="J1690" i="7"/>
  <c r="H1691" i="7"/>
  <c r="I1691" i="7"/>
  <c r="J1691" i="7"/>
  <c r="H1692" i="7"/>
  <c r="I1692" i="7"/>
  <c r="J1692" i="7"/>
  <c r="H1693" i="7"/>
  <c r="I1693" i="7"/>
  <c r="J1693" i="7"/>
  <c r="H1694" i="7"/>
  <c r="I1694" i="7"/>
  <c r="J1694" i="7"/>
  <c r="H1695" i="7"/>
  <c r="I1695" i="7"/>
  <c r="J1695" i="7"/>
  <c r="H1696" i="7"/>
  <c r="I1696" i="7"/>
  <c r="J1696" i="7"/>
  <c r="H1697" i="7"/>
  <c r="I1697" i="7"/>
  <c r="J1697" i="7"/>
  <c r="H1698" i="7"/>
  <c r="I1698" i="7"/>
  <c r="J1698" i="7"/>
  <c r="H1699" i="7"/>
  <c r="I1699" i="7"/>
  <c r="J1699" i="7"/>
  <c r="H1700" i="7"/>
  <c r="I1700" i="7"/>
  <c r="J1700" i="7"/>
  <c r="H1701" i="7"/>
  <c r="I1701" i="7"/>
  <c r="J1701" i="7"/>
  <c r="H1702" i="7"/>
  <c r="I1702" i="7"/>
  <c r="J1702" i="7"/>
  <c r="H1703" i="7"/>
  <c r="I1703" i="7"/>
  <c r="J1703" i="7"/>
  <c r="H1704" i="7"/>
  <c r="I1704" i="7"/>
  <c r="J1704" i="7"/>
  <c r="H1705" i="7"/>
  <c r="I1705" i="7"/>
  <c r="J1705" i="7"/>
  <c r="H1706" i="7"/>
  <c r="I1706" i="7"/>
  <c r="J1706" i="7"/>
  <c r="H1707" i="7"/>
  <c r="I1707" i="7"/>
  <c r="J1707" i="7"/>
  <c r="H1708" i="7"/>
  <c r="I1708" i="7"/>
  <c r="J1708" i="7"/>
  <c r="H1709" i="7"/>
  <c r="I1709" i="7"/>
  <c r="J1709" i="7"/>
  <c r="H1710" i="7"/>
  <c r="I1710" i="7"/>
  <c r="J1710" i="7"/>
  <c r="H1711" i="7"/>
  <c r="I1711" i="7"/>
  <c r="J1711" i="7"/>
  <c r="H1712" i="7"/>
  <c r="I1712" i="7"/>
  <c r="J1712" i="7"/>
  <c r="H1713" i="7"/>
  <c r="I1713" i="7"/>
  <c r="J1713" i="7"/>
  <c r="H1714" i="7"/>
  <c r="I1714" i="7"/>
  <c r="J1714" i="7"/>
  <c r="H1715" i="7"/>
  <c r="I1715" i="7"/>
  <c r="J1715" i="7"/>
  <c r="H1716" i="7"/>
  <c r="I1716" i="7"/>
  <c r="J1716" i="7"/>
  <c r="H1717" i="7"/>
  <c r="I1717" i="7"/>
  <c r="J1717" i="7"/>
  <c r="H1718" i="7"/>
  <c r="I1718" i="7"/>
  <c r="J1718" i="7"/>
  <c r="H1719" i="7"/>
  <c r="I1719" i="7"/>
  <c r="J1719" i="7"/>
  <c r="H1720" i="7"/>
  <c r="I1720" i="7"/>
  <c r="J1720" i="7"/>
  <c r="H1721" i="7"/>
  <c r="I1721" i="7"/>
  <c r="J1721" i="7"/>
  <c r="H1722" i="7"/>
  <c r="I1722" i="7"/>
  <c r="J1722" i="7"/>
  <c r="H1723" i="7"/>
  <c r="I1723" i="7"/>
  <c r="J1723" i="7"/>
  <c r="H1724" i="7"/>
  <c r="I1724" i="7"/>
  <c r="J1724" i="7"/>
  <c r="H1725" i="7"/>
  <c r="I1725" i="7"/>
  <c r="J1725" i="7"/>
  <c r="H1726" i="7"/>
  <c r="I1726" i="7"/>
  <c r="J1726" i="7"/>
  <c r="H1727" i="7"/>
  <c r="I1727" i="7"/>
  <c r="J1727" i="7"/>
  <c r="H1728" i="7"/>
  <c r="I1728" i="7"/>
  <c r="J1728" i="7"/>
  <c r="H1729" i="7"/>
  <c r="I1729" i="7"/>
  <c r="J1729" i="7"/>
  <c r="H1730" i="7"/>
  <c r="I1730" i="7"/>
  <c r="J1730" i="7"/>
  <c r="H1731" i="7"/>
  <c r="I1731" i="7"/>
  <c r="J1731" i="7"/>
  <c r="H1732" i="7"/>
  <c r="I1732" i="7"/>
  <c r="J1732" i="7"/>
  <c r="H1733" i="7"/>
  <c r="I1733" i="7"/>
  <c r="J1733" i="7"/>
  <c r="H1734" i="7"/>
  <c r="I1734" i="7"/>
  <c r="J1734" i="7"/>
  <c r="H1735" i="7"/>
  <c r="I1735" i="7"/>
  <c r="J1735" i="7"/>
  <c r="H1736" i="7"/>
  <c r="I1736" i="7"/>
  <c r="J1736" i="7"/>
  <c r="H1737" i="7"/>
  <c r="I1737" i="7"/>
  <c r="J1737" i="7"/>
  <c r="H1738" i="7"/>
  <c r="I1738" i="7"/>
  <c r="J1738" i="7"/>
  <c r="H1739" i="7"/>
  <c r="I1739" i="7"/>
  <c r="J1739" i="7"/>
  <c r="H1740" i="7"/>
  <c r="I1740" i="7"/>
  <c r="J1740" i="7"/>
  <c r="H1741" i="7"/>
  <c r="I1741" i="7"/>
  <c r="J1741" i="7"/>
  <c r="H1742" i="7"/>
  <c r="I1742" i="7"/>
  <c r="J1742" i="7"/>
  <c r="H1743" i="7"/>
  <c r="I1743" i="7"/>
  <c r="J1743" i="7"/>
  <c r="H1744" i="7"/>
  <c r="I1744" i="7"/>
  <c r="J1744" i="7"/>
  <c r="H1745" i="7"/>
  <c r="I1745" i="7"/>
  <c r="J1745" i="7"/>
  <c r="H1746" i="7"/>
  <c r="I1746" i="7"/>
  <c r="J1746" i="7"/>
  <c r="H1747" i="7"/>
  <c r="I1747" i="7"/>
  <c r="J1747" i="7"/>
  <c r="H1748" i="7"/>
  <c r="I1748" i="7"/>
  <c r="J1748" i="7"/>
  <c r="H1749" i="7"/>
  <c r="I1749" i="7"/>
  <c r="J1749" i="7"/>
  <c r="H1750" i="7"/>
  <c r="I1750" i="7"/>
  <c r="J1750" i="7"/>
  <c r="H1751" i="7"/>
  <c r="I1751" i="7"/>
  <c r="J1751" i="7"/>
  <c r="H1752" i="7"/>
  <c r="I1752" i="7"/>
  <c r="J1752" i="7"/>
  <c r="H1753" i="7"/>
  <c r="I1753" i="7"/>
  <c r="J1753" i="7"/>
  <c r="H1754" i="7"/>
  <c r="I1754" i="7"/>
  <c r="J1754" i="7"/>
  <c r="H1755" i="7"/>
  <c r="I1755" i="7"/>
  <c r="J1755" i="7"/>
  <c r="H1756" i="7"/>
  <c r="I1756" i="7"/>
  <c r="J1756" i="7"/>
  <c r="H1757" i="7"/>
  <c r="I1757" i="7"/>
  <c r="J1757" i="7"/>
  <c r="H1758" i="7"/>
  <c r="I1758" i="7"/>
  <c r="J1758" i="7"/>
  <c r="H1759" i="7"/>
  <c r="I1759" i="7"/>
  <c r="J1759" i="7"/>
  <c r="H1760" i="7"/>
  <c r="I1760" i="7"/>
  <c r="J1760" i="7"/>
  <c r="H1761" i="7"/>
  <c r="I1761" i="7"/>
  <c r="J1761" i="7"/>
  <c r="H1762" i="7"/>
  <c r="I1762" i="7"/>
  <c r="J1762" i="7"/>
  <c r="H1763" i="7"/>
  <c r="I1763" i="7"/>
  <c r="J1763" i="7"/>
  <c r="H1764" i="7"/>
  <c r="I1764" i="7"/>
  <c r="J1764" i="7"/>
  <c r="H1765" i="7"/>
  <c r="I1765" i="7"/>
  <c r="J1765" i="7"/>
  <c r="H1766" i="7"/>
  <c r="I1766" i="7"/>
  <c r="J1766" i="7"/>
  <c r="H1767" i="7"/>
  <c r="I1767" i="7"/>
  <c r="J1767" i="7"/>
  <c r="H1768" i="7"/>
  <c r="I1768" i="7"/>
  <c r="J1768" i="7"/>
  <c r="H1769" i="7"/>
  <c r="I1769" i="7"/>
  <c r="J1769" i="7"/>
  <c r="H1770" i="7"/>
  <c r="I1770" i="7"/>
  <c r="J1770" i="7"/>
  <c r="H1771" i="7"/>
  <c r="I1771" i="7"/>
  <c r="J1771" i="7"/>
  <c r="H1772" i="7"/>
  <c r="I1772" i="7"/>
  <c r="J1772" i="7"/>
  <c r="H1773" i="7"/>
  <c r="I1773" i="7"/>
  <c r="J1773" i="7"/>
  <c r="H1774" i="7"/>
  <c r="I1774" i="7"/>
  <c r="J1774" i="7"/>
  <c r="H1775" i="7"/>
  <c r="I1775" i="7"/>
  <c r="J1775" i="7"/>
  <c r="H1776" i="7"/>
  <c r="I1776" i="7"/>
  <c r="J1776" i="7"/>
  <c r="H1777" i="7"/>
  <c r="I1777" i="7"/>
  <c r="J1777" i="7"/>
  <c r="H1778" i="7"/>
  <c r="I1778" i="7"/>
  <c r="J1778" i="7"/>
  <c r="H1779" i="7"/>
  <c r="I1779" i="7"/>
  <c r="J1779" i="7"/>
  <c r="H1780" i="7"/>
  <c r="I1780" i="7"/>
  <c r="J1780" i="7"/>
  <c r="H1781" i="7"/>
  <c r="I1781" i="7"/>
  <c r="J1781" i="7"/>
  <c r="H1782" i="7"/>
  <c r="I1782" i="7"/>
  <c r="J1782" i="7"/>
  <c r="H1783" i="7"/>
  <c r="I1783" i="7"/>
  <c r="J1783" i="7"/>
  <c r="H1784" i="7"/>
  <c r="I1784" i="7"/>
  <c r="J1784" i="7"/>
  <c r="H1785" i="7"/>
  <c r="I1785" i="7"/>
  <c r="J1785" i="7"/>
  <c r="H1786" i="7"/>
  <c r="I1786" i="7"/>
  <c r="J1786" i="7"/>
  <c r="H1787" i="7"/>
  <c r="I1787" i="7"/>
  <c r="J1787" i="7"/>
  <c r="H1788" i="7"/>
  <c r="I1788" i="7"/>
  <c r="J1788" i="7"/>
  <c r="H1789" i="7"/>
  <c r="I1789" i="7"/>
  <c r="J1789" i="7"/>
  <c r="H1790" i="7"/>
  <c r="I1790" i="7"/>
  <c r="J1790" i="7"/>
  <c r="H1791" i="7"/>
  <c r="I1791" i="7"/>
  <c r="J1791" i="7"/>
  <c r="H1792" i="7"/>
  <c r="I1792" i="7"/>
  <c r="J1792" i="7"/>
  <c r="H1793" i="7"/>
  <c r="I1793" i="7"/>
  <c r="J1793" i="7"/>
  <c r="H1794" i="7"/>
  <c r="I1794" i="7"/>
  <c r="J1794" i="7"/>
  <c r="H1795" i="7"/>
  <c r="I1795" i="7"/>
  <c r="J1795" i="7"/>
  <c r="H1796" i="7"/>
  <c r="I1796" i="7"/>
  <c r="J1796" i="7"/>
  <c r="H1797" i="7"/>
  <c r="I1797" i="7"/>
  <c r="J1797" i="7"/>
  <c r="H1798" i="7"/>
  <c r="I1798" i="7"/>
  <c r="J1798" i="7"/>
  <c r="H1799" i="7"/>
  <c r="I1799" i="7"/>
  <c r="J1799" i="7"/>
  <c r="H1800" i="7"/>
  <c r="I1800" i="7"/>
  <c r="J1800" i="7"/>
  <c r="H1801" i="7"/>
  <c r="I1801" i="7"/>
  <c r="J1801" i="7"/>
  <c r="H1802" i="7"/>
  <c r="I1802" i="7"/>
  <c r="J1802" i="7"/>
  <c r="H1803" i="7"/>
  <c r="I1803" i="7"/>
  <c r="J1803" i="7"/>
  <c r="H1804" i="7"/>
  <c r="I1804" i="7"/>
  <c r="J1804" i="7"/>
  <c r="H1805" i="7"/>
  <c r="I1805" i="7"/>
  <c r="J1805" i="7"/>
  <c r="H1806" i="7"/>
  <c r="I1806" i="7"/>
  <c r="J1806" i="7"/>
  <c r="H1807" i="7"/>
  <c r="I1807" i="7"/>
  <c r="J1807" i="7"/>
  <c r="H1808" i="7"/>
  <c r="I1808" i="7"/>
  <c r="J1808" i="7"/>
  <c r="H1809" i="7"/>
  <c r="I1809" i="7"/>
  <c r="J1809" i="7"/>
  <c r="H1810" i="7"/>
  <c r="I1810" i="7"/>
  <c r="J1810" i="7"/>
  <c r="H1811" i="7"/>
  <c r="I1811" i="7"/>
  <c r="J1811" i="7"/>
  <c r="H1812" i="7"/>
  <c r="I1812" i="7"/>
  <c r="J1812" i="7"/>
  <c r="H1813" i="7"/>
  <c r="I1813" i="7"/>
  <c r="J1813" i="7"/>
  <c r="H1814" i="7"/>
  <c r="I1814" i="7"/>
  <c r="J1814" i="7"/>
  <c r="H1815" i="7"/>
  <c r="I1815" i="7"/>
  <c r="J1815" i="7"/>
  <c r="H1816" i="7"/>
  <c r="I1816" i="7"/>
  <c r="J1816" i="7"/>
  <c r="H1817" i="7"/>
  <c r="I1817" i="7"/>
  <c r="J1817" i="7"/>
  <c r="H1818" i="7"/>
  <c r="I1818" i="7"/>
  <c r="J1818" i="7"/>
  <c r="H1819" i="7"/>
  <c r="I1819" i="7"/>
  <c r="J1819" i="7"/>
  <c r="H1820" i="7"/>
  <c r="I1820" i="7"/>
  <c r="J1820" i="7"/>
  <c r="H1821" i="7"/>
  <c r="I1821" i="7"/>
  <c r="J1821" i="7"/>
  <c r="H1822" i="7"/>
  <c r="I1822" i="7"/>
  <c r="J1822" i="7"/>
  <c r="H1823" i="7"/>
  <c r="I1823" i="7"/>
  <c r="J1823" i="7"/>
  <c r="H1824" i="7"/>
  <c r="I1824" i="7"/>
  <c r="J1824" i="7"/>
  <c r="H1825" i="7"/>
  <c r="I1825" i="7"/>
  <c r="J1825" i="7"/>
  <c r="H1826" i="7"/>
  <c r="I1826" i="7"/>
  <c r="J1826" i="7"/>
  <c r="H1827" i="7"/>
  <c r="I1827" i="7"/>
  <c r="J1827" i="7"/>
  <c r="H1828" i="7"/>
  <c r="I1828" i="7"/>
  <c r="J1828" i="7"/>
  <c r="H1829" i="7"/>
  <c r="I1829" i="7"/>
  <c r="J1829" i="7"/>
  <c r="H1830" i="7"/>
  <c r="I1830" i="7"/>
  <c r="J1830" i="7"/>
  <c r="H1831" i="7"/>
  <c r="I1831" i="7"/>
  <c r="J1831" i="7"/>
  <c r="H1832" i="7"/>
  <c r="I1832" i="7"/>
  <c r="J1832" i="7"/>
  <c r="H1833" i="7"/>
  <c r="I1833" i="7"/>
  <c r="J1833" i="7"/>
  <c r="H1834" i="7"/>
  <c r="I1834" i="7"/>
  <c r="J1834" i="7"/>
  <c r="H1835" i="7"/>
  <c r="I1835" i="7"/>
  <c r="J1835" i="7"/>
  <c r="H1836" i="7"/>
  <c r="I1836" i="7"/>
  <c r="J1836" i="7"/>
  <c r="H1837" i="7"/>
  <c r="I1837" i="7"/>
  <c r="J1837" i="7"/>
  <c r="H1838" i="7"/>
  <c r="I1838" i="7"/>
  <c r="J1838" i="7"/>
  <c r="H1839" i="7"/>
  <c r="I1839" i="7"/>
  <c r="J1839" i="7"/>
  <c r="H1840" i="7"/>
  <c r="I1840" i="7"/>
  <c r="J1840" i="7"/>
  <c r="H1841" i="7"/>
  <c r="I1841" i="7"/>
  <c r="J1841" i="7"/>
  <c r="H1842" i="7"/>
  <c r="I1842" i="7"/>
  <c r="J1842" i="7"/>
  <c r="H1843" i="7"/>
  <c r="I1843" i="7"/>
  <c r="J1843" i="7"/>
  <c r="H1844" i="7"/>
  <c r="I1844" i="7"/>
  <c r="J1844" i="7"/>
  <c r="H1845" i="7"/>
  <c r="I1845" i="7"/>
  <c r="J1845" i="7"/>
  <c r="H1846" i="7"/>
  <c r="I1846" i="7"/>
  <c r="J1846" i="7"/>
  <c r="H1847" i="7"/>
  <c r="I1847" i="7"/>
  <c r="J1847" i="7"/>
  <c r="H1848" i="7"/>
  <c r="I1848" i="7"/>
  <c r="J1848" i="7"/>
  <c r="H1849" i="7"/>
  <c r="I1849" i="7"/>
  <c r="J1849" i="7"/>
  <c r="H1850" i="7"/>
  <c r="I1850" i="7"/>
  <c r="J1850" i="7"/>
  <c r="H1851" i="7"/>
  <c r="I1851" i="7"/>
  <c r="J1851" i="7"/>
  <c r="H1852" i="7"/>
  <c r="I1852" i="7"/>
  <c r="J1852" i="7"/>
  <c r="H1853" i="7"/>
  <c r="I1853" i="7"/>
  <c r="J1853" i="7"/>
  <c r="H1854" i="7"/>
  <c r="I1854" i="7"/>
  <c r="J1854" i="7"/>
  <c r="H1855" i="7"/>
  <c r="I1855" i="7"/>
  <c r="J1855" i="7"/>
  <c r="H1856" i="7"/>
  <c r="I1856" i="7"/>
  <c r="J1856" i="7"/>
  <c r="H1857" i="7"/>
  <c r="I1857" i="7"/>
  <c r="J1857" i="7"/>
  <c r="H1858" i="7"/>
  <c r="I1858" i="7"/>
  <c r="J1858" i="7"/>
  <c r="H1859" i="7"/>
  <c r="I1859" i="7"/>
  <c r="J1859" i="7"/>
  <c r="H1860" i="7"/>
  <c r="I1860" i="7"/>
  <c r="J1860" i="7"/>
  <c r="H1861" i="7"/>
  <c r="I1861" i="7"/>
  <c r="J1861" i="7"/>
  <c r="H1862" i="7"/>
  <c r="I1862" i="7"/>
  <c r="J1862" i="7"/>
  <c r="H1863" i="7"/>
  <c r="I1863" i="7"/>
  <c r="J1863" i="7"/>
  <c r="H1864" i="7"/>
  <c r="I1864" i="7"/>
  <c r="J1864" i="7"/>
  <c r="H1865" i="7"/>
  <c r="I1865" i="7"/>
  <c r="J1865" i="7"/>
  <c r="H1866" i="7"/>
  <c r="I1866" i="7"/>
  <c r="J1866" i="7"/>
  <c r="H1867" i="7"/>
  <c r="I1867" i="7"/>
  <c r="J1867" i="7"/>
  <c r="H1868" i="7"/>
  <c r="I1868" i="7"/>
  <c r="J1868" i="7"/>
  <c r="H1869" i="7"/>
  <c r="I1869" i="7"/>
  <c r="J1869" i="7"/>
  <c r="H1870" i="7"/>
  <c r="I1870" i="7"/>
  <c r="J1870" i="7"/>
  <c r="H1871" i="7"/>
  <c r="I1871" i="7"/>
  <c r="J1871" i="7"/>
  <c r="H1872" i="7"/>
  <c r="I1872" i="7"/>
  <c r="J1872" i="7"/>
  <c r="H1873" i="7"/>
  <c r="I1873" i="7"/>
  <c r="J1873" i="7"/>
  <c r="H1874" i="7"/>
  <c r="I1874" i="7"/>
  <c r="J1874" i="7"/>
  <c r="H1875" i="7"/>
  <c r="I1875" i="7"/>
  <c r="J1875" i="7"/>
  <c r="H1876" i="7"/>
  <c r="I1876" i="7"/>
  <c r="J1876" i="7"/>
  <c r="H1877" i="7"/>
  <c r="I1877" i="7"/>
  <c r="J1877" i="7"/>
  <c r="H1878" i="7"/>
  <c r="I1878" i="7"/>
  <c r="J1878" i="7"/>
  <c r="H1879" i="7"/>
  <c r="I1879" i="7"/>
  <c r="J1879" i="7"/>
  <c r="H1880" i="7"/>
  <c r="I1880" i="7"/>
  <c r="J1880" i="7"/>
  <c r="H1881" i="7"/>
  <c r="I1881" i="7"/>
  <c r="J1881" i="7"/>
  <c r="H1882" i="7"/>
  <c r="I1882" i="7"/>
  <c r="J1882" i="7"/>
  <c r="H1883" i="7"/>
  <c r="I1883" i="7"/>
  <c r="J1883" i="7"/>
  <c r="H1884" i="7"/>
  <c r="I1884" i="7"/>
  <c r="J1884" i="7"/>
  <c r="H1885" i="7"/>
  <c r="I1885" i="7"/>
  <c r="J1885" i="7"/>
  <c r="H1886" i="7"/>
  <c r="I1886" i="7"/>
  <c r="J1886" i="7"/>
  <c r="H1887" i="7"/>
  <c r="I1887" i="7"/>
  <c r="J1887" i="7"/>
  <c r="H1888" i="7"/>
  <c r="I1888" i="7"/>
  <c r="J1888" i="7"/>
  <c r="H1889" i="7"/>
  <c r="I1889" i="7"/>
  <c r="J1889" i="7"/>
  <c r="H1890" i="7"/>
  <c r="I1890" i="7"/>
  <c r="J1890" i="7"/>
  <c r="H1891" i="7"/>
  <c r="I1891" i="7"/>
  <c r="J1891" i="7"/>
  <c r="H1892" i="7"/>
  <c r="I1892" i="7"/>
  <c r="J1892" i="7"/>
  <c r="H1893" i="7"/>
  <c r="I1893" i="7"/>
  <c r="J1893" i="7"/>
  <c r="H1894" i="7"/>
  <c r="I1894" i="7"/>
  <c r="J1894" i="7"/>
  <c r="H1895" i="7"/>
  <c r="I1895" i="7"/>
  <c r="J1895" i="7"/>
  <c r="H1896" i="7"/>
  <c r="I1896" i="7"/>
  <c r="J1896" i="7"/>
  <c r="H1897" i="7"/>
  <c r="I1897" i="7"/>
  <c r="J1897" i="7"/>
  <c r="H1898" i="7"/>
  <c r="I1898" i="7"/>
  <c r="J1898" i="7"/>
  <c r="H1899" i="7"/>
  <c r="I1899" i="7"/>
  <c r="J1899" i="7"/>
  <c r="H1900" i="7"/>
  <c r="I1900" i="7"/>
  <c r="J1900" i="7"/>
  <c r="H1901" i="7"/>
  <c r="I1901" i="7"/>
  <c r="J1901" i="7"/>
  <c r="H1902" i="7"/>
  <c r="I1902" i="7"/>
  <c r="J1902" i="7"/>
  <c r="H1903" i="7"/>
  <c r="I1903" i="7"/>
  <c r="J1903" i="7"/>
  <c r="H1904" i="7"/>
  <c r="I1904" i="7"/>
  <c r="J1904" i="7"/>
  <c r="H1905" i="7"/>
  <c r="I1905" i="7"/>
  <c r="J1905" i="7"/>
  <c r="H1906" i="7"/>
  <c r="I1906" i="7"/>
  <c r="J1906" i="7"/>
  <c r="H1907" i="7"/>
  <c r="I1907" i="7"/>
  <c r="J1907" i="7"/>
  <c r="H1908" i="7"/>
  <c r="I1908" i="7"/>
  <c r="J1908" i="7"/>
  <c r="H1909" i="7"/>
  <c r="I1909" i="7"/>
  <c r="J1909" i="7"/>
  <c r="H1910" i="7"/>
  <c r="I1910" i="7"/>
  <c r="J1910" i="7"/>
  <c r="H1911" i="7"/>
  <c r="I1911" i="7"/>
  <c r="J1911" i="7"/>
  <c r="H1912" i="7"/>
  <c r="I1912" i="7"/>
  <c r="J1912" i="7"/>
  <c r="H1913" i="7"/>
  <c r="I1913" i="7"/>
  <c r="J1913" i="7"/>
  <c r="H1914" i="7"/>
  <c r="I1914" i="7"/>
  <c r="J1914" i="7"/>
  <c r="H1915" i="7"/>
  <c r="I1915" i="7"/>
  <c r="J1915" i="7"/>
  <c r="H1916" i="7"/>
  <c r="I1916" i="7"/>
  <c r="J1916" i="7"/>
  <c r="H1917" i="7"/>
  <c r="I1917" i="7"/>
  <c r="J1917" i="7"/>
  <c r="H1918" i="7"/>
  <c r="I1918" i="7"/>
  <c r="J1918" i="7"/>
  <c r="H1919" i="7"/>
  <c r="I1919" i="7"/>
  <c r="J1919" i="7"/>
  <c r="H1920" i="7"/>
  <c r="I1920" i="7"/>
  <c r="J1920" i="7"/>
  <c r="H1921" i="7"/>
  <c r="I1921" i="7"/>
  <c r="J1921" i="7"/>
  <c r="H1922" i="7"/>
  <c r="I1922" i="7"/>
  <c r="J1922" i="7"/>
  <c r="H1923" i="7"/>
  <c r="I1923" i="7"/>
  <c r="J1923" i="7"/>
  <c r="H1924" i="7"/>
  <c r="I1924" i="7"/>
  <c r="J1924" i="7"/>
  <c r="H1925" i="7"/>
  <c r="I1925" i="7"/>
  <c r="J1925" i="7"/>
  <c r="H1926" i="7"/>
  <c r="I1926" i="7"/>
  <c r="J1926" i="7"/>
  <c r="H1927" i="7"/>
  <c r="I1927" i="7"/>
  <c r="J1927" i="7"/>
  <c r="H1928" i="7"/>
  <c r="I1928" i="7"/>
  <c r="J1928" i="7"/>
  <c r="H1929" i="7"/>
  <c r="I1929" i="7"/>
  <c r="J1929" i="7"/>
  <c r="H1930" i="7"/>
  <c r="I1930" i="7"/>
  <c r="J1930" i="7"/>
  <c r="H1931" i="7"/>
  <c r="I1931" i="7"/>
  <c r="J1931" i="7"/>
  <c r="H1932" i="7"/>
  <c r="I1932" i="7"/>
  <c r="J1932" i="7"/>
  <c r="H1933" i="7"/>
  <c r="I1933" i="7"/>
  <c r="J1933" i="7"/>
  <c r="H1934" i="7"/>
  <c r="I1934" i="7"/>
  <c r="J1934" i="7"/>
  <c r="H1935" i="7"/>
  <c r="I1935" i="7"/>
  <c r="J1935" i="7"/>
  <c r="H1936" i="7"/>
  <c r="I1936" i="7"/>
  <c r="J1936" i="7"/>
  <c r="H1937" i="7"/>
  <c r="I1937" i="7"/>
  <c r="J1937" i="7"/>
  <c r="H1938" i="7"/>
  <c r="I1938" i="7"/>
  <c r="J1938" i="7"/>
  <c r="H1939" i="7"/>
  <c r="I1939" i="7"/>
  <c r="J1939" i="7"/>
  <c r="H1940" i="7"/>
  <c r="I1940" i="7"/>
  <c r="J1940" i="7"/>
  <c r="H1941" i="7"/>
  <c r="I1941" i="7"/>
  <c r="J1941" i="7"/>
  <c r="H1942" i="7"/>
  <c r="I1942" i="7"/>
  <c r="J1942" i="7"/>
  <c r="H1943" i="7"/>
  <c r="I1943" i="7"/>
  <c r="J1943" i="7"/>
  <c r="H1944" i="7"/>
  <c r="I1944" i="7"/>
  <c r="J1944" i="7"/>
  <c r="H1945" i="7"/>
  <c r="I1945" i="7"/>
  <c r="J1945" i="7"/>
  <c r="H1946" i="7"/>
  <c r="I1946" i="7"/>
  <c r="J1946" i="7"/>
  <c r="H1947" i="7"/>
  <c r="I1947" i="7"/>
  <c r="J1947" i="7"/>
  <c r="H1948" i="7"/>
  <c r="I1948" i="7"/>
  <c r="J1948" i="7"/>
  <c r="H1949" i="7"/>
  <c r="I1949" i="7"/>
  <c r="J1949" i="7"/>
  <c r="H1950" i="7"/>
  <c r="I1950" i="7"/>
  <c r="J1950" i="7"/>
  <c r="H1951" i="7"/>
  <c r="I1951" i="7"/>
  <c r="J1951" i="7"/>
  <c r="H1952" i="7"/>
  <c r="I1952" i="7"/>
  <c r="J1952" i="7"/>
  <c r="H1953" i="7"/>
  <c r="I1953" i="7"/>
  <c r="J1953" i="7"/>
  <c r="H1954" i="7"/>
  <c r="I1954" i="7"/>
  <c r="J1954" i="7"/>
  <c r="H1955" i="7"/>
  <c r="I1955" i="7"/>
  <c r="J1955" i="7"/>
  <c r="H1956" i="7"/>
  <c r="I1956" i="7"/>
  <c r="J1956" i="7"/>
  <c r="H1957" i="7"/>
  <c r="I1957" i="7"/>
  <c r="J1957" i="7"/>
  <c r="H1958" i="7"/>
  <c r="I1958" i="7"/>
  <c r="J1958" i="7"/>
  <c r="H1959" i="7"/>
  <c r="I1959" i="7"/>
  <c r="J1959" i="7"/>
  <c r="H1960" i="7"/>
  <c r="I1960" i="7"/>
  <c r="J1960" i="7"/>
  <c r="H1961" i="7"/>
  <c r="I1961" i="7"/>
  <c r="J1961" i="7"/>
  <c r="H1962" i="7"/>
  <c r="I1962" i="7"/>
  <c r="J1962" i="7"/>
  <c r="H1963" i="7"/>
  <c r="I1963" i="7"/>
  <c r="J1963" i="7"/>
  <c r="H1964" i="7"/>
  <c r="I1964" i="7"/>
  <c r="J1964" i="7"/>
  <c r="H1965" i="7"/>
  <c r="I1965" i="7"/>
  <c r="J1965" i="7"/>
  <c r="H1966" i="7"/>
  <c r="I1966" i="7"/>
  <c r="J1966" i="7"/>
  <c r="H1967" i="7"/>
  <c r="I1967" i="7"/>
  <c r="J1967" i="7"/>
  <c r="H1968" i="7"/>
  <c r="I1968" i="7"/>
  <c r="J1968" i="7"/>
  <c r="H1969" i="7"/>
  <c r="I1969" i="7"/>
  <c r="J1969" i="7"/>
  <c r="H1970" i="7"/>
  <c r="I1970" i="7"/>
  <c r="J1970" i="7"/>
  <c r="H1971" i="7"/>
  <c r="I1971" i="7"/>
  <c r="J1971" i="7"/>
  <c r="H1972" i="7"/>
  <c r="I1972" i="7"/>
  <c r="J1972" i="7"/>
  <c r="H1973" i="7"/>
  <c r="I1973" i="7"/>
  <c r="J1973" i="7"/>
  <c r="H1974" i="7"/>
  <c r="I1974" i="7"/>
  <c r="J1974" i="7"/>
  <c r="H1975" i="7"/>
  <c r="I1975" i="7"/>
  <c r="J1975" i="7"/>
  <c r="H1976" i="7"/>
  <c r="I1976" i="7"/>
  <c r="J1976" i="7"/>
  <c r="H1977" i="7"/>
  <c r="I1977" i="7"/>
  <c r="J1977" i="7"/>
  <c r="H1978" i="7"/>
  <c r="I1978" i="7"/>
  <c r="J1978" i="7"/>
  <c r="H1979" i="7"/>
  <c r="I1979" i="7"/>
  <c r="J1979" i="7"/>
  <c r="H1980" i="7"/>
  <c r="I1980" i="7"/>
  <c r="J1980" i="7"/>
  <c r="H1981" i="7"/>
  <c r="I1981" i="7"/>
  <c r="J1981" i="7"/>
  <c r="H1982" i="7"/>
  <c r="I1982" i="7"/>
  <c r="J1982" i="7"/>
  <c r="H1983" i="7"/>
  <c r="I1983" i="7"/>
  <c r="J1983" i="7"/>
  <c r="H1984" i="7"/>
  <c r="I1984" i="7"/>
  <c r="J1984" i="7"/>
  <c r="H1985" i="7"/>
  <c r="I1985" i="7"/>
  <c r="J1985" i="7"/>
  <c r="H1986" i="7"/>
  <c r="I1986" i="7"/>
  <c r="J1986" i="7"/>
  <c r="H1987" i="7"/>
  <c r="I1987" i="7"/>
  <c r="J1987" i="7"/>
  <c r="H1988" i="7"/>
  <c r="I1988" i="7"/>
  <c r="J1988" i="7"/>
  <c r="H1989" i="7"/>
  <c r="I1989" i="7"/>
  <c r="J1989" i="7"/>
  <c r="H1990" i="7"/>
  <c r="I1990" i="7"/>
  <c r="J1990" i="7"/>
  <c r="H1991" i="7"/>
  <c r="I1991" i="7"/>
  <c r="J1991" i="7"/>
  <c r="H1992" i="7"/>
  <c r="I1992" i="7"/>
  <c r="J1992" i="7"/>
  <c r="H1993" i="7"/>
  <c r="I1993" i="7"/>
  <c r="J1993" i="7"/>
  <c r="H1994" i="7"/>
  <c r="I1994" i="7"/>
  <c r="J1994" i="7"/>
  <c r="H1995" i="7"/>
  <c r="I1995" i="7"/>
  <c r="J1995" i="7"/>
  <c r="H1996" i="7"/>
  <c r="I1996" i="7"/>
  <c r="J1996" i="7"/>
  <c r="H1997" i="7"/>
  <c r="I1997" i="7"/>
  <c r="J1997" i="7"/>
  <c r="H1998" i="7"/>
  <c r="I1998" i="7"/>
  <c r="J1998" i="7"/>
  <c r="H1999" i="7"/>
  <c r="I1999" i="7"/>
  <c r="J1999" i="7"/>
  <c r="H2000" i="7"/>
  <c r="I2000" i="7"/>
  <c r="J2000" i="7"/>
  <c r="H2001" i="7"/>
  <c r="I2001" i="7"/>
  <c r="J2001" i="7"/>
  <c r="J2002" i="7"/>
  <c r="I2002" i="7"/>
  <c r="H2002" i="7"/>
  <c r="K2576" i="7" l="1"/>
  <c r="K2572" i="7"/>
  <c r="K2563" i="7"/>
  <c r="K2561" i="7"/>
  <c r="K2550" i="7"/>
  <c r="K2533" i="7"/>
  <c r="K2520" i="7"/>
  <c r="K2507" i="7"/>
  <c r="K2505" i="7"/>
  <c r="K2494" i="7"/>
  <c r="K2472" i="7"/>
  <c r="K2461" i="7"/>
  <c r="K2419" i="7"/>
  <c r="K2540" i="7"/>
  <c r="K2529" i="7"/>
  <c r="K2501" i="7"/>
  <c r="K2457" i="7"/>
  <c r="K2455" i="7"/>
  <c r="K2579" i="7"/>
  <c r="K2568" i="7"/>
  <c r="K2542" i="7"/>
  <c r="K2525" i="7"/>
  <c r="K2523" i="7"/>
  <c r="K2521" i="7"/>
  <c r="K2512" i="7"/>
  <c r="K2475" i="7"/>
  <c r="K2473" i="7"/>
  <c r="K2549" i="7"/>
  <c r="K2510" i="7"/>
  <c r="K2493" i="7"/>
  <c r="K2443" i="7"/>
  <c r="K2439" i="7"/>
  <c r="K2437" i="7"/>
  <c r="K2416" i="7"/>
  <c r="K2577" i="7"/>
  <c r="K2491" i="7"/>
  <c r="K2489" i="7"/>
  <c r="K2480" i="7"/>
  <c r="K2464" i="7"/>
  <c r="K2582" i="7"/>
  <c r="K2560" i="7"/>
  <c r="K2547" i="7"/>
  <c r="K2545" i="7"/>
  <c r="K2534" i="7"/>
  <c r="K2524" i="7"/>
  <c r="K2504" i="7"/>
  <c r="K2485" i="7"/>
  <c r="K2478" i="7"/>
  <c r="K2462" i="7"/>
  <c r="K2584" i="7"/>
  <c r="K2536" i="7"/>
  <c r="K2517" i="7"/>
  <c r="K2418" i="7"/>
  <c r="K2571" i="7"/>
  <c r="K2569" i="7"/>
  <c r="K2558" i="7"/>
  <c r="K2541" i="7"/>
  <c r="K2528" i="7"/>
  <c r="K2515" i="7"/>
  <c r="K2502" i="7"/>
  <c r="K2492" i="7"/>
  <c r="K2456" i="7"/>
  <c r="K2454" i="7"/>
  <c r="K2450" i="7"/>
  <c r="K2448" i="7"/>
  <c r="K2566" i="7"/>
  <c r="K2526" i="7"/>
  <c r="K2483" i="7"/>
  <c r="K2481" i="7"/>
  <c r="K2467" i="7"/>
  <c r="K2465" i="7"/>
  <c r="K2446" i="7"/>
  <c r="K2442" i="7"/>
  <c r="K2453" i="7"/>
  <c r="K2444" i="7"/>
  <c r="K2424" i="7"/>
  <c r="K2435" i="7"/>
  <c r="K2422" i="7"/>
  <c r="K2438" i="7"/>
  <c r="K2427" i="7"/>
  <c r="K2425" i="7"/>
  <c r="K2451" i="7"/>
  <c r="K2452" i="7"/>
  <c r="K2433" i="7"/>
  <c r="K2449" i="7"/>
  <c r="K2440" i="7"/>
  <c r="K2429" i="7"/>
  <c r="K2441" i="7"/>
  <c r="K2428" i="7"/>
  <c r="K2414" i="7"/>
  <c r="K2405" i="7"/>
  <c r="K2403" i="7"/>
  <c r="K2417" i="7"/>
  <c r="K2408" i="7"/>
  <c r="K2406" i="7"/>
  <c r="K2411" i="7"/>
  <c r="K2409" i="7"/>
  <c r="K2391" i="7"/>
  <c r="K2367" i="7"/>
  <c r="K2398" i="7"/>
  <c r="K2394" i="7"/>
  <c r="K2400" i="7"/>
  <c r="K2373" i="7"/>
  <c r="K2397" i="7"/>
  <c r="K2357" i="7"/>
  <c r="K2359" i="7"/>
  <c r="K2364" i="7"/>
  <c r="K2354" i="7"/>
  <c r="K2348" i="7"/>
  <c r="K2323" i="7"/>
  <c r="K2310" i="7"/>
  <c r="K2286" i="7"/>
  <c r="K2390" i="7"/>
  <c r="K2368" i="7"/>
  <c r="K2349" i="7"/>
  <c r="K2336" i="7"/>
  <c r="K2304" i="7"/>
  <c r="K2384" i="7"/>
  <c r="K2366" i="7"/>
  <c r="K2356" i="7"/>
  <c r="K2347" i="7"/>
  <c r="K2345" i="7"/>
  <c r="K2334" i="7"/>
  <c r="K2324" i="7"/>
  <c r="K2315" i="7"/>
  <c r="K2313" i="7"/>
  <c r="K2309" i="7"/>
  <c r="K2302" i="7"/>
  <c r="K2291" i="7"/>
  <c r="K2289" i="7"/>
  <c r="K2285" i="7"/>
  <c r="K2377" i="7"/>
  <c r="K2355" i="7"/>
  <c r="K2321" i="7"/>
  <c r="K2382" i="7"/>
  <c r="K2360" i="7"/>
  <c r="K2328" i="7"/>
  <c r="K2389" i="7"/>
  <c r="K2371" i="7"/>
  <c r="K2369" i="7"/>
  <c r="K2358" i="7"/>
  <c r="K2341" i="7"/>
  <c r="K2339" i="7"/>
  <c r="K2337" i="7"/>
  <c r="K2326" i="7"/>
  <c r="K2307" i="7"/>
  <c r="K2305" i="7"/>
  <c r="K2296" i="7"/>
  <c r="K2379" i="7"/>
  <c r="K2395" i="7"/>
  <c r="K2396" i="7"/>
  <c r="K2387" i="7"/>
  <c r="K2385" i="7"/>
  <c r="K2376" i="7"/>
  <c r="K2365" i="7"/>
  <c r="K2352" i="7"/>
  <c r="K2320" i="7"/>
  <c r="K2294" i="7"/>
  <c r="K2392" i="7"/>
  <c r="K2353" i="7"/>
  <c r="K2342" i="7"/>
  <c r="K2374" i="7"/>
  <c r="K2363" i="7"/>
  <c r="K2361" i="7"/>
  <c r="K2350" i="7"/>
  <c r="K2340" i="7"/>
  <c r="K2331" i="7"/>
  <c r="K2329" i="7"/>
  <c r="K2318" i="7"/>
  <c r="K2308" i="7"/>
  <c r="K2283" i="7"/>
  <c r="K2281" i="7"/>
  <c r="K2277" i="7"/>
  <c r="K2270" i="7"/>
  <c r="K2259" i="7"/>
  <c r="K2257" i="7"/>
  <c r="K2246" i="7"/>
  <c r="K2235" i="7"/>
  <c r="K2233" i="7"/>
  <c r="K2224" i="7"/>
  <c r="K2211" i="7"/>
  <c r="K2209" i="7"/>
  <c r="K2198" i="7"/>
  <c r="K2168" i="7"/>
  <c r="K2140" i="7"/>
  <c r="K2133" i="7"/>
  <c r="K2131" i="7"/>
  <c r="K2129" i="7"/>
  <c r="K2120" i="7"/>
  <c r="K2116" i="7"/>
  <c r="K2096" i="7"/>
  <c r="K2092" i="7"/>
  <c r="K2078" i="7"/>
  <c r="K2062" i="7"/>
  <c r="K2053" i="7"/>
  <c r="K2051" i="7"/>
  <c r="K2040" i="7"/>
  <c r="K2229" i="7"/>
  <c r="K2205" i="7"/>
  <c r="K2177" i="7"/>
  <c r="K2153" i="7"/>
  <c r="K2105" i="7"/>
  <c r="K2038" i="7"/>
  <c r="K2081" i="7"/>
  <c r="K2067" i="7"/>
  <c r="K2065" i="7"/>
  <c r="K2045" i="7"/>
  <c r="K2262" i="7"/>
  <c r="K2245" i="7"/>
  <c r="K2238" i="7"/>
  <c r="K2227" i="7"/>
  <c r="K2225" i="7"/>
  <c r="K2216" i="7"/>
  <c r="K2197" i="7"/>
  <c r="K2171" i="7"/>
  <c r="K2169" i="7"/>
  <c r="K2160" i="7"/>
  <c r="K2136" i="7"/>
  <c r="K2123" i="7"/>
  <c r="K2112" i="7"/>
  <c r="K2101" i="7"/>
  <c r="K2099" i="7"/>
  <c r="K2097" i="7"/>
  <c r="K2088" i="7"/>
  <c r="K2072" i="7"/>
  <c r="K2056" i="7"/>
  <c r="K2043" i="7"/>
  <c r="K2276" i="7"/>
  <c r="K2252" i="7"/>
  <c r="K2221" i="7"/>
  <c r="K2214" i="7"/>
  <c r="K2204" i="7"/>
  <c r="K2195" i="7"/>
  <c r="K2193" i="7"/>
  <c r="K2184" i="7"/>
  <c r="K2165" i="7"/>
  <c r="K2158" i="7"/>
  <c r="K2147" i="7"/>
  <c r="K2145" i="7"/>
  <c r="K2134" i="7"/>
  <c r="K2121" i="7"/>
  <c r="K2110" i="7"/>
  <c r="K2086" i="7"/>
  <c r="K2070" i="7"/>
  <c r="K2054" i="7"/>
  <c r="K2041" i="7"/>
  <c r="K2280" i="7"/>
  <c r="K2267" i="7"/>
  <c r="K2265" i="7"/>
  <c r="K2256" i="7"/>
  <c r="K2243" i="7"/>
  <c r="K2241" i="7"/>
  <c r="K2232" i="7"/>
  <c r="K2208" i="7"/>
  <c r="K2189" i="7"/>
  <c r="K2182" i="7"/>
  <c r="K2172" i="7"/>
  <c r="K2141" i="7"/>
  <c r="K2128" i="7"/>
  <c r="K2124" i="7"/>
  <c r="K2100" i="7"/>
  <c r="K2048" i="7"/>
  <c r="K2037" i="7"/>
  <c r="K2237" i="7"/>
  <c r="K2217" i="7"/>
  <c r="K2196" i="7"/>
  <c r="K2161" i="7"/>
  <c r="K2157" i="7"/>
  <c r="K2148" i="7"/>
  <c r="K2137" i="7"/>
  <c r="K2113" i="7"/>
  <c r="K2089" i="7"/>
  <c r="K2075" i="7"/>
  <c r="K2073" i="7"/>
  <c r="K2059" i="7"/>
  <c r="K2046" i="7"/>
  <c r="K2035" i="7"/>
  <c r="K2030" i="7"/>
  <c r="K2033" i="7"/>
  <c r="K2029" i="7"/>
  <c r="K2027" i="7"/>
  <c r="K2017" i="7"/>
  <c r="K2022" i="7"/>
  <c r="K2016" i="7"/>
  <c r="K2021" i="7"/>
  <c r="L308" i="7"/>
  <c r="L309" i="7"/>
  <c r="L316" i="7"/>
  <c r="L317" i="7"/>
  <c r="L321" i="7"/>
  <c r="L322" i="7"/>
  <c r="L325" i="7"/>
  <c r="L328" i="7"/>
  <c r="L329" i="7"/>
  <c r="L330" i="7"/>
  <c r="L331" i="7"/>
  <c r="L332" i="7"/>
  <c r="L336" i="7"/>
  <c r="L341" i="7"/>
  <c r="L350" i="7"/>
  <c r="L354" i="7"/>
  <c r="L356" i="7"/>
  <c r="L362" i="7"/>
  <c r="L367" i="7"/>
  <c r="L368" i="7"/>
  <c r="L369" i="7"/>
  <c r="L370" i="7"/>
  <c r="L371" i="7"/>
  <c r="L372" i="7"/>
  <c r="L376" i="7"/>
  <c r="L377" i="7"/>
  <c r="L384" i="7"/>
  <c r="L385" i="7"/>
  <c r="L392" i="7"/>
  <c r="L395" i="7"/>
  <c r="L397" i="7"/>
  <c r="L398" i="7"/>
  <c r="L399" i="7"/>
  <c r="L402" i="7"/>
  <c r="L403" i="7"/>
  <c r="L405" i="7"/>
  <c r="L407" i="7"/>
  <c r="L409" i="7"/>
  <c r="L411" i="7"/>
  <c r="L412" i="7"/>
  <c r="L414" i="7"/>
  <c r="L417" i="7"/>
  <c r="L418" i="7"/>
  <c r="L419" i="7"/>
  <c r="L420" i="7"/>
  <c r="L422" i="7"/>
  <c r="L424" i="7"/>
  <c r="L425" i="7"/>
  <c r="L432" i="7"/>
  <c r="L434" i="7"/>
  <c r="L435" i="7"/>
  <c r="L440" i="7"/>
  <c r="L448" i="7"/>
  <c r="L453" i="7"/>
  <c r="L457" i="7"/>
  <c r="L461" i="7"/>
  <c r="L464" i="7"/>
  <c r="L465" i="7"/>
  <c r="L466" i="7"/>
  <c r="L467" i="7"/>
  <c r="L469" i="7"/>
  <c r="L471" i="7"/>
  <c r="L472" i="7"/>
  <c r="L477" i="7"/>
  <c r="L479" i="7"/>
  <c r="L480" i="7"/>
  <c r="L481" i="7"/>
  <c r="L482" i="7"/>
  <c r="L484" i="7"/>
  <c r="L493" i="7"/>
  <c r="L496" i="7"/>
  <c r="L497" i="7"/>
  <c r="L505" i="7"/>
  <c r="L509" i="7"/>
  <c r="L511" i="7"/>
  <c r="L512" i="7"/>
  <c r="L515" i="7"/>
  <c r="L517" i="7"/>
  <c r="L518" i="7"/>
  <c r="L519" i="7"/>
  <c r="L527" i="7"/>
  <c r="L529" i="7"/>
  <c r="L532" i="7"/>
  <c r="L533" i="7"/>
  <c r="L534" i="7"/>
  <c r="L535" i="7"/>
  <c r="L536" i="7"/>
  <c r="L542" i="7"/>
  <c r="L545" i="7"/>
  <c r="L553" i="7"/>
  <c r="L559" i="7"/>
  <c r="L560" i="7"/>
  <c r="L561" i="7"/>
  <c r="L565" i="7"/>
  <c r="L575" i="7"/>
  <c r="L578" i="7"/>
  <c r="L584" i="7"/>
  <c r="L585" i="7"/>
  <c r="L592" i="7"/>
  <c r="L593" i="7"/>
  <c r="L595" i="7"/>
  <c r="L596" i="7"/>
  <c r="L598" i="7"/>
  <c r="L600" i="7"/>
  <c r="L601" i="7"/>
  <c r="L602" i="7"/>
  <c r="L603" i="7"/>
  <c r="L606" i="7"/>
  <c r="L607" i="7"/>
  <c r="L608" i="7"/>
  <c r="L610" i="7"/>
  <c r="L611" i="7"/>
  <c r="L616" i="7"/>
  <c r="L617" i="7"/>
  <c r="L618" i="7"/>
  <c r="L619" i="7"/>
  <c r="L620" i="7"/>
  <c r="L623" i="7"/>
  <c r="L628" i="7"/>
  <c r="L635" i="7"/>
  <c r="L638" i="7"/>
  <c r="L645" i="7"/>
  <c r="L647" i="7"/>
  <c r="L649" i="7"/>
  <c r="L652" i="7"/>
  <c r="L655" i="7"/>
  <c r="L656" i="7"/>
  <c r="L657" i="7"/>
  <c r="L658" i="7"/>
  <c r="L664" i="7"/>
  <c r="L665" i="7"/>
  <c r="L666" i="7"/>
  <c r="L667" i="7"/>
  <c r="L670" i="7"/>
  <c r="L671" i="7"/>
  <c r="L672" i="7"/>
  <c r="L676" i="7"/>
  <c r="L681" i="7"/>
  <c r="L683" i="7"/>
  <c r="L686" i="7"/>
  <c r="L698" i="7"/>
  <c r="L699" i="7"/>
  <c r="L700" i="7"/>
  <c r="L703" i="7"/>
  <c r="L708" i="7"/>
  <c r="L709" i="7"/>
  <c r="L712" i="7"/>
  <c r="L715" i="7"/>
  <c r="L716" i="7"/>
  <c r="L717" i="7"/>
  <c r="L720" i="7"/>
  <c r="L721" i="7"/>
  <c r="L723" i="7"/>
  <c r="L730" i="7"/>
  <c r="L731" i="7"/>
  <c r="L732" i="7"/>
  <c r="L734" i="7"/>
  <c r="L738" i="7"/>
  <c r="L740" i="7"/>
  <c r="L746" i="7"/>
  <c r="L747" i="7"/>
  <c r="L749" i="7"/>
  <c r="L757" i="7"/>
  <c r="L761" i="7"/>
  <c r="L769" i="7"/>
  <c r="L771" i="7"/>
  <c r="L772" i="7"/>
  <c r="L775" i="7"/>
  <c r="L784" i="7"/>
  <c r="L787" i="7"/>
  <c r="L792" i="7"/>
  <c r="L794" i="7"/>
  <c r="L800" i="7"/>
  <c r="L802" i="7"/>
  <c r="L803" i="7"/>
  <c r="L804" i="7"/>
  <c r="L805" i="7"/>
  <c r="L808" i="7"/>
  <c r="L812" i="7"/>
  <c r="L815" i="7"/>
  <c r="L822" i="7"/>
  <c r="L823" i="7"/>
  <c r="L826" i="7"/>
  <c r="L827" i="7"/>
  <c r="L828" i="7"/>
  <c r="L829" i="7"/>
  <c r="L831" i="7"/>
  <c r="L832" i="7"/>
  <c r="L835" i="7"/>
  <c r="L838" i="7"/>
  <c r="L841" i="7"/>
  <c r="L845" i="7"/>
  <c r="L847" i="7"/>
  <c r="L855" i="7"/>
  <c r="L860" i="7"/>
  <c r="L863" i="7"/>
  <c r="L869" i="7"/>
  <c r="L871" i="7"/>
  <c r="L872" i="7"/>
  <c r="L874" i="7"/>
  <c r="L878" i="7"/>
  <c r="L881" i="7"/>
  <c r="L883" i="7"/>
  <c r="L887" i="7"/>
  <c r="L892" i="7"/>
  <c r="L895" i="7"/>
  <c r="L896" i="7"/>
  <c r="L899" i="7"/>
  <c r="L905" i="7"/>
  <c r="L908" i="7"/>
  <c r="L909" i="7"/>
  <c r="L910" i="7"/>
  <c r="L914" i="7"/>
  <c r="L916" i="7"/>
  <c r="L919" i="7"/>
  <c r="L920" i="7"/>
  <c r="L922" i="7"/>
  <c r="L923" i="7"/>
  <c r="L929" i="7"/>
  <c r="L930" i="7"/>
  <c r="L933" i="7"/>
  <c r="L936" i="7"/>
  <c r="L941" i="7"/>
  <c r="L942" i="7"/>
  <c r="L952" i="7"/>
  <c r="L959" i="7"/>
  <c r="L967" i="7"/>
  <c r="L968" i="7"/>
  <c r="L971" i="7"/>
  <c r="L972" i="7"/>
  <c r="L973" i="7"/>
  <c r="L975" i="7"/>
  <c r="L980" i="7"/>
  <c r="L987" i="7"/>
  <c r="L988" i="7"/>
  <c r="L990" i="7"/>
  <c r="L992" i="7"/>
  <c r="L993" i="7"/>
  <c r="L994" i="7"/>
  <c r="L996" i="7"/>
  <c r="L1003" i="7"/>
  <c r="L1008" i="7"/>
  <c r="L1013" i="7"/>
  <c r="L1018" i="7"/>
  <c r="L1019" i="7"/>
  <c r="L1020" i="7"/>
  <c r="L1021" i="7"/>
  <c r="L1023" i="7"/>
  <c r="L1024" i="7"/>
  <c r="L1027" i="7"/>
  <c r="L1036" i="7"/>
  <c r="L1037" i="7"/>
  <c r="L1038" i="7"/>
  <c r="L1040" i="7"/>
  <c r="L1041" i="7"/>
  <c r="L1043" i="7"/>
  <c r="L1046" i="7"/>
  <c r="L1049" i="7"/>
  <c r="L1050" i="7"/>
  <c r="L1054" i="7"/>
  <c r="L1057" i="7"/>
  <c r="L1058" i="7"/>
  <c r="L1059" i="7"/>
  <c r="L1065" i="7"/>
  <c r="L1072" i="7"/>
  <c r="L1073" i="7"/>
  <c r="L1081" i="7"/>
  <c r="L1082" i="7"/>
  <c r="L1084" i="7"/>
  <c r="L1088" i="7"/>
  <c r="L1090" i="7"/>
  <c r="L1093" i="7"/>
  <c r="L1095" i="7"/>
  <c r="L1098" i="7"/>
  <c r="L1100" i="7"/>
  <c r="L1103" i="7"/>
  <c r="L1104" i="7"/>
  <c r="L1105" i="7"/>
  <c r="L1107" i="7"/>
  <c r="L1112" i="7"/>
  <c r="L1123" i="7"/>
  <c r="L1124" i="7"/>
  <c r="L1125" i="7"/>
  <c r="L1126" i="7"/>
  <c r="L1133" i="7"/>
  <c r="L1140" i="7"/>
  <c r="L1145" i="7"/>
  <c r="L1150" i="7"/>
  <c r="L1152" i="7"/>
  <c r="L1154" i="7"/>
  <c r="L1155" i="7"/>
  <c r="L1157" i="7"/>
  <c r="L1161" i="7"/>
  <c r="L1163" i="7"/>
  <c r="L1170" i="7"/>
  <c r="L1172" i="7"/>
  <c r="L1174" i="7"/>
  <c r="L1179" i="7"/>
  <c r="L1191" i="7"/>
  <c r="L1193" i="7"/>
  <c r="L1194" i="7"/>
  <c r="L1196" i="7"/>
  <c r="L1202" i="7"/>
  <c r="L1205" i="7"/>
  <c r="L1210" i="7"/>
  <c r="L1211" i="7"/>
  <c r="L1212" i="7"/>
  <c r="L1213" i="7"/>
  <c r="L1215" i="7"/>
  <c r="L1226" i="7"/>
  <c r="L1228" i="7"/>
  <c r="L1229" i="7"/>
  <c r="L1232" i="7"/>
  <c r="L1233" i="7"/>
  <c r="L1236" i="7"/>
  <c r="L1240" i="7"/>
  <c r="L1241" i="7"/>
  <c r="L1244" i="7"/>
  <c r="L1245" i="7"/>
  <c r="L1247" i="7"/>
  <c r="L1249" i="7"/>
  <c r="L1252" i="7"/>
  <c r="L1254" i="7"/>
  <c r="L1258" i="7"/>
  <c r="L1259" i="7"/>
  <c r="L1263" i="7"/>
  <c r="L1267" i="7"/>
  <c r="L1272" i="7"/>
  <c r="L1278" i="7"/>
  <c r="L1279" i="7"/>
  <c r="L1281" i="7"/>
  <c r="L1282" i="7"/>
  <c r="L1291" i="7"/>
  <c r="L1292" i="7"/>
  <c r="L1293" i="7"/>
  <c r="L1296" i="7"/>
  <c r="L1300" i="7"/>
  <c r="L1305" i="7"/>
  <c r="L1306" i="7"/>
  <c r="L1316" i="7"/>
  <c r="L1318" i="7"/>
  <c r="L1321" i="7"/>
  <c r="L1331" i="7"/>
  <c r="L1332" i="7"/>
  <c r="L1333" i="7"/>
  <c r="L1337" i="7"/>
  <c r="L1339" i="7"/>
  <c r="L1341" i="7"/>
  <c r="L1345" i="7"/>
  <c r="L1346" i="7"/>
  <c r="L1348" i="7"/>
  <c r="L1349" i="7"/>
  <c r="L1350" i="7"/>
  <c r="L1351" i="7"/>
  <c r="L1352" i="7"/>
  <c r="L1356" i="7"/>
  <c r="L1357" i="7"/>
  <c r="L1362" i="7"/>
  <c r="L1369" i="7"/>
  <c r="L1370" i="7"/>
  <c r="L1372" i="7"/>
  <c r="L1375" i="7"/>
  <c r="L1379" i="7"/>
  <c r="L1381" i="7"/>
  <c r="L1384" i="7"/>
  <c r="L1388" i="7"/>
  <c r="L1392" i="7"/>
  <c r="L1393" i="7"/>
  <c r="L1397" i="7"/>
  <c r="L1398" i="7"/>
  <c r="L1410" i="7"/>
  <c r="L1412" i="7"/>
  <c r="L1413" i="7"/>
  <c r="L1416" i="7"/>
  <c r="L1417" i="7"/>
  <c r="L1421" i="7"/>
  <c r="L1430" i="7"/>
  <c r="L1431" i="7"/>
  <c r="L1434" i="7"/>
  <c r="L1435" i="7"/>
  <c r="L1437" i="7"/>
  <c r="L1438" i="7"/>
  <c r="L1440" i="7"/>
  <c r="L1446" i="7"/>
  <c r="L1448" i="7"/>
  <c r="L1449" i="7"/>
  <c r="L1451" i="7"/>
  <c r="L1457" i="7"/>
  <c r="L1460" i="7"/>
  <c r="L1466" i="7"/>
  <c r="L1468" i="7"/>
  <c r="L1473" i="7"/>
  <c r="L1476" i="7"/>
  <c r="L1479" i="7"/>
  <c r="L1487" i="7"/>
  <c r="L1489" i="7"/>
  <c r="L1491" i="7"/>
  <c r="L1494" i="7"/>
  <c r="L1498" i="7"/>
  <c r="L1500" i="7"/>
  <c r="L1504" i="7"/>
  <c r="L1505" i="7"/>
  <c r="L1506" i="7"/>
  <c r="L1507" i="7"/>
  <c r="L1511" i="7"/>
  <c r="L1513" i="7"/>
  <c r="L1516" i="7"/>
  <c r="L1520" i="7"/>
  <c r="L1526" i="7"/>
  <c r="L1529" i="7"/>
  <c r="L1531" i="7"/>
  <c r="L1532" i="7"/>
  <c r="L1535" i="7"/>
  <c r="L1539" i="7"/>
  <c r="L1540" i="7"/>
  <c r="L1541" i="7"/>
  <c r="L1549" i="7"/>
  <c r="L1552" i="7"/>
  <c r="L1553" i="7"/>
  <c r="L1561" i="7"/>
  <c r="L1564" i="7"/>
  <c r="L1567" i="7"/>
  <c r="L1569" i="7"/>
  <c r="L1571" i="7"/>
  <c r="L1580" i="7"/>
  <c r="L1587" i="7"/>
  <c r="L1590" i="7"/>
  <c r="L1592" i="7"/>
  <c r="L1593" i="7"/>
  <c r="L1595" i="7"/>
  <c r="L1597" i="7"/>
  <c r="L1602" i="7"/>
  <c r="L1606" i="7"/>
  <c r="L1609" i="7"/>
  <c r="L1611" i="7"/>
  <c r="L1612" i="7"/>
  <c r="L1617" i="7"/>
  <c r="L1620" i="7"/>
  <c r="L1622" i="7"/>
  <c r="L1627" i="7"/>
  <c r="L1629" i="7"/>
  <c r="L1635" i="7"/>
  <c r="L1639" i="7"/>
  <c r="L1640" i="7"/>
  <c r="L1642" i="7"/>
  <c r="L1646" i="7"/>
  <c r="L1653" i="7"/>
  <c r="L1659" i="7"/>
  <c r="L1664" i="7"/>
  <c r="L1666" i="7"/>
  <c r="L1677" i="7"/>
  <c r="L1680" i="7"/>
  <c r="L1681" i="7"/>
  <c r="L1682" i="7"/>
  <c r="L1683" i="7"/>
  <c r="L1684" i="7"/>
  <c r="L1686" i="7"/>
  <c r="L1688" i="7"/>
  <c r="L1689" i="7"/>
  <c r="L1690" i="7"/>
  <c r="L1697" i="7"/>
  <c r="L1700" i="7"/>
  <c r="L1702" i="7"/>
  <c r="L1704" i="7"/>
  <c r="L1707" i="7"/>
  <c r="L1715" i="7"/>
  <c r="L1718" i="7"/>
  <c r="L1720" i="7"/>
  <c r="L1729" i="7"/>
  <c r="L1730" i="7"/>
  <c r="L1731" i="7"/>
  <c r="L1733" i="7"/>
  <c r="L1734" i="7"/>
  <c r="L1738" i="7"/>
  <c r="L1749" i="7"/>
  <c r="L1750" i="7"/>
  <c r="L1751" i="7"/>
  <c r="L1752" i="7"/>
  <c r="L1753" i="7"/>
  <c r="L1758" i="7"/>
  <c r="L1764" i="7"/>
  <c r="L1766" i="7"/>
  <c r="L1767" i="7"/>
  <c r="L1769" i="7"/>
  <c r="L1775" i="7"/>
  <c r="L1779" i="7"/>
  <c r="L1782" i="7"/>
  <c r="L1784" i="7"/>
  <c r="L1785" i="7"/>
  <c r="L1792" i="7"/>
  <c r="L1794" i="7"/>
  <c r="L1796" i="7"/>
  <c r="L1803" i="7"/>
  <c r="L1806" i="7"/>
  <c r="L1807" i="7"/>
  <c r="L1808" i="7"/>
  <c r="L1813" i="7"/>
  <c r="L1821" i="7"/>
  <c r="L1827" i="7"/>
  <c r="L1832" i="7"/>
  <c r="L1836" i="7"/>
  <c r="L1838" i="7"/>
  <c r="L1840" i="7"/>
  <c r="L1842" i="7"/>
  <c r="L1844" i="7"/>
  <c r="L1847" i="7"/>
  <c r="L1848" i="7"/>
  <c r="L1851" i="7"/>
  <c r="L1853" i="7"/>
  <c r="L1856" i="7"/>
  <c r="L1859" i="7"/>
  <c r="L1864" i="7"/>
  <c r="L1878" i="7"/>
  <c r="L1880" i="7"/>
  <c r="L1881" i="7"/>
  <c r="L1887" i="7"/>
  <c r="L1888" i="7"/>
  <c r="L1891" i="7"/>
  <c r="L1892" i="7"/>
  <c r="L1893" i="7"/>
  <c r="L1897" i="7"/>
  <c r="L1898" i="7"/>
  <c r="L1902" i="7"/>
  <c r="L1906" i="7"/>
  <c r="L1907" i="7"/>
  <c r="L1911" i="7"/>
  <c r="L1919" i="7"/>
  <c r="L1921" i="7"/>
  <c r="L1928" i="7"/>
  <c r="L1929" i="7"/>
  <c r="L1934" i="7"/>
  <c r="L1935" i="7"/>
  <c r="L1936" i="7"/>
  <c r="L1942" i="7"/>
  <c r="L1943" i="7"/>
  <c r="L1945" i="7"/>
  <c r="L1947" i="7"/>
  <c r="L1950" i="7"/>
  <c r="L1951" i="7"/>
  <c r="L1953" i="7"/>
  <c r="L1956" i="7"/>
  <c r="L1957" i="7"/>
  <c r="L1958" i="7"/>
  <c r="L1962" i="7"/>
  <c r="L1963" i="7"/>
  <c r="L1967" i="7"/>
  <c r="L1968" i="7"/>
  <c r="L1973" i="7"/>
  <c r="L1976" i="7"/>
  <c r="L1977" i="7"/>
  <c r="L1983" i="7"/>
  <c r="L1987" i="7"/>
  <c r="L1988" i="7"/>
  <c r="L1989" i="7"/>
  <c r="L1996" i="7"/>
  <c r="L1997" i="7"/>
  <c r="L2000" i="7"/>
  <c r="L35" i="7" l="1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4" i="7"/>
  <c r="K37" i="7"/>
  <c r="K40" i="7"/>
  <c r="K42" i="7"/>
  <c r="K45" i="7"/>
  <c r="K46" i="7"/>
  <c r="K53" i="7"/>
  <c r="K60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4" i="7"/>
  <c r="K90" i="7"/>
  <c r="K108" i="7"/>
  <c r="K110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3" i="7"/>
  <c r="K137" i="7"/>
  <c r="K162" i="7"/>
  <c r="K163" i="7"/>
  <c r="K166" i="7"/>
  <c r="K177" i="7"/>
  <c r="K178" i="7"/>
  <c r="K192" i="7"/>
  <c r="K203" i="7"/>
  <c r="K205" i="7"/>
  <c r="K210" i="7"/>
  <c r="K212" i="7"/>
  <c r="K218" i="7"/>
  <c r="K220" i="7"/>
  <c r="K223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231" i="7" l="1"/>
  <c r="K139" i="7"/>
  <c r="K95" i="7"/>
  <c r="K161" i="7"/>
  <c r="K179" i="7"/>
  <c r="K59" i="7"/>
  <c r="K234" i="7"/>
  <c r="K229" i="7"/>
  <c r="K152" i="7"/>
  <c r="K236" i="7"/>
  <c r="K156" i="7"/>
  <c r="K64" i="7"/>
  <c r="K216" i="7"/>
  <c r="K174" i="7"/>
  <c r="K222" i="7"/>
  <c r="K242" i="7"/>
  <c r="K214" i="7"/>
  <c r="K172" i="7"/>
  <c r="K183" i="7"/>
  <c r="K104" i="7"/>
  <c r="K188" i="7"/>
  <c r="K102" i="7"/>
  <c r="K88" i="7"/>
  <c r="K106" i="7"/>
  <c r="K187" i="7"/>
  <c r="K100" i="7"/>
  <c r="K62" i="7"/>
  <c r="K306" i="7"/>
  <c r="K201" i="7"/>
  <c r="K150" i="7"/>
  <c r="K91" i="7"/>
  <c r="K232" i="7"/>
  <c r="K198" i="7"/>
  <c r="K170" i="7"/>
  <c r="K135" i="7"/>
  <c r="K207" i="7"/>
  <c r="K185" i="7"/>
  <c r="K86" i="7"/>
  <c r="K130" i="7"/>
  <c r="K99" i="7"/>
  <c r="K199" i="7"/>
  <c r="K155" i="7"/>
  <c r="K38" i="7"/>
  <c r="K189" i="7"/>
  <c r="K181" i="7"/>
  <c r="K89" i="7"/>
  <c r="K82" i="7"/>
  <c r="K51" i="7"/>
  <c r="K44" i="7"/>
  <c r="K143" i="7"/>
  <c r="K141" i="7"/>
  <c r="K148" i="7"/>
  <c r="K154" i="7"/>
  <c r="K56" i="7"/>
  <c r="K49" i="7"/>
  <c r="K213" i="7"/>
  <c r="K36" i="7"/>
  <c r="K134" i="7"/>
  <c r="K111" i="7"/>
  <c r="K55" i="7"/>
  <c r="K35" i="7"/>
  <c r="K184" i="7"/>
  <c r="K190" i="7"/>
  <c r="K132" i="7"/>
  <c r="K47" i="7"/>
  <c r="K165" i="7"/>
  <c r="K196" i="7"/>
  <c r="K151" i="7"/>
  <c r="K209" i="7"/>
  <c r="K144" i="7"/>
  <c r="K215" i="7"/>
  <c r="K176" i="7"/>
  <c r="K221" i="7"/>
  <c r="K182" i="7"/>
  <c r="K157" i="7"/>
  <c r="K240" i="7"/>
  <c r="K227" i="7"/>
  <c r="K194" i="7"/>
  <c r="K93" i="7"/>
  <c r="K238" i="7"/>
  <c r="K153" i="7"/>
  <c r="K97" i="7"/>
  <c r="K200" i="7"/>
  <c r="K219" i="7"/>
  <c r="K138" i="7"/>
  <c r="K48" i="7"/>
  <c r="K175" i="7"/>
  <c r="K224" i="7"/>
  <c r="K193" i="7"/>
  <c r="K168" i="7"/>
  <c r="K131" i="7"/>
  <c r="K96" i="7"/>
  <c r="K54" i="7"/>
  <c r="K230" i="7"/>
  <c r="K41" i="7"/>
  <c r="K211" i="7"/>
  <c r="K136" i="7"/>
  <c r="K217" i="7"/>
  <c r="K167" i="7"/>
  <c r="K101" i="7"/>
  <c r="K142" i="7"/>
  <c r="K107" i="7"/>
  <c r="K235" i="7"/>
  <c r="K204" i="7"/>
  <c r="K173" i="7"/>
  <c r="K241" i="7"/>
  <c r="K191" i="7"/>
  <c r="K94" i="7"/>
  <c r="K65" i="7"/>
  <c r="K52" i="7"/>
  <c r="K197" i="7"/>
  <c r="K160" i="7"/>
  <c r="K112" i="7"/>
  <c r="K58" i="7"/>
  <c r="K228" i="7"/>
  <c r="K159" i="7"/>
  <c r="K39" i="7"/>
  <c r="K147" i="7"/>
  <c r="K87" i="7"/>
  <c r="K103" i="7"/>
  <c r="K169" i="7"/>
  <c r="K109" i="7"/>
  <c r="K237" i="7"/>
  <c r="K206" i="7"/>
  <c r="K61" i="7"/>
  <c r="K180" i="7"/>
  <c r="K83" i="7"/>
  <c r="K149" i="7"/>
  <c r="K186" i="7"/>
  <c r="K202" i="7"/>
  <c r="K146" i="7"/>
  <c r="K140" i="7"/>
  <c r="K105" i="7"/>
  <c r="K57" i="7"/>
  <c r="K233" i="7"/>
  <c r="K171" i="7"/>
  <c r="K92" i="7"/>
  <c r="K239" i="7"/>
  <c r="K208" i="7"/>
  <c r="K158" i="7"/>
  <c r="K63" i="7"/>
  <c r="K50" i="7"/>
  <c r="K195" i="7"/>
  <c r="K164" i="7"/>
  <c r="K98" i="7"/>
  <c r="K226" i="7"/>
  <c r="K145" i="7"/>
  <c r="K225" i="7"/>
  <c r="K85" i="7"/>
  <c r="K43" i="7"/>
  <c r="K34" i="7" l="1"/>
  <c r="L1445" i="7"/>
  <c r="L1896" i="7"/>
  <c r="L1182" i="7"/>
  <c r="L1822" i="7"/>
  <c r="L1790" i="7"/>
  <c r="L1805" i="7"/>
  <c r="L1224" i="7"/>
  <c r="L1966" i="7"/>
  <c r="L1644" i="7"/>
  <c r="L1158" i="7"/>
  <c r="L1632" i="7"/>
  <c r="L1756" i="7"/>
  <c r="L1130" i="7"/>
  <c r="L313" i="7"/>
  <c r="L788" i="7"/>
  <c r="L1634" i="7"/>
  <c r="L1982" i="7"/>
  <c r="L1799" i="7"/>
  <c r="L323" i="7"/>
  <c r="L1760" i="7"/>
  <c r="L1467" i="7"/>
  <c r="L636" i="7"/>
  <c r="L1547" i="7"/>
  <c r="L1456" i="7"/>
  <c r="L946" i="7"/>
  <c r="L1904" i="7"/>
  <c r="L1578" i="7"/>
  <c r="L1394" i="7"/>
  <c r="L1450" i="7"/>
  <c r="L1798" i="7"/>
  <c r="L345" i="7"/>
  <c r="L677" i="7"/>
  <c r="L1387" i="7"/>
  <c r="L1964" i="7"/>
  <c r="L1022" i="7"/>
  <c r="L751" i="7"/>
  <c r="L406" i="7"/>
  <c r="L1843" i="7"/>
  <c r="L339" i="7"/>
  <c r="L1883" i="7"/>
  <c r="L748" i="7"/>
  <c r="L1886" i="7"/>
  <c r="L1746" i="7"/>
  <c r="L1497" i="7"/>
  <c r="L1495" i="7"/>
  <c r="L1922" i="7"/>
  <c r="L1647" i="7"/>
  <c r="L501" i="7"/>
  <c r="L1086" i="7"/>
  <c r="L1739" i="7"/>
  <c r="L1490" i="7"/>
  <c r="L1890" i="7"/>
  <c r="L391" i="7"/>
  <c r="L1283" i="7"/>
  <c r="L904" i="7"/>
  <c r="L507" i="7"/>
  <c r="L1383" i="7"/>
  <c r="L1755" i="7"/>
  <c r="L1660" i="7"/>
  <c r="L674" i="7"/>
  <c r="L692" i="7"/>
  <c r="L1732" i="7"/>
  <c r="L1585" i="7"/>
  <c r="L1314" i="7"/>
  <c r="L1655" i="7"/>
  <c r="L1322" i="7"/>
  <c r="L1156" i="7"/>
  <c r="L685" i="7"/>
  <c r="L516" i="7"/>
  <c r="L1623" i="7"/>
  <c r="L921" i="7"/>
  <c r="L1745" i="7"/>
  <c r="L1420" i="7"/>
  <c r="L1148" i="7"/>
  <c r="L1709" i="7"/>
  <c r="L1207" i="7"/>
  <c r="L943" i="7"/>
  <c r="L1780" i="7"/>
  <c r="L1981" i="7"/>
  <c r="L1900" i="7"/>
  <c r="L1402" i="7"/>
  <c r="L1284" i="7"/>
  <c r="L1503" i="7"/>
  <c r="L956" i="7"/>
  <c r="L589" i="7"/>
  <c r="L413" i="7"/>
  <c r="L1630" i="7"/>
  <c r="L1094" i="7"/>
  <c r="L926" i="7"/>
  <c r="L1846" i="7"/>
  <c r="L1221" i="7"/>
  <c r="L510" i="7"/>
  <c r="L355" i="7"/>
  <c r="L1159" i="7"/>
  <c r="L1667" i="7"/>
  <c r="L947" i="7"/>
  <c r="L976" i="7"/>
  <c r="L2001" i="7"/>
  <c r="L879" i="7"/>
  <c r="L1841" i="7"/>
  <c r="L1778" i="7"/>
  <c r="L1009" i="7"/>
  <c r="L1673" i="7"/>
  <c r="L1570" i="7"/>
  <c r="L1482" i="7"/>
  <c r="L1248" i="7"/>
  <c r="L1867" i="7"/>
  <c r="L1443" i="7"/>
  <c r="L1307" i="7"/>
  <c r="L839" i="7"/>
  <c r="L494" i="7"/>
  <c r="L1181" i="7"/>
  <c r="L1102" i="7"/>
  <c r="L1294" i="7"/>
  <c r="L1290" i="7"/>
  <c r="L1273" i="7"/>
  <c r="L1972" i="7"/>
  <c r="L1297" i="7"/>
  <c r="L1648" i="7"/>
  <c r="L393" i="7"/>
  <c r="L557" i="7"/>
  <c r="L1862" i="7"/>
  <c r="L777" i="7"/>
  <c r="L1405" i="7"/>
  <c r="L1645" i="7"/>
  <c r="L1952" i="7"/>
  <c r="L1658" i="7"/>
  <c r="L1860" i="7"/>
  <c r="L934" i="7"/>
  <c r="L587" i="7"/>
  <c r="L1139" i="7"/>
  <c r="L500" i="7"/>
  <c r="L1338" i="7"/>
  <c r="L825" i="7"/>
  <c r="L488" i="7"/>
  <c r="L1656" i="7"/>
  <c r="L962" i="7"/>
  <c r="L1128" i="7"/>
  <c r="L625" i="7"/>
  <c r="L1651" i="7"/>
  <c r="L1563" i="7"/>
  <c r="L1328" i="7"/>
  <c r="L1218" i="7"/>
  <c r="L1101" i="7"/>
  <c r="L1510" i="7"/>
  <c r="L1276" i="7"/>
  <c r="L1029" i="7"/>
  <c r="L597" i="7"/>
  <c r="L487" i="7"/>
  <c r="L917" i="7"/>
  <c r="L1687" i="7"/>
  <c r="L1183" i="7"/>
  <c r="L1344" i="7"/>
  <c r="L1087" i="7"/>
  <c r="L486" i="7"/>
  <c r="L1361" i="7"/>
  <c r="L837" i="7"/>
  <c r="L504" i="7"/>
  <c r="L948" i="7"/>
  <c r="L1998" i="7"/>
  <c r="L525" i="7"/>
  <c r="L680" i="7"/>
  <c r="L894" i="7"/>
  <c r="L1948" i="7"/>
  <c r="L1197" i="7"/>
  <c r="L1209" i="7"/>
  <c r="L1000" i="7"/>
  <c r="L824" i="7"/>
  <c r="L582" i="7"/>
  <c r="L1791" i="7"/>
  <c r="L1525" i="7"/>
  <c r="L1268" i="7"/>
  <c r="L810" i="7"/>
  <c r="L375" i="7"/>
  <c r="L1824" i="7"/>
  <c r="L1728" i="7"/>
  <c r="L1200" i="7"/>
  <c r="L539" i="7"/>
  <c r="L556" i="7"/>
  <c r="L1436" i="7"/>
  <c r="L995" i="7"/>
  <c r="L1110" i="7"/>
  <c r="L1604" i="7"/>
  <c r="L918" i="7"/>
  <c r="L1944" i="7"/>
  <c r="L1871" i="7"/>
  <c r="L1783" i="7"/>
  <c r="L1724" i="7"/>
  <c r="L1636" i="7"/>
  <c r="L1358" i="7"/>
  <c r="L1270" i="7"/>
  <c r="L1167" i="7"/>
  <c r="L1920" i="7"/>
  <c r="L1852" i="7"/>
  <c r="L1722" i="7"/>
  <c r="L1594" i="7"/>
  <c r="L1480" i="7"/>
  <c r="L1111" i="7"/>
  <c r="L897" i="7"/>
  <c r="L817" i="7"/>
  <c r="L743" i="7"/>
  <c r="L663" i="7"/>
  <c r="L567" i="7"/>
  <c r="L340" i="7"/>
  <c r="L499" i="7"/>
  <c r="L697" i="7"/>
  <c r="L939" i="7"/>
  <c r="L1203" i="7"/>
  <c r="L1599" i="7"/>
  <c r="L1714" i="7"/>
  <c r="L1509" i="7"/>
  <c r="L1223" i="7"/>
  <c r="L390" i="7"/>
  <c r="L876" i="7"/>
  <c r="L1426" i="7"/>
  <c r="L1954" i="7"/>
  <c r="L327" i="7"/>
  <c r="L965" i="7"/>
  <c r="L558" i="7"/>
  <c r="L724" i="7"/>
  <c r="L669" i="7"/>
  <c r="L1638" i="7"/>
  <c r="L1581" i="7"/>
  <c r="L844" i="7"/>
  <c r="L1508" i="7"/>
  <c r="L1326" i="7"/>
  <c r="L704" i="7"/>
  <c r="L506" i="7"/>
  <c r="L1575" i="7"/>
  <c r="L1330" i="7"/>
  <c r="L1231" i="7"/>
  <c r="L1955" i="7"/>
  <c r="L900" i="7"/>
  <c r="L1554" i="7"/>
  <c r="L609" i="7"/>
  <c r="L389" i="7"/>
  <c r="L1872" i="7"/>
  <c r="L1937" i="7"/>
  <c r="L1849" i="7"/>
  <c r="L1776" i="7"/>
  <c r="L1717" i="7"/>
  <c r="L1548" i="7"/>
  <c r="L1424" i="7"/>
  <c r="L1343" i="7"/>
  <c r="L1262" i="7"/>
  <c r="L1160" i="7"/>
  <c r="L1912" i="7"/>
  <c r="L1845" i="7"/>
  <c r="L1685" i="7"/>
  <c r="L1579" i="7"/>
  <c r="L1465" i="7"/>
  <c r="L1253" i="7"/>
  <c r="L1051" i="7"/>
  <c r="L978" i="7"/>
  <c r="L890" i="7"/>
  <c r="L809" i="7"/>
  <c r="L736" i="7"/>
  <c r="L648" i="7"/>
  <c r="L521" i="7"/>
  <c r="L719" i="7"/>
  <c r="L961" i="7"/>
  <c r="L1965" i="7"/>
  <c r="L1699" i="7"/>
  <c r="L1464" i="7"/>
  <c r="L552" i="7"/>
  <c r="L898" i="7"/>
  <c r="L1470" i="7"/>
  <c r="L1427" i="7"/>
  <c r="L1035" i="7"/>
  <c r="L415" i="7"/>
  <c r="L1031" i="7"/>
  <c r="L888" i="7"/>
  <c r="L492" i="7"/>
  <c r="L790" i="7"/>
  <c r="L1433" i="7"/>
  <c r="L778" i="7"/>
  <c r="L1076" i="7"/>
  <c r="L1493" i="7"/>
  <c r="L840" i="7"/>
  <c r="L474" i="7"/>
  <c r="L1391" i="7"/>
  <c r="L1742" i="7"/>
  <c r="L893" i="7"/>
  <c r="L982" i="7"/>
  <c r="L604" i="7"/>
  <c r="L1471" i="7"/>
  <c r="L1186" i="7"/>
  <c r="L1512" i="7"/>
  <c r="L1910" i="7"/>
  <c r="L1367" i="7"/>
  <c r="L875" i="7"/>
  <c r="L318" i="7"/>
  <c r="L741" i="7"/>
  <c r="L983" i="7"/>
  <c r="L742" i="7"/>
  <c r="L436" i="7"/>
  <c r="L661" i="7"/>
  <c r="L470" i="7"/>
  <c r="L324" i="7"/>
  <c r="L793" i="7"/>
  <c r="L1067" i="7"/>
  <c r="L770" i="7"/>
  <c r="L1180" i="7"/>
  <c r="L758" i="7"/>
  <c r="L548" i="7"/>
  <c r="L540" i="7"/>
  <c r="L1930" i="7"/>
  <c r="L1834" i="7"/>
  <c r="L1761" i="7"/>
  <c r="L1600" i="7"/>
  <c r="L1519" i="7"/>
  <c r="L1409" i="7"/>
  <c r="L1336" i="7"/>
  <c r="L1255" i="7"/>
  <c r="L1138" i="7"/>
  <c r="L1360" i="7"/>
  <c r="L1246" i="7"/>
  <c r="L1171" i="7"/>
  <c r="L1044" i="7"/>
  <c r="L963" i="7"/>
  <c r="L868" i="7"/>
  <c r="L795" i="7"/>
  <c r="L714" i="7"/>
  <c r="L523" i="7"/>
  <c r="L421" i="7"/>
  <c r="L311" i="7"/>
  <c r="L543" i="7"/>
  <c r="L763" i="7"/>
  <c r="L361" i="7"/>
  <c r="L1447" i="7"/>
  <c r="L1927" i="7"/>
  <c r="L1676" i="7"/>
  <c r="L940" i="7"/>
  <c r="L728" i="7"/>
  <c r="L524" i="7"/>
  <c r="L1698" i="7"/>
  <c r="L1298" i="7"/>
  <c r="L639" i="7"/>
  <c r="L459" i="7"/>
  <c r="L1801" i="7"/>
  <c r="L1705" i="7"/>
  <c r="L866" i="7"/>
  <c r="L426" i="7"/>
  <c r="L1873" i="7"/>
  <c r="L1374" i="7"/>
  <c r="L478" i="7"/>
  <c r="L383" i="7"/>
  <c r="L811" i="7"/>
  <c r="L1999" i="7"/>
  <c r="L1787" i="7"/>
  <c r="L1323" i="7"/>
  <c r="L813" i="7"/>
  <c r="L1303" i="7"/>
  <c r="L1786" i="7"/>
  <c r="L1377" i="7"/>
  <c r="L842" i="7"/>
  <c r="L1131" i="7"/>
  <c r="L1618" i="7"/>
  <c r="L1325" i="7"/>
  <c r="L1335" i="7"/>
  <c r="L1621" i="7"/>
  <c r="L1863" i="7"/>
  <c r="L1227" i="7"/>
  <c r="L1711" i="7"/>
  <c r="L1874" i="7"/>
  <c r="L1661" i="7"/>
  <c r="L1419" i="7"/>
  <c r="L1006" i="7"/>
  <c r="L867" i="7"/>
  <c r="L581" i="7"/>
  <c r="L456" i="7"/>
  <c r="L546" i="7"/>
  <c r="L964" i="7"/>
  <c r="L1514" i="7"/>
  <c r="L1192" i="7"/>
  <c r="L911" i="7"/>
  <c r="L551" i="7"/>
  <c r="L503" i="7"/>
  <c r="L1075" i="7"/>
  <c r="L1774" i="7"/>
  <c r="L1237" i="7"/>
  <c r="L991" i="7"/>
  <c r="L705" i="7"/>
  <c r="L1979" i="7"/>
  <c r="L1584" i="7"/>
  <c r="L764" i="7"/>
  <c r="L502" i="7"/>
  <c r="L1074" i="7"/>
  <c r="L569" i="7"/>
  <c r="L1626" i="7"/>
  <c r="L1876" i="7"/>
  <c r="L1574" i="7"/>
  <c r="L1217" i="7"/>
  <c r="L979" i="7"/>
  <c r="L762" i="7"/>
  <c r="L754" i="7"/>
  <c r="L1462" i="7"/>
  <c r="L857" i="7"/>
  <c r="L1857" i="7"/>
  <c r="L319" i="7"/>
  <c r="L334" i="7"/>
  <c r="L1134" i="7"/>
  <c r="L1641" i="7"/>
  <c r="L408" i="7"/>
  <c r="L1002" i="7"/>
  <c r="L550" i="7"/>
  <c r="L1974" i="7"/>
  <c r="L1915" i="7"/>
  <c r="L1820" i="7"/>
  <c r="L1768" i="7"/>
  <c r="L1710" i="7"/>
  <c r="L1614" i="7"/>
  <c r="L1556" i="7"/>
  <c r="L1475" i="7"/>
  <c r="L1380" i="7"/>
  <c r="L1299" i="7"/>
  <c r="L1204" i="7"/>
  <c r="L1116" i="7"/>
  <c r="L1882" i="7"/>
  <c r="L1830" i="7"/>
  <c r="L1670" i="7"/>
  <c r="L1533" i="7"/>
  <c r="L1472" i="7"/>
  <c r="L1390" i="7"/>
  <c r="L1269" i="7"/>
  <c r="L1216" i="7"/>
  <c r="L1141" i="7"/>
  <c r="L1015" i="7"/>
  <c r="L949" i="7"/>
  <c r="L861" i="7"/>
  <c r="L780" i="7"/>
  <c r="L729" i="7"/>
  <c r="L641" i="7"/>
  <c r="L538" i="7"/>
  <c r="L450" i="7"/>
  <c r="L851" i="7"/>
  <c r="L1115" i="7"/>
  <c r="L1401" i="7"/>
  <c r="L1643" i="7"/>
  <c r="L1885" i="7"/>
  <c r="L1271" i="7"/>
  <c r="L1777" i="7"/>
  <c r="L1866" i="7"/>
  <c r="L1162" i="7"/>
  <c r="L970" i="7"/>
  <c r="L852" i="7"/>
  <c r="L574" i="7"/>
  <c r="L442" i="7"/>
  <c r="L568" i="7"/>
  <c r="L1052" i="7"/>
  <c r="L1736" i="7"/>
  <c r="L1441" i="7"/>
  <c r="L1185" i="7"/>
  <c r="L830" i="7"/>
  <c r="L522" i="7"/>
  <c r="L1759" i="7"/>
  <c r="L1214" i="7"/>
  <c r="L984" i="7"/>
  <c r="L654" i="7"/>
  <c r="L1274" i="7"/>
  <c r="L1941" i="7"/>
  <c r="L1669" i="7"/>
  <c r="L750" i="7"/>
  <c r="L590" i="7"/>
  <c r="L1492" i="7"/>
  <c r="L859" i="7"/>
  <c r="L591" i="7"/>
  <c r="L460" i="7"/>
  <c r="L1802" i="7"/>
  <c r="L1164" i="7"/>
  <c r="L1826" i="7"/>
  <c r="L1566" i="7"/>
  <c r="L365" i="7"/>
  <c r="L782" i="7"/>
  <c r="L1663" i="7"/>
  <c r="L1781" i="7"/>
  <c r="L1542" i="7"/>
  <c r="L659" i="7"/>
  <c r="L307" i="7"/>
  <c r="L935" i="7"/>
  <c r="L363" i="7"/>
  <c r="L359" i="7"/>
  <c r="L1839" i="7"/>
  <c r="L1106" i="7"/>
  <c r="L849" i="7"/>
  <c r="L1747" i="7"/>
  <c r="L549" i="7"/>
  <c r="L1959" i="7"/>
  <c r="L1908" i="7"/>
  <c r="L1812" i="7"/>
  <c r="L1754" i="7"/>
  <c r="L1695" i="7"/>
  <c r="L1607" i="7"/>
  <c r="L1534" i="7"/>
  <c r="L1453" i="7"/>
  <c r="L1365" i="7"/>
  <c r="L1277" i="7"/>
  <c r="L1189" i="7"/>
  <c r="L1108" i="7"/>
  <c r="L1875" i="7"/>
  <c r="L1815" i="7"/>
  <c r="L1662" i="7"/>
  <c r="L1518" i="7"/>
  <c r="L1458" i="7"/>
  <c r="L1382" i="7"/>
  <c r="L1261" i="7"/>
  <c r="L1201" i="7"/>
  <c r="L1118" i="7"/>
  <c r="L1007" i="7"/>
  <c r="L927" i="7"/>
  <c r="L853" i="7"/>
  <c r="L773" i="7"/>
  <c r="L626" i="7"/>
  <c r="L428" i="7"/>
  <c r="L333" i="7"/>
  <c r="L455" i="7"/>
  <c r="L675" i="7"/>
  <c r="L873" i="7"/>
  <c r="L1137" i="7"/>
  <c r="L1423" i="7"/>
  <c r="L1665" i="7"/>
  <c r="L1995" i="7"/>
  <c r="L1315" i="7"/>
  <c r="L1865" i="7"/>
  <c r="L1562" i="7"/>
  <c r="L1366" i="7"/>
  <c r="L1147" i="7"/>
  <c r="L955" i="7"/>
  <c r="L779" i="7"/>
  <c r="L566" i="7"/>
  <c r="L427" i="7"/>
  <c r="L612" i="7"/>
  <c r="L1712" i="7"/>
  <c r="L1713" i="7"/>
  <c r="L1320" i="7"/>
  <c r="L1079" i="7"/>
  <c r="L801" i="7"/>
  <c r="L789" i="7"/>
  <c r="L1889" i="7"/>
  <c r="L1721" i="7"/>
  <c r="L1199" i="7"/>
  <c r="L573" i="7"/>
  <c r="L438" i="7"/>
  <c r="L1538" i="7"/>
  <c r="L1858" i="7"/>
  <c r="L1418" i="7"/>
  <c r="L1601" i="7"/>
  <c r="L1260" i="7"/>
  <c r="L1931" i="7"/>
  <c r="L1932" i="7"/>
  <c r="L727" i="7"/>
  <c r="L998" i="7"/>
  <c r="L526" i="7"/>
  <c r="L1868" i="7"/>
  <c r="L1582" i="7"/>
  <c r="L1817" i="7"/>
  <c r="L337" i="7"/>
  <c r="L1879" i="7"/>
  <c r="L320" i="7"/>
  <c r="L1545" i="7"/>
  <c r="L1939" i="7"/>
  <c r="L1619" i="7"/>
  <c r="L1833" i="7"/>
  <c r="L1243" i="7"/>
  <c r="L1809" i="7"/>
  <c r="L710" i="7"/>
  <c r="L1773" i="7"/>
  <c r="L1735" i="7"/>
  <c r="L1064" i="7"/>
  <c r="L416" i="7"/>
  <c r="L1560" i="7"/>
  <c r="L1637" i="7"/>
  <c r="L514" i="7"/>
  <c r="L1406" i="7"/>
  <c r="L1855" i="7"/>
  <c r="L1613" i="7"/>
  <c r="L1311" i="7"/>
  <c r="L1083" i="7"/>
  <c r="L885" i="7"/>
  <c r="L689" i="7"/>
  <c r="L621" i="7"/>
  <c r="L1135" i="7"/>
  <c r="L1960" i="7"/>
  <c r="L1477" i="7"/>
  <c r="L733" i="7"/>
  <c r="L974" i="7"/>
  <c r="L454" i="7"/>
  <c r="L1811" i="7"/>
  <c r="L1610" i="7"/>
  <c r="L357" i="7"/>
  <c r="L1045" i="7"/>
  <c r="L1596" i="7"/>
  <c r="L1899" i="7"/>
  <c r="L1017" i="7"/>
  <c r="L1385" i="7"/>
  <c r="L928" i="7"/>
  <c r="L1220" i="7"/>
  <c r="L378" i="7"/>
  <c r="L1483" i="7"/>
  <c r="L1190" i="7"/>
  <c r="L1039" i="7"/>
  <c r="L1219" i="7"/>
  <c r="L1657" i="7"/>
  <c r="L1591" i="7"/>
  <c r="L1257" i="7"/>
  <c r="L495" i="7"/>
  <c r="L386" i="7"/>
  <c r="L957" i="7"/>
  <c r="L1395" i="7"/>
  <c r="L387" i="7"/>
  <c r="L1650" i="7"/>
  <c r="L901" i="7"/>
  <c r="L1810" i="7"/>
  <c r="L1804" i="7"/>
  <c r="L1485" i="7"/>
  <c r="L1727" i="7"/>
  <c r="L818" i="7"/>
  <c r="L562" i="7"/>
  <c r="L1905" i="7"/>
  <c r="L1837" i="7"/>
  <c r="L1692" i="7"/>
  <c r="L1624" i="7"/>
  <c r="L1488" i="7"/>
  <c r="L1428" i="7"/>
  <c r="L1329" i="7"/>
  <c r="L1238" i="7"/>
  <c r="L1178" i="7"/>
  <c r="L1066" i="7"/>
  <c r="L985" i="7"/>
  <c r="L912" i="7"/>
  <c r="L846" i="7"/>
  <c r="L765" i="7"/>
  <c r="L707" i="7"/>
  <c r="L633" i="7"/>
  <c r="L531" i="7"/>
  <c r="L443" i="7"/>
  <c r="L347" i="7"/>
  <c r="L433" i="7"/>
  <c r="L631" i="7"/>
  <c r="L785" i="7"/>
  <c r="L1005" i="7"/>
  <c r="L1225" i="7"/>
  <c r="L1555" i="7"/>
  <c r="L1797" i="7"/>
  <c r="L310" i="7"/>
  <c r="L1359" i="7"/>
  <c r="L1909" i="7"/>
  <c r="L1829" i="7"/>
  <c r="L1631" i="7"/>
  <c r="L1404" i="7"/>
  <c r="L1208" i="7"/>
  <c r="L1080" i="7"/>
  <c r="L889" i="7"/>
  <c r="L713" i="7"/>
  <c r="L537" i="7"/>
  <c r="L346" i="7"/>
  <c r="L722" i="7"/>
  <c r="L1096" i="7"/>
  <c r="L1558" i="7"/>
  <c r="L1980" i="7"/>
  <c r="L1524" i="7"/>
  <c r="L1275" i="7"/>
  <c r="L999" i="7"/>
  <c r="L786" i="7"/>
  <c r="L485" i="7"/>
  <c r="L547" i="7"/>
  <c r="L1119" i="7"/>
  <c r="L1537" i="7"/>
  <c r="L1918" i="7"/>
  <c r="L1615" i="7"/>
  <c r="L1184" i="7"/>
  <c r="L969" i="7"/>
  <c r="L632" i="7"/>
  <c r="L360" i="7"/>
  <c r="L1789" i="7"/>
  <c r="L1342" i="7"/>
  <c r="L1586" i="7"/>
  <c r="L706" i="7"/>
  <c r="L1706" i="7"/>
  <c r="L326" i="7"/>
  <c r="L854" i="7"/>
  <c r="L2002" i="7"/>
  <c r="L463" i="7"/>
  <c r="L679" i="7"/>
  <c r="L1295" i="7"/>
  <c r="L1546" i="7"/>
  <c r="L668" i="7"/>
  <c r="L702" i="7"/>
  <c r="L1835" i="7"/>
  <c r="L932" i="7"/>
  <c r="L966" i="7"/>
  <c r="L1923" i="7"/>
  <c r="L1400" i="7"/>
  <c r="L1175" i="7"/>
  <c r="L931" i="7"/>
  <c r="L797" i="7"/>
  <c r="L520" i="7"/>
  <c r="L352" i="7"/>
  <c r="L1572" i="7"/>
  <c r="L1129" i="7"/>
  <c r="L755" i="7"/>
  <c r="L1573" i="7"/>
  <c r="L1565" i="7"/>
  <c r="L491" i="7"/>
  <c r="L1696" i="7"/>
  <c r="L1408" i="7"/>
  <c r="L1153" i="7"/>
  <c r="L737" i="7"/>
  <c r="L475" i="7"/>
  <c r="L1678" i="7"/>
  <c r="L1061" i="7"/>
  <c r="L1992" i="7"/>
  <c r="L1047" i="7"/>
  <c r="L1309" i="7"/>
  <c r="L490" i="7"/>
  <c r="L1672" i="7"/>
  <c r="L739" i="7"/>
  <c r="L1474" i="7"/>
  <c r="L1530" i="7"/>
  <c r="L1151" i="7"/>
  <c r="L451" i="7"/>
  <c r="L653" i="7"/>
  <c r="L807" i="7"/>
  <c r="L1071" i="7"/>
  <c r="L1313" i="7"/>
  <c r="L1577" i="7"/>
  <c r="L1819" i="7"/>
  <c r="L1117" i="7"/>
  <c r="L1403" i="7"/>
  <c r="L1975" i="7"/>
  <c r="L1814" i="7"/>
  <c r="L1616" i="7"/>
  <c r="L1389" i="7"/>
  <c r="L1177" i="7"/>
  <c r="L1028" i="7"/>
  <c r="L882" i="7"/>
  <c r="L662" i="7"/>
  <c r="L530" i="7"/>
  <c r="L1206" i="7"/>
  <c r="L1502" i="7"/>
  <c r="L735" i="7"/>
  <c r="L1559" i="7"/>
  <c r="L1169" i="7"/>
  <c r="L944" i="7"/>
  <c r="L1691" i="7"/>
  <c r="L1469" i="7"/>
  <c r="L986" i="7"/>
  <c r="L745" i="7"/>
  <c r="L646" i="7"/>
  <c r="L756" i="7"/>
  <c r="L1543" i="7"/>
  <c r="L1143" i="7"/>
  <c r="L1266" i="7"/>
  <c r="L1772" i="7"/>
  <c r="L950" i="7"/>
  <c r="L1925" i="7"/>
  <c r="L637" i="7"/>
  <c r="L1114" i="7"/>
  <c r="L348" i="7"/>
  <c r="L766" i="7"/>
  <c r="L1250" i="7"/>
  <c r="L1668" i="7"/>
  <c r="L1926" i="7"/>
  <c r="L1486" i="7"/>
  <c r="L1230" i="7"/>
  <c r="L977" i="7"/>
  <c r="L691" i="7"/>
  <c r="L441" i="7"/>
  <c r="L613" i="7"/>
  <c r="L1251" i="7"/>
  <c r="L1603" i="7"/>
  <c r="L1903" i="7"/>
  <c r="L1478" i="7"/>
  <c r="L925" i="7"/>
  <c r="L394" i="7"/>
  <c r="L1142" i="7"/>
  <c r="L1994" i="7"/>
  <c r="L1743" i="7"/>
  <c r="L1327" i="7"/>
  <c r="L1442" i="7"/>
  <c r="L684" i="7"/>
  <c r="L1557" i="7"/>
  <c r="L458" i="7"/>
  <c r="L1030" i="7"/>
  <c r="L1949" i="7"/>
  <c r="L767" i="7"/>
  <c r="L1515" i="7"/>
  <c r="L1411" i="7"/>
  <c r="L624" i="7"/>
  <c r="L1674" i="7"/>
  <c r="L1371" i="7"/>
  <c r="L1166" i="7"/>
  <c r="L902" i="7"/>
  <c r="L781" i="7"/>
  <c r="L483" i="7"/>
  <c r="L374" i="7"/>
  <c r="L1026" i="7"/>
  <c r="L1816" i="7"/>
  <c r="L884" i="7"/>
  <c r="L783" i="7"/>
  <c r="L1605" i="7"/>
  <c r="L1302" i="7"/>
  <c r="L1869" i="7"/>
  <c r="L1679" i="7"/>
  <c r="L1386" i="7"/>
  <c r="L1055" i="7"/>
  <c r="L953" i="7"/>
  <c r="L1971" i="7"/>
  <c r="L1025" i="7"/>
  <c r="L1407" i="7"/>
  <c r="L687" i="7"/>
  <c r="L630" i="7"/>
  <c r="L1077" i="7"/>
  <c r="L1765" i="7"/>
  <c r="L468" i="7"/>
  <c r="L694" i="7"/>
  <c r="L642" i="7"/>
  <c r="L1818" i="7"/>
  <c r="L886" i="7"/>
  <c r="L1763" i="7"/>
  <c r="L1499" i="7"/>
  <c r="L1376" i="7"/>
  <c r="L1861" i="7"/>
  <c r="L315" i="7"/>
  <c r="L843" i="7"/>
  <c r="L1355" i="7"/>
  <c r="L981" i="7"/>
  <c r="L799" i="7"/>
  <c r="L1136" i="7"/>
  <c r="L1961" i="7"/>
  <c r="L1165" i="7"/>
  <c r="L431" i="7"/>
  <c r="L1001" i="7"/>
  <c r="L1583" i="7"/>
  <c r="L1771" i="7"/>
  <c r="L1598" i="7"/>
  <c r="L1324" i="7"/>
  <c r="L997" i="7"/>
  <c r="L725" i="7"/>
  <c r="L447" i="7"/>
  <c r="L446" i="7"/>
  <c r="L1459" i="7"/>
  <c r="L1121" i="7"/>
  <c r="L513" i="7"/>
  <c r="L1894" i="7"/>
  <c r="L1455" i="7"/>
  <c r="L476" i="7"/>
  <c r="L1256" i="7"/>
  <c r="L1399" i="7"/>
  <c r="L473" i="7"/>
  <c r="L1454" i="7"/>
  <c r="L1415" i="7"/>
  <c r="L907" i="7"/>
  <c r="L445" i="7"/>
  <c r="L1011" i="7"/>
  <c r="L791" i="7"/>
  <c r="L1432" i="7"/>
  <c r="L1069" i="7"/>
  <c r="L1308" i="7"/>
  <c r="L682" i="7"/>
  <c r="L759" i="7"/>
  <c r="L1484" i="7"/>
  <c r="L1481" i="7"/>
  <c r="L1628" i="7"/>
  <c r="L798" i="7"/>
  <c r="L833" i="7"/>
  <c r="L1317" i="7"/>
  <c r="L1757" i="7"/>
  <c r="L1895" i="7"/>
  <c r="L1463" i="7"/>
  <c r="L1109" i="7"/>
  <c r="L954" i="7"/>
  <c r="L588" i="7"/>
  <c r="L338" i="7"/>
  <c r="L856" i="7"/>
  <c r="L1978" i="7"/>
  <c r="L1828" i="7"/>
  <c r="L1396" i="7"/>
  <c r="L1654" i="7"/>
  <c r="L816" i="7"/>
  <c r="L544" i="7"/>
  <c r="L449" i="7"/>
  <c r="L1744" i="7"/>
  <c r="L634" i="7"/>
  <c r="L1800" i="7"/>
  <c r="L903" i="7"/>
  <c r="L437" i="7"/>
  <c r="L877" i="7"/>
  <c r="L1625" i="7"/>
  <c r="L1312" i="7"/>
  <c r="L1010" i="7"/>
  <c r="L1675" i="7"/>
  <c r="L690" i="7"/>
  <c r="L1032" i="7"/>
  <c r="L1940" i="7"/>
  <c r="L1528" i="7"/>
  <c r="L1264" i="7"/>
  <c r="L1034" i="7"/>
  <c r="L858" i="7"/>
  <c r="L753" i="7"/>
  <c r="L439" i="7"/>
  <c r="L945" i="7"/>
  <c r="L1716" i="7"/>
  <c r="L1854" i="7"/>
  <c r="L1149" i="7"/>
  <c r="L312" i="7"/>
  <c r="L1901" i="7"/>
  <c r="L1091" i="7"/>
  <c r="L388" i="7"/>
  <c r="L1168" i="7"/>
  <c r="L1984" i="7"/>
  <c r="L1762" i="7"/>
  <c r="L1310" i="7"/>
  <c r="L989" i="7"/>
  <c r="L688" i="7"/>
  <c r="L429" i="7"/>
  <c r="L498" i="7"/>
  <c r="L1099" i="7"/>
  <c r="L381" i="7"/>
  <c r="L1991" i="7"/>
  <c r="L1429" i="7"/>
  <c r="L571" i="7"/>
  <c r="L1521" i="7"/>
  <c r="L572" i="7"/>
  <c r="L1461" i="7"/>
  <c r="L660" i="7"/>
  <c r="L1089" i="7"/>
  <c r="L1990" i="7"/>
  <c r="L760" i="7"/>
  <c r="L864" i="7"/>
  <c r="L1188" i="7"/>
  <c r="L880" i="7"/>
  <c r="L615" i="7"/>
  <c r="L1726" i="7"/>
  <c r="L821" i="7"/>
  <c r="L951" i="7"/>
  <c r="L1422" i="7"/>
  <c r="L820" i="7"/>
  <c r="L489" i="7"/>
  <c r="L1527" i="7"/>
  <c r="L1693" i="7"/>
  <c r="L651" i="7"/>
  <c r="L580" i="7"/>
  <c r="L1120" i="7"/>
  <c r="L1723" i="7"/>
  <c r="L1439" i="7"/>
  <c r="L1187" i="7"/>
  <c r="L1016" i="7"/>
  <c r="L848" i="7"/>
  <c r="L380" i="7"/>
  <c r="L563" i="7"/>
  <c r="L1056" i="7"/>
  <c r="L1793" i="7"/>
  <c r="L1825" i="7"/>
  <c r="L1033" i="7"/>
  <c r="L1353" i="7"/>
  <c r="L1740" i="7"/>
  <c r="L938" i="7"/>
  <c r="L364" i="7"/>
  <c r="L1354" i="7"/>
  <c r="L1708" i="7"/>
  <c r="L1522" i="7"/>
  <c r="L1280" i="7"/>
  <c r="L906" i="7"/>
  <c r="L629" i="7"/>
  <c r="L410" i="7"/>
  <c r="L1917" i="7"/>
  <c r="L1078" i="7"/>
  <c r="L344" i="7"/>
  <c r="L1694" i="7"/>
  <c r="L1239" i="7"/>
  <c r="L1831" i="7"/>
  <c r="L870" i="7"/>
  <c r="L1946" i="7"/>
  <c r="L1048" i="7"/>
  <c r="L850" i="7"/>
  <c r="L1870" i="7"/>
  <c r="L583" i="7"/>
  <c r="L1452" i="7"/>
  <c r="L1916" i="7"/>
  <c r="L444" i="7"/>
  <c r="L1085" i="7"/>
  <c r="L693" i="7"/>
  <c r="L643" i="7"/>
  <c r="L541" i="7"/>
  <c r="L1068" i="7"/>
  <c r="L379" i="7"/>
  <c r="L1012" i="7"/>
  <c r="L343" i="7"/>
  <c r="L960" i="7"/>
  <c r="L351" i="7"/>
  <c r="L937" i="7"/>
  <c r="L586" i="7"/>
  <c r="L1173" i="7"/>
  <c r="L1063" i="7"/>
  <c r="L1242" i="7"/>
  <c r="L1703" i="7"/>
  <c r="L1748" i="7"/>
  <c r="L1969" i="7"/>
  <c r="L1671" i="7"/>
  <c r="L752" i="7"/>
  <c r="L678" i="7"/>
  <c r="L353" i="7"/>
  <c r="L1823" i="7"/>
  <c r="L768" i="7"/>
  <c r="L570" i="7"/>
  <c r="L1770" i="7"/>
  <c r="L1122" i="7"/>
  <c r="L594" i="7"/>
  <c r="L865" i="7"/>
  <c r="L1701" i="7"/>
  <c r="L1195" i="7"/>
  <c r="L644" i="7"/>
  <c r="L1924" i="7"/>
  <c r="L1364" i="7"/>
  <c r="L576" i="7"/>
  <c r="L1550" i="7"/>
  <c r="L1288" i="7"/>
  <c r="L599" i="7"/>
  <c r="L1198" i="7"/>
  <c r="L774" i="7"/>
  <c r="L358" i="7"/>
  <c r="L430" i="7"/>
  <c r="L711" i="7"/>
  <c r="L1368" i="7"/>
  <c r="L314" i="7"/>
  <c r="L1004" i="7"/>
  <c r="L1501" i="7"/>
  <c r="L1737" i="7"/>
  <c r="L640" i="7"/>
  <c r="L1608" i="7"/>
  <c r="L1373" i="7"/>
  <c r="L1053" i="7"/>
  <c r="L404" i="7"/>
  <c r="L1176" i="7"/>
  <c r="L1913" i="7"/>
  <c r="L1304" i="7"/>
  <c r="L814" i="7"/>
  <c r="L401" i="7"/>
  <c r="L1985" i="7"/>
  <c r="L622" i="7"/>
  <c r="L1496" i="7"/>
  <c r="L1633" i="7"/>
  <c r="L1589" i="7"/>
  <c r="L796" i="7"/>
  <c r="L836" i="7"/>
  <c r="L915" i="7"/>
  <c r="L373" i="7"/>
  <c r="L1070" i="7"/>
  <c r="L1287" i="7"/>
  <c r="L726" i="7"/>
  <c r="L1144" i="7"/>
  <c r="L342" i="7"/>
  <c r="L1877" i="7"/>
  <c r="L462" i="7"/>
  <c r="L819" i="7"/>
  <c r="L1970" i="7"/>
  <c r="L1014" i="7"/>
  <c r="L508" i="7"/>
  <c r="L1517" i="7"/>
  <c r="L1425" i="7"/>
  <c r="L1132" i="7"/>
  <c r="L744" i="7"/>
  <c r="L1536" i="7"/>
  <c r="L1222" i="7"/>
  <c r="L349" i="7"/>
  <c r="L701" i="7"/>
  <c r="L1097" i="7"/>
  <c r="L1933" i="7"/>
  <c r="L1042" i="7"/>
  <c r="L382" i="7"/>
  <c r="L834" i="7"/>
  <c r="L1850" i="7"/>
  <c r="L1146" i="7"/>
  <c r="L614" i="7"/>
  <c r="L1340" i="7"/>
  <c r="L1884" i="7"/>
  <c r="L1741" i="7"/>
  <c r="L1544" i="7"/>
  <c r="L1285" i="7"/>
  <c r="L1092" i="7"/>
  <c r="L913" i="7"/>
  <c r="L806" i="7"/>
  <c r="L564" i="7"/>
  <c r="L423" i="7"/>
  <c r="L452" i="7"/>
  <c r="L891" i="7"/>
  <c r="L1378" i="7"/>
  <c r="L1986" i="7"/>
  <c r="L1652" i="7"/>
  <c r="L958" i="7"/>
  <c r="L673" i="7"/>
  <c r="L1301" i="7"/>
  <c r="L1993" i="7"/>
  <c r="L1235" i="7"/>
  <c r="L528" i="7"/>
  <c r="L650" i="7"/>
  <c r="L1795" i="7"/>
  <c r="L1914" i="7"/>
  <c r="L1719" i="7"/>
  <c r="L1576" i="7"/>
  <c r="L1334" i="7"/>
  <c r="L1062" i="7"/>
  <c r="L776" i="7"/>
  <c r="L555" i="7"/>
  <c r="L366" i="7"/>
  <c r="L924" i="7"/>
  <c r="L1649" i="7"/>
  <c r="L1363" i="7"/>
  <c r="L554" i="7"/>
  <c r="L1347" i="7"/>
  <c r="L1588" i="7"/>
  <c r="L335" i="7"/>
  <c r="L627" i="7"/>
  <c r="L1551" i="7"/>
  <c r="L862" i="7"/>
  <c r="L1286" i="7"/>
  <c r="L1289" i="7"/>
  <c r="L1523" i="7"/>
  <c r="L400" i="7"/>
  <c r="L1788" i="7"/>
  <c r="L696" i="7"/>
  <c r="L695" i="7"/>
  <c r="L579" i="7"/>
  <c r="L1060" i="7"/>
  <c r="L1113" i="7"/>
  <c r="L1568" i="7"/>
  <c r="L605" i="7"/>
  <c r="L577" i="7"/>
  <c r="L1127" i="7"/>
  <c r="L1725" i="7"/>
  <c r="L1938" i="7"/>
  <c r="L1265" i="7"/>
  <c r="L1319" i="7"/>
  <c r="L396" i="7"/>
  <c r="L1414" i="7"/>
  <c r="L1234" i="7"/>
  <c r="L718" i="7"/>
  <c r="L1444" i="7"/>
</calcChain>
</file>

<file path=xl/sharedStrings.xml><?xml version="1.0" encoding="utf-8"?>
<sst xmlns="http://schemas.openxmlformats.org/spreadsheetml/2006/main" count="36632" uniqueCount="10352">
  <si>
    <t>leagueId</t>
  </si>
  <si>
    <t>season</t>
  </si>
  <si>
    <t>salaryCap</t>
  </si>
  <si>
    <t>currency</t>
  </si>
  <si>
    <t>notes</t>
  </si>
  <si>
    <t>UGF</t>
  </si>
  <si>
    <t>USD</t>
  </si>
  <si>
    <t>Salary cap in whole dollars; single source of truth.</t>
  </si>
  <si>
    <t>conferenceId</t>
  </si>
  <si>
    <t>name</t>
  </si>
  <si>
    <t>sortOrder</t>
  </si>
  <si>
    <t>divisionId</t>
  </si>
  <si>
    <t>North</t>
  </si>
  <si>
    <t>South</t>
  </si>
  <si>
    <t>East</t>
  </si>
  <si>
    <t>West</t>
  </si>
  <si>
    <t>teamId</t>
  </si>
  <si>
    <t>abbrev</t>
  </si>
  <si>
    <t>region</t>
  </si>
  <si>
    <t>stadium</t>
  </si>
  <si>
    <t>logoKey</t>
  </si>
  <si>
    <t>isActive</t>
  </si>
  <si>
    <t>NEW_ORLEANS_HEX</t>
  </si>
  <si>
    <t>NOH</t>
  </si>
  <si>
    <t>New Orleans Hex</t>
  </si>
  <si>
    <t>NEW_YORK_GOTHIC_GUARDIANS</t>
  </si>
  <si>
    <t>NYG</t>
  </si>
  <si>
    <t>New York Gothic Guardians</t>
  </si>
  <si>
    <t>personId</t>
  </si>
  <si>
    <t>fullName</t>
  </si>
  <si>
    <t>role</t>
  </si>
  <si>
    <t>status</t>
  </si>
  <si>
    <t>age</t>
  </si>
  <si>
    <t>scheme</t>
  </si>
  <si>
    <t>reputation</t>
  </si>
  <si>
    <t>contractId</t>
  </si>
  <si>
    <t>PERS_0001</t>
  </si>
  <si>
    <t>OWNER</t>
  </si>
  <si>
    <t>ACTIVE</t>
  </si>
  <si>
    <t>CON_OWN_0001</t>
  </si>
  <si>
    <t>PERS_0101</t>
  </si>
  <si>
    <t>GM</t>
  </si>
  <si>
    <t>PERS_0201</t>
  </si>
  <si>
    <t>HC</t>
  </si>
  <si>
    <t>FREE_AGENT</t>
  </si>
  <si>
    <t>playerId</t>
  </si>
  <si>
    <t>pos</t>
  </si>
  <si>
    <t>overall</t>
  </si>
  <si>
    <t>potential</t>
  </si>
  <si>
    <t>college</t>
  </si>
  <si>
    <t>heightIn</t>
  </si>
  <si>
    <t>weightLb</t>
  </si>
  <si>
    <t>PLY_10001</t>
  </si>
  <si>
    <t>QB</t>
  </si>
  <si>
    <t>LSU</t>
  </si>
  <si>
    <t>CON_PLY_10001</t>
  </si>
  <si>
    <t>PLY_10002</t>
  </si>
  <si>
    <t>WR</t>
  </si>
  <si>
    <t>PENDING_FREE_AGENT</t>
  </si>
  <si>
    <t>Texas</t>
  </si>
  <si>
    <t>CON_PLY_10002</t>
  </si>
  <si>
    <t>CB</t>
  </si>
  <si>
    <t>Oregon</t>
  </si>
  <si>
    <t>entityType</t>
  </si>
  <si>
    <t>entityId</t>
  </si>
  <si>
    <t>startSeason</t>
  </si>
  <si>
    <t>endSeason</t>
  </si>
  <si>
    <t>salaryY1</t>
  </si>
  <si>
    <t>salaryY2</t>
  </si>
  <si>
    <t>salaryY3</t>
  </si>
  <si>
    <t>salaryY4</t>
  </si>
  <si>
    <t>guaranteed</t>
  </si>
  <si>
    <t>isExpired</t>
  </si>
  <si>
    <t>PLAYER</t>
  </si>
  <si>
    <t>PERSONNEL</t>
  </si>
  <si>
    <t>round</t>
  </si>
  <si>
    <t>pick</t>
  </si>
  <si>
    <t>pickId</t>
  </si>
  <si>
    <t>originalTeamId</t>
  </si>
  <si>
    <t>currentTeamId</t>
  </si>
  <si>
    <t>isUsed</t>
  </si>
  <si>
    <t>PICK_2026_R1_NOH</t>
  </si>
  <si>
    <t>PICK_2026_R1_NYG</t>
  </si>
  <si>
    <t>capSpace</t>
  </si>
  <si>
    <t>cash</t>
  </si>
  <si>
    <t>revenue</t>
  </si>
  <si>
    <t>expenses</t>
  </si>
  <si>
    <t>Crown Conference</t>
  </si>
  <si>
    <t>CC</t>
  </si>
  <si>
    <t>FC</t>
  </si>
  <si>
    <t>Founders Conference</t>
  </si>
  <si>
    <t>CC_NORTH</t>
  </si>
  <si>
    <t>CC_SOUTH</t>
  </si>
  <si>
    <t>CC_EAST</t>
  </si>
  <si>
    <t>CC_WEST</t>
  </si>
  <si>
    <t>FC_NORTH</t>
  </si>
  <si>
    <t>FC_SOUTH</t>
  </si>
  <si>
    <t>FC_EAST</t>
  </si>
  <si>
    <t>FC_WEST</t>
  </si>
  <si>
    <t>Atlanta Apex</t>
  </si>
  <si>
    <t>Birmingham Vulcans</t>
  </si>
  <si>
    <t>Charlotte Crown</t>
  </si>
  <si>
    <t>Washington Sentinels</t>
  </si>
  <si>
    <t>Chicago Union</t>
  </si>
  <si>
    <t>Indianapolis Ignition</t>
  </si>
  <si>
    <t>Milwaukee Northshore</t>
  </si>
  <si>
    <t>St. Louis Archons</t>
  </si>
  <si>
    <t>Austin Empire</t>
  </si>
  <si>
    <t>Memphis Blues</t>
  </si>
  <si>
    <t>Nashville Sound</t>
  </si>
  <si>
    <t>Las Vegas Syndicate</t>
  </si>
  <si>
    <t>Los Angeles Stars</t>
  </si>
  <si>
    <t>San Diego Armada</t>
  </si>
  <si>
    <t>Seattle Evergreens</t>
  </si>
  <si>
    <t>Baltimore Admirals</t>
  </si>
  <si>
    <t>Boston Harbormen</t>
  </si>
  <si>
    <t>Buffalo Northwind</t>
  </si>
  <si>
    <t>Cleveland Forge</t>
  </si>
  <si>
    <t>Dallas Imperials</t>
  </si>
  <si>
    <t>Denver Summit</t>
  </si>
  <si>
    <t>Detroit Assembly</t>
  </si>
  <si>
    <t>Houston Launch</t>
  </si>
  <si>
    <t>Jacksonville Fleet</t>
  </si>
  <si>
    <t>Miami Tide</t>
  </si>
  <si>
    <t>Orlando Kingdom</t>
  </si>
  <si>
    <t>Philadelphia Founders</t>
  </si>
  <si>
    <t>Phoenix Scorch</t>
  </si>
  <si>
    <t>Pittsburgh Ironclads</t>
  </si>
  <si>
    <t>St. Petersburg Pelicans</t>
  </si>
  <si>
    <t>ATLANTA_APEX</t>
  </si>
  <si>
    <t>BIRMINGHAM_VULCANS</t>
  </si>
  <si>
    <t>BALTIMORE_ADMIRALS</t>
  </si>
  <si>
    <t>CHARLOTTE_CROWN</t>
  </si>
  <si>
    <t>BOSTON_HARBORMEN</t>
  </si>
  <si>
    <t>BUFFALO_NORTHWIND</t>
  </si>
  <si>
    <t>WASHINGTON_SENTINELS</t>
  </si>
  <si>
    <t>CHICAGO_UNION</t>
  </si>
  <si>
    <t>CLEVELAND_FORGE</t>
  </si>
  <si>
    <t>DALLAS_IMPERIALS</t>
  </si>
  <si>
    <t>DENVER_SUMMIT</t>
  </si>
  <si>
    <t>DETROIT_ASSEMBLY</t>
  </si>
  <si>
    <t>HOUSTON_LAUNCH</t>
  </si>
  <si>
    <t>INDIANAPOLIS_IGNITION</t>
  </si>
  <si>
    <t>JACKSONVILLE_FLEET</t>
  </si>
  <si>
    <t>MILWAUKEE_NORTHSHORE</t>
  </si>
  <si>
    <t>ST._LOUIS_ARCHONS</t>
  </si>
  <si>
    <t>AUSTIN_EMPIRE</t>
  </si>
  <si>
    <t>MIAMI_TIDE</t>
  </si>
  <si>
    <t>MEMPHIS_BLUES</t>
  </si>
  <si>
    <t>NASHVILLE_SOUND</t>
  </si>
  <si>
    <t>ORLANDO_KINGDOM</t>
  </si>
  <si>
    <t>PHILADELPHIA_FOUNDERS</t>
  </si>
  <si>
    <t>PHOENIX_SCORCH</t>
  </si>
  <si>
    <t>PITTSBURGH_IRONCLADS</t>
  </si>
  <si>
    <t>LAS_VEGAS_SYNDICATE</t>
  </si>
  <si>
    <t>LOS_ANGELES_STARS</t>
  </si>
  <si>
    <t>SAN_DIEGO_ARMADA</t>
  </si>
  <si>
    <t>ST._PETERSBURG_PELICANS</t>
  </si>
  <si>
    <t>SEATTLE_EVERGREENS</t>
  </si>
  <si>
    <t>ATL</t>
  </si>
  <si>
    <t>BIR</t>
  </si>
  <si>
    <t>BAL</t>
  </si>
  <si>
    <t>CHA</t>
  </si>
  <si>
    <t>BOS</t>
  </si>
  <si>
    <t>BUF</t>
  </si>
  <si>
    <t>WAS</t>
  </si>
  <si>
    <t>CHI</t>
  </si>
  <si>
    <t>CLE</t>
  </si>
  <si>
    <t>DAL</t>
  </si>
  <si>
    <t>DEN</t>
  </si>
  <si>
    <t>DET</t>
  </si>
  <si>
    <t>HOU</t>
  </si>
  <si>
    <t>IND</t>
  </si>
  <si>
    <t>JAX</t>
  </si>
  <si>
    <t>MIL</t>
  </si>
  <si>
    <t>STL</t>
  </si>
  <si>
    <t>AUS</t>
  </si>
  <si>
    <t>MIA</t>
  </si>
  <si>
    <t>MEM</t>
  </si>
  <si>
    <t>NAS</t>
  </si>
  <si>
    <t>ORL</t>
  </si>
  <si>
    <t>PHI</t>
  </si>
  <si>
    <t>PHX</t>
  </si>
  <si>
    <t>PIT</t>
  </si>
  <si>
    <t>LVA</t>
  </si>
  <si>
    <t>LAS</t>
  </si>
  <si>
    <t>SDA</t>
  </si>
  <si>
    <t>SPP</t>
  </si>
  <si>
    <t>SEA</t>
  </si>
  <si>
    <t>Atlanta,GA</t>
  </si>
  <si>
    <t>Birmingham,AL</t>
  </si>
  <si>
    <t>Baltimore,MD</t>
  </si>
  <si>
    <t>Charlotte,NC</t>
  </si>
  <si>
    <t>Boston,MA</t>
  </si>
  <si>
    <t>Buffalo,NY</t>
  </si>
  <si>
    <t>Washington,DC</t>
  </si>
  <si>
    <t>Chicago,IL</t>
  </si>
  <si>
    <t>Cleveland,OH</t>
  </si>
  <si>
    <t>Dallas,TX</t>
  </si>
  <si>
    <t>Denver,CO</t>
  </si>
  <si>
    <t>Detroit,MI</t>
  </si>
  <si>
    <t>Houston,TX</t>
  </si>
  <si>
    <t>Indianapolis,IN</t>
  </si>
  <si>
    <t>Jacksonville,FL</t>
  </si>
  <si>
    <t>Milwaukee,WI</t>
  </si>
  <si>
    <t>Austin,TX</t>
  </si>
  <si>
    <t>Miami,FL</t>
  </si>
  <si>
    <t>Memphis,TN</t>
  </si>
  <si>
    <t>Nashville,TN</t>
  </si>
  <si>
    <t>Orlando,FL</t>
  </si>
  <si>
    <t>Philadelphia,PA</t>
  </si>
  <si>
    <t>Phoenix,AZ</t>
  </si>
  <si>
    <t>Pittsburgh,PA</t>
  </si>
  <si>
    <t>Seattle,WA</t>
  </si>
  <si>
    <t>St. Louis,MO</t>
  </si>
  <si>
    <t>New Orleans,LA</t>
  </si>
  <si>
    <t>New York,NY</t>
  </si>
  <si>
    <t>Las Vegas,NV</t>
  </si>
  <si>
    <t>Los Angeles,CA</t>
  </si>
  <si>
    <t>San Diego,CA</t>
  </si>
  <si>
    <t>St. Petersburg,FL</t>
  </si>
  <si>
    <t>Apex Field</t>
  </si>
  <si>
    <t>Vulcan Forge Stadium</t>
  </si>
  <si>
    <t>Harbor Command Stadium</t>
  </si>
  <si>
    <t>Crown Keep Stadium</t>
  </si>
  <si>
    <t>Harbormen Park</t>
  </si>
  <si>
    <t>Northwind Field</t>
  </si>
  <si>
    <t>Sentinel Grounds</t>
  </si>
  <si>
    <t>Union Yard</t>
  </si>
  <si>
    <t>The Forge Stadium</t>
  </si>
  <si>
    <t>Imperial Coliseum</t>
  </si>
  <si>
    <t>Summit Peak Stadium</t>
  </si>
  <si>
    <t>Assembly Plant Stadium</t>
  </si>
  <si>
    <t>Launchpad Stadium</t>
  </si>
  <si>
    <t>Ignition Stadium</t>
  </si>
  <si>
    <t>Fleet Harbor Stadium</t>
  </si>
  <si>
    <t>Northshore Park</t>
  </si>
  <si>
    <t>Archon Gateway Stadium</t>
  </si>
  <si>
    <t>Empire Grounds</t>
  </si>
  <si>
    <t>Tidewater Stadium</t>
  </si>
  <si>
    <t>Beale Street Stadium</t>
  </si>
  <si>
    <t>Soundstage Stadium</t>
  </si>
  <si>
    <t>Hex Voodoo Park</t>
  </si>
  <si>
    <t>Guardians Gate Stadium</t>
  </si>
  <si>
    <t>Kingdom Castle Stadium</t>
  </si>
  <si>
    <t>Founders Field</t>
  </si>
  <si>
    <t>Scorch Bowl</t>
  </si>
  <si>
    <t>Ironclad Yard</t>
  </si>
  <si>
    <t>Syndicate Strip Stadium</t>
  </si>
  <si>
    <t>Starline Stadium</t>
  </si>
  <si>
    <t>Armada Bay Stadium</t>
  </si>
  <si>
    <t>Pelican Pier Park</t>
  </si>
  <si>
    <t>Evergreen Park</t>
  </si>
  <si>
    <t>Leonard Weiss</t>
  </si>
  <si>
    <t>Charles Whitlock</t>
  </si>
  <si>
    <t>Edward Monroe</t>
  </si>
  <si>
    <t>Thomas Radcliffe</t>
  </si>
  <si>
    <t>Carlos Mendoza</t>
  </si>
  <si>
    <t>Patricia Greene</t>
  </si>
  <si>
    <t>Ivan Petrov</t>
  </si>
  <si>
    <t>Bill Loomis</t>
  </si>
  <si>
    <t>Ronald Becker</t>
  </si>
  <si>
    <t>Martin O’Neill</t>
  </si>
  <si>
    <t>Harold Simmons</t>
  </si>
  <si>
    <t>Samuel Price</t>
  </si>
  <si>
    <t>Victor Alvarez</t>
  </si>
  <si>
    <t>William Carter</t>
  </si>
  <si>
    <t>Gregory Holt</t>
  </si>
  <si>
    <t>Victor Hale</t>
  </si>
  <si>
    <t>Eleanor Wright</t>
  </si>
  <si>
    <t>Gerald Monroe</t>
  </si>
  <si>
    <t>Marcus Hill</t>
  </si>
  <si>
    <t>William Prescott</t>
  </si>
  <si>
    <t>Claude Boudreaux</t>
  </si>
  <si>
    <t>Howard Jennings</t>
  </si>
  <si>
    <t>Raymond Calder</t>
  </si>
  <si>
    <t>Thomas Caldwell</t>
  </si>
  <si>
    <t>Victor Salazar</t>
  </si>
  <si>
    <t>Harold Whitaker</t>
  </si>
  <si>
    <t>Elaine Fischer</t>
  </si>
  <si>
    <t>Dennis Kowalski</t>
  </si>
  <si>
    <t>Robert Hensley</t>
  </si>
  <si>
    <t>Nathan Kim</t>
  </si>
  <si>
    <t>Victor Sandoval</t>
  </si>
  <si>
    <t>Miguel Arroyo</t>
  </si>
  <si>
    <t>Mark Ellison</t>
  </si>
  <si>
    <t>Peter Langford</t>
  </si>
  <si>
    <t>Jonathan Pierce</t>
  </si>
  <si>
    <t>Steven Pollard</t>
  </si>
  <si>
    <t>Luis Navarro</t>
  </si>
  <si>
    <t>Scott Meyers</t>
  </si>
  <si>
    <t>Alexei Morozov</t>
  </si>
  <si>
    <t>Brian Knox</t>
  </si>
  <si>
    <t>Frank Molinaro</t>
  </si>
  <si>
    <t>Eric Halvorsen</t>
  </si>
  <si>
    <t>Dan Kowalczyk</t>
  </si>
  <si>
    <t>Andrew Locke</t>
  </si>
  <si>
    <t>Marco Ruiz</t>
  </si>
  <si>
    <t>Robert Hale</t>
  </si>
  <si>
    <t>Kevin Anders</t>
  </si>
  <si>
    <t>Ryan Feldman</t>
  </si>
  <si>
    <t>Thomas Reed</t>
  </si>
  <si>
    <t>Scott Landry</t>
  </si>
  <si>
    <t>Devin Porter</t>
  </si>
  <si>
    <t>Aaron Whitman</t>
  </si>
  <si>
    <t>Lucas Fontenot</t>
  </si>
  <si>
    <t>Eric Donahue</t>
  </si>
  <si>
    <t>Nolan Price</t>
  </si>
  <si>
    <t>Patrick O’Hara</t>
  </si>
  <si>
    <t>Alex Cortez</t>
  </si>
  <si>
    <t>Terrence Lewis</t>
  </si>
  <si>
    <t>Owen Hartley</t>
  </si>
  <si>
    <t>Peter Novak</t>
  </si>
  <si>
    <t>Victor Hammond</t>
  </si>
  <si>
    <t>Oliver Chen</t>
  </si>
  <si>
    <t>Alex Moreno</t>
  </si>
  <si>
    <t>Daniel Soto</t>
  </si>
  <si>
    <t>Colt G. Staggs</t>
  </si>
  <si>
    <t>Desmond L. Yu</t>
  </si>
  <si>
    <t>Sergio T. Kerns</t>
  </si>
  <si>
    <t>Jamal Radford</t>
  </si>
  <si>
    <t>Kent Brewer</t>
  </si>
  <si>
    <t>Andre Franks</t>
  </si>
  <si>
    <t>Kennedy Hartley</t>
  </si>
  <si>
    <t>Stone Cramer</t>
  </si>
  <si>
    <t>Lawrence Hamel</t>
  </si>
  <si>
    <t>Rohan Z. Meade</t>
  </si>
  <si>
    <t>Jeffrey Mohamed</t>
  </si>
  <si>
    <t>Clarence Harkins</t>
  </si>
  <si>
    <t>Kent D. Ortega</t>
  </si>
  <si>
    <t>Marco Saylor</t>
  </si>
  <si>
    <t>Arturo R. Sheets</t>
  </si>
  <si>
    <t>Jesse Kozlowski</t>
  </si>
  <si>
    <t>Andrew Collins</t>
  </si>
  <si>
    <t>Michael Dunn</t>
  </si>
  <si>
    <t>Alan Shepherd</t>
  </si>
  <si>
    <t>Tony Alvarez</t>
  </si>
  <si>
    <t>Dan Whitaker</t>
  </si>
  <si>
    <t>Sergei Volkov</t>
  </si>
  <si>
    <t>Chris Palmer</t>
  </si>
  <si>
    <t>Doug Kessler</t>
  </si>
  <si>
    <t>Jeff Morrison</t>
  </si>
  <si>
    <t>Mike Rutledge</t>
  </si>
  <si>
    <t>Rick Donnelly</t>
  </si>
  <si>
    <t>Julian Fox</t>
  </si>
  <si>
    <t>Jason McBride</t>
  </si>
  <si>
    <t>Aaron Walsh</t>
  </si>
  <si>
    <t>Chuck Taylor</t>
  </si>
  <si>
    <t>Pierce Jonathan</t>
  </si>
  <si>
    <t>Brian Holloway</t>
  </si>
  <si>
    <t>Alan Morris</t>
  </si>
  <si>
    <t>Steve Donnelly</t>
  </si>
  <si>
    <t>Reggie Coleman</t>
  </si>
  <si>
    <t>Mike Reynolds</t>
  </si>
  <si>
    <t>Marcus Vail</t>
  </si>
  <si>
    <t>Brian Lattimer</t>
  </si>
  <si>
    <t>Damien Knox</t>
  </si>
  <si>
    <t>Calvin Brooks</t>
  </si>
  <si>
    <t>Lucas Bennett</t>
  </si>
  <si>
    <t>Tom Richardson</t>
  </si>
  <si>
    <t>Sean McAllister</t>
  </si>
  <si>
    <t>Daniel Frost</t>
  </si>
  <si>
    <t>Kale Benton</t>
  </si>
  <si>
    <t>Peter Callahan</t>
  </si>
  <si>
    <t>Paul Denton</t>
  </si>
  <si>
    <t>OC</t>
  </si>
  <si>
    <t>Treyvon E. Sanders</t>
  </si>
  <si>
    <t>Maverick Y. Heaton</t>
  </si>
  <si>
    <t>Brennen K. Battle</t>
  </si>
  <si>
    <t>Augustine Stamper</t>
  </si>
  <si>
    <t>Jaylen T. Hu</t>
  </si>
  <si>
    <t>Holden A. Oshea</t>
  </si>
  <si>
    <t>Winston Currier</t>
  </si>
  <si>
    <t>Zack Cloud</t>
  </si>
  <si>
    <t>Ari T. Healy</t>
  </si>
  <si>
    <t>Tyshawn B. Kaur</t>
  </si>
  <si>
    <t>Ryder Wagoner</t>
  </si>
  <si>
    <t>Jaydon Lang</t>
  </si>
  <si>
    <t>Daquan S. Hammonds</t>
  </si>
  <si>
    <t>Blaise T. Leary</t>
  </si>
  <si>
    <t>Terrence G. Morley</t>
  </si>
  <si>
    <t>Donovan C. Mazur</t>
  </si>
  <si>
    <t>Eric Hammond</t>
  </si>
  <si>
    <t>Brian Walsh</t>
  </si>
  <si>
    <t>Mark Jensen</t>
  </si>
  <si>
    <t>Marco Diaz</t>
  </si>
  <si>
    <t>Kyle Benton</t>
  </si>
  <si>
    <t>Tim Brooks</t>
  </si>
  <si>
    <t>Seth Lang</t>
  </si>
  <si>
    <t>Sean Walsh</t>
  </si>
  <si>
    <t>Aaron Price</t>
  </si>
  <si>
    <t>Tom Avery</t>
  </si>
  <si>
    <t>Nate Cross</t>
  </si>
  <si>
    <t>Ethan Cole</t>
  </si>
  <si>
    <t>Tony Blake</t>
  </si>
  <si>
    <t>Phil Morton</t>
  </si>
  <si>
    <t>Evan Kline</t>
  </si>
  <si>
    <t>Marcus Feld</t>
  </si>
  <si>
    <t>Kelvin Shaw</t>
  </si>
  <si>
    <t>Trent Lewis</t>
  </si>
  <si>
    <t>Ryan Collins</t>
  </si>
  <si>
    <t>Andre Dupree</t>
  </si>
  <si>
    <t>Caleb Norris</t>
  </si>
  <si>
    <t>Trevor Lang</t>
  </si>
  <si>
    <t>Shane Wilcox</t>
  </si>
  <si>
    <t>Julian Sparks</t>
  </si>
  <si>
    <t>Darrell Finch</t>
  </si>
  <si>
    <t>Aaron Feldman</t>
  </si>
  <si>
    <t>Brian Metz</t>
  </si>
  <si>
    <t>Colin Barker</t>
  </si>
  <si>
    <t>Alex Romero</t>
  </si>
  <si>
    <t>Jared Lin</t>
  </si>
  <si>
    <t>Nathan Cole</t>
  </si>
  <si>
    <t>Sam Rourke</t>
  </si>
  <si>
    <t>DC</t>
  </si>
  <si>
    <t>Ajay J. Duff</t>
  </si>
  <si>
    <t>Markell Jacobsen</t>
  </si>
  <si>
    <t>Cole J. Levy</t>
  </si>
  <si>
    <t>Kamron R. Broyles</t>
  </si>
  <si>
    <t>Tavion Mace</t>
  </si>
  <si>
    <t>Lazaro Donnelly</t>
  </si>
  <si>
    <t>Gianni M. Farr</t>
  </si>
  <si>
    <t>Clay J. Troutman</t>
  </si>
  <si>
    <t>Presley A. Conklin</t>
  </si>
  <si>
    <t>Zackery Britton</t>
  </si>
  <si>
    <t>Osvaldo J. Walsh</t>
  </si>
  <si>
    <t>Quentin Ho</t>
  </si>
  <si>
    <t>Bradly T. Watkins</t>
  </si>
  <si>
    <t>Marcel M. Paz</t>
  </si>
  <si>
    <t>Marco Casteel</t>
  </si>
  <si>
    <t>Milton Elliot</t>
  </si>
  <si>
    <t>Brent Messer</t>
  </si>
  <si>
    <t>Giovani Escamilla</t>
  </si>
  <si>
    <t>Donald Esquivel</t>
  </si>
  <si>
    <t>Quincy Sotelo</t>
  </si>
  <si>
    <t>Macayla Vieira</t>
  </si>
  <si>
    <t>Rogelio Spivey</t>
  </si>
  <si>
    <t>Lori Reardon</t>
  </si>
  <si>
    <t>Cyrus Brady</t>
  </si>
  <si>
    <t>Aric Slaughter</t>
  </si>
  <si>
    <t>Eugene Payne</t>
  </si>
  <si>
    <t>Benton Nunez</t>
  </si>
  <si>
    <t>Johana Hilliard</t>
  </si>
  <si>
    <t>Savanna Long</t>
  </si>
  <si>
    <t>Marla Gillis</t>
  </si>
  <si>
    <t>Rodney Lay</t>
  </si>
  <si>
    <t>Sydnie Arrington</t>
  </si>
  <si>
    <t>Pearl Swisher</t>
  </si>
  <si>
    <t>Emely Collins</t>
  </si>
  <si>
    <t>Jacie Paz</t>
  </si>
  <si>
    <t>Belen Lamar</t>
  </si>
  <si>
    <t>Nicolle Hoff</t>
  </si>
  <si>
    <t>Jana Canfield</t>
  </si>
  <si>
    <t>Rashawn Epstein</t>
  </si>
  <si>
    <t>Devlin Britton</t>
  </si>
  <si>
    <t>Reanna Hough</t>
  </si>
  <si>
    <t>Brea Hoff</t>
  </si>
  <si>
    <t>Maricela Chappell</t>
  </si>
  <si>
    <t>Mario McCauley</t>
  </si>
  <si>
    <t>Amalia Foreman</t>
  </si>
  <si>
    <t>Valentin Zhao</t>
  </si>
  <si>
    <t>Simran Brand</t>
  </si>
  <si>
    <t>Donnie Chu</t>
  </si>
  <si>
    <t>Kamren Seals</t>
  </si>
  <si>
    <t>Phoenix Keefe</t>
  </si>
  <si>
    <t>Draven Mullen</t>
  </si>
  <si>
    <t>Cody Smith</t>
  </si>
  <si>
    <t>Kevin Rawls</t>
  </si>
  <si>
    <t>Luther King</t>
  </si>
  <si>
    <t>Ron Felton</t>
  </si>
  <si>
    <t>Jeff Nolan</t>
  </si>
  <si>
    <t>Hank Rawlins</t>
  </si>
  <si>
    <t>Damon Pierce</t>
  </si>
  <si>
    <t>Tony Grimaldi</t>
  </si>
  <si>
    <t>Luke Brennan</t>
  </si>
  <si>
    <t>Paul Dent</t>
  </si>
  <si>
    <t>Bill Harmon</t>
  </si>
  <si>
    <t>Ray Tolbert</t>
  </si>
  <si>
    <t>Sam Rutledge</t>
  </si>
  <si>
    <t>Scott Vance</t>
  </si>
  <si>
    <t>Calvin Rhodes</t>
  </si>
  <si>
    <t>Leon Brooks</t>
  </si>
  <si>
    <t>Raymond Cole</t>
  </si>
  <si>
    <t>Howard King</t>
  </si>
  <si>
    <t>Patrick Odom</t>
  </si>
  <si>
    <t>Milton Graves</t>
  </si>
  <si>
    <t>Victor Ames</t>
  </si>
  <si>
    <t>Isaac Rowe</t>
  </si>
  <si>
    <t>Kelvin Price</t>
  </si>
  <si>
    <t>Reggie Bolton</t>
  </si>
  <si>
    <t>Malcolm Pierce</t>
  </si>
  <si>
    <t>Robert Klein</t>
  </si>
  <si>
    <t>Harold Finch</t>
  </si>
  <si>
    <t>Darius Coleman</t>
  </si>
  <si>
    <t>Paul Ingram</t>
  </si>
  <si>
    <t>Marcus Steele</t>
  </si>
  <si>
    <t>Frank Dillard</t>
  </si>
  <si>
    <t>Pranav A. Weir</t>
  </si>
  <si>
    <t>Samir Greenberg</t>
  </si>
  <si>
    <t>Donavon L. Lynn</t>
  </si>
  <si>
    <t>Aric Compton</t>
  </si>
  <si>
    <t>Travon U. Smith</t>
  </si>
  <si>
    <t>Kurtis Killian</t>
  </si>
  <si>
    <t>Elisha Hammons</t>
  </si>
  <si>
    <t>Dajuan E. Edmondson</t>
  </si>
  <si>
    <t>Victor J. Church</t>
  </si>
  <si>
    <t>Blayne J. Reddy</t>
  </si>
  <si>
    <t>Tyriq Sell</t>
  </si>
  <si>
    <t>Jerrod Layne</t>
  </si>
  <si>
    <t>Isaias I. Hirsch</t>
  </si>
  <si>
    <t>Floyd M. Doran</t>
  </si>
  <si>
    <t>Corbin Jung</t>
  </si>
  <si>
    <t>Jabari P. Stanley</t>
  </si>
  <si>
    <t>Ellie Begley</t>
  </si>
  <si>
    <t>Maeve Emerson</t>
  </si>
  <si>
    <t>Ryann Steen</t>
  </si>
  <si>
    <t>Justine Windham</t>
  </si>
  <si>
    <t>Katya Beasley</t>
  </si>
  <si>
    <t>Kerri Straub</t>
  </si>
  <si>
    <t>Esmeralda Yarbrough</t>
  </si>
  <si>
    <t>Mohamed Poole</t>
  </si>
  <si>
    <t>Trevor Kane</t>
  </si>
  <si>
    <t>Orion Shea</t>
  </si>
  <si>
    <t>Tanisha Limon</t>
  </si>
  <si>
    <t>Yulissa Broussard</t>
  </si>
  <si>
    <t>Madelyn Boyd</t>
  </si>
  <si>
    <t>Justice Jeffries</t>
  </si>
  <si>
    <t>Gregorio Sewell</t>
  </si>
  <si>
    <t>Paula Liang</t>
  </si>
  <si>
    <t>Ryder Bolen</t>
  </si>
  <si>
    <t>Cordell Latham</t>
  </si>
  <si>
    <t>Kasandra Anthony</t>
  </si>
  <si>
    <t>Ivanna Ray</t>
  </si>
  <si>
    <t>Eli Blount</t>
  </si>
  <si>
    <t>Vince “The General” Lombarte</t>
  </si>
  <si>
    <t>Carter “Bear” Bryantson</t>
  </si>
  <si>
    <t>Nick Sabanelli</t>
  </si>
  <si>
    <t>Ted Lasica</t>
  </si>
  <si>
    <t>Pop Warnerfield</t>
  </si>
  <si>
    <t>Knute Rockwell</t>
  </si>
  <si>
    <t>Amos “Al” Staggsworth</t>
  </si>
  <si>
    <t>Bo Pelinic</t>
  </si>
  <si>
    <t>Saban Shanadale</t>
  </si>
  <si>
    <t>Chip “Clutch” Shannigan</t>
  </si>
  <si>
    <t>Hank Halvorsen</t>
  </si>
  <si>
    <t>Julian Corso</t>
  </si>
  <si>
    <t>Marcus “Lockdown” Reeves</t>
  </si>
  <si>
    <t>Owen Callahan</t>
  </si>
  <si>
    <t>Dominic “Doc” Calder</t>
  </si>
  <si>
    <t>Raymond “Stonewall” Keller</t>
  </si>
  <si>
    <t>Elijah Monroe</t>
  </si>
  <si>
    <t>Trent Walker</t>
  </si>
  <si>
    <t>Jonas Miller</t>
  </si>
  <si>
    <t>Patrick O’Donnell</t>
  </si>
  <si>
    <t>Bill Parcello</t>
  </si>
  <si>
    <t>Kyle Shanford</t>
  </si>
  <si>
    <t>Pete Carrollton</t>
  </si>
  <si>
    <t>Mike Tomliss</t>
  </si>
  <si>
    <t>Andy Reidman</t>
  </si>
  <si>
    <t>Thomas Cough</t>
  </si>
  <si>
    <t>OL_COACH</t>
  </si>
  <si>
    <t>WR_RB_COACH</t>
  </si>
  <si>
    <t>DL_COACH</t>
  </si>
  <si>
    <t>DB_COACH</t>
  </si>
  <si>
    <t>LB_COACH</t>
  </si>
  <si>
    <t>ST_COORDINATOR</t>
  </si>
  <si>
    <t>QB_COACH</t>
  </si>
  <si>
    <t>Erhardt–Perkins</t>
  </si>
  <si>
    <t>Conservative / Field Position</t>
  </si>
  <si>
    <t>PERS_0002</t>
  </si>
  <si>
    <t>PERS_0003</t>
  </si>
  <si>
    <t>PERS_0004</t>
  </si>
  <si>
    <t>PERS_0005</t>
  </si>
  <si>
    <t>PERS_0006</t>
  </si>
  <si>
    <t>PERS_0007</t>
  </si>
  <si>
    <t>PERS_0008</t>
  </si>
  <si>
    <t>PERS_0009</t>
  </si>
  <si>
    <t>PERS_0010</t>
  </si>
  <si>
    <t>PERS_0011</t>
  </si>
  <si>
    <t>PERS_0012</t>
  </si>
  <si>
    <t>PERS_0013</t>
  </si>
  <si>
    <t>PERS_0014</t>
  </si>
  <si>
    <t>PERS_0015</t>
  </si>
  <si>
    <t>PERS_0016</t>
  </si>
  <si>
    <t>PERS_0017</t>
  </si>
  <si>
    <t>PERS_0018</t>
  </si>
  <si>
    <t>PERS_0019</t>
  </si>
  <si>
    <t>PERS_0020</t>
  </si>
  <si>
    <t>PERS_0021</t>
  </si>
  <si>
    <t>PERS_0022</t>
  </si>
  <si>
    <t>PERS_0023</t>
  </si>
  <si>
    <t>PERS_0024</t>
  </si>
  <si>
    <t>PERS_0025</t>
  </si>
  <si>
    <t>PERS_0026</t>
  </si>
  <si>
    <t>PERS_0027</t>
  </si>
  <si>
    <t>PERS_0028</t>
  </si>
  <si>
    <t>PERS_0029</t>
  </si>
  <si>
    <t>PERS_0030</t>
  </si>
  <si>
    <t>PERS_0031</t>
  </si>
  <si>
    <t>PERS_0032</t>
  </si>
  <si>
    <t>PERS_0033</t>
  </si>
  <si>
    <t>PERS_0034</t>
  </si>
  <si>
    <t>PERS_0035</t>
  </si>
  <si>
    <t>PERS_0036</t>
  </si>
  <si>
    <t>PERS_0037</t>
  </si>
  <si>
    <t>PERS_0038</t>
  </si>
  <si>
    <t>PERS_0039</t>
  </si>
  <si>
    <t>PERS_0040</t>
  </si>
  <si>
    <t>PERS_0041</t>
  </si>
  <si>
    <t>PERS_0042</t>
  </si>
  <si>
    <t>PERS_0043</t>
  </si>
  <si>
    <t>PERS_0044</t>
  </si>
  <si>
    <t>PERS_0045</t>
  </si>
  <si>
    <t>PERS_0046</t>
  </si>
  <si>
    <t>PERS_0047</t>
  </si>
  <si>
    <t>PERS_0048</t>
  </si>
  <si>
    <t>PERS_0049</t>
  </si>
  <si>
    <t>PERS_0050</t>
  </si>
  <si>
    <t>PERS_0051</t>
  </si>
  <si>
    <t>PERS_0052</t>
  </si>
  <si>
    <t>PERS_0053</t>
  </si>
  <si>
    <t>PERS_0054</t>
  </si>
  <si>
    <t>PERS_0055</t>
  </si>
  <si>
    <t>PERS_0056</t>
  </si>
  <si>
    <t>PERS_0057</t>
  </si>
  <si>
    <t>PERS_0058</t>
  </si>
  <si>
    <t>PERS_0059</t>
  </si>
  <si>
    <t>PERS_0060</t>
  </si>
  <si>
    <t>PERS_0061</t>
  </si>
  <si>
    <t>PERS_0062</t>
  </si>
  <si>
    <t>PERS_0063</t>
  </si>
  <si>
    <t>PERS_0064</t>
  </si>
  <si>
    <t>PERS_0065</t>
  </si>
  <si>
    <t>PERS_0066</t>
  </si>
  <si>
    <t>PERS_0067</t>
  </si>
  <si>
    <t>PERS_0068</t>
  </si>
  <si>
    <t>PERS_0069</t>
  </si>
  <si>
    <t>PERS_0070</t>
  </si>
  <si>
    <t>PERS_0071</t>
  </si>
  <si>
    <t>PERS_0072</t>
  </si>
  <si>
    <t>PERS_0073</t>
  </si>
  <si>
    <t>PERS_0074</t>
  </si>
  <si>
    <t>PERS_0075</t>
  </si>
  <si>
    <t>PERS_0076</t>
  </si>
  <si>
    <t>PERS_0077</t>
  </si>
  <si>
    <t>PERS_0078</t>
  </si>
  <si>
    <t>PERS_0079</t>
  </si>
  <si>
    <t>PERS_0080</t>
  </si>
  <si>
    <t>PERS_0081</t>
  </si>
  <si>
    <t>PERS_0082</t>
  </si>
  <si>
    <t>PERS_0083</t>
  </si>
  <si>
    <t>PERS_0084</t>
  </si>
  <si>
    <t>PERS_0085</t>
  </si>
  <si>
    <t>PERS_0086</t>
  </si>
  <si>
    <t>PERS_0087</t>
  </si>
  <si>
    <t>PERS_0088</t>
  </si>
  <si>
    <t>PERS_0089</t>
  </si>
  <si>
    <t>PERS_0090</t>
  </si>
  <si>
    <t>PERS_0091</t>
  </si>
  <si>
    <t>PERS_0092</t>
  </si>
  <si>
    <t>PERS_0093</t>
  </si>
  <si>
    <t>PERS_0094</t>
  </si>
  <si>
    <t>PERS_0095</t>
  </si>
  <si>
    <t>PERS_0096</t>
  </si>
  <si>
    <t>PERS_0097</t>
  </si>
  <si>
    <t>PERS_0098</t>
  </si>
  <si>
    <t>PERS_0099</t>
  </si>
  <si>
    <t>PERS_0100</t>
  </si>
  <si>
    <t>PERS_0102</t>
  </si>
  <si>
    <t>PERS_0103</t>
  </si>
  <si>
    <t>PERS_0104</t>
  </si>
  <si>
    <t>PERS_0105</t>
  </si>
  <si>
    <t>PERS_0106</t>
  </si>
  <si>
    <t>PERS_0107</t>
  </si>
  <si>
    <t>PERS_0108</t>
  </si>
  <si>
    <t>PERS_0109</t>
  </si>
  <si>
    <t>PERS_0110</t>
  </si>
  <si>
    <t>PERS_0111</t>
  </si>
  <si>
    <t>PERS_0112</t>
  </si>
  <si>
    <t>PERS_0113</t>
  </si>
  <si>
    <t>PERS_0114</t>
  </si>
  <si>
    <t>PERS_0115</t>
  </si>
  <si>
    <t>PERS_0116</t>
  </si>
  <si>
    <t>PERS_0117</t>
  </si>
  <si>
    <t>PERS_0118</t>
  </si>
  <si>
    <t>PERS_0119</t>
  </si>
  <si>
    <t>PERS_0120</t>
  </si>
  <si>
    <t>PERS_0121</t>
  </si>
  <si>
    <t>PERS_0122</t>
  </si>
  <si>
    <t>PERS_0123</t>
  </si>
  <si>
    <t>PERS_0124</t>
  </si>
  <si>
    <t>PERS_0125</t>
  </si>
  <si>
    <t>PERS_0126</t>
  </si>
  <si>
    <t>PERS_0127</t>
  </si>
  <si>
    <t>PERS_0128</t>
  </si>
  <si>
    <t>PERS_0129</t>
  </si>
  <si>
    <t>PERS_0130</t>
  </si>
  <si>
    <t>PERS_0131</t>
  </si>
  <si>
    <t>PERS_0132</t>
  </si>
  <si>
    <t>PERS_0133</t>
  </si>
  <si>
    <t>PERS_0134</t>
  </si>
  <si>
    <t>PERS_0135</t>
  </si>
  <si>
    <t>PERS_0136</t>
  </si>
  <si>
    <t>PERS_0137</t>
  </si>
  <si>
    <t>PERS_0138</t>
  </si>
  <si>
    <t>PERS_0139</t>
  </si>
  <si>
    <t>PERS_0140</t>
  </si>
  <si>
    <t>PERS_0141</t>
  </si>
  <si>
    <t>PERS_0142</t>
  </si>
  <si>
    <t>PERS_0143</t>
  </si>
  <si>
    <t>PERS_0144</t>
  </si>
  <si>
    <t>PERS_0145</t>
  </si>
  <si>
    <t>PERS_0146</t>
  </si>
  <si>
    <t>PERS_0147</t>
  </si>
  <si>
    <t>PERS_0148</t>
  </si>
  <si>
    <t>PERS_0149</t>
  </si>
  <si>
    <t>PERS_0150</t>
  </si>
  <si>
    <t>PERS_0151</t>
  </si>
  <si>
    <t>PERS_0152</t>
  </si>
  <si>
    <t>PERS_0153</t>
  </si>
  <si>
    <t>PERS_0154</t>
  </si>
  <si>
    <t>PERS_0155</t>
  </si>
  <si>
    <t>PERS_0156</t>
  </si>
  <si>
    <t>PERS_0157</t>
  </si>
  <si>
    <t>PERS_0158</t>
  </si>
  <si>
    <t>PERS_0159</t>
  </si>
  <si>
    <t>PERS_0160</t>
  </si>
  <si>
    <t>PERS_0161</t>
  </si>
  <si>
    <t>PERS_0162</t>
  </si>
  <si>
    <t>PERS_0163</t>
  </si>
  <si>
    <t>PERS_0164</t>
  </si>
  <si>
    <t>PERS_0165</t>
  </si>
  <si>
    <t>PERS_0166</t>
  </si>
  <si>
    <t>PERS_0167</t>
  </si>
  <si>
    <t>PERS_0168</t>
  </si>
  <si>
    <t>PERS_0169</t>
  </si>
  <si>
    <t>PERS_0170</t>
  </si>
  <si>
    <t>PERS_0171</t>
  </si>
  <si>
    <t>PERS_0172</t>
  </si>
  <si>
    <t>PERS_0173</t>
  </si>
  <si>
    <t>PERS_0174</t>
  </si>
  <si>
    <t>PERS_0175</t>
  </si>
  <si>
    <t>PERS_0176</t>
  </si>
  <si>
    <t>PERS_0177</t>
  </si>
  <si>
    <t>PERS_0178</t>
  </si>
  <si>
    <t>PERS_0179</t>
  </si>
  <si>
    <t>PERS_0180</t>
  </si>
  <si>
    <t>PERS_0181</t>
  </si>
  <si>
    <t>PERS_0182</t>
  </si>
  <si>
    <t>PERS_0183</t>
  </si>
  <si>
    <t>PERS_0184</t>
  </si>
  <si>
    <t>PERS_0185</t>
  </si>
  <si>
    <t>PERS_0186</t>
  </si>
  <si>
    <t>PERS_0187</t>
  </si>
  <si>
    <t>PERS_0188</t>
  </si>
  <si>
    <t>PERS_0189</t>
  </si>
  <si>
    <t>PERS_0190</t>
  </si>
  <si>
    <t>PERS_0191</t>
  </si>
  <si>
    <t>PERS_0192</t>
  </si>
  <si>
    <t>PERS_0193</t>
  </si>
  <si>
    <t>PERS_0194</t>
  </si>
  <si>
    <t>PERS_0195</t>
  </si>
  <si>
    <t>PERS_0196</t>
  </si>
  <si>
    <t>PERS_0197</t>
  </si>
  <si>
    <t>PERS_0198</t>
  </si>
  <si>
    <t>PERS_0199</t>
  </si>
  <si>
    <t>PERS_0200</t>
  </si>
  <si>
    <t>PERS_0202</t>
  </si>
  <si>
    <t>PERS_0203</t>
  </si>
  <si>
    <t>PERS_0204</t>
  </si>
  <si>
    <t>PERS_0205</t>
  </si>
  <si>
    <t>PERS_0206</t>
  </si>
  <si>
    <t>PERS_0207</t>
  </si>
  <si>
    <t>PERS_0208</t>
  </si>
  <si>
    <t>PERS_0209</t>
  </si>
  <si>
    <t>PERS_0210</t>
  </si>
  <si>
    <t>PERS_0211</t>
  </si>
  <si>
    <t>PERS_0212</t>
  </si>
  <si>
    <t>PERS_0213</t>
  </si>
  <si>
    <t>PERS_0214</t>
  </si>
  <si>
    <t>PERS_0215</t>
  </si>
  <si>
    <t>PERS_0216</t>
  </si>
  <si>
    <t>PERS_0217</t>
  </si>
  <si>
    <t>PERS_0218</t>
  </si>
  <si>
    <t>PERS_0219</t>
  </si>
  <si>
    <t>PERS_0220</t>
  </si>
  <si>
    <t>PERS_0221</t>
  </si>
  <si>
    <t>PERS_0222</t>
  </si>
  <si>
    <t>PERS_0223</t>
  </si>
  <si>
    <t>PERS_0224</t>
  </si>
  <si>
    <t>PERS_0225</t>
  </si>
  <si>
    <t>PERS_0226</t>
  </si>
  <si>
    <t>PERS_0227</t>
  </si>
  <si>
    <t>PERS_0228</t>
  </si>
  <si>
    <t>PERS_0229</t>
  </si>
  <si>
    <t>PERS_0230</t>
  </si>
  <si>
    <t>PERS_0231</t>
  </si>
  <si>
    <t>PERS_0232</t>
  </si>
  <si>
    <t>PERS_0233</t>
  </si>
  <si>
    <t>PERS_0234</t>
  </si>
  <si>
    <t>PERS_0235</t>
  </si>
  <si>
    <t>PERS_0236</t>
  </si>
  <si>
    <t>PERS_0237</t>
  </si>
  <si>
    <t>PERS_0238</t>
  </si>
  <si>
    <t>PERS_0239</t>
  </si>
  <si>
    <t>PERS_0240</t>
  </si>
  <si>
    <t>PERS_0241</t>
  </si>
  <si>
    <t>PERS_0242</t>
  </si>
  <si>
    <t>PERS_0243</t>
  </si>
  <si>
    <t>PERS_0244</t>
  </si>
  <si>
    <t>PERS_0245</t>
  </si>
  <si>
    <t>PERS_0246</t>
  </si>
  <si>
    <t>PERS_0247</t>
  </si>
  <si>
    <t>PERS_0248</t>
  </si>
  <si>
    <t>PERS_0249</t>
  </si>
  <si>
    <t>PERS_0250</t>
  </si>
  <si>
    <t>PERS_0251</t>
  </si>
  <si>
    <t>PERS_0252</t>
  </si>
  <si>
    <t>PERS_0253</t>
  </si>
  <si>
    <t>PERS_0254</t>
  </si>
  <si>
    <t>PERS_0255</t>
  </si>
  <si>
    <t>PERS_0256</t>
  </si>
  <si>
    <t>PERS_0257</t>
  </si>
  <si>
    <t>PERS_0258</t>
  </si>
  <si>
    <t>PERS_0259</t>
  </si>
  <si>
    <t>PERS_0260</t>
  </si>
  <si>
    <t>PERS_0261</t>
  </si>
  <si>
    <t>PERS_0262</t>
  </si>
  <si>
    <t>PERS_0263</t>
  </si>
  <si>
    <t>PERS_0264</t>
  </si>
  <si>
    <t>PERS_0265</t>
  </si>
  <si>
    <t>PERS_0266</t>
  </si>
  <si>
    <t>PERS_0267</t>
  </si>
  <si>
    <t>PERS_0268</t>
  </si>
  <si>
    <t>PERS_0269</t>
  </si>
  <si>
    <t>PERS_0270</t>
  </si>
  <si>
    <t>PERS_0271</t>
  </si>
  <si>
    <t>PERS_0272</t>
  </si>
  <si>
    <t>PERS_0273</t>
  </si>
  <si>
    <t>PERS_0274</t>
  </si>
  <si>
    <t>PERS_0275</t>
  </si>
  <si>
    <t>PERS_0276</t>
  </si>
  <si>
    <t>PERS_0277</t>
  </si>
  <si>
    <t>PERS_0278</t>
  </si>
  <si>
    <t>PERS_0279</t>
  </si>
  <si>
    <t>PERS_0280</t>
  </si>
  <si>
    <t>PERS_0281</t>
  </si>
  <si>
    <t>PERS_0282</t>
  </si>
  <si>
    <t>PERS_0283</t>
  </si>
  <si>
    <t>PERS_0284</t>
  </si>
  <si>
    <t>PERS_0285</t>
  </si>
  <si>
    <t>PERS_0286</t>
  </si>
  <si>
    <t>PERS_0287</t>
  </si>
  <si>
    <t>PERS_0288</t>
  </si>
  <si>
    <t>PERS_0289</t>
  </si>
  <si>
    <t>PERS_0290</t>
  </si>
  <si>
    <t>PERS_0291</t>
  </si>
  <si>
    <t>PERS_0292</t>
  </si>
  <si>
    <t>PERS_0293</t>
  </si>
  <si>
    <t>PERS_0294</t>
  </si>
  <si>
    <t>PERS_0295</t>
  </si>
  <si>
    <t>PERS_0296</t>
  </si>
  <si>
    <t>PERS_0297</t>
  </si>
  <si>
    <t>PERS_0298</t>
  </si>
  <si>
    <t>PERS_0299</t>
  </si>
  <si>
    <t>PERS_0300</t>
  </si>
  <si>
    <t>PERS_0301</t>
  </si>
  <si>
    <t>PERS_0302</t>
  </si>
  <si>
    <t>PERS_0303</t>
  </si>
  <si>
    <t>PERS_0304</t>
  </si>
  <si>
    <t>PERS_0305</t>
  </si>
  <si>
    <t>CON_OWN_0002</t>
  </si>
  <si>
    <t>CON_OWN_0003</t>
  </si>
  <si>
    <t>CON_OWN_0004</t>
  </si>
  <si>
    <t>CON_OWN_0005</t>
  </si>
  <si>
    <t>CON_OWN_0006</t>
  </si>
  <si>
    <t>CON_OWN_0007</t>
  </si>
  <si>
    <t>CON_OWN_0008</t>
  </si>
  <si>
    <t>CON_OWN_0009</t>
  </si>
  <si>
    <t>CON_OWN_0010</t>
  </si>
  <si>
    <t>CON_OWN_0011</t>
  </si>
  <si>
    <t>CON_OWN_0012</t>
  </si>
  <si>
    <t>CON_OWN_0013</t>
  </si>
  <si>
    <t>CON_OWN_0014</t>
  </si>
  <si>
    <t>CON_OWN_0015</t>
  </si>
  <si>
    <t>CON_OWN_0016</t>
  </si>
  <si>
    <t>CON_OWN_0017</t>
  </si>
  <si>
    <t>CON_OWN_0018</t>
  </si>
  <si>
    <t>CON_OWN_0019</t>
  </si>
  <si>
    <t>CON_OWN_0020</t>
  </si>
  <si>
    <t>CON_OWN_0021</t>
  </si>
  <si>
    <t>CON_OWN_0022</t>
  </si>
  <si>
    <t>CON_OWN_0023</t>
  </si>
  <si>
    <t>CON_OWN_0024</t>
  </si>
  <si>
    <t>CON_OWN_0025</t>
  </si>
  <si>
    <t>CON_OWN_0026</t>
  </si>
  <si>
    <t>CON_OWN_0027</t>
  </si>
  <si>
    <t>CON_OWN_0028</t>
  </si>
  <si>
    <t>CON_OWN_0029</t>
  </si>
  <si>
    <t>CON_OWN_0030</t>
  </si>
  <si>
    <t>CON_OWN_0031</t>
  </si>
  <si>
    <t>CON_OWN_0032</t>
  </si>
  <si>
    <t>CON_GM_0033</t>
  </si>
  <si>
    <t>CON_GM_0034</t>
  </si>
  <si>
    <t>CON_GM_0035</t>
  </si>
  <si>
    <t>CON_GM_0036</t>
  </si>
  <si>
    <t>CON_GM_0037</t>
  </si>
  <si>
    <t>CON_GM_0038</t>
  </si>
  <si>
    <t>CON_GM_0039</t>
  </si>
  <si>
    <t>CON_GM_0040</t>
  </si>
  <si>
    <t>CON_GM_0041</t>
  </si>
  <si>
    <t>CON_GM_0042</t>
  </si>
  <si>
    <t>CON_GM_0043</t>
  </si>
  <si>
    <t>CON_GM_0044</t>
  </si>
  <si>
    <t>CON_GM_0045</t>
  </si>
  <si>
    <t>CON_GM_0046</t>
  </si>
  <si>
    <t>CON_GM_0047</t>
  </si>
  <si>
    <t>CON_GM_0048</t>
  </si>
  <si>
    <t>CON_GM_0049</t>
  </si>
  <si>
    <t>CON_GM_0050</t>
  </si>
  <si>
    <t>CON_GM_0051</t>
  </si>
  <si>
    <t>CON_GM_0052</t>
  </si>
  <si>
    <t>CON_GM_0053</t>
  </si>
  <si>
    <t>CON_GM_0054</t>
  </si>
  <si>
    <t>CON_GM_0055</t>
  </si>
  <si>
    <t>CON_GM_0056</t>
  </si>
  <si>
    <t>CON_GM_0057</t>
  </si>
  <si>
    <t>CON_GM_0058</t>
  </si>
  <si>
    <t>CON_GM_0059</t>
  </si>
  <si>
    <t>CON_GM_0060</t>
  </si>
  <si>
    <t>CON_GM_0061</t>
  </si>
  <si>
    <t>CON_GM_0062</t>
  </si>
  <si>
    <t>CON_GM_0063</t>
  </si>
  <si>
    <t>CON_GM_0064</t>
  </si>
  <si>
    <t>CON_GM_0065</t>
  </si>
  <si>
    <t>CON_GM_0066</t>
  </si>
  <si>
    <t>CON_GM_0067</t>
  </si>
  <si>
    <t>CON_GM_0068</t>
  </si>
  <si>
    <t>CON_GM_0069</t>
  </si>
  <si>
    <t>CON_GM_0070</t>
  </si>
  <si>
    <t>CON_GM_0071</t>
  </si>
  <si>
    <t>CON_HC_0072</t>
  </si>
  <si>
    <t>CON_GM_0073</t>
  </si>
  <si>
    <t>CON_GM_0074</t>
  </si>
  <si>
    <t>CON_GM_0075</t>
  </si>
  <si>
    <t>CON_GM_0076</t>
  </si>
  <si>
    <t>CON_GM_0077</t>
  </si>
  <si>
    <t>CON_GM_0078</t>
  </si>
  <si>
    <t>CON_GM_0079</t>
  </si>
  <si>
    <t>CON_HC_0080</t>
  </si>
  <si>
    <t>CON_HC_0081</t>
  </si>
  <si>
    <t>CON_HC_0082</t>
  </si>
  <si>
    <t>CON_HC_0083</t>
  </si>
  <si>
    <t>CON_HC_0084</t>
  </si>
  <si>
    <t>CON_HC_0085</t>
  </si>
  <si>
    <t>CON_HC_0086</t>
  </si>
  <si>
    <t>CON_HC_0087</t>
  </si>
  <si>
    <t>CON_HC_0088</t>
  </si>
  <si>
    <t>CON_HC_0089</t>
  </si>
  <si>
    <t>CON_HC_0090</t>
  </si>
  <si>
    <t>CON_HC_0091</t>
  </si>
  <si>
    <t>CON_HC_0092</t>
  </si>
  <si>
    <t>CON_HC_0093</t>
  </si>
  <si>
    <t>CON_HC_0094</t>
  </si>
  <si>
    <t>CON_HC_0095</t>
  </si>
  <si>
    <t>CON_HC_0096</t>
  </si>
  <si>
    <t>CON_HC_0097</t>
  </si>
  <si>
    <t>CON_HC_0098</t>
  </si>
  <si>
    <t>CON_HC_0099</t>
  </si>
  <si>
    <t>CON_HC_0100</t>
  </si>
  <si>
    <t>CON_HC_0101</t>
  </si>
  <si>
    <t>CON_HC_0102</t>
  </si>
  <si>
    <t>CON_HC_0103</t>
  </si>
  <si>
    <t>CON_HC_0104</t>
  </si>
  <si>
    <t>CON_HC_0105</t>
  </si>
  <si>
    <t>CON_HC_0106</t>
  </si>
  <si>
    <t>CON_HC_0107</t>
  </si>
  <si>
    <t>CON_HC_0108</t>
  </si>
  <si>
    <t>CON_HC_0109</t>
  </si>
  <si>
    <t>CON_HC_0110</t>
  </si>
  <si>
    <t>CON_HC_0111</t>
  </si>
  <si>
    <t>CON_OC_0112</t>
  </si>
  <si>
    <t>CON_HC_0113</t>
  </si>
  <si>
    <t>CON_HC_0114</t>
  </si>
  <si>
    <t>CON_HC_0115</t>
  </si>
  <si>
    <t>CON_HC_0116</t>
  </si>
  <si>
    <t>CON_HC_0117</t>
  </si>
  <si>
    <t>CON_HC_0118</t>
  </si>
  <si>
    <t>CON_HC_0119</t>
  </si>
  <si>
    <t>CON_OC_0120</t>
  </si>
  <si>
    <t>CON_HC_0121</t>
  </si>
  <si>
    <t>CON_HC_0122</t>
  </si>
  <si>
    <t>CON_HC_0123</t>
  </si>
  <si>
    <t>CON_HC_0124</t>
  </si>
  <si>
    <t>CON_HC_0125</t>
  </si>
  <si>
    <t>CON_HC_0126</t>
  </si>
  <si>
    <t>CON_HC_0127</t>
  </si>
  <si>
    <t>CON_OC_0128</t>
  </si>
  <si>
    <t>CON_OC_0129</t>
  </si>
  <si>
    <t>CON_OC_0130</t>
  </si>
  <si>
    <t>CON_OC_0131</t>
  </si>
  <si>
    <t>CON_OC_0132</t>
  </si>
  <si>
    <t>CON_OC_0133</t>
  </si>
  <si>
    <t>CON_OC_0134</t>
  </si>
  <si>
    <t>CON_OC_0135</t>
  </si>
  <si>
    <t>CON_OC_0136</t>
  </si>
  <si>
    <t>CON_OC_0137</t>
  </si>
  <si>
    <t>CON_OC_0138</t>
  </si>
  <si>
    <t>CON_OC_0139</t>
  </si>
  <si>
    <t>CON_OC_0140</t>
  </si>
  <si>
    <t>CON_OC_0141</t>
  </si>
  <si>
    <t>CON_OC_0142</t>
  </si>
  <si>
    <t>CON_OC_0143</t>
  </si>
  <si>
    <t>CON_OC_0144</t>
  </si>
  <si>
    <t>CON_OC_0145</t>
  </si>
  <si>
    <t>CON_OC_0146</t>
  </si>
  <si>
    <t>CON_OC_0147</t>
  </si>
  <si>
    <t>CON_OC_0148</t>
  </si>
  <si>
    <t>CON_OC_0149</t>
  </si>
  <si>
    <t>CON_OC_0150</t>
  </si>
  <si>
    <t>CON_OC_0151</t>
  </si>
  <si>
    <t>CON_OC_0152</t>
  </si>
  <si>
    <t>CON_OC_0153</t>
  </si>
  <si>
    <t>CON_OC_0154</t>
  </si>
  <si>
    <t>CON_OC_0155</t>
  </si>
  <si>
    <t>CON_OC_0156</t>
  </si>
  <si>
    <t>CON_OC_0157</t>
  </si>
  <si>
    <t>CON_OC_0158</t>
  </si>
  <si>
    <t>CON_OC_0159</t>
  </si>
  <si>
    <t>CON_DC_0160</t>
  </si>
  <si>
    <t>CON_OC_0161</t>
  </si>
  <si>
    <t>CON_OC_0162</t>
  </si>
  <si>
    <t>CON_OC_0163</t>
  </si>
  <si>
    <t>CON_OC_0164</t>
  </si>
  <si>
    <t>CON_OC_0165</t>
  </si>
  <si>
    <t>CON_OC_0166</t>
  </si>
  <si>
    <t>CON_OC_0167</t>
  </si>
  <si>
    <t>CON_DC_0168</t>
  </si>
  <si>
    <t>CON_OC_0169</t>
  </si>
  <si>
    <t>CON_OC_0170</t>
  </si>
  <si>
    <t>CON_OC_0171</t>
  </si>
  <si>
    <t>CON_OC_0172</t>
  </si>
  <si>
    <t>CON_OC_0173</t>
  </si>
  <si>
    <t>CON_OC_0174</t>
  </si>
  <si>
    <t>CON_OC_0175</t>
  </si>
  <si>
    <t>CON_DC_0176</t>
  </si>
  <si>
    <t>CON_OL_0177</t>
  </si>
  <si>
    <t>CON_WRRB_0178</t>
  </si>
  <si>
    <t>CON_DL_0179</t>
  </si>
  <si>
    <t>CON_DB_0180</t>
  </si>
  <si>
    <t>CON_WRRB_0181</t>
  </si>
  <si>
    <t>CON_LB_0182</t>
  </si>
  <si>
    <t>CON_ST_0183</t>
  </si>
  <si>
    <t>CON_QB_0184</t>
  </si>
  <si>
    <t>CON_DL_0185</t>
  </si>
  <si>
    <t>CON_OL_0186</t>
  </si>
  <si>
    <t>CON_WRRB_0187</t>
  </si>
  <si>
    <t>CON_WRRB_0188</t>
  </si>
  <si>
    <t>CON_DB_0189</t>
  </si>
  <si>
    <t>CON_ST_0190</t>
  </si>
  <si>
    <t>CON_LB_0191</t>
  </si>
  <si>
    <t>CON_QB_0192</t>
  </si>
  <si>
    <t>CON_WRRB_0193</t>
  </si>
  <si>
    <t>CON_WRRB_0194</t>
  </si>
  <si>
    <t>CON_DB_0195</t>
  </si>
  <si>
    <t>CON_OL_0196</t>
  </si>
  <si>
    <t>CON_DL_0197</t>
  </si>
  <si>
    <t>CON_LB_0198</t>
  </si>
  <si>
    <t>CON_DB_0199</t>
  </si>
  <si>
    <t>CON_ST_0200</t>
  </si>
  <si>
    <t>CON_QB_0201</t>
  </si>
  <si>
    <t>CON_WRRB_0202</t>
  </si>
  <si>
    <t>CON_WRRB_0203</t>
  </si>
  <si>
    <t>CON_OL_0204</t>
  </si>
  <si>
    <t>CON_DL_0205</t>
  </si>
  <si>
    <t>CON_DB_0206</t>
  </si>
  <si>
    <t>CON_QB_0207</t>
  </si>
  <si>
    <t>CON_ST_0208</t>
  </si>
  <si>
    <t>CON_LB_0209</t>
  </si>
  <si>
    <t>CON_WRRB_0210</t>
  </si>
  <si>
    <t>CON_WRRB_0211</t>
  </si>
  <si>
    <t>CON_DC_0212</t>
  </si>
  <si>
    <t>CON_DC_0213</t>
  </si>
  <si>
    <t>CON_DC_0214</t>
  </si>
  <si>
    <t>CON_DC_0215</t>
  </si>
  <si>
    <t>CON_DC_0216</t>
  </si>
  <si>
    <t>CON_DC_0217</t>
  </si>
  <si>
    <t>CON_DC_0218</t>
  </si>
  <si>
    <t>CON_DC_0219</t>
  </si>
  <si>
    <t>CON_DC_0220</t>
  </si>
  <si>
    <t>CON_DC_0221</t>
  </si>
  <si>
    <t>CON_DC_0222</t>
  </si>
  <si>
    <t>CON_DC_0223</t>
  </si>
  <si>
    <t>CON_DC_0224</t>
  </si>
  <si>
    <t>CON_DC_0225</t>
  </si>
  <si>
    <t>CON_DC_0226</t>
  </si>
  <si>
    <t>CON_DC_0227</t>
  </si>
  <si>
    <t>CON_DC_0228</t>
  </si>
  <si>
    <t>CON_DC_0229</t>
  </si>
  <si>
    <t>CON_DC_0230</t>
  </si>
  <si>
    <t>CON_DC_0231</t>
  </si>
  <si>
    <t>CON_DC_0232</t>
  </si>
  <si>
    <t>CON_DC_0233</t>
  </si>
  <si>
    <t>CON_DC_0234</t>
  </si>
  <si>
    <t>CON_DC_0235</t>
  </si>
  <si>
    <t>CON_DC_0236</t>
  </si>
  <si>
    <t>CON_DC_0237</t>
  </si>
  <si>
    <t>CON_DC_0238</t>
  </si>
  <si>
    <t>CON_DC_0239</t>
  </si>
  <si>
    <t>CON_DC_0240</t>
  </si>
  <si>
    <t>CON_DC_0241</t>
  </si>
  <si>
    <t>CON_DC_0242</t>
  </si>
  <si>
    <t>CON_GM_0243</t>
  </si>
  <si>
    <t>CON_DC_0244</t>
  </si>
  <si>
    <t>CON_DC_0245</t>
  </si>
  <si>
    <t>CON_DC_0246</t>
  </si>
  <si>
    <t>CON_DC_0247</t>
  </si>
  <si>
    <t>CON_DC_0248</t>
  </si>
  <si>
    <t>CON_DC_0249</t>
  </si>
  <si>
    <t>CON_DC_0250</t>
  </si>
  <si>
    <t>CON_GM_0251</t>
  </si>
  <si>
    <t>CON_DC_0252</t>
  </si>
  <si>
    <t>CON_DC_0253</t>
  </si>
  <si>
    <t>CON_DC_0254</t>
  </si>
  <si>
    <t>CON_DC_0255</t>
  </si>
  <si>
    <t>CON_DC_0256</t>
  </si>
  <si>
    <t>CON_DC_0257</t>
  </si>
  <si>
    <t>CON_DC_0258</t>
  </si>
  <si>
    <t>CON_OL_0259</t>
  </si>
  <si>
    <t>CON_DB_0260</t>
  </si>
  <si>
    <t>CON_DL_0261</t>
  </si>
  <si>
    <t>CON_QB_0262</t>
  </si>
  <si>
    <t>CON_ST_0263</t>
  </si>
  <si>
    <t>CON_WRRB_0264</t>
  </si>
  <si>
    <t>CON_WRRB_0265</t>
  </si>
  <si>
    <t>CON_LB_0266</t>
  </si>
  <si>
    <t>CON_OL_0267</t>
  </si>
  <si>
    <t>CON_DL_0268</t>
  </si>
  <si>
    <t>CON_DB_0269</t>
  </si>
  <si>
    <t>CON_ST_0270</t>
  </si>
  <si>
    <t>CON_QB_0271</t>
  </si>
  <si>
    <t>CON_LB_0272</t>
  </si>
  <si>
    <t>CON_WRRB_0273</t>
  </si>
  <si>
    <t>CON_WRRB_0274</t>
  </si>
  <si>
    <t>CON_OL_0275</t>
  </si>
  <si>
    <t>CON_DL_0276</t>
  </si>
  <si>
    <t>CON_DB_0277</t>
  </si>
  <si>
    <t>CON_QB_0278</t>
  </si>
  <si>
    <t>CON_ST_0279</t>
  </si>
  <si>
    <t>CON_HC_0280</t>
  </si>
  <si>
    <t>CON_DC_0281</t>
  </si>
  <si>
    <t>CON_OC_0282</t>
  </si>
  <si>
    <t>CON_WRRB_0283</t>
  </si>
  <si>
    <t>CON_ST_0284</t>
  </si>
  <si>
    <t>CON_OL_0285</t>
  </si>
  <si>
    <t>CON_DL_0286</t>
  </si>
  <si>
    <t>CON_LB_0287</t>
  </si>
  <si>
    <t>CON_DB_0288</t>
  </si>
  <si>
    <t>CON_QB_0289</t>
  </si>
  <si>
    <t>CON_OL_0290</t>
  </si>
  <si>
    <t>CON_OC_0291</t>
  </si>
  <si>
    <t>CON_DB_0292</t>
  </si>
  <si>
    <t>CON_WRRB_0293</t>
  </si>
  <si>
    <t>CON_ST_0294</t>
  </si>
  <si>
    <t>CON_DL_0295</t>
  </si>
  <si>
    <t>CON_QB_0296</t>
  </si>
  <si>
    <t>CON_WRRB_0297</t>
  </si>
  <si>
    <t>CON_DC_0298</t>
  </si>
  <si>
    <t>CON_LB_0299</t>
  </si>
  <si>
    <t>CON_DC_0300</t>
  </si>
  <si>
    <t>CON_OC_0301</t>
  </si>
  <si>
    <t>CON_HC_0302</t>
  </si>
  <si>
    <t>CON_LB_0303</t>
  </si>
  <si>
    <t>CON_QB_0304</t>
  </si>
  <si>
    <t>CON_HC_0305</t>
  </si>
  <si>
    <t>Markell Dias</t>
  </si>
  <si>
    <t>Vladimir Marr</t>
  </si>
  <si>
    <t>Devante Grubb</t>
  </si>
  <si>
    <t>Morgan Queen</t>
  </si>
  <si>
    <t>Jorden Sinclair</t>
  </si>
  <si>
    <t>Deon Dye</t>
  </si>
  <si>
    <t>Campbell McManus</t>
  </si>
  <si>
    <t>Blaze Lorenzo</t>
  </si>
  <si>
    <t>Emiliano Briones</t>
  </si>
  <si>
    <t>Christian Pickett</t>
  </si>
  <si>
    <t>Freddy Perdue</t>
  </si>
  <si>
    <t>Paxton Florence</t>
  </si>
  <si>
    <t>Niko Register</t>
  </si>
  <si>
    <t>Terence Heil</t>
  </si>
  <si>
    <t>Tommy Schilling</t>
  </si>
  <si>
    <t>Devyn Sells</t>
  </si>
  <si>
    <t>Howard Unger</t>
  </si>
  <si>
    <t>Gannon Palma</t>
  </si>
  <si>
    <t>Byron Miles</t>
  </si>
  <si>
    <t>Damon Landrum</t>
  </si>
  <si>
    <t>Trenten Broughton</t>
  </si>
  <si>
    <t>Jaydon Leonard</t>
  </si>
  <si>
    <t>Skylar Hampton</t>
  </si>
  <si>
    <t>Darian Merriman</t>
  </si>
  <si>
    <t>Shelby Han</t>
  </si>
  <si>
    <t>Bryce Whitcomb</t>
  </si>
  <si>
    <t>Armani Zhang</t>
  </si>
  <si>
    <t>Jamie Murdock</t>
  </si>
  <si>
    <t>Dionte Lombardo</t>
  </si>
  <si>
    <t>Gunner Wofford</t>
  </si>
  <si>
    <t>Oswaldo Baumgartner</t>
  </si>
  <si>
    <t>Douglas Kohl</t>
  </si>
  <si>
    <t>Santana Mosley</t>
  </si>
  <si>
    <t>Sincere Cadena</t>
  </si>
  <si>
    <t>Bridger Sheridan</t>
  </si>
  <si>
    <t>Brett Strom</t>
  </si>
  <si>
    <t>Jude Shafer</t>
  </si>
  <si>
    <t>Eduardo Soto</t>
  </si>
  <si>
    <t>Treyton McPherson</t>
  </si>
  <si>
    <t>Tyrek Johns</t>
  </si>
  <si>
    <t>Wesley Crump</t>
  </si>
  <si>
    <t>Drake Lockwood</t>
  </si>
  <si>
    <t>Tre Cannon</t>
  </si>
  <si>
    <t>Jake Dunham</t>
  </si>
  <si>
    <t>Trinity Rock</t>
  </si>
  <si>
    <t>Devonte Hartley</t>
  </si>
  <si>
    <t>Gunner Noland</t>
  </si>
  <si>
    <t>Eliseo Covey</t>
  </si>
  <si>
    <t>Blair Cormier</t>
  </si>
  <si>
    <t>Nick Bowman</t>
  </si>
  <si>
    <t>Jeffery Sharpe</t>
  </si>
  <si>
    <t>Brian Morgan</t>
  </si>
  <si>
    <t>Nathaniel Trahan</t>
  </si>
  <si>
    <t>Duncan Hershberger</t>
  </si>
  <si>
    <t>Bret Isaacs</t>
  </si>
  <si>
    <t>Drake Messina</t>
  </si>
  <si>
    <t>Latrell Dudley</t>
  </si>
  <si>
    <t>Rick Ervin</t>
  </si>
  <si>
    <t>Braulio Cockrell</t>
  </si>
  <si>
    <t>Emmanuel Gilley</t>
  </si>
  <si>
    <t>Notnamed Crespo</t>
  </si>
  <si>
    <t>Emanuel Linton</t>
  </si>
  <si>
    <t>Zander Lemus</t>
  </si>
  <si>
    <t>Tevin Hanna</t>
  </si>
  <si>
    <t>Mark Burkett</t>
  </si>
  <si>
    <t>Baylor Washington</t>
  </si>
  <si>
    <t>Darian Trapp</t>
  </si>
  <si>
    <t>Darius McGuire</t>
  </si>
  <si>
    <t>Roman Pereira</t>
  </si>
  <si>
    <t>Wade Dillon</t>
  </si>
  <si>
    <t>Tavion Pack</t>
  </si>
  <si>
    <t>Jayson Baum</t>
  </si>
  <si>
    <t>Alijah Finley</t>
  </si>
  <si>
    <t>Kerry Dutton</t>
  </si>
  <si>
    <t>Dashawn Woodson</t>
  </si>
  <si>
    <t>Isaiah Higdon</t>
  </si>
  <si>
    <t>Leland Pratt</t>
  </si>
  <si>
    <t>Donavon Ervin</t>
  </si>
  <si>
    <t>Tyriq Monson</t>
  </si>
  <si>
    <t>Marion Carrillo</t>
  </si>
  <si>
    <t>Tate McCabe</t>
  </si>
  <si>
    <t>Asher Bowling</t>
  </si>
  <si>
    <t>Carlton Koehn</t>
  </si>
  <si>
    <t>Gerard Elizondo</t>
  </si>
  <si>
    <t>Brodie Hackett</t>
  </si>
  <si>
    <t>Jalyn Moseley</t>
  </si>
  <si>
    <t>Elisha Kovach</t>
  </si>
  <si>
    <t>Aman Baltazar</t>
  </si>
  <si>
    <t>Josef Barton</t>
  </si>
  <si>
    <t>Wade Farnsworth</t>
  </si>
  <si>
    <t>Franklin Conte</t>
  </si>
  <si>
    <t>Rylan Harley</t>
  </si>
  <si>
    <t>Marquis Ritter</t>
  </si>
  <si>
    <t>Felix Dietrich</t>
  </si>
  <si>
    <t>Solomon Dickens</t>
  </si>
  <si>
    <t>Keon Reeves</t>
  </si>
  <si>
    <t>Mustafa Saldivar</t>
  </si>
  <si>
    <t>Kegan Bartels</t>
  </si>
  <si>
    <t>Elvis Colley</t>
  </si>
  <si>
    <t>Jim Rangel</t>
  </si>
  <si>
    <t>Jajuan Logan</t>
  </si>
  <si>
    <t>Trinity Cowart</t>
  </si>
  <si>
    <t>Guy Mckinley</t>
  </si>
  <si>
    <t>Donavan Harvey</t>
  </si>
  <si>
    <t>Stone Estes</t>
  </si>
  <si>
    <t>Leo Roberts</t>
  </si>
  <si>
    <t>Markus Hull</t>
  </si>
  <si>
    <t>Gerardo Yi</t>
  </si>
  <si>
    <t>Dorien Betz</t>
  </si>
  <si>
    <t>Genaro Nicholson</t>
  </si>
  <si>
    <t>Marco Vega</t>
  </si>
  <si>
    <t>Abner Redmond</t>
  </si>
  <si>
    <t>Brodie Byers</t>
  </si>
  <si>
    <t>Juancarlos Romo</t>
  </si>
  <si>
    <t>Jakob Shipman</t>
  </si>
  <si>
    <t>Keenan Roe</t>
  </si>
  <si>
    <t>Jacoby Bonds</t>
  </si>
  <si>
    <t>Braulio Shelby</t>
  </si>
  <si>
    <t>Quentin McCurdy</t>
  </si>
  <si>
    <t>Rylee Fahey</t>
  </si>
  <si>
    <t>Camron Otto</t>
  </si>
  <si>
    <t>Keandre Ulloa</t>
  </si>
  <si>
    <t>Junior Covey</t>
  </si>
  <si>
    <t>Markus Haney</t>
  </si>
  <si>
    <t>Luther Emmons</t>
  </si>
  <si>
    <t>Dustyn High</t>
  </si>
  <si>
    <t>Cristobal Richardson</t>
  </si>
  <si>
    <t>Darius Samson</t>
  </si>
  <si>
    <t>Mike Carrillo</t>
  </si>
  <si>
    <t>Axel Kitchen</t>
  </si>
  <si>
    <t>Jorge Crawley</t>
  </si>
  <si>
    <t>Tahj Oglesby</t>
  </si>
  <si>
    <t>Alonso Ricks</t>
  </si>
  <si>
    <t>Izaiah Bullard</t>
  </si>
  <si>
    <t>Ivan Piper</t>
  </si>
  <si>
    <t>Kamron Rossi</t>
  </si>
  <si>
    <t>Tevin Gunderson</t>
  </si>
  <si>
    <t>Hunter Newkirk</t>
  </si>
  <si>
    <t>Roger Robb</t>
  </si>
  <si>
    <t>Alfonso Michaud</t>
  </si>
  <si>
    <t>Keon Wilkinson</t>
  </si>
  <si>
    <t>Jakob Otto</t>
  </si>
  <si>
    <t>Arjun Nicholson</t>
  </si>
  <si>
    <t>Jaxon Castellanos</t>
  </si>
  <si>
    <t>Brennan Epps</t>
  </si>
  <si>
    <t>Willie Cabrera</t>
  </si>
  <si>
    <t>Kaiden Millan</t>
  </si>
  <si>
    <t>Erik Crump</t>
  </si>
  <si>
    <t>Jerimiah Ahmad</t>
  </si>
  <si>
    <t>Khalil Hamby</t>
  </si>
  <si>
    <t>Augustus Loomis</t>
  </si>
  <si>
    <t>Adriel Bergeron</t>
  </si>
  <si>
    <t>Ibrahim Griffiths</t>
  </si>
  <si>
    <t>Joan Jeter</t>
  </si>
  <si>
    <t>Clarence Neil</t>
  </si>
  <si>
    <t>Jackie Alvarez</t>
  </si>
  <si>
    <t>Charles Benavidez</t>
  </si>
  <si>
    <t>Travon Clayton</t>
  </si>
  <si>
    <t>Herman Royer</t>
  </si>
  <si>
    <t>Tyree James</t>
  </si>
  <si>
    <t>Lloyd Jacoby</t>
  </si>
  <si>
    <t>Jovani Gross</t>
  </si>
  <si>
    <t>Fabian Meredith</t>
  </si>
  <si>
    <t>Loren Washburn</t>
  </si>
  <si>
    <t>Rey Duke</t>
  </si>
  <si>
    <t>Kellen Culbertson</t>
  </si>
  <si>
    <t>Kaiden Otto</t>
  </si>
  <si>
    <t>Freddie Fonseca</t>
  </si>
  <si>
    <t>Aiden Moyer</t>
  </si>
  <si>
    <t>Elijah Mobley</t>
  </si>
  <si>
    <t>Nathen Chamberlin</t>
  </si>
  <si>
    <t>Skyler Hennessy</t>
  </si>
  <si>
    <t>Tristen Churchill</t>
  </si>
  <si>
    <t>Daquan Ricketts</t>
  </si>
  <si>
    <t>London Rankin</t>
  </si>
  <si>
    <t>Steve Burger</t>
  </si>
  <si>
    <t>Jaquan Pauley</t>
  </si>
  <si>
    <t>Travis Dell</t>
  </si>
  <si>
    <t>Trevion Agee</t>
  </si>
  <si>
    <t>Rodney Jordan</t>
  </si>
  <si>
    <t>Simon Knudsen</t>
  </si>
  <si>
    <t>Rodney Welsh</t>
  </si>
  <si>
    <t>Gerald Hartman</t>
  </si>
  <si>
    <t>Ervin Faulkner</t>
  </si>
  <si>
    <t>Leonard Horne</t>
  </si>
  <si>
    <t>Riley Abraham</t>
  </si>
  <si>
    <t>James Smiley</t>
  </si>
  <si>
    <t>Benito Leonard</t>
  </si>
  <si>
    <t>Levi Morgan</t>
  </si>
  <si>
    <t>Trace Hurd</t>
  </si>
  <si>
    <t>Jaxon Shumaker</t>
  </si>
  <si>
    <t>Varun Aviles</t>
  </si>
  <si>
    <t>Rafael Menard</t>
  </si>
  <si>
    <t>Zakary Fairchild</t>
  </si>
  <si>
    <t>Davis Wilkins</t>
  </si>
  <si>
    <t>Giovanni Ireland</t>
  </si>
  <si>
    <t>Jaret Cope</t>
  </si>
  <si>
    <t>Chester Lara</t>
  </si>
  <si>
    <t>Syed Stanfield</t>
  </si>
  <si>
    <t>Holden Everhart</t>
  </si>
  <si>
    <t>Mekhi Dale</t>
  </si>
  <si>
    <t>Ronaldo Moses</t>
  </si>
  <si>
    <t>Keelan Merchant</t>
  </si>
  <si>
    <t>Pierce Elder</t>
  </si>
  <si>
    <t>Maximiliano Stanton</t>
  </si>
  <si>
    <t>Everett Stinson</t>
  </si>
  <si>
    <t>Mckinley Herrick</t>
  </si>
  <si>
    <t>Mordechai Hardman</t>
  </si>
  <si>
    <t>Dillan Saucedo</t>
  </si>
  <si>
    <t>Ronaldo Spurlock</t>
  </si>
  <si>
    <t>Elvin Rushing</t>
  </si>
  <si>
    <t>Jerry Dayton</t>
  </si>
  <si>
    <t>Deven Duke</t>
  </si>
  <si>
    <t>Jamir Downs</t>
  </si>
  <si>
    <t>Infant Legg</t>
  </si>
  <si>
    <t>Bryon Knapp</t>
  </si>
  <si>
    <t>Jamarcus Massey</t>
  </si>
  <si>
    <t>Barry Smyth</t>
  </si>
  <si>
    <t>Karl Acker</t>
  </si>
  <si>
    <t>Tyreke Diaz</t>
  </si>
  <si>
    <t>Haden Camp</t>
  </si>
  <si>
    <t>Rashad Childers</t>
  </si>
  <si>
    <t>Dario Benton</t>
  </si>
  <si>
    <t>Preston Slaughter</t>
  </si>
  <si>
    <t>Kameron Calvert</t>
  </si>
  <si>
    <t>Jordan Winston</t>
  </si>
  <si>
    <t>Shawn Cathey</t>
  </si>
  <si>
    <t>Jonathan Compton</t>
  </si>
  <si>
    <t>Caiden Romeo</t>
  </si>
  <si>
    <t>Duncan Felix</t>
  </si>
  <si>
    <t>Earl Burke</t>
  </si>
  <si>
    <t>Santiago Barragan</t>
  </si>
  <si>
    <t>Bernard Granados</t>
  </si>
  <si>
    <t>Maurice Waterman</t>
  </si>
  <si>
    <t>Josef Truong</t>
  </si>
  <si>
    <t>Dakoda Alford</t>
  </si>
  <si>
    <t>Ezequiel Bellamy</t>
  </si>
  <si>
    <t>Dale Ackerman</t>
  </si>
  <si>
    <t>Jordyn Hidalgo</t>
  </si>
  <si>
    <t>Bradley Bourgeois</t>
  </si>
  <si>
    <t>Evan Church</t>
  </si>
  <si>
    <t>Jonathon Mott</t>
  </si>
  <si>
    <t>Jase Ayres</t>
  </si>
  <si>
    <t>Shelton Lewandowski</t>
  </si>
  <si>
    <t>Kristian Santillan</t>
  </si>
  <si>
    <t>Ishmael Penny</t>
  </si>
  <si>
    <t>Vladimir Leach</t>
  </si>
  <si>
    <t>Nolan Foote</t>
  </si>
  <si>
    <t>Dameon Seymour</t>
  </si>
  <si>
    <t>Tayler Argueta</t>
  </si>
  <si>
    <t>Joey Merrick</t>
  </si>
  <si>
    <t>Bryon Halverson</t>
  </si>
  <si>
    <t>Asher Whitson</t>
  </si>
  <si>
    <t>Nasir Healey</t>
  </si>
  <si>
    <t>Layton Gibson</t>
  </si>
  <si>
    <t>Rico McKinnon</t>
  </si>
  <si>
    <t>Roy Pauley</t>
  </si>
  <si>
    <t>Marquise Caruso</t>
  </si>
  <si>
    <t>Duncan Cathey</t>
  </si>
  <si>
    <t>Lawrence Heller</t>
  </si>
  <si>
    <t>Ian Boothe</t>
  </si>
  <si>
    <t>Aman Waddell</t>
  </si>
  <si>
    <t>Xavier Doherty</t>
  </si>
  <si>
    <t>Kyron Kirby</t>
  </si>
  <si>
    <t>Savion Dodd</t>
  </si>
  <si>
    <t>Jamir Chang</t>
  </si>
  <si>
    <t>Jacques Mohr</t>
  </si>
  <si>
    <t>Robert Huggins</t>
  </si>
  <si>
    <t>Romeo McMahan</t>
  </si>
  <si>
    <t>Nikolas Gipson</t>
  </si>
  <si>
    <t>Arthur Brandenburg</t>
  </si>
  <si>
    <t>Trinity Elliott</t>
  </si>
  <si>
    <t>Alonso Gustafson</t>
  </si>
  <si>
    <t>Reginald Lyons</t>
  </si>
  <si>
    <t>Will Stamper</t>
  </si>
  <si>
    <t>Jaiden Jacob</t>
  </si>
  <si>
    <t>Estevan Trahan</t>
  </si>
  <si>
    <t>Montana Fredrickson</t>
  </si>
  <si>
    <t>Kory Saucedo</t>
  </si>
  <si>
    <t>Zechariah Bock</t>
  </si>
  <si>
    <t>Esteban Westfall</t>
  </si>
  <si>
    <t>Nasir Rosado</t>
  </si>
  <si>
    <t>Harris Wilcox</t>
  </si>
  <si>
    <t>Maximilian Dickens</t>
  </si>
  <si>
    <t>Alejandro Goad</t>
  </si>
  <si>
    <t>Colby Byrd</t>
  </si>
  <si>
    <t>Christian Renner</t>
  </si>
  <si>
    <t>Maximiliano Blankenship</t>
  </si>
  <si>
    <t>Kobi Feliciano</t>
  </si>
  <si>
    <t>Ryley Sorensen</t>
  </si>
  <si>
    <t>Roy Halstead</t>
  </si>
  <si>
    <t>Hector Goble</t>
  </si>
  <si>
    <t>Dustyn Abney</t>
  </si>
  <si>
    <t>Ray Alcantar</t>
  </si>
  <si>
    <t>Ivan Coffman</t>
  </si>
  <si>
    <t>Peyton Jensen</t>
  </si>
  <si>
    <t>Raphael Crouch</t>
  </si>
  <si>
    <t>Isai Ibrahim</t>
  </si>
  <si>
    <t>Ruben Lenz</t>
  </si>
  <si>
    <t>Cody Molina</t>
  </si>
  <si>
    <t>Herbert Bueno</t>
  </si>
  <si>
    <t>Reilly Gunter</t>
  </si>
  <si>
    <t>Nicolas Thompson</t>
  </si>
  <si>
    <t>Edgar Hooper</t>
  </si>
  <si>
    <t>Chaz Delossantos</t>
  </si>
  <si>
    <t>Tracy Larsen</t>
  </si>
  <si>
    <t>Camden Leary</t>
  </si>
  <si>
    <t>Glenn Reece</t>
  </si>
  <si>
    <t>Trace Epstein</t>
  </si>
  <si>
    <t>Giancarlo Baron</t>
  </si>
  <si>
    <t>Kendrick Haley</t>
  </si>
  <si>
    <t>Brett Bittner</t>
  </si>
  <si>
    <t>Tavian Lang</t>
  </si>
  <si>
    <t>Colt Heck</t>
  </si>
  <si>
    <t>Jonas Saldana</t>
  </si>
  <si>
    <t>Dakoda Morales</t>
  </si>
  <si>
    <t>Jamir Proctor</t>
  </si>
  <si>
    <t>Trevin Mauldin</t>
  </si>
  <si>
    <t>Darrell Franklin</t>
  </si>
  <si>
    <t>Ervin Pullen</t>
  </si>
  <si>
    <t>Allen Gibbs</t>
  </si>
  <si>
    <t>Eric Linder</t>
  </si>
  <si>
    <t>Devonta Glynn</t>
  </si>
  <si>
    <t>Sydney Parra</t>
  </si>
  <si>
    <t>Seth Irizarry</t>
  </si>
  <si>
    <t>Jade Patten</t>
  </si>
  <si>
    <t>Jaden Lentz</t>
  </si>
  <si>
    <t>Jonathan Vest</t>
  </si>
  <si>
    <t>Jadyn Amador</t>
  </si>
  <si>
    <t>Deion Palma</t>
  </si>
  <si>
    <t>Kenny Ragsdale</t>
  </si>
  <si>
    <t>Kenneth Womack</t>
  </si>
  <si>
    <t>Oscar Hennessy</t>
  </si>
  <si>
    <t>Preston Waldrop</t>
  </si>
  <si>
    <t>Jamie Beard</t>
  </si>
  <si>
    <t>Mekhi Conway</t>
  </si>
  <si>
    <t>Salvador Cleveland</t>
  </si>
  <si>
    <t>Yousef Quezada</t>
  </si>
  <si>
    <t>Cristian Walls</t>
  </si>
  <si>
    <t>Terence Stoltzfus</t>
  </si>
  <si>
    <t>Myles Trent</t>
  </si>
  <si>
    <t>Vance Lindley</t>
  </si>
  <si>
    <t>Quinton Peters</t>
  </si>
  <si>
    <t>Dustin Gresham</t>
  </si>
  <si>
    <t>Emanuel Delong</t>
  </si>
  <si>
    <t>Carl Layton</t>
  </si>
  <si>
    <t>Adrian Rivers</t>
  </si>
  <si>
    <t>Brant Mount</t>
  </si>
  <si>
    <t>Jaiden Starkey</t>
  </si>
  <si>
    <t>Patrick Toth</t>
  </si>
  <si>
    <t>Jesus Estes</t>
  </si>
  <si>
    <t>Jaden Sowers</t>
  </si>
  <si>
    <t>Turner Peralta</t>
  </si>
  <si>
    <t>Kristofer McClendon</t>
  </si>
  <si>
    <t>Pedro Littleton</t>
  </si>
  <si>
    <t>Damion Matson</t>
  </si>
  <si>
    <t>Richard Buckley</t>
  </si>
  <si>
    <t>Jaylan Compton</t>
  </si>
  <si>
    <t>Curtis Faulk</t>
  </si>
  <si>
    <t>Luciano Pauley</t>
  </si>
  <si>
    <t>Francesco Wylie</t>
  </si>
  <si>
    <t>Freddie Coe</t>
  </si>
  <si>
    <t>Dejuan Caldwell</t>
  </si>
  <si>
    <t>Sterling Matheny</t>
  </si>
  <si>
    <t>Immanuel Gresham</t>
  </si>
  <si>
    <t>Anders Barker</t>
  </si>
  <si>
    <t>Dustyn Heller</t>
  </si>
  <si>
    <t>Devon Rudolph</t>
  </si>
  <si>
    <t>Brennen Allard</t>
  </si>
  <si>
    <t>Kieran Hershberger</t>
  </si>
  <si>
    <t>Mohammed Creech</t>
  </si>
  <si>
    <t>Jerrod Mohr</t>
  </si>
  <si>
    <t>Braiden Stringer</t>
  </si>
  <si>
    <t>Kareem Galvez</t>
  </si>
  <si>
    <t>Frank Sandlin</t>
  </si>
  <si>
    <t>Dyllan Huynh</t>
  </si>
  <si>
    <t>Darion Cardenas</t>
  </si>
  <si>
    <t>Demetrius Cooper</t>
  </si>
  <si>
    <t>Mauricio Kaiser</t>
  </si>
  <si>
    <t>Santos Voss</t>
  </si>
  <si>
    <t>Korey Pickens</t>
  </si>
  <si>
    <t>Dorien Sheldon</t>
  </si>
  <si>
    <t>Roland Ruiz</t>
  </si>
  <si>
    <t>Dale Osullivan</t>
  </si>
  <si>
    <t>Donald Concepcion</t>
  </si>
  <si>
    <t>Ramon Brink</t>
  </si>
  <si>
    <t>Killian Dubose</t>
  </si>
  <si>
    <t>Harry Rios</t>
  </si>
  <si>
    <t>Kenny Mercer</t>
  </si>
  <si>
    <t>Brice Nunley</t>
  </si>
  <si>
    <t>Trevor Nielson</t>
  </si>
  <si>
    <t>Syed Gamboa</t>
  </si>
  <si>
    <t>Daniel Wills</t>
  </si>
  <si>
    <t>Jajuan Suarez</t>
  </si>
  <si>
    <t>Noah Maxwell</t>
  </si>
  <si>
    <t>Rohan Montero</t>
  </si>
  <si>
    <t>Jeremiah Holcomb</t>
  </si>
  <si>
    <t>Zayne Barnard</t>
  </si>
  <si>
    <t>Dominik Farrar</t>
  </si>
  <si>
    <t>Dejuan Edmonds</t>
  </si>
  <si>
    <t>Allen Kurtz</t>
  </si>
  <si>
    <t>Leland Haines</t>
  </si>
  <si>
    <t>Reece Quintanilla</t>
  </si>
  <si>
    <t>Auston Talley</t>
  </si>
  <si>
    <t>Keaton Grigsby</t>
  </si>
  <si>
    <t>Mauricio Ziegler</t>
  </si>
  <si>
    <t>Jerome Villareal</t>
  </si>
  <si>
    <t>Darien Madden</t>
  </si>
  <si>
    <t>Keith Edmondson</t>
  </si>
  <si>
    <t>Leon Wertz</t>
  </si>
  <si>
    <t>Maxim Rendon</t>
  </si>
  <si>
    <t>Weston Crook</t>
  </si>
  <si>
    <t>Bailey James</t>
  </si>
  <si>
    <t>Darrion Leggett</t>
  </si>
  <si>
    <t>River Burkett</t>
  </si>
  <si>
    <t>Gonzalo Bowser</t>
  </si>
  <si>
    <t>Keyshawn Cason</t>
  </si>
  <si>
    <t>Nathanael Dill</t>
  </si>
  <si>
    <t>Cedrick Valadez</t>
  </si>
  <si>
    <t>Scott Adame</t>
  </si>
  <si>
    <t>Darien Wolfe</t>
  </si>
  <si>
    <t>Samir Stubbs</t>
  </si>
  <si>
    <t>Edgar Richardson</t>
  </si>
  <si>
    <t>Israel Casper</t>
  </si>
  <si>
    <t>Abdul Mercer</t>
  </si>
  <si>
    <t>Philip Feliciano</t>
  </si>
  <si>
    <t>Tyshawn Stanford</t>
  </si>
  <si>
    <t>Vince Harrow</t>
  </si>
  <si>
    <t>Giovanni Pantoja</t>
  </si>
  <si>
    <t>Francis Valencia</t>
  </si>
  <si>
    <t>Earl Winstead</t>
  </si>
  <si>
    <t>Elvin Ahrens</t>
  </si>
  <si>
    <t>Nikolas Swartz</t>
  </si>
  <si>
    <t>Matthew Mast</t>
  </si>
  <si>
    <t>Prince Denton</t>
  </si>
  <si>
    <t>Quintin Beal</t>
  </si>
  <si>
    <t>Jaret Ruiz</t>
  </si>
  <si>
    <t>Jonathan Burleson</t>
  </si>
  <si>
    <t>Clint Foreman</t>
  </si>
  <si>
    <t>Brady Cano</t>
  </si>
  <si>
    <t>Semaj Marquardt</t>
  </si>
  <si>
    <t>Lloyd Lee</t>
  </si>
  <si>
    <t>Corey Peck</t>
  </si>
  <si>
    <t>Heriberto Murrell</t>
  </si>
  <si>
    <t>Keyon Spann</t>
  </si>
  <si>
    <t>Elvis Coffman</t>
  </si>
  <si>
    <t>Reilly Kish</t>
  </si>
  <si>
    <t>Jared Conley</t>
  </si>
  <si>
    <t>Drake Webb</t>
  </si>
  <si>
    <t>Nicholas Seifert</t>
  </si>
  <si>
    <t>Dameon Holland</t>
  </si>
  <si>
    <t>Adolfo Corrales</t>
  </si>
  <si>
    <t>Bobby Bowden</t>
  </si>
  <si>
    <t>Infant Moore</t>
  </si>
  <si>
    <t>Jalil Ainsworth</t>
  </si>
  <si>
    <t>Alonzo Selby</t>
  </si>
  <si>
    <t>Pedro Terrell</t>
  </si>
  <si>
    <t>Arnold Clarkson</t>
  </si>
  <si>
    <t>Everett Moua</t>
  </si>
  <si>
    <t>Enoch Staton</t>
  </si>
  <si>
    <t>Simon Irizarry</t>
  </si>
  <si>
    <t>Casey Davies</t>
  </si>
  <si>
    <t>Talon Couture</t>
  </si>
  <si>
    <t>Osvaldo Showalter</t>
  </si>
  <si>
    <t>Raul Rowell</t>
  </si>
  <si>
    <t>Varun Pinkerton</t>
  </si>
  <si>
    <t>Samson Gifford</t>
  </si>
  <si>
    <t>Jevon Foust</t>
  </si>
  <si>
    <t>Anderson Cohen</t>
  </si>
  <si>
    <t>Dylon Campos</t>
  </si>
  <si>
    <t>Pierce Ngo</t>
  </si>
  <si>
    <t>Rahul Overton</t>
  </si>
  <si>
    <t>Blaise Cummins</t>
  </si>
  <si>
    <t>Jordyn Martino</t>
  </si>
  <si>
    <t>Aldo Chisholm</t>
  </si>
  <si>
    <t>Lucas Romano</t>
  </si>
  <si>
    <t>Jevon McGuire</t>
  </si>
  <si>
    <t>Harley Handley</t>
  </si>
  <si>
    <t>Luther Reaves</t>
  </si>
  <si>
    <t>Harley Christiansen</t>
  </si>
  <si>
    <t>Tevin Westmoreland</t>
  </si>
  <si>
    <t>Milton Slade</t>
  </si>
  <si>
    <t>Terrence Ramsey</t>
  </si>
  <si>
    <t>Valentin John</t>
  </si>
  <si>
    <t>Hudson Arevalo</t>
  </si>
  <si>
    <t>Alexandre Barth</t>
  </si>
  <si>
    <t>Oswaldo Kiefer</t>
  </si>
  <si>
    <t>Oswaldo Lo</t>
  </si>
  <si>
    <t>Larry Scruggs</t>
  </si>
  <si>
    <t>Damian Cohen</t>
  </si>
  <si>
    <t>Elian Currier</t>
  </si>
  <si>
    <t>Giovani Gall</t>
  </si>
  <si>
    <t>Mckinley Colley</t>
  </si>
  <si>
    <t>Clint Marvin</t>
  </si>
  <si>
    <t>Carlo Archer</t>
  </si>
  <si>
    <t>James Phelps</t>
  </si>
  <si>
    <t>Derick Wheaton</t>
  </si>
  <si>
    <t>Menachem Munoz</t>
  </si>
  <si>
    <t>Garret Fontaine</t>
  </si>
  <si>
    <t>Brody VanHorn</t>
  </si>
  <si>
    <t>Jace Link</t>
  </si>
  <si>
    <t>Franklin Mull</t>
  </si>
  <si>
    <t>Kasey Rossi</t>
  </si>
  <si>
    <t>Ramiro Reinhardt</t>
  </si>
  <si>
    <t>Devon Botello</t>
  </si>
  <si>
    <t>Cruz Deloach</t>
  </si>
  <si>
    <t>Damian Bills</t>
  </si>
  <si>
    <t>Wade Jeffers</t>
  </si>
  <si>
    <t>Stewart Kirchner</t>
  </si>
  <si>
    <t>Paul Knott</t>
  </si>
  <si>
    <t>Cain Driscoll</t>
  </si>
  <si>
    <t>Bridger Coyne</t>
  </si>
  <si>
    <t>Kurtis Scholl</t>
  </si>
  <si>
    <t>Jacoby Mack</t>
  </si>
  <si>
    <t>Ramiro Hammond</t>
  </si>
  <si>
    <t>Denver Bender</t>
  </si>
  <si>
    <t>Claudio Santoro</t>
  </si>
  <si>
    <t>Isaak Hutcheson</t>
  </si>
  <si>
    <t>Sergio Liu</t>
  </si>
  <si>
    <t>Kobi Houghton</t>
  </si>
  <si>
    <t>Savion Witt</t>
  </si>
  <si>
    <t>Nicholas Hofmann</t>
  </si>
  <si>
    <t>Armando Webber</t>
  </si>
  <si>
    <t>Damian Hiller</t>
  </si>
  <si>
    <t>Carson Skidmore</t>
  </si>
  <si>
    <t>Beau Rich</t>
  </si>
  <si>
    <t>Deontae Mcalister</t>
  </si>
  <si>
    <t>Javier Abrams</t>
  </si>
  <si>
    <t>Alexzander Dykes</t>
  </si>
  <si>
    <t>Jerimiah Phelan</t>
  </si>
  <si>
    <t>Clay Deluca</t>
  </si>
  <si>
    <t>Emilio Hammons</t>
  </si>
  <si>
    <t>Gaige Salter</t>
  </si>
  <si>
    <t>Nikolas Dill</t>
  </si>
  <si>
    <t>Gianni Peace</t>
  </si>
  <si>
    <t>Ulises Kincaid</t>
  </si>
  <si>
    <t>Brennon Goetz</t>
  </si>
  <si>
    <t>Donnell Lunsford</t>
  </si>
  <si>
    <t>Gregorio Paige</t>
  </si>
  <si>
    <t>Aldo Dupree</t>
  </si>
  <si>
    <t>Cesar Quezada</t>
  </si>
  <si>
    <t>Jadyn Franks</t>
  </si>
  <si>
    <t>Devan Cobb</t>
  </si>
  <si>
    <t>Edward Meador</t>
  </si>
  <si>
    <t>Raheem Heard</t>
  </si>
  <si>
    <t>Casey Alicea</t>
  </si>
  <si>
    <t>Bruce Patino</t>
  </si>
  <si>
    <t>Denzel Radford</t>
  </si>
  <si>
    <t>Malcolm Garvin</t>
  </si>
  <si>
    <t>Steve Brower</t>
  </si>
  <si>
    <t>Morris Boudreau</t>
  </si>
  <si>
    <t>Joan Duffy</t>
  </si>
  <si>
    <t>Deion Ralston</t>
  </si>
  <si>
    <t>Zachery Aguilar</t>
  </si>
  <si>
    <t>Julio Crist</t>
  </si>
  <si>
    <t>Ryan Rutherford</t>
  </si>
  <si>
    <t>Theron Pyle</t>
  </si>
  <si>
    <t>Genaro Benton</t>
  </si>
  <si>
    <t>Salvador Scales</t>
  </si>
  <si>
    <t>Alijah Massie</t>
  </si>
  <si>
    <t>August Stover</t>
  </si>
  <si>
    <t>Jeffrey Dunaway</t>
  </si>
  <si>
    <t>Giancarlo Peters</t>
  </si>
  <si>
    <t>Matteo Somers</t>
  </si>
  <si>
    <t>Vincent Kaur</t>
  </si>
  <si>
    <t>Howard Meador</t>
  </si>
  <si>
    <t>Cecil Roe</t>
  </si>
  <si>
    <t>Hamza Clifton</t>
  </si>
  <si>
    <t>Elmer Burney</t>
  </si>
  <si>
    <t>Destin Mayhew</t>
  </si>
  <si>
    <t>Abdul Wray</t>
  </si>
  <si>
    <t>Abdul Enriquez</t>
  </si>
  <si>
    <t>Rashawn Palumbo</t>
  </si>
  <si>
    <t>Ahmed Chavez</t>
  </si>
  <si>
    <t>Zack Akins</t>
  </si>
  <si>
    <t>Marcelo Lake</t>
  </si>
  <si>
    <t>Manuel Dunaway</t>
  </si>
  <si>
    <t>Marcellus Maciel</t>
  </si>
  <si>
    <t>Jovanni Bender</t>
  </si>
  <si>
    <t>Tre Bowling</t>
  </si>
  <si>
    <t>Zavier McCutcheon</t>
  </si>
  <si>
    <t>Ulysses Barnard</t>
  </si>
  <si>
    <t>Camden Burley</t>
  </si>
  <si>
    <t>Kobe Lange</t>
  </si>
  <si>
    <t>Sincere Hoke</t>
  </si>
  <si>
    <t>Elian Levine</t>
  </si>
  <si>
    <t>Trey Haddad</t>
  </si>
  <si>
    <t>Vincenzo Clifton</t>
  </si>
  <si>
    <t>Taylor Dubois</t>
  </si>
  <si>
    <t>Shamar Black</t>
  </si>
  <si>
    <t>Santiago Leger</t>
  </si>
  <si>
    <t>Jamal Jerome</t>
  </si>
  <si>
    <t>Ryan Daniel</t>
  </si>
  <si>
    <t>Frankie Carpenter</t>
  </si>
  <si>
    <t>Stuart Schuster</t>
  </si>
  <si>
    <t>Infant Keen</t>
  </si>
  <si>
    <t>Kenan Cornelius</t>
  </si>
  <si>
    <t>Aron Strand</t>
  </si>
  <si>
    <t>Roberto Loveless</t>
  </si>
  <si>
    <t>Markell Ernst</t>
  </si>
  <si>
    <t>Colton Whitfield</t>
  </si>
  <si>
    <t>Kyler Bishop</t>
  </si>
  <si>
    <t>Camron Hathaway</t>
  </si>
  <si>
    <t>Konnor Shifflett</t>
  </si>
  <si>
    <t>Maximilian Ross</t>
  </si>
  <si>
    <t>Savion Dillon</t>
  </si>
  <si>
    <t>Darrin McCutcheon</t>
  </si>
  <si>
    <t>Lane Bader</t>
  </si>
  <si>
    <t>Damon Cordell</t>
  </si>
  <si>
    <t>Terrance Carrier</t>
  </si>
  <si>
    <t>Esteban Colley</t>
  </si>
  <si>
    <t>Joseluis Smalley</t>
  </si>
  <si>
    <t>Daryl Stratton</t>
  </si>
  <si>
    <t>Marcello Slagle</t>
  </si>
  <si>
    <t>Hassan Beckham</t>
  </si>
  <si>
    <t>Levi Daigle</t>
  </si>
  <si>
    <t>Neil Ransom</t>
  </si>
  <si>
    <t>Jovani Epperson</t>
  </si>
  <si>
    <t>Harris Botello</t>
  </si>
  <si>
    <t>Gianni Wells</t>
  </si>
  <si>
    <t>Bryon Szymanski</t>
  </si>
  <si>
    <t>Cedric Forster</t>
  </si>
  <si>
    <t>Pierce Arce</t>
  </si>
  <si>
    <t>Erich Hyatt</t>
  </si>
  <si>
    <t>Giovanni Lu</t>
  </si>
  <si>
    <t>Bryant Keyes</t>
  </si>
  <si>
    <t>Taj Bower</t>
  </si>
  <si>
    <t>Johnny Faulkner</t>
  </si>
  <si>
    <t>Mackenzie Chamberlin</t>
  </si>
  <si>
    <t>Tobias Fairchild</t>
  </si>
  <si>
    <t>Clint Looney</t>
  </si>
  <si>
    <t>Cordell Crutchfield</t>
  </si>
  <si>
    <t>Aubrey Raymond</t>
  </si>
  <si>
    <t>Marcus Mahan</t>
  </si>
  <si>
    <t>Simon Stevens</t>
  </si>
  <si>
    <t>Lawson Worthy</t>
  </si>
  <si>
    <t>Luis Childs</t>
  </si>
  <si>
    <t>Jerome Seal</t>
  </si>
  <si>
    <t>Jackie Burgess</t>
  </si>
  <si>
    <t>Tucker Pereira</t>
  </si>
  <si>
    <t>Ruben Christenson</t>
  </si>
  <si>
    <t>Cory Drake</t>
  </si>
  <si>
    <t>Holden Rossi</t>
  </si>
  <si>
    <t>Stetson Doty</t>
  </si>
  <si>
    <t>Kobi Skelton</t>
  </si>
  <si>
    <t>Corbin Vest</t>
  </si>
  <si>
    <t>Giovanni Hook</t>
  </si>
  <si>
    <t>Jalin Orellana</t>
  </si>
  <si>
    <t>Franco Redding</t>
  </si>
  <si>
    <t>Jerimiah Bonds</t>
  </si>
  <si>
    <t>Clarence Randall</t>
  </si>
  <si>
    <t>Marcel Duckworth</t>
  </si>
  <si>
    <t>Miguel Patel</t>
  </si>
  <si>
    <t>Jayvon Olvera</t>
  </si>
  <si>
    <t>Bryant Robinette</t>
  </si>
  <si>
    <t>Tavian Magee</t>
  </si>
  <si>
    <t>Shamar Ornelas</t>
  </si>
  <si>
    <t>Simeon Odom</t>
  </si>
  <si>
    <t>Quintin McCurdy</t>
  </si>
  <si>
    <t>Bronson Broome</t>
  </si>
  <si>
    <t>Willie Fine</t>
  </si>
  <si>
    <t>Fidel Hoke</t>
  </si>
  <si>
    <t>Marques Flynn</t>
  </si>
  <si>
    <t>Lawrence Thomson</t>
  </si>
  <si>
    <t>Kelly Coley</t>
  </si>
  <si>
    <t>Jadon Magee</t>
  </si>
  <si>
    <t>Diego Farrell</t>
  </si>
  <si>
    <t>Rickey Bohn</t>
  </si>
  <si>
    <t>Devonta Hilliard</t>
  </si>
  <si>
    <t>Ryland Garay</t>
  </si>
  <si>
    <t>Kristopher Gunn</t>
  </si>
  <si>
    <t>Zakary Durbin</t>
  </si>
  <si>
    <t>Dominique Cowan</t>
  </si>
  <si>
    <t>Corey Dunn</t>
  </si>
  <si>
    <t>Daryl Sowers</t>
  </si>
  <si>
    <t>River Tisdale</t>
  </si>
  <si>
    <t>Leslie Orozco</t>
  </si>
  <si>
    <t>Vladimir Andre</t>
  </si>
  <si>
    <t>Craig Chapin</t>
  </si>
  <si>
    <t>Rocky Bowens</t>
  </si>
  <si>
    <t>Keyshawn Posey</t>
  </si>
  <si>
    <t>Jonah Skaggs</t>
  </si>
  <si>
    <t>Jerimiah Milner</t>
  </si>
  <si>
    <t>Orlando Erb</t>
  </si>
  <si>
    <t>Cayden Donahue</t>
  </si>
  <si>
    <t>Trenton Mills</t>
  </si>
  <si>
    <t>Cooper Whitlock</t>
  </si>
  <si>
    <t>Muhammad Beck</t>
  </si>
  <si>
    <t>Louie Kessler</t>
  </si>
  <si>
    <t>Justus Ewing</t>
  </si>
  <si>
    <t>Gregory Broughton</t>
  </si>
  <si>
    <t>Montana Greenberg</t>
  </si>
  <si>
    <t>Aiden Baca</t>
  </si>
  <si>
    <t>Zackary Moseley</t>
  </si>
  <si>
    <t>Marquis Puente</t>
  </si>
  <si>
    <t>Rigoberto Burrows</t>
  </si>
  <si>
    <t>Cooper Morris</t>
  </si>
  <si>
    <t>Frederick Arevalo</t>
  </si>
  <si>
    <t>Harley Mooney</t>
  </si>
  <si>
    <t>Orion Parish</t>
  </si>
  <si>
    <t>Ervin Lanham</t>
  </si>
  <si>
    <t>Johnson Hair</t>
  </si>
  <si>
    <t>Brice Mills</t>
  </si>
  <si>
    <t>Justin Perdue</t>
  </si>
  <si>
    <t>Blaze Gann</t>
  </si>
  <si>
    <t>Sabastian Cheatham</t>
  </si>
  <si>
    <t>Nathen Hirsch</t>
  </si>
  <si>
    <t>Pablo Allan</t>
  </si>
  <si>
    <t>Allan Marquardt</t>
  </si>
  <si>
    <t>Raven Hendrickson</t>
  </si>
  <si>
    <t>Andy Cassidy</t>
  </si>
  <si>
    <t>Cameron Malik</t>
  </si>
  <si>
    <t>Nicklaus Barber</t>
  </si>
  <si>
    <t>Desmond Webb</t>
  </si>
  <si>
    <t>Deante Slocum</t>
  </si>
  <si>
    <t>Devonta Peterman</t>
  </si>
  <si>
    <t>Jaxson Petersen</t>
  </si>
  <si>
    <t>Korey Casteel</t>
  </si>
  <si>
    <t>Luiz Villalobos</t>
  </si>
  <si>
    <t>London Parkinson</t>
  </si>
  <si>
    <t>Efren Abernathy</t>
  </si>
  <si>
    <t>Blair Crespo</t>
  </si>
  <si>
    <t>Danny Bourne</t>
  </si>
  <si>
    <t>Deion Harp</t>
  </si>
  <si>
    <t>Demetrius Sousa</t>
  </si>
  <si>
    <t>Deondre Hayward</t>
  </si>
  <si>
    <t>Shane Pedraza</t>
  </si>
  <si>
    <t>Remington High</t>
  </si>
  <si>
    <t>Xander Ogle</t>
  </si>
  <si>
    <t>Draven Blankenship</t>
  </si>
  <si>
    <t>Arron Forman</t>
  </si>
  <si>
    <t>Kamron Lo</t>
  </si>
  <si>
    <t>Colt Cottrell</t>
  </si>
  <si>
    <t>Dwight Winchester</t>
  </si>
  <si>
    <t>Noah Ratliff</t>
  </si>
  <si>
    <t>Elvin Aragon</t>
  </si>
  <si>
    <t>Tye Martz</t>
  </si>
  <si>
    <t>Irving Ferrara</t>
  </si>
  <si>
    <t>Kadin Worden</t>
  </si>
  <si>
    <t>Gage Osorio</t>
  </si>
  <si>
    <t>Reuben Dean</t>
  </si>
  <si>
    <t>Vladimir Hennessy</t>
  </si>
  <si>
    <t>Randolph Jauregui</t>
  </si>
  <si>
    <t>Amir Maas</t>
  </si>
  <si>
    <t>Alijah Daugherty</t>
  </si>
  <si>
    <t>Eliezer Burton</t>
  </si>
  <si>
    <t>Terrell Bloom</t>
  </si>
  <si>
    <t>Moshe Steen</t>
  </si>
  <si>
    <t>Sergio Gilbert</t>
  </si>
  <si>
    <t>Avery Covington</t>
  </si>
  <si>
    <t>Shane Waldron</t>
  </si>
  <si>
    <t>Nevin Siegel</t>
  </si>
  <si>
    <t>Armani Wakefield</t>
  </si>
  <si>
    <t>Mateo Mena</t>
  </si>
  <si>
    <t>Marcelo Royer</t>
  </si>
  <si>
    <t>Denver Mackenzie</t>
  </si>
  <si>
    <t>Mohamed Stevens</t>
  </si>
  <si>
    <t>Desean Strauss</t>
  </si>
  <si>
    <t>Gilberto Heinrich</t>
  </si>
  <si>
    <t>Omari Vance</t>
  </si>
  <si>
    <t>Bruce Lange</t>
  </si>
  <si>
    <t>Felix Beaulieu</t>
  </si>
  <si>
    <t>Jesus Rossi</t>
  </si>
  <si>
    <t>Ari Persaud</t>
  </si>
  <si>
    <t>Theo Wyatt</t>
  </si>
  <si>
    <t>Damon Demarco</t>
  </si>
  <si>
    <t>Lance Bond</t>
  </si>
  <si>
    <t>Michael Leggett</t>
  </si>
  <si>
    <t>Elias Friend</t>
  </si>
  <si>
    <t>Neil Knoll</t>
  </si>
  <si>
    <t>Kade Tan</t>
  </si>
  <si>
    <t>Kent Hunter</t>
  </si>
  <si>
    <t>Ali Valles</t>
  </si>
  <si>
    <t>Cyrus Santiago</t>
  </si>
  <si>
    <t>Bennett McLain</t>
  </si>
  <si>
    <t>Terrance Helms</t>
  </si>
  <si>
    <t>Clayton Doyle</t>
  </si>
  <si>
    <t>Dameon McQueen</t>
  </si>
  <si>
    <t>Dusty Atwood</t>
  </si>
  <si>
    <t>Jeffrey Paxton</t>
  </si>
  <si>
    <t>Lorenzo Tavares</t>
  </si>
  <si>
    <t>Arron Dutton</t>
  </si>
  <si>
    <t>Dallin Clancy</t>
  </si>
  <si>
    <t>Alec Pollard</t>
  </si>
  <si>
    <t>Quinlan Sneed</t>
  </si>
  <si>
    <t>Lloyd Dawson</t>
  </si>
  <si>
    <t>Francisco Segura</t>
  </si>
  <si>
    <t>Rasheed McLain</t>
  </si>
  <si>
    <t>Dakota Lyon</t>
  </si>
  <si>
    <t>Michael Wallace</t>
  </si>
  <si>
    <t>Shayne Keller</t>
  </si>
  <si>
    <t>Travis Moreno</t>
  </si>
  <si>
    <t>Kirk Barnhill</t>
  </si>
  <si>
    <t>Mohammed Chandler</t>
  </si>
  <si>
    <t>Houston Clay</t>
  </si>
  <si>
    <t>Byron Nieves</t>
  </si>
  <si>
    <t>Nehemiah Muniz</t>
  </si>
  <si>
    <t>Ronald Gilbertson</t>
  </si>
  <si>
    <t>Louie Diehl</t>
  </si>
  <si>
    <t>Blaine Salisbury</t>
  </si>
  <si>
    <t>Jerrod Woodruff</t>
  </si>
  <si>
    <t>Zechariah Bentley</t>
  </si>
  <si>
    <t>Dylon Steward</t>
  </si>
  <si>
    <t>Daron Gresham</t>
  </si>
  <si>
    <t>Porter Flanders</t>
  </si>
  <si>
    <t>Rasheed Coulter</t>
  </si>
  <si>
    <t>Rico Thomas</t>
  </si>
  <si>
    <t>Courtney Sharpe</t>
  </si>
  <si>
    <t>Brycen Creel</t>
  </si>
  <si>
    <t>Long Pugh</t>
  </si>
  <si>
    <t>Trinity Shoemaker</t>
  </si>
  <si>
    <t>Jerod Volk</t>
  </si>
  <si>
    <t>Julio Weiss</t>
  </si>
  <si>
    <t>Maverick Belt</t>
  </si>
  <si>
    <t>Kian Newkirk</t>
  </si>
  <si>
    <t>Rhett Connolly</t>
  </si>
  <si>
    <t>Trevon Wiese</t>
  </si>
  <si>
    <t>Reilly Whitley</t>
  </si>
  <si>
    <t>Jensen Draper</t>
  </si>
  <si>
    <t>Philip Ennis</t>
  </si>
  <si>
    <t>Moses Benavides</t>
  </si>
  <si>
    <t>Simon McAdams</t>
  </si>
  <si>
    <t>Alfredo Clancy</t>
  </si>
  <si>
    <t>Mario Johnson</t>
  </si>
  <si>
    <t>Duane Wilburn</t>
  </si>
  <si>
    <t>Brannon Noonan</t>
  </si>
  <si>
    <t>Howard Crisp</t>
  </si>
  <si>
    <t>Marques Castellanos</t>
  </si>
  <si>
    <t>Prince Arevalo</t>
  </si>
  <si>
    <t>Alex McClelland</t>
  </si>
  <si>
    <t>Jakob Logan</t>
  </si>
  <si>
    <t>Moshe Kinder</t>
  </si>
  <si>
    <t>Wilfredo Dobbs</t>
  </si>
  <si>
    <t>Victor Galindo</t>
  </si>
  <si>
    <t>Nico Beckwith</t>
  </si>
  <si>
    <t>Jaron Burge</t>
  </si>
  <si>
    <t>Donald Vaught</t>
  </si>
  <si>
    <t>Jan Nielsen</t>
  </si>
  <si>
    <t>Keenan Sutter</t>
  </si>
  <si>
    <t>Carlo Keener</t>
  </si>
  <si>
    <t>Nolan Roby</t>
  </si>
  <si>
    <t>Jarret Boyce</t>
  </si>
  <si>
    <t>Keshon Hemphill</t>
  </si>
  <si>
    <t>Ishmael Rowell</t>
  </si>
  <si>
    <t>Ronnie Horton</t>
  </si>
  <si>
    <t>Brett Michael</t>
  </si>
  <si>
    <t>Truman Neff</t>
  </si>
  <si>
    <t>Jamal Lau</t>
  </si>
  <si>
    <t>Rodolfo Parr</t>
  </si>
  <si>
    <t>Ben Benson</t>
  </si>
  <si>
    <t>Camryn Forte</t>
  </si>
  <si>
    <t>Waylon Ostrander</t>
  </si>
  <si>
    <t>Jaylin Waggoner</t>
  </si>
  <si>
    <t>Zaire Hare</t>
  </si>
  <si>
    <t>Dwayne Cormier</t>
  </si>
  <si>
    <t>Santos Maddox</t>
  </si>
  <si>
    <t>Juan Haugen</t>
  </si>
  <si>
    <t>Clyde Gaddis</t>
  </si>
  <si>
    <t>Elias Arteaga</t>
  </si>
  <si>
    <t>Cristian Grayson</t>
  </si>
  <si>
    <t>Jonatan Rapp</t>
  </si>
  <si>
    <t>Desean McNair</t>
  </si>
  <si>
    <t>Gino Worthy</t>
  </si>
  <si>
    <t>Hasan Ledbetter</t>
  </si>
  <si>
    <t>Guadalupe Shultz</t>
  </si>
  <si>
    <t>Cory Finn</t>
  </si>
  <si>
    <t>Bennett Donald</t>
  </si>
  <si>
    <t>Tyriq Crist</t>
  </si>
  <si>
    <t>Lionel Johansen</t>
  </si>
  <si>
    <t>Amir Whelan</t>
  </si>
  <si>
    <t>Quinn Bruno</t>
  </si>
  <si>
    <t>Franklin Bradshaw</t>
  </si>
  <si>
    <t>Brandon Olivas</t>
  </si>
  <si>
    <t>Kalen Carlson</t>
  </si>
  <si>
    <t>Jesse Neff</t>
  </si>
  <si>
    <t>Howard Aviles</t>
  </si>
  <si>
    <t>Orlando Owens</t>
  </si>
  <si>
    <t>Ari Werner</t>
  </si>
  <si>
    <t>Kenan Snow</t>
  </si>
  <si>
    <t>Quentin Todd</t>
  </si>
  <si>
    <t>Domenic Centeno</t>
  </si>
  <si>
    <t>Demond Pollack</t>
  </si>
  <si>
    <t>Stephan Ogle</t>
  </si>
  <si>
    <t>Desean Green</t>
  </si>
  <si>
    <t>Mateo Baldwin</t>
  </si>
  <si>
    <t>Hernan Hays</t>
  </si>
  <si>
    <t>Demarco Powers</t>
  </si>
  <si>
    <t>Dewayne Moriarty</t>
  </si>
  <si>
    <t>Arthur Vogel</t>
  </si>
  <si>
    <t>David Renner</t>
  </si>
  <si>
    <t>Keyon Ferrara</t>
  </si>
  <si>
    <t>Leighton Otoole</t>
  </si>
  <si>
    <t>Keshawn Mangum</t>
  </si>
  <si>
    <t>Conrad Osborn</t>
  </si>
  <si>
    <t>Mohammed Cantrell</t>
  </si>
  <si>
    <t>Dana Irvine</t>
  </si>
  <si>
    <t>Mariano Galvez</t>
  </si>
  <si>
    <t>August Havens</t>
  </si>
  <si>
    <t>Nick Calloway</t>
  </si>
  <si>
    <t>Theo Storey</t>
  </si>
  <si>
    <t>Cameron Amador</t>
  </si>
  <si>
    <t>Braulio Hutchison</t>
  </si>
  <si>
    <t>Hamza Moreland</t>
  </si>
  <si>
    <t>Rasheed Lanham</t>
  </si>
  <si>
    <t>Brenden Demers</t>
  </si>
  <si>
    <t>Ernesto Lyle</t>
  </si>
  <si>
    <t>Jamarcus Hanna</t>
  </si>
  <si>
    <t>Tyrek Webber</t>
  </si>
  <si>
    <t>Steve Witherspoon</t>
  </si>
  <si>
    <t>Adam Berg</t>
  </si>
  <si>
    <t>Lorenzo Peterman</t>
  </si>
  <si>
    <t>Mateo Farley</t>
  </si>
  <si>
    <t>Wesley Jeter</t>
  </si>
  <si>
    <t>Silas Lincoln</t>
  </si>
  <si>
    <t>Jaylen Back</t>
  </si>
  <si>
    <t>Lucas Rush</t>
  </si>
  <si>
    <t>London Nixon</t>
  </si>
  <si>
    <t>Mario Best</t>
  </si>
  <si>
    <t>Austyn Kauffman</t>
  </si>
  <si>
    <t>Brennen Whitfield</t>
  </si>
  <si>
    <t>Casey Mcghee</t>
  </si>
  <si>
    <t>Trystan Goebel</t>
  </si>
  <si>
    <t>Cameron Lowe</t>
  </si>
  <si>
    <t>Johnathon Switzer</t>
  </si>
  <si>
    <t>Porter Kohler</t>
  </si>
  <si>
    <t>Darian Logan</t>
  </si>
  <si>
    <t>Camden Maki</t>
  </si>
  <si>
    <t>Jamison Craig</t>
  </si>
  <si>
    <t>Riley Vail</t>
  </si>
  <si>
    <t>Trevor Jarvis</t>
  </si>
  <si>
    <t>Joey Shepard</t>
  </si>
  <si>
    <t>Brice Norman</t>
  </si>
  <si>
    <t>Ulysses Seeley</t>
  </si>
  <si>
    <t>Camryn Randall</t>
  </si>
  <si>
    <t>Jarrod Velasquez</t>
  </si>
  <si>
    <t>Johnnie Rivas</t>
  </si>
  <si>
    <t>Pablo Tovar</t>
  </si>
  <si>
    <t>Baylor Beltran</t>
  </si>
  <si>
    <t>Cody Gutierrez</t>
  </si>
  <si>
    <t>Dean Gilliam</t>
  </si>
  <si>
    <t>Briar DeJesus</t>
  </si>
  <si>
    <t>Ricardo Burks</t>
  </si>
  <si>
    <t>Dimitri Lusk</t>
  </si>
  <si>
    <t>Theodore Lovell</t>
  </si>
  <si>
    <t>Brenden Vo</t>
  </si>
  <si>
    <t>Jarett Rollins</t>
  </si>
  <si>
    <t>Ramsey Madden</t>
  </si>
  <si>
    <t>Raekwon Holley</t>
  </si>
  <si>
    <t>Rex Staley</t>
  </si>
  <si>
    <t>Ariel Taggart</t>
  </si>
  <si>
    <t>Rocco Schmitt</t>
  </si>
  <si>
    <t>Braedon Bobo</t>
  </si>
  <si>
    <t>Tristian Freeland</t>
  </si>
  <si>
    <t>Erick Roby</t>
  </si>
  <si>
    <t>Elmer Florence</t>
  </si>
  <si>
    <t>Mohammed Mixon</t>
  </si>
  <si>
    <t>Antwan Schott</t>
  </si>
  <si>
    <t>Vance Bianco</t>
  </si>
  <si>
    <t>Franklin McCloskey</t>
  </si>
  <si>
    <t>Reese Sims</t>
  </si>
  <si>
    <t>Isaac Moses</t>
  </si>
  <si>
    <t>Luiz Avery</t>
  </si>
  <si>
    <t>Kristofer Cortes</t>
  </si>
  <si>
    <t>Byron Almanza</t>
  </si>
  <si>
    <t>Wilfredo Poirier</t>
  </si>
  <si>
    <t>Bryon Hyatt</t>
  </si>
  <si>
    <t>Kadin Quinones</t>
  </si>
  <si>
    <t>Jayvon Trinidad</t>
  </si>
  <si>
    <t>Koby Harvey</t>
  </si>
  <si>
    <t>Heath Pitt</t>
  </si>
  <si>
    <t>Jerod Parrish</t>
  </si>
  <si>
    <t>Dejuan Leach</t>
  </si>
  <si>
    <t>Tavon Tabor</t>
  </si>
  <si>
    <t>Jade Hamilton</t>
  </si>
  <si>
    <t>Tyshawn Brittain</t>
  </si>
  <si>
    <t>Wyatt Bagley</t>
  </si>
  <si>
    <t>Bailey Langdon</t>
  </si>
  <si>
    <t>Leonard Hanna</t>
  </si>
  <si>
    <t>Luca Trujillo</t>
  </si>
  <si>
    <t>Treyton Switzer</t>
  </si>
  <si>
    <t>Seamus Kirk</t>
  </si>
  <si>
    <t>Giancarlo Perrin</t>
  </si>
  <si>
    <t>Mackenzie Traylor</t>
  </si>
  <si>
    <t>Layne Reyes</t>
  </si>
  <si>
    <t>Skyler Masterson</t>
  </si>
  <si>
    <t>Ricky Rooney</t>
  </si>
  <si>
    <t>Cameron Scales</t>
  </si>
  <si>
    <t>Coleman Tabor</t>
  </si>
  <si>
    <t>Mustafa Schwab</t>
  </si>
  <si>
    <t>Dante Quinlan</t>
  </si>
  <si>
    <t>Freddy Somers</t>
  </si>
  <si>
    <t>Kenny Quintanilla</t>
  </si>
  <si>
    <t>Kody Giordano</t>
  </si>
  <si>
    <t>Pedro Strain</t>
  </si>
  <si>
    <t>Ahmad Bourque</t>
  </si>
  <si>
    <t>Brian Hough</t>
  </si>
  <si>
    <t>Julius Poe</t>
  </si>
  <si>
    <t>Dennis Landon</t>
  </si>
  <si>
    <t>Ben Camacho</t>
  </si>
  <si>
    <t>Dana Coughlin</t>
  </si>
  <si>
    <t>Emerson Owens</t>
  </si>
  <si>
    <t>Rico Schumacher</t>
  </si>
  <si>
    <t>Cristopher Atwell</t>
  </si>
  <si>
    <t>Rohan Huff</t>
  </si>
  <si>
    <t>Rigoberto Brubaker</t>
  </si>
  <si>
    <t>Darrien Connor</t>
  </si>
  <si>
    <t>Kevin Araujo</t>
  </si>
  <si>
    <t>Kirk Jeffery</t>
  </si>
  <si>
    <t>Demarco Greer</t>
  </si>
  <si>
    <t>Domenic Sabo</t>
  </si>
  <si>
    <t>Jaden Mathis</t>
  </si>
  <si>
    <t>Ricky Lightfoot</t>
  </si>
  <si>
    <t>Deon Canales</t>
  </si>
  <si>
    <t>Dontae Yoon</t>
  </si>
  <si>
    <t>Sheldon Cardona</t>
  </si>
  <si>
    <t>Misael Dale</t>
  </si>
  <si>
    <t>Jovanni Irby</t>
  </si>
  <si>
    <t>Kalen Pauley</t>
  </si>
  <si>
    <t>Irving Castle</t>
  </si>
  <si>
    <t>Hugo Blanton</t>
  </si>
  <si>
    <t>Bilal Eckert</t>
  </si>
  <si>
    <t>Dusty Doran</t>
  </si>
  <si>
    <t>Dominic Bauer</t>
  </si>
  <si>
    <t>Benjamin Dell</t>
  </si>
  <si>
    <t>Fidel Tobin</t>
  </si>
  <si>
    <t>Warren Winstead</t>
  </si>
  <si>
    <t>Caden Hart</t>
  </si>
  <si>
    <t>Jimmy Bethea</t>
  </si>
  <si>
    <t>Dandre Rauch</t>
  </si>
  <si>
    <t>Tucker Rogers</t>
  </si>
  <si>
    <t>Efren Compton</t>
  </si>
  <si>
    <t>Blaise Lawton</t>
  </si>
  <si>
    <t>Bowen Kelsey</t>
  </si>
  <si>
    <t>Rodolfo Hu</t>
  </si>
  <si>
    <t>Eric Monroe</t>
  </si>
  <si>
    <t>Devonte Holland</t>
  </si>
  <si>
    <t>Graham Matlock</t>
  </si>
  <si>
    <t>Julio Arnold</t>
  </si>
  <si>
    <t>Adolfo Reichert</t>
  </si>
  <si>
    <t>Gianni Pope</t>
  </si>
  <si>
    <t>Keyshawn Dion</t>
  </si>
  <si>
    <t>Robert Rios</t>
  </si>
  <si>
    <t>Clifford Purcell</t>
  </si>
  <si>
    <t>Jaron Roby</t>
  </si>
  <si>
    <t>Vincenzo Parkinson</t>
  </si>
  <si>
    <t>Gabriel Rawls</t>
  </si>
  <si>
    <t>Shaun Ponder</t>
  </si>
  <si>
    <t>Nicholas Douglass</t>
  </si>
  <si>
    <t>Jaime Asher</t>
  </si>
  <si>
    <t>Trenten Kenney</t>
  </si>
  <si>
    <t>Dominic Wiese</t>
  </si>
  <si>
    <t>Caelan Koehler</t>
  </si>
  <si>
    <t>Cedric Diggs</t>
  </si>
  <si>
    <t>Elvis Rector</t>
  </si>
  <si>
    <t>Trevon Fredrickson</t>
  </si>
  <si>
    <t>Augustus Serrano</t>
  </si>
  <si>
    <t>Lance Gerber</t>
  </si>
  <si>
    <t>Kristian Christy</t>
  </si>
  <si>
    <t>Wilson Hickman</t>
  </si>
  <si>
    <t>Hasan Davis</t>
  </si>
  <si>
    <t>Justus Cohen</t>
  </si>
  <si>
    <t>Uriah Derrick</t>
  </si>
  <si>
    <t>Jakob English</t>
  </si>
  <si>
    <t>Trevion Westbrook</t>
  </si>
  <si>
    <t>Luc Burnett</t>
  </si>
  <si>
    <t>Demetrius Persaud</t>
  </si>
  <si>
    <t>Bennett Moe</t>
  </si>
  <si>
    <t>Maximiliano Dennison</t>
  </si>
  <si>
    <t>Leonard Kim</t>
  </si>
  <si>
    <t>Santos Bernier</t>
  </si>
  <si>
    <t>Destin McCloud</t>
  </si>
  <si>
    <t>Reed Crouse</t>
  </si>
  <si>
    <t>Hunter Gamble</t>
  </si>
  <si>
    <t>Cory McGee</t>
  </si>
  <si>
    <t>Marquis Nunn</t>
  </si>
  <si>
    <t>Nevin Arrington</t>
  </si>
  <si>
    <t>Sabastian Estep</t>
  </si>
  <si>
    <t>Malachi Dunn</t>
  </si>
  <si>
    <t>Kristofer Bates</t>
  </si>
  <si>
    <t>Marvin Pringle</t>
  </si>
  <si>
    <t>Kendall Castaneda</t>
  </si>
  <si>
    <t>Don Malley</t>
  </si>
  <si>
    <t>Max Roach</t>
  </si>
  <si>
    <t>Donnie Sepulveda</t>
  </si>
  <si>
    <t>Sheldon Dooley</t>
  </si>
  <si>
    <t>Milan Townsend</t>
  </si>
  <si>
    <t>Maximiliano Hayward</t>
  </si>
  <si>
    <t>Timmy Driver</t>
  </si>
  <si>
    <t>Lars Miller</t>
  </si>
  <si>
    <t>Dominick Stevenson</t>
  </si>
  <si>
    <t>Tyrek France</t>
  </si>
  <si>
    <t>Armani Hoyt</t>
  </si>
  <si>
    <t>Loren Holton</t>
  </si>
  <si>
    <t>Demond Wetzel</t>
  </si>
  <si>
    <t>Stewart Fulton</t>
  </si>
  <si>
    <t>Jadon Brownlee</t>
  </si>
  <si>
    <t>Galen Crump</t>
  </si>
  <si>
    <t>Jessie Varney</t>
  </si>
  <si>
    <t>Tyreese Ordonez</t>
  </si>
  <si>
    <t>Markell Arias</t>
  </si>
  <si>
    <t>Eli Dodd</t>
  </si>
  <si>
    <t>Paxton Lilly</t>
  </si>
  <si>
    <t>Jeremiah Gatlin</t>
  </si>
  <si>
    <t>Alec Zeigler</t>
  </si>
  <si>
    <t>Lonnie Kinney</t>
  </si>
  <si>
    <t>Rahul Parham</t>
  </si>
  <si>
    <t>Alec Butts</t>
  </si>
  <si>
    <t>Tevin Guajardo</t>
  </si>
  <si>
    <t>Ryley Cullen</t>
  </si>
  <si>
    <t>Andrew Rowell</t>
  </si>
  <si>
    <t>Allan Rowan</t>
  </si>
  <si>
    <t>Jelani Palacios</t>
  </si>
  <si>
    <t>Gannon Scully</t>
  </si>
  <si>
    <t>Daren Muller</t>
  </si>
  <si>
    <t>Deion Rosenthal</t>
  </si>
  <si>
    <t>Jaiden Lozano</t>
  </si>
  <si>
    <t>Darrin McCracken</t>
  </si>
  <si>
    <t>Clark Poole</t>
  </si>
  <si>
    <t>Kavon Richter</t>
  </si>
  <si>
    <t>Dusty Mayo</t>
  </si>
  <si>
    <t>Will Comstock</t>
  </si>
  <si>
    <t>Keegan McWilliams</t>
  </si>
  <si>
    <t>Branson McFadden</t>
  </si>
  <si>
    <t>Kevon Grabowski</t>
  </si>
  <si>
    <t>Mariano Poston</t>
  </si>
  <si>
    <t>Johnathon Valles</t>
  </si>
  <si>
    <t>Jim Clinton</t>
  </si>
  <si>
    <t>Daylon Meeks</t>
  </si>
  <si>
    <t>Jamil Emmons</t>
  </si>
  <si>
    <t>Maverick Lanham</t>
  </si>
  <si>
    <t>Kenan Apodaca</t>
  </si>
  <si>
    <t>Dylan Ng</t>
  </si>
  <si>
    <t>Campbell Montalvo</t>
  </si>
  <si>
    <t>Johnson Hay</t>
  </si>
  <si>
    <t>Jakobe Summers</t>
  </si>
  <si>
    <t>Brennon Canfield</t>
  </si>
  <si>
    <t>Louis Brant</t>
  </si>
  <si>
    <t>Kahlil Robins</t>
  </si>
  <si>
    <t>Trevin McDermott</t>
  </si>
  <si>
    <t>Jesus Clapp</t>
  </si>
  <si>
    <t>Infant Mehta</t>
  </si>
  <si>
    <t>Stone Ceja</t>
  </si>
  <si>
    <t>Lars Swenson</t>
  </si>
  <si>
    <t>Destin Swan</t>
  </si>
  <si>
    <t>Fletcher Harter</t>
  </si>
  <si>
    <t>Austyn Teal</t>
  </si>
  <si>
    <t>Galen Vigil</t>
  </si>
  <si>
    <t>Ezekiel Cabrera</t>
  </si>
  <si>
    <t>Freddie Martino</t>
  </si>
  <si>
    <t>Tommy Daugherty</t>
  </si>
  <si>
    <t>Gilbert Radford</t>
  </si>
  <si>
    <t>Cale Beckwith</t>
  </si>
  <si>
    <t>Fredy Weeks</t>
  </si>
  <si>
    <t>Raymundo Kunz</t>
  </si>
  <si>
    <t>Daron Briggs</t>
  </si>
  <si>
    <t>Cristopher Stanfield</t>
  </si>
  <si>
    <t>Rickey Munoz</t>
  </si>
  <si>
    <t>Briar Molnar</t>
  </si>
  <si>
    <t>Donavan Lombardi</t>
  </si>
  <si>
    <t>Hudson Tharp</t>
  </si>
  <si>
    <t>Bradford Huff</t>
  </si>
  <si>
    <t>Brad Sterling</t>
  </si>
  <si>
    <t>Colten Shanahan</t>
  </si>
  <si>
    <t>Walker Heaton</t>
  </si>
  <si>
    <t>Ramsey Broyles</t>
  </si>
  <si>
    <t>Kobi Heard</t>
  </si>
  <si>
    <t>Dorien Hollis</t>
  </si>
  <si>
    <t>Kendrick Purdy</t>
  </si>
  <si>
    <t>Javion Shipley</t>
  </si>
  <si>
    <t>Marcos Fournier</t>
  </si>
  <si>
    <t>Jamari Noe</t>
  </si>
  <si>
    <t>Simeon Haskins</t>
  </si>
  <si>
    <t>Marcos Zimmer</t>
  </si>
  <si>
    <t>Gannon Holguin</t>
  </si>
  <si>
    <t>Jevon Kirchner</t>
  </si>
  <si>
    <t>Donald Daniels</t>
  </si>
  <si>
    <t>Daren Aleman</t>
  </si>
  <si>
    <t>Kelton Lorenz</t>
  </si>
  <si>
    <t>Ervin Balderas</t>
  </si>
  <si>
    <t>Deangelo Engle</t>
  </si>
  <si>
    <t>Jayson Shepard</t>
  </si>
  <si>
    <t>Zane Shah</t>
  </si>
  <si>
    <t>Isai Flowers</t>
  </si>
  <si>
    <t>Rodney Dunaway</t>
  </si>
  <si>
    <t>Fidel Bearden</t>
  </si>
  <si>
    <t>Donovan Pierson</t>
  </si>
  <si>
    <t>Kadin Bullock</t>
  </si>
  <si>
    <t>Jovanny Tompkins</t>
  </si>
  <si>
    <t>Vincenzo Read</t>
  </si>
  <si>
    <t>Cyrus Hinojosa</t>
  </si>
  <si>
    <t>Dorian Wendt</t>
  </si>
  <si>
    <t>Antwan Brockman</t>
  </si>
  <si>
    <t>Brandon Carrera</t>
  </si>
  <si>
    <t>Ethan Foster</t>
  </si>
  <si>
    <t>Davin Reece</t>
  </si>
  <si>
    <t>Rex Griffin</t>
  </si>
  <si>
    <t>Desean McGill</t>
  </si>
  <si>
    <t>Lukas Moyer</t>
  </si>
  <si>
    <t>Dakota Deutsch</t>
  </si>
  <si>
    <t>Lukas March</t>
  </si>
  <si>
    <t>Tahj Bonilla</t>
  </si>
  <si>
    <t>Jim Myers</t>
  </si>
  <si>
    <t>Gage Shumate</t>
  </si>
  <si>
    <t>Ronaldo Storey</t>
  </si>
  <si>
    <t>Christion Valle</t>
  </si>
  <si>
    <t>Rayshawn Pinto</t>
  </si>
  <si>
    <t>Don Carr</t>
  </si>
  <si>
    <t>Hunter Costa</t>
  </si>
  <si>
    <t>Donnell Babb</t>
  </si>
  <si>
    <t>Owen Marks</t>
  </si>
  <si>
    <t>Marcus Aguilar</t>
  </si>
  <si>
    <t>Bruce Hidalgo</t>
  </si>
  <si>
    <t>Giovani Donnell</t>
  </si>
  <si>
    <t>Steven Garvin</t>
  </si>
  <si>
    <t>Donavan Gaytan</t>
  </si>
  <si>
    <t>Jerimiah Lehmann</t>
  </si>
  <si>
    <t>Riley Wilkins</t>
  </si>
  <si>
    <t>Johnnie Judd</t>
  </si>
  <si>
    <t>Augustine Moffitt</t>
  </si>
  <si>
    <t>Bilal Williams</t>
  </si>
  <si>
    <t>Stephen Tong</t>
  </si>
  <si>
    <t>Kurtis Altamirano</t>
  </si>
  <si>
    <t>Marcello Guthrie</t>
  </si>
  <si>
    <t>Deon Redman</t>
  </si>
  <si>
    <t>Sidney Swisher</t>
  </si>
  <si>
    <t>Darius Coates</t>
  </si>
  <si>
    <t>Noah Palma</t>
  </si>
  <si>
    <t>Dionte Donald</t>
  </si>
  <si>
    <t>Malik Bruno</t>
  </si>
  <si>
    <t>Dashawn Beall</t>
  </si>
  <si>
    <t>Esteban Almanza</t>
  </si>
  <si>
    <t>Markus Puente</t>
  </si>
  <si>
    <t>Tyrique Gonzalez</t>
  </si>
  <si>
    <t>Sincere Cantrell</t>
  </si>
  <si>
    <t>Bilal Mena</t>
  </si>
  <si>
    <t>Austyn Tillman</t>
  </si>
  <si>
    <t>Daveon Stearns</t>
  </si>
  <si>
    <t>Clifton Thomas</t>
  </si>
  <si>
    <t>Theodore Day</t>
  </si>
  <si>
    <t>Leonardo Dudley</t>
  </si>
  <si>
    <t>Quinlan McCormack</t>
  </si>
  <si>
    <t>Lester Delvalle</t>
  </si>
  <si>
    <t>Zachary Herring</t>
  </si>
  <si>
    <t>Terry Crawford</t>
  </si>
  <si>
    <t>Osvaldo Voss</t>
  </si>
  <si>
    <t>Trey Braden</t>
  </si>
  <si>
    <t>Darrien Persaud</t>
  </si>
  <si>
    <t>Spencer Singer</t>
  </si>
  <si>
    <t>Kristopher Jenkins</t>
  </si>
  <si>
    <t>Genaro Arroyo</t>
  </si>
  <si>
    <t>Tommy Montoya</t>
  </si>
  <si>
    <t>Daquan Cormier</t>
  </si>
  <si>
    <t>Brent Ybarra</t>
  </si>
  <si>
    <t>Randy Kimbrough</t>
  </si>
  <si>
    <t>Devyn Littlejohn</t>
  </si>
  <si>
    <t>Karson Provost</t>
  </si>
  <si>
    <t>Daron Goble</t>
  </si>
  <si>
    <t>Shemar Andrew</t>
  </si>
  <si>
    <t>Tommy Roman</t>
  </si>
  <si>
    <t>Kobi Reynolds</t>
  </si>
  <si>
    <t>Killian Siegel</t>
  </si>
  <si>
    <t>Fletcher Bynum</t>
  </si>
  <si>
    <t>Layton Holbrook</t>
  </si>
  <si>
    <t>Yusuf Canady</t>
  </si>
  <si>
    <t>Gavin Kirk</t>
  </si>
  <si>
    <t>Daren Lindberg</t>
  </si>
  <si>
    <t>Jasper Smith</t>
  </si>
  <si>
    <t>Bryan Silva</t>
  </si>
  <si>
    <t>Tariq Quintana</t>
  </si>
  <si>
    <t>Kyler Cartwright</t>
  </si>
  <si>
    <t>Will Ragan</t>
  </si>
  <si>
    <t>Freddie Culbertson</t>
  </si>
  <si>
    <t>Jaeden Noel</t>
  </si>
  <si>
    <t>Kalvin Fletcher</t>
  </si>
  <si>
    <t>Connor Roland</t>
  </si>
  <si>
    <t>Jason Conway</t>
  </si>
  <si>
    <t>Rashad Keeton</t>
  </si>
  <si>
    <t>Quincy Crutchfield</t>
  </si>
  <si>
    <t>Willis Vazquez</t>
  </si>
  <si>
    <t>Jeremy Carver</t>
  </si>
  <si>
    <t>Rigoberto Paul</t>
  </si>
  <si>
    <t>Devante McCarter</t>
  </si>
  <si>
    <t>Jeremiah Ramsey</t>
  </si>
  <si>
    <t>Claudio Erwin</t>
  </si>
  <si>
    <t>Harley Sturgeon</t>
  </si>
  <si>
    <t>Rory Dooley</t>
  </si>
  <si>
    <t>Travis Mcnutt</t>
  </si>
  <si>
    <t>Arjun Rudd</t>
  </si>
  <si>
    <t>Levi Cranford</t>
  </si>
  <si>
    <t>Donald Kearns</t>
  </si>
  <si>
    <t>Brennon Spear</t>
  </si>
  <si>
    <t>Korey Cabral</t>
  </si>
  <si>
    <t>Keagan Pulliam</t>
  </si>
  <si>
    <t>Darwin Conroy</t>
  </si>
  <si>
    <t>Erich Tipton</t>
  </si>
  <si>
    <t>Robin Low</t>
  </si>
  <si>
    <t>Kaiden Holm</t>
  </si>
  <si>
    <t>Geovanni Chung</t>
  </si>
  <si>
    <t>Rico Lind</t>
  </si>
  <si>
    <t>Derick Boyles</t>
  </si>
  <si>
    <t>Elliott Plummer</t>
  </si>
  <si>
    <t>Leonardo Gooden</t>
  </si>
  <si>
    <t>Deshawn Spears</t>
  </si>
  <si>
    <t>Tristian Contreras</t>
  </si>
  <si>
    <t>Jerry Koenig</t>
  </si>
  <si>
    <t>Houston Pickering</t>
  </si>
  <si>
    <t>Quincy Fries</t>
  </si>
  <si>
    <t>Bilal Ricketts</t>
  </si>
  <si>
    <t>Johan Ridley</t>
  </si>
  <si>
    <t>Jerome Palumbo</t>
  </si>
  <si>
    <t>Santino Mooney</t>
  </si>
  <si>
    <t>Brandyn Barker</t>
  </si>
  <si>
    <t>Josef Sisson</t>
  </si>
  <si>
    <t>Ronnie Elder</t>
  </si>
  <si>
    <t>Tate Strong</t>
  </si>
  <si>
    <t>Ari Haskins</t>
  </si>
  <si>
    <t>Menachem Hassan</t>
  </si>
  <si>
    <t>Levi Overstreet</t>
  </si>
  <si>
    <t>Bronson Daniels</t>
  </si>
  <si>
    <t>Shemar Findley</t>
  </si>
  <si>
    <t>Ameer Steed</t>
  </si>
  <si>
    <t>Jade McClelland</t>
  </si>
  <si>
    <t>Guillermo Sanchez</t>
  </si>
  <si>
    <t>Brock Connell</t>
  </si>
  <si>
    <t>Curtis Ricker</t>
  </si>
  <si>
    <t>Tyler McKinnon</t>
  </si>
  <si>
    <t>Leo Grant</t>
  </si>
  <si>
    <t>Ali Antonio</t>
  </si>
  <si>
    <t>Mackenzie Johns</t>
  </si>
  <si>
    <t>Devin Sharp</t>
  </si>
  <si>
    <t>Malik Owens</t>
  </si>
  <si>
    <t>Joey Snyder</t>
  </si>
  <si>
    <t>Latrell Shaffer</t>
  </si>
  <si>
    <t>Isaiah Bloom</t>
  </si>
  <si>
    <t>Dajuan Dodd</t>
  </si>
  <si>
    <t>Cristofer Denney</t>
  </si>
  <si>
    <t>Zavier Dailey</t>
  </si>
  <si>
    <t>Karson Case</t>
  </si>
  <si>
    <t>Carter Bell</t>
  </si>
  <si>
    <t>Francesco Page</t>
  </si>
  <si>
    <t>Lawrence Burley</t>
  </si>
  <si>
    <t>Yisroel Crum</t>
  </si>
  <si>
    <t>Marcus Reed</t>
  </si>
  <si>
    <t>Tommy Bird</t>
  </si>
  <si>
    <t>Richard Morrison</t>
  </si>
  <si>
    <t>Trevor Lane</t>
  </si>
  <si>
    <t>Devante Heck</t>
  </si>
  <si>
    <t>Cooper StClair</t>
  </si>
  <si>
    <t>Coleton Ramos</t>
  </si>
  <si>
    <t>Julian Cross</t>
  </si>
  <si>
    <t>Tevin Jewell</t>
  </si>
  <si>
    <t>Noel Kirsch</t>
  </si>
  <si>
    <t>Craig Read</t>
  </si>
  <si>
    <t>Davion Dao</t>
  </si>
  <si>
    <t>Cameron Laughlin</t>
  </si>
  <si>
    <t>Dashaun Clemens</t>
  </si>
  <si>
    <t>Presley Pemberton</t>
  </si>
  <si>
    <t>Brett Shapiro</t>
  </si>
  <si>
    <t>Kody Breaux</t>
  </si>
  <si>
    <t>Jarvis Metcalf</t>
  </si>
  <si>
    <t>Jalen Price</t>
  </si>
  <si>
    <t>Juancarlos Pritchard</t>
  </si>
  <si>
    <t>Aron Hartley</t>
  </si>
  <si>
    <t>Dameon Satterfield</t>
  </si>
  <si>
    <t>Carlo Seaman</t>
  </si>
  <si>
    <t>Keshaun Elliott</t>
  </si>
  <si>
    <t>Dalton Jones</t>
  </si>
  <si>
    <t>Luke Sandoval</t>
  </si>
  <si>
    <t>Bradly Longoria</t>
  </si>
  <si>
    <t>Harley Beebe</t>
  </si>
  <si>
    <t>Ivan Wilkerson</t>
  </si>
  <si>
    <t>Jarred Drummond</t>
  </si>
  <si>
    <t>Dan Shaw</t>
  </si>
  <si>
    <t>Elijah Rust</t>
  </si>
  <si>
    <t>Dorian Webb</t>
  </si>
  <si>
    <t>Cecil Marquez</t>
  </si>
  <si>
    <t>Darrell Decker</t>
  </si>
  <si>
    <t>Marcel Munoz</t>
  </si>
  <si>
    <t>Cody Arredondo</t>
  </si>
  <si>
    <t>Dionte Wray</t>
  </si>
  <si>
    <t>Darin Braun</t>
  </si>
  <si>
    <t>Jase Fowler</t>
  </si>
  <si>
    <t>Norman Lance</t>
  </si>
  <si>
    <t>Kody Piper</t>
  </si>
  <si>
    <t>Dakota Keith</t>
  </si>
  <si>
    <t>Dejon Bates</t>
  </si>
  <si>
    <t>Keshawn Worthy</t>
  </si>
  <si>
    <t>Leonard Worrell</t>
  </si>
  <si>
    <t>Harry Franco</t>
  </si>
  <si>
    <t>Bennett Lanning</t>
  </si>
  <si>
    <t>Pierce Butcher</t>
  </si>
  <si>
    <t>Aman Bowser</t>
  </si>
  <si>
    <t>Abdul Santos</t>
  </si>
  <si>
    <t>Gianni Ali</t>
  </si>
  <si>
    <t>Shawn Luce</t>
  </si>
  <si>
    <t>Brett Mcnulty</t>
  </si>
  <si>
    <t>Allan Gardiner</t>
  </si>
  <si>
    <t>Brady Zink</t>
  </si>
  <si>
    <t>Brandon Jaime</t>
  </si>
  <si>
    <t>Lane Costa</t>
  </si>
  <si>
    <t>Stephan Wofford</t>
  </si>
  <si>
    <t>Brodie Humphries</t>
  </si>
  <si>
    <t>Devontae Glick</t>
  </si>
  <si>
    <t>Koby Fredrickson</t>
  </si>
  <si>
    <t>Barrett Prieto</t>
  </si>
  <si>
    <t>Tristian West</t>
  </si>
  <si>
    <t>Dusty Scanlon</t>
  </si>
  <si>
    <t>Marquez Byrne</t>
  </si>
  <si>
    <t>Maximus Cline</t>
  </si>
  <si>
    <t>Rodney Colburn</t>
  </si>
  <si>
    <t>Johnathon Dutton</t>
  </si>
  <si>
    <t>Oscar Nagel</t>
  </si>
  <si>
    <t>Rohan Marlow</t>
  </si>
  <si>
    <t>Lazaro Luu</t>
  </si>
  <si>
    <t>Keelan Agee</t>
  </si>
  <si>
    <t>Trevion Babcock</t>
  </si>
  <si>
    <t>Sage Ogden</t>
  </si>
  <si>
    <t>Trae Lutz</t>
  </si>
  <si>
    <t>Kareem Lawrence</t>
  </si>
  <si>
    <t>Devin Tharp</t>
  </si>
  <si>
    <t>Byron Solis</t>
  </si>
  <si>
    <t>Sammy Severson</t>
  </si>
  <si>
    <t>Karson Carnes</t>
  </si>
  <si>
    <t>Andy Elizondo</t>
  </si>
  <si>
    <t>Isidro Archuleta</t>
  </si>
  <si>
    <t>Myron Bales</t>
  </si>
  <si>
    <t>Baylor Clough</t>
  </si>
  <si>
    <t>Shea Ouellette</t>
  </si>
  <si>
    <t>Rylan Poindexter</t>
  </si>
  <si>
    <t>Gordon Craft</t>
  </si>
  <si>
    <t>Hugh Grey</t>
  </si>
  <si>
    <t>Jackie Renner</t>
  </si>
  <si>
    <t>Harris Hooker</t>
  </si>
  <si>
    <t>Landen Perrin</t>
  </si>
  <si>
    <t>Jarret Call</t>
  </si>
  <si>
    <t>Domenic Shull</t>
  </si>
  <si>
    <t>Jaxson Hanson</t>
  </si>
  <si>
    <t>Jalon Sawyer</t>
  </si>
  <si>
    <t>Brodie Best</t>
  </si>
  <si>
    <t>Sidney Feliciano</t>
  </si>
  <si>
    <t>Albert Parnell</t>
  </si>
  <si>
    <t>Sam Storey</t>
  </si>
  <si>
    <t>Lukas Bolen</t>
  </si>
  <si>
    <t>Ezequiel Ashton</t>
  </si>
  <si>
    <t>Ariel Pederson</t>
  </si>
  <si>
    <t>Presley Bowen</t>
  </si>
  <si>
    <t>Jasper Lutz</t>
  </si>
  <si>
    <t>Kaiden Bustamante</t>
  </si>
  <si>
    <t>Killian Tillman</t>
  </si>
  <si>
    <t>Darius Browne</t>
  </si>
  <si>
    <t>Kentrell Findley</t>
  </si>
  <si>
    <t>Jedidiah Post</t>
  </si>
  <si>
    <t>Ray Littlejohn</t>
  </si>
  <si>
    <t>Jaylen Medlin</t>
  </si>
  <si>
    <t>Clayton Hyde</t>
  </si>
  <si>
    <t>Lorenzo Hennessy</t>
  </si>
  <si>
    <t>Franco Wheatley</t>
  </si>
  <si>
    <t>Briar Hay</t>
  </si>
  <si>
    <t>Sonny Overstreet</t>
  </si>
  <si>
    <t>Julien Zink</t>
  </si>
  <si>
    <t>Kade Ruth</t>
  </si>
  <si>
    <t>Tayler Fitch</t>
  </si>
  <si>
    <t>Jalen Minter</t>
  </si>
  <si>
    <t>Dana Brothers</t>
  </si>
  <si>
    <t>Marquez Wheatley</t>
  </si>
  <si>
    <t>Parker Colson</t>
  </si>
  <si>
    <t>Billy Culp</t>
  </si>
  <si>
    <t>Anders Kelso</t>
  </si>
  <si>
    <t>Abel Tice</t>
  </si>
  <si>
    <t>Dakotah Fritz</t>
  </si>
  <si>
    <t>Dillion Sapp</t>
  </si>
  <si>
    <t>Jakobe Bryan</t>
  </si>
  <si>
    <t>Dexter Rosales</t>
  </si>
  <si>
    <t>Deangelo Sam</t>
  </si>
  <si>
    <t>Pranav Artis</t>
  </si>
  <si>
    <t>Ethan Greenlee</t>
  </si>
  <si>
    <t>Willis Hartman</t>
  </si>
  <si>
    <t>Rickey Benton</t>
  </si>
  <si>
    <t>Tyreese Tejeda</t>
  </si>
  <si>
    <t>Albert Winkler</t>
  </si>
  <si>
    <t>Wayne Flynn</t>
  </si>
  <si>
    <t>Norman Tripp</t>
  </si>
  <si>
    <t>Francesco McNeal</t>
  </si>
  <si>
    <t>Paris Crowe</t>
  </si>
  <si>
    <t>Mike Lujan</t>
  </si>
  <si>
    <t>Hasan Gatlin</t>
  </si>
  <si>
    <t>Jamal Ricks</t>
  </si>
  <si>
    <t>Abel Stauffer</t>
  </si>
  <si>
    <t>Todd Seward</t>
  </si>
  <si>
    <t>John Renfro</t>
  </si>
  <si>
    <t>Jade Orellana</t>
  </si>
  <si>
    <t>Brooks Landers</t>
  </si>
  <si>
    <t>Tye Duvall</t>
  </si>
  <si>
    <t>Elvis Colburn</t>
  </si>
  <si>
    <t>Raheem Mathis</t>
  </si>
  <si>
    <t>Jean Groff</t>
  </si>
  <si>
    <t>Aldo Musser</t>
  </si>
  <si>
    <t>Tylor Hicks</t>
  </si>
  <si>
    <t>Ty Grayson</t>
  </si>
  <si>
    <t>Gregorio Staples</t>
  </si>
  <si>
    <t>Jakob Brien</t>
  </si>
  <si>
    <t>Nick McCain</t>
  </si>
  <si>
    <t>Raekwon Pruett</t>
  </si>
  <si>
    <t>Efren Evers</t>
  </si>
  <si>
    <t>Coy Stanton</t>
  </si>
  <si>
    <t>Jack Hargrove</t>
  </si>
  <si>
    <t>Caelan Aranda</t>
  </si>
  <si>
    <t>Dalton Deloach</t>
  </si>
  <si>
    <t>Chancellor Krause</t>
  </si>
  <si>
    <t>Johnathan Otero</t>
  </si>
  <si>
    <t>Trey Conley</t>
  </si>
  <si>
    <t>Kavon Cason</t>
  </si>
  <si>
    <t>Francesco Duggan</t>
  </si>
  <si>
    <t>Arturo Osborn</t>
  </si>
  <si>
    <t>Broderick Cave</t>
  </si>
  <si>
    <t>Brennen Bundy</t>
  </si>
  <si>
    <t>Jajuan Laughlin</t>
  </si>
  <si>
    <t>Aden Ruffin</t>
  </si>
  <si>
    <t>Amir Gilbert</t>
  </si>
  <si>
    <t>Trey Craddock</t>
  </si>
  <si>
    <t>Andreas Goforth</t>
  </si>
  <si>
    <t>Cristopher Naylor</t>
  </si>
  <si>
    <t>Elijah Schuster</t>
  </si>
  <si>
    <t>Jaron Frantz</t>
  </si>
  <si>
    <t>Pablo Dixon</t>
  </si>
  <si>
    <t>Aiden Fugate</t>
  </si>
  <si>
    <t>Damien Musser</t>
  </si>
  <si>
    <t>Infant Loy</t>
  </si>
  <si>
    <t>Adolfo Galloway</t>
  </si>
  <si>
    <t>Silas Lim</t>
  </si>
  <si>
    <t>Skylar Littleton</t>
  </si>
  <si>
    <t>Corey Yang</t>
  </si>
  <si>
    <t>Killian Xu</t>
  </si>
  <si>
    <t>Vicente Laney</t>
  </si>
  <si>
    <t>Sammy Vetter</t>
  </si>
  <si>
    <t>Edward Connell</t>
  </si>
  <si>
    <t>Alex Petty</t>
  </si>
  <si>
    <t>Bryant Wakefield</t>
  </si>
  <si>
    <t>Drew Bender</t>
  </si>
  <si>
    <t>Gilbert Culpepper</t>
  </si>
  <si>
    <t>Jeremy Redd</t>
  </si>
  <si>
    <t>Judah Glenn</t>
  </si>
  <si>
    <t>Jayden Herzog</t>
  </si>
  <si>
    <t>Anders Marion</t>
  </si>
  <si>
    <t>Alexander Hamilton</t>
  </si>
  <si>
    <t>Leif Bullard</t>
  </si>
  <si>
    <t>Howard Anderson</t>
  </si>
  <si>
    <t>Rogelio Murdock</t>
  </si>
  <si>
    <t>Johnson Robb</t>
  </si>
  <si>
    <t>Antony Legg</t>
  </si>
  <si>
    <t>Emanuel Mcwhorter</t>
  </si>
  <si>
    <t>Edwin Goddard</t>
  </si>
  <si>
    <t>Finn Matlock</t>
  </si>
  <si>
    <t>Giovanny Donnell</t>
  </si>
  <si>
    <t>Wade Hanks</t>
  </si>
  <si>
    <t>Lucas Vest</t>
  </si>
  <si>
    <t>Titus Emmons</t>
  </si>
  <si>
    <t>Messiah Ivy</t>
  </si>
  <si>
    <t>Zayne Young</t>
  </si>
  <si>
    <t>Jovanny Short</t>
  </si>
  <si>
    <t>Gage Dawkins</t>
  </si>
  <si>
    <t>Elliot Hankins</t>
  </si>
  <si>
    <t>Federico Cameron</t>
  </si>
  <si>
    <t>Kelvin Ricks</t>
  </si>
  <si>
    <t>Edwin Knoll</t>
  </si>
  <si>
    <t>Davonte Nunn</t>
  </si>
  <si>
    <t>Jesus Royer</t>
  </si>
  <si>
    <t>Barry Rosado</t>
  </si>
  <si>
    <t>Carlton Farrow</t>
  </si>
  <si>
    <t>Chaim Kimmel</t>
  </si>
  <si>
    <t>Cole Ingram</t>
  </si>
  <si>
    <t>Kody Lentz</t>
  </si>
  <si>
    <t>Devon Nielsen</t>
  </si>
  <si>
    <t>Jorden Huntley</t>
  </si>
  <si>
    <t>Eugene Smoot</t>
  </si>
  <si>
    <t>Justus Shore</t>
  </si>
  <si>
    <t>Howard Persaud</t>
  </si>
  <si>
    <t>Elliot Porter</t>
  </si>
  <si>
    <t>Elliott Muhammad</t>
  </si>
  <si>
    <t>Easton Marcum</t>
  </si>
  <si>
    <t>Zackary Perrin</t>
  </si>
  <si>
    <t>Jarvis Barton</t>
  </si>
  <si>
    <t>Raekwon Benner</t>
  </si>
  <si>
    <t>Carl Barnhart</t>
  </si>
  <si>
    <t>Treyvon Brothers</t>
  </si>
  <si>
    <t>Jairo Peterman</t>
  </si>
  <si>
    <t>Conner Carbajal</t>
  </si>
  <si>
    <t>Alvaro McConnell</t>
  </si>
  <si>
    <t>Maximiliano Ramirez</t>
  </si>
  <si>
    <t>Fabian Barone</t>
  </si>
  <si>
    <t>Nicklaus Downey</t>
  </si>
  <si>
    <t>Fidel Fulmer</t>
  </si>
  <si>
    <t>Ronald Tucker</t>
  </si>
  <si>
    <t>Dangelo Wilkerson</t>
  </si>
  <si>
    <t>Eric Phelps</t>
  </si>
  <si>
    <t>Donte Cockrell</t>
  </si>
  <si>
    <t>Morris Kaur</t>
  </si>
  <si>
    <t>Edmund Reyna</t>
  </si>
  <si>
    <t>Moses Clinton</t>
  </si>
  <si>
    <t>Ralph Patel</t>
  </si>
  <si>
    <t>Tayler Worthy</t>
  </si>
  <si>
    <t>Toby Vick</t>
  </si>
  <si>
    <t>Octavio Allard</t>
  </si>
  <si>
    <t>Frank Wong</t>
  </si>
  <si>
    <t>Daveon Sims</t>
  </si>
  <si>
    <t>Jackson Gentile</t>
  </si>
  <si>
    <t>Kolby Terrell</t>
  </si>
  <si>
    <t>Dakoda Mateo</t>
  </si>
  <si>
    <t>Bernard Vinson</t>
  </si>
  <si>
    <t>Cullen Acosta</t>
  </si>
  <si>
    <t>Gregory Stinson</t>
  </si>
  <si>
    <t>Sherman Goldman</t>
  </si>
  <si>
    <t>Hector Braswell</t>
  </si>
  <si>
    <t>Aden Reardon</t>
  </si>
  <si>
    <t>Konnor Melton</t>
  </si>
  <si>
    <t>Wade Britton</t>
  </si>
  <si>
    <t>Stetson Wofford</t>
  </si>
  <si>
    <t>Jabari Valadez</t>
  </si>
  <si>
    <t>Bryce Lomeli</t>
  </si>
  <si>
    <t>Gage Latimer</t>
  </si>
  <si>
    <t>Noah Sheets</t>
  </si>
  <si>
    <t>Ross Carrillo</t>
  </si>
  <si>
    <t>Xander Paz</t>
  </si>
  <si>
    <t>Mauro Romero</t>
  </si>
  <si>
    <t>Ariel Cheek</t>
  </si>
  <si>
    <t>Stephan Will</t>
  </si>
  <si>
    <t>Kale Leblanc</t>
  </si>
  <si>
    <t>Hasan Blakely</t>
  </si>
  <si>
    <t>Peter Hampton</t>
  </si>
  <si>
    <t>Shea Aviles</t>
  </si>
  <si>
    <t>Gunner Pederson</t>
  </si>
  <si>
    <t>Demonte Hanks</t>
  </si>
  <si>
    <t>Tai Gantt</t>
  </si>
  <si>
    <t>Ammon Schwartz</t>
  </si>
  <si>
    <t>Johnathan Palma</t>
  </si>
  <si>
    <t>Jameson Wilcox</t>
  </si>
  <si>
    <t>Latrell Straub</t>
  </si>
  <si>
    <t>Jessie Bratton</t>
  </si>
  <si>
    <t>Amir Sandoval</t>
  </si>
  <si>
    <t>Santino Rapp</t>
  </si>
  <si>
    <t>Aditya Wall</t>
  </si>
  <si>
    <t>Marcanthony Nicholas</t>
  </si>
  <si>
    <t>Roger Burch</t>
  </si>
  <si>
    <t>Kalvin Ramey</t>
  </si>
  <si>
    <t>Mordechai Gable</t>
  </si>
  <si>
    <t>Joey Elliot</t>
  </si>
  <si>
    <t>Blair Gavin</t>
  </si>
  <si>
    <t>Davon Amato</t>
  </si>
  <si>
    <t>Myron Solis</t>
  </si>
  <si>
    <t>Brayden Tobin</t>
  </si>
  <si>
    <t>Andres Byrnes</t>
  </si>
  <si>
    <t>Cooper Mcnutt</t>
  </si>
  <si>
    <t>Mitchel Valadez</t>
  </si>
  <si>
    <t>Charlie Hsu</t>
  </si>
  <si>
    <t>Chaim Headley</t>
  </si>
  <si>
    <t>Zachariah Payne</t>
  </si>
  <si>
    <t>Stephen Webb</t>
  </si>
  <si>
    <t>Oscar Crabtree</t>
  </si>
  <si>
    <t>Blayne Chavis</t>
  </si>
  <si>
    <t>Matthew Schmidt</t>
  </si>
  <si>
    <t>Leighton Hodgson</t>
  </si>
  <si>
    <t>Devontae Trammell</t>
  </si>
  <si>
    <t>Daron Golden</t>
  </si>
  <si>
    <t>Steven Deaton</t>
  </si>
  <si>
    <t>Ethen Layman</t>
  </si>
  <si>
    <t>Jay Mims</t>
  </si>
  <si>
    <t>Ramon Tirado</t>
  </si>
  <si>
    <t>Enoch Eason</t>
  </si>
  <si>
    <t>Gabriel Lindley</t>
  </si>
  <si>
    <t>Braulio Hoskins</t>
  </si>
  <si>
    <t>Braedon Coffey</t>
  </si>
  <si>
    <t>Tyrell Hagen</t>
  </si>
  <si>
    <t>Greyson Shepard</t>
  </si>
  <si>
    <t>Donnie Selby</t>
  </si>
  <si>
    <t>Shlomo Breeden</t>
  </si>
  <si>
    <t>Elmer Phan</t>
  </si>
  <si>
    <t>Elvis Zarate</t>
  </si>
  <si>
    <t>Bailey Grayson</t>
  </si>
  <si>
    <t>Kerry Goebel</t>
  </si>
  <si>
    <t>Marshall Devlin</t>
  </si>
  <si>
    <t>Mikel Mendenhall</t>
  </si>
  <si>
    <t>Jalen Trapp</t>
  </si>
  <si>
    <t>Kadin Wiley</t>
  </si>
  <si>
    <t>Courtney Friend</t>
  </si>
  <si>
    <t>Jaleel Rincon</t>
  </si>
  <si>
    <t>Marquis Swafford</t>
  </si>
  <si>
    <t>Kahlil Gaskins</t>
  </si>
  <si>
    <t>Kelly Reardon</t>
  </si>
  <si>
    <t>Rex Rouse</t>
  </si>
  <si>
    <t>Darrian Alicea</t>
  </si>
  <si>
    <t>Jacquez McCann</t>
  </si>
  <si>
    <t>Jairo Deaton</t>
  </si>
  <si>
    <t>Blaze Crain</t>
  </si>
  <si>
    <t>Ali Akers</t>
  </si>
  <si>
    <t>Eric Barnett</t>
  </si>
  <si>
    <t>RB</t>
  </si>
  <si>
    <t>TE</t>
  </si>
  <si>
    <t>OT</t>
  </si>
  <si>
    <t>LT</t>
  </si>
  <si>
    <t>OG</t>
  </si>
  <si>
    <t>C</t>
  </si>
  <si>
    <t>RG</t>
  </si>
  <si>
    <t>RT</t>
  </si>
  <si>
    <t>DE</t>
  </si>
  <si>
    <t>DT</t>
  </si>
  <si>
    <t>OLB</t>
  </si>
  <si>
    <t>MLB</t>
  </si>
  <si>
    <t>FS</t>
  </si>
  <si>
    <t>SS</t>
  </si>
  <si>
    <t>P</t>
  </si>
  <si>
    <t>ILB</t>
  </si>
  <si>
    <t>WLB</t>
  </si>
  <si>
    <t>LG</t>
  </si>
  <si>
    <t>K</t>
  </si>
  <si>
    <t>LS</t>
  </si>
  <si>
    <t>NB</t>
  </si>
  <si>
    <t>SLB</t>
  </si>
  <si>
    <t/>
  </si>
  <si>
    <t>Pro-Style Balanced</t>
  </si>
  <si>
    <t>West Coast (Modern / Shanahan-style)</t>
  </si>
  <si>
    <t>Empty / Five-Wide</t>
  </si>
  <si>
    <t>Vertical Spread</t>
  </si>
  <si>
    <t>Spread RPO</t>
  </si>
  <si>
    <t>West Coast (Classic)</t>
  </si>
  <si>
    <t>Power Run (Gap)</t>
  </si>
  <si>
    <t>Option / Power Option</t>
  </si>
  <si>
    <t>College Hybrid (Tempo-Based)</t>
  </si>
  <si>
    <t>Aggressive Blitz-Heavy</t>
  </si>
  <si>
    <t>Cover 3 (Single-High)</t>
  </si>
  <si>
    <t>Zone Run (Outside / Wide Zone)</t>
  </si>
  <si>
    <t>4–3 Over</t>
  </si>
  <si>
    <t>Fangio Shell (Two-High Match)</t>
  </si>
  <si>
    <t>Hybrid Front (Multiple)</t>
  </si>
  <si>
    <t>Directional Control</t>
  </si>
  <si>
    <t>Aggressive Returns</t>
  </si>
  <si>
    <t>Zone Blitz</t>
  </si>
  <si>
    <t>Match Quarters</t>
  </si>
  <si>
    <t>3–4 Two-Gap</t>
  </si>
  <si>
    <t>PLY_10003</t>
  </si>
  <si>
    <t>PLY_10004</t>
  </si>
  <si>
    <t>PLY_10005</t>
  </si>
  <si>
    <t>PLY_10006</t>
  </si>
  <si>
    <t>PLY_10007</t>
  </si>
  <si>
    <t>PLY_10008</t>
  </si>
  <si>
    <t>PLY_10009</t>
  </si>
  <si>
    <t>PLY_10010</t>
  </si>
  <si>
    <t>PLY_10011</t>
  </si>
  <si>
    <t>PLY_10012</t>
  </si>
  <si>
    <t>PLY_10013</t>
  </si>
  <si>
    <t>PLY_10014</t>
  </si>
  <si>
    <t>PLY_10015</t>
  </si>
  <si>
    <t>PLY_10016</t>
  </si>
  <si>
    <t>PLY_10017</t>
  </si>
  <si>
    <t>PLY_10018</t>
  </si>
  <si>
    <t>PLY_10019</t>
  </si>
  <si>
    <t>PLY_10020</t>
  </si>
  <si>
    <t>PLY_10021</t>
  </si>
  <si>
    <t>PLY_10022</t>
  </si>
  <si>
    <t>PLY_10023</t>
  </si>
  <si>
    <t>PLY_10024</t>
  </si>
  <si>
    <t>PLY_10025</t>
  </si>
  <si>
    <t>PLY_10026</t>
  </si>
  <si>
    <t>PLY_10027</t>
  </si>
  <si>
    <t>PLY_10028</t>
  </si>
  <si>
    <t>PLY_10029</t>
  </si>
  <si>
    <t>PLY_10030</t>
  </si>
  <si>
    <t>PLY_10031</t>
  </si>
  <si>
    <t>PLY_10032</t>
  </si>
  <si>
    <t>PLY_10033</t>
  </si>
  <si>
    <t>PLY_10034</t>
  </si>
  <si>
    <t>PLY_10035</t>
  </si>
  <si>
    <t>PLY_10036</t>
  </si>
  <si>
    <t>PLY_10037</t>
  </si>
  <si>
    <t>PLY_10038</t>
  </si>
  <si>
    <t>PLY_10039</t>
  </si>
  <si>
    <t>PLY_10040</t>
  </si>
  <si>
    <t>PLY_10041</t>
  </si>
  <si>
    <t>PLY_10042</t>
  </si>
  <si>
    <t>PLY_10043</t>
  </si>
  <si>
    <t>PLY_10044</t>
  </si>
  <si>
    <t>PLY_10045</t>
  </si>
  <si>
    <t>PLY_10046</t>
  </si>
  <si>
    <t>PLY_10047</t>
  </si>
  <si>
    <t>PLY_10048</t>
  </si>
  <si>
    <t>PLY_10049</t>
  </si>
  <si>
    <t>PLY_10050</t>
  </si>
  <si>
    <t>PLY_10051</t>
  </si>
  <si>
    <t>PLY_10052</t>
  </si>
  <si>
    <t>PLY_10053</t>
  </si>
  <si>
    <t>PLY_10054</t>
  </si>
  <si>
    <t>PLY_10055</t>
  </si>
  <si>
    <t>PLY_10056</t>
  </si>
  <si>
    <t>PLY_10057</t>
  </si>
  <si>
    <t>PLY_10058</t>
  </si>
  <si>
    <t>PLY_10059</t>
  </si>
  <si>
    <t>PLY_10060</t>
  </si>
  <si>
    <t>PLY_10061</t>
  </si>
  <si>
    <t>PLY_10062</t>
  </si>
  <si>
    <t>PLY_10063</t>
  </si>
  <si>
    <t>PLY_10064</t>
  </si>
  <si>
    <t>PLY_10065</t>
  </si>
  <si>
    <t>PLY_10066</t>
  </si>
  <si>
    <t>PLY_10067</t>
  </si>
  <si>
    <t>PLY_10068</t>
  </si>
  <si>
    <t>PLY_10069</t>
  </si>
  <si>
    <t>PLY_10070</t>
  </si>
  <si>
    <t>PLY_10071</t>
  </si>
  <si>
    <t>PLY_10072</t>
  </si>
  <si>
    <t>PLY_10073</t>
  </si>
  <si>
    <t>PLY_10074</t>
  </si>
  <si>
    <t>PLY_10075</t>
  </si>
  <si>
    <t>PLY_10076</t>
  </si>
  <si>
    <t>PLY_10077</t>
  </si>
  <si>
    <t>PLY_10078</t>
  </si>
  <si>
    <t>PLY_10079</t>
  </si>
  <si>
    <t>PLY_10080</t>
  </si>
  <si>
    <t>PLY_10081</t>
  </si>
  <si>
    <t>PLY_10082</t>
  </si>
  <si>
    <t>PLY_10083</t>
  </si>
  <si>
    <t>PLY_10084</t>
  </si>
  <si>
    <t>PLY_10085</t>
  </si>
  <si>
    <t>PLY_10086</t>
  </si>
  <si>
    <t>PLY_10087</t>
  </si>
  <si>
    <t>PLY_10088</t>
  </si>
  <si>
    <t>PLY_10089</t>
  </si>
  <si>
    <t>PLY_10090</t>
  </si>
  <si>
    <t>PLY_10091</t>
  </si>
  <si>
    <t>PLY_10092</t>
  </si>
  <si>
    <t>PLY_10093</t>
  </si>
  <si>
    <t>PLY_10094</t>
  </si>
  <si>
    <t>PLY_10095</t>
  </si>
  <si>
    <t>PLY_10096</t>
  </si>
  <si>
    <t>PLY_10097</t>
  </si>
  <si>
    <t>PLY_10098</t>
  </si>
  <si>
    <t>PLY_10099</t>
  </si>
  <si>
    <t>PLY_10100</t>
  </si>
  <si>
    <t>PLY_10101</t>
  </si>
  <si>
    <t>PLY_10102</t>
  </si>
  <si>
    <t>PLY_10103</t>
  </si>
  <si>
    <t>PLY_10104</t>
  </si>
  <si>
    <t>PLY_10105</t>
  </si>
  <si>
    <t>PLY_10106</t>
  </si>
  <si>
    <t>PLY_10107</t>
  </si>
  <si>
    <t>PLY_10108</t>
  </si>
  <si>
    <t>PLY_10109</t>
  </si>
  <si>
    <t>PLY_10110</t>
  </si>
  <si>
    <t>PLY_10111</t>
  </si>
  <si>
    <t>PLY_10112</t>
  </si>
  <si>
    <t>PLY_10113</t>
  </si>
  <si>
    <t>PLY_10114</t>
  </si>
  <si>
    <t>PLY_10115</t>
  </si>
  <si>
    <t>PLY_10116</t>
  </si>
  <si>
    <t>PLY_10117</t>
  </si>
  <si>
    <t>PLY_10118</t>
  </si>
  <si>
    <t>PLY_10119</t>
  </si>
  <si>
    <t>PLY_10120</t>
  </si>
  <si>
    <t>PLY_10121</t>
  </si>
  <si>
    <t>PLY_10122</t>
  </si>
  <si>
    <t>PLY_10123</t>
  </si>
  <si>
    <t>PLY_10124</t>
  </si>
  <si>
    <t>PLY_10125</t>
  </si>
  <si>
    <t>PLY_10126</t>
  </si>
  <si>
    <t>PLY_10127</t>
  </si>
  <si>
    <t>PLY_10128</t>
  </si>
  <si>
    <t>PLY_10129</t>
  </si>
  <si>
    <t>PLY_10130</t>
  </si>
  <si>
    <t>PLY_10131</t>
  </si>
  <si>
    <t>PLY_10132</t>
  </si>
  <si>
    <t>PLY_10133</t>
  </si>
  <si>
    <t>PLY_10134</t>
  </si>
  <si>
    <t>PLY_10135</t>
  </si>
  <si>
    <t>PLY_10136</t>
  </si>
  <si>
    <t>PLY_10137</t>
  </si>
  <si>
    <t>PLY_10138</t>
  </si>
  <si>
    <t>PLY_10139</t>
  </si>
  <si>
    <t>PLY_10140</t>
  </si>
  <si>
    <t>PLY_10141</t>
  </si>
  <si>
    <t>PLY_10142</t>
  </si>
  <si>
    <t>PLY_10143</t>
  </si>
  <si>
    <t>PLY_10144</t>
  </si>
  <si>
    <t>PLY_10145</t>
  </si>
  <si>
    <t>PLY_10146</t>
  </si>
  <si>
    <t>PLY_10147</t>
  </si>
  <si>
    <t>PLY_10148</t>
  </si>
  <si>
    <t>PLY_10149</t>
  </si>
  <si>
    <t>PLY_10150</t>
  </si>
  <si>
    <t>PLY_10151</t>
  </si>
  <si>
    <t>PLY_10152</t>
  </si>
  <si>
    <t>PLY_10153</t>
  </si>
  <si>
    <t>PLY_10154</t>
  </si>
  <si>
    <t>PLY_10155</t>
  </si>
  <si>
    <t>PLY_10156</t>
  </si>
  <si>
    <t>PLY_10157</t>
  </si>
  <si>
    <t>PLY_10158</t>
  </si>
  <si>
    <t>PLY_10159</t>
  </si>
  <si>
    <t>PLY_10160</t>
  </si>
  <si>
    <t>PLY_10161</t>
  </si>
  <si>
    <t>PLY_10162</t>
  </si>
  <si>
    <t>PLY_10163</t>
  </si>
  <si>
    <t>PLY_10164</t>
  </si>
  <si>
    <t>PLY_10165</t>
  </si>
  <si>
    <t>PLY_10166</t>
  </si>
  <si>
    <t>PLY_10167</t>
  </si>
  <si>
    <t>PLY_10168</t>
  </si>
  <si>
    <t>PLY_10169</t>
  </si>
  <si>
    <t>PLY_10170</t>
  </si>
  <si>
    <t>PLY_10171</t>
  </si>
  <si>
    <t>PLY_10172</t>
  </si>
  <si>
    <t>PLY_10173</t>
  </si>
  <si>
    <t>PLY_10174</t>
  </si>
  <si>
    <t>PLY_10175</t>
  </si>
  <si>
    <t>PLY_10176</t>
  </si>
  <si>
    <t>PLY_10177</t>
  </si>
  <si>
    <t>PLY_10178</t>
  </si>
  <si>
    <t>PLY_10179</t>
  </si>
  <si>
    <t>PLY_10180</t>
  </si>
  <si>
    <t>PLY_10181</t>
  </si>
  <si>
    <t>PLY_10182</t>
  </si>
  <si>
    <t>PLY_10183</t>
  </si>
  <si>
    <t>PLY_10184</t>
  </si>
  <si>
    <t>PLY_10185</t>
  </si>
  <si>
    <t>PLY_10186</t>
  </si>
  <si>
    <t>PLY_10187</t>
  </si>
  <si>
    <t>PLY_10188</t>
  </si>
  <si>
    <t>PLY_10189</t>
  </si>
  <si>
    <t>PLY_10190</t>
  </si>
  <si>
    <t>PLY_10191</t>
  </si>
  <si>
    <t>PLY_10192</t>
  </si>
  <si>
    <t>PLY_10193</t>
  </si>
  <si>
    <t>PLY_10194</t>
  </si>
  <si>
    <t>PLY_10195</t>
  </si>
  <si>
    <t>PLY_10196</t>
  </si>
  <si>
    <t>PLY_10197</t>
  </si>
  <si>
    <t>PLY_10198</t>
  </si>
  <si>
    <t>PLY_10199</t>
  </si>
  <si>
    <t>PLY_10200</t>
  </si>
  <si>
    <t>PLY_10201</t>
  </si>
  <si>
    <t>PLY_10202</t>
  </si>
  <si>
    <t>PLY_10203</t>
  </si>
  <si>
    <t>PLY_10204</t>
  </si>
  <si>
    <t>PLY_10205</t>
  </si>
  <si>
    <t>PLY_10206</t>
  </si>
  <si>
    <t>PLY_10207</t>
  </si>
  <si>
    <t>PLY_10208</t>
  </si>
  <si>
    <t>PLY_10209</t>
  </si>
  <si>
    <t>PLY_10210</t>
  </si>
  <si>
    <t>PLY_10211</t>
  </si>
  <si>
    <t>PLY_10212</t>
  </si>
  <si>
    <t>PLY_10213</t>
  </si>
  <si>
    <t>PLY_10214</t>
  </si>
  <si>
    <t>PLY_10215</t>
  </si>
  <si>
    <t>PLY_10216</t>
  </si>
  <si>
    <t>PLY_10217</t>
  </si>
  <si>
    <t>PLY_10218</t>
  </si>
  <si>
    <t>PLY_10219</t>
  </si>
  <si>
    <t>PLY_10220</t>
  </si>
  <si>
    <t>PLY_10221</t>
  </si>
  <si>
    <t>PLY_10222</t>
  </si>
  <si>
    <t>PLY_10223</t>
  </si>
  <si>
    <t>PLY_10224</t>
  </si>
  <si>
    <t>PLY_10225</t>
  </si>
  <si>
    <t>PLY_10226</t>
  </si>
  <si>
    <t>PLY_10227</t>
  </si>
  <si>
    <t>PLY_10228</t>
  </si>
  <si>
    <t>PLY_10229</t>
  </si>
  <si>
    <t>PLY_10230</t>
  </si>
  <si>
    <t>PLY_10231</t>
  </si>
  <si>
    <t>PLY_10232</t>
  </si>
  <si>
    <t>PLY_10233</t>
  </si>
  <si>
    <t>PLY_10234</t>
  </si>
  <si>
    <t>PLY_10235</t>
  </si>
  <si>
    <t>PLY_10236</t>
  </si>
  <si>
    <t>PLY_10237</t>
  </si>
  <si>
    <t>PLY_10238</t>
  </si>
  <si>
    <t>PLY_10239</t>
  </si>
  <si>
    <t>PLY_10240</t>
  </si>
  <si>
    <t>PLY_10241</t>
  </si>
  <si>
    <t>PLY_10242</t>
  </si>
  <si>
    <t>PLY_10243</t>
  </si>
  <si>
    <t>PLY_10244</t>
  </si>
  <si>
    <t>PLY_10245</t>
  </si>
  <si>
    <t>PLY_10246</t>
  </si>
  <si>
    <t>PLY_10247</t>
  </si>
  <si>
    <t>PLY_10248</t>
  </si>
  <si>
    <t>PLY_10249</t>
  </si>
  <si>
    <t>PLY_10250</t>
  </si>
  <si>
    <t>PLY_10251</t>
  </si>
  <si>
    <t>PLY_10252</t>
  </si>
  <si>
    <t>PLY_10253</t>
  </si>
  <si>
    <t>PLY_10254</t>
  </si>
  <si>
    <t>PLY_10255</t>
  </si>
  <si>
    <t>PLY_10256</t>
  </si>
  <si>
    <t>PLY_10257</t>
  </si>
  <si>
    <t>PLY_10258</t>
  </si>
  <si>
    <t>PLY_10259</t>
  </si>
  <si>
    <t>PLY_10260</t>
  </si>
  <si>
    <t>PLY_10261</t>
  </si>
  <si>
    <t>PLY_10262</t>
  </si>
  <si>
    <t>PLY_10263</t>
  </si>
  <si>
    <t>PLY_10264</t>
  </si>
  <si>
    <t>PLY_10265</t>
  </si>
  <si>
    <t>PLY_10266</t>
  </si>
  <si>
    <t>PLY_10267</t>
  </si>
  <si>
    <t>PLY_10268</t>
  </si>
  <si>
    <t>PLY_10269</t>
  </si>
  <si>
    <t>PLY_10270</t>
  </si>
  <si>
    <t>PLY_10271</t>
  </si>
  <si>
    <t>PLY_10272</t>
  </si>
  <si>
    <t>PLY_10273</t>
  </si>
  <si>
    <t>PLY_10274</t>
  </si>
  <si>
    <t>PLY_10275</t>
  </si>
  <si>
    <t>PLY_10276</t>
  </si>
  <si>
    <t>PLY_10277</t>
  </si>
  <si>
    <t>PLY_10278</t>
  </si>
  <si>
    <t>PLY_10279</t>
  </si>
  <si>
    <t>PLY_10280</t>
  </si>
  <si>
    <t>PLY_10281</t>
  </si>
  <si>
    <t>PLY_10282</t>
  </si>
  <si>
    <t>PLY_10283</t>
  </si>
  <si>
    <t>PLY_10284</t>
  </si>
  <si>
    <t>PLY_10285</t>
  </si>
  <si>
    <t>PLY_10286</t>
  </si>
  <si>
    <t>PLY_10287</t>
  </si>
  <si>
    <t>PLY_10288</t>
  </si>
  <si>
    <t>PLY_10289</t>
  </si>
  <si>
    <t>PLY_10290</t>
  </si>
  <si>
    <t>PLY_10291</t>
  </si>
  <si>
    <t>PLY_10292</t>
  </si>
  <si>
    <t>PLY_10293</t>
  </si>
  <si>
    <t>PLY_10294</t>
  </si>
  <si>
    <t>PLY_10295</t>
  </si>
  <si>
    <t>PLY_10296</t>
  </si>
  <si>
    <t>PLY_10297</t>
  </si>
  <si>
    <t>PLY_10298</t>
  </si>
  <si>
    <t>PLY_10299</t>
  </si>
  <si>
    <t>PLY_10300</t>
  </si>
  <si>
    <t>PLY_10301</t>
  </si>
  <si>
    <t>PLY_10302</t>
  </si>
  <si>
    <t>PLY_10303</t>
  </si>
  <si>
    <t>PLY_10304</t>
  </si>
  <si>
    <t>PLY_10305</t>
  </si>
  <si>
    <t>PLY_10306</t>
  </si>
  <si>
    <t>PLY_10307</t>
  </si>
  <si>
    <t>PLY_10308</t>
  </si>
  <si>
    <t>PLY_10309</t>
  </si>
  <si>
    <t>PLY_10310</t>
  </si>
  <si>
    <t>PLY_10311</t>
  </si>
  <si>
    <t>PLY_10312</t>
  </si>
  <si>
    <t>PLY_10313</t>
  </si>
  <si>
    <t>PLY_10314</t>
  </si>
  <si>
    <t>PLY_10315</t>
  </si>
  <si>
    <t>PLY_10316</t>
  </si>
  <si>
    <t>PLY_10317</t>
  </si>
  <si>
    <t>PLY_10318</t>
  </si>
  <si>
    <t>PLY_10319</t>
  </si>
  <si>
    <t>PLY_10320</t>
  </si>
  <si>
    <t>PLY_10321</t>
  </si>
  <si>
    <t>PLY_10322</t>
  </si>
  <si>
    <t>PLY_10323</t>
  </si>
  <si>
    <t>PLY_10324</t>
  </si>
  <si>
    <t>PLY_10325</t>
  </si>
  <si>
    <t>PLY_10326</t>
  </si>
  <si>
    <t>PLY_10327</t>
  </si>
  <si>
    <t>PLY_10328</t>
  </si>
  <si>
    <t>PLY_10329</t>
  </si>
  <si>
    <t>PLY_10330</t>
  </si>
  <si>
    <t>PLY_10331</t>
  </si>
  <si>
    <t>PLY_10332</t>
  </si>
  <si>
    <t>PLY_10333</t>
  </si>
  <si>
    <t>PLY_10334</t>
  </si>
  <si>
    <t>PLY_10335</t>
  </si>
  <si>
    <t>PLY_10336</t>
  </si>
  <si>
    <t>PLY_10337</t>
  </si>
  <si>
    <t>PLY_10338</t>
  </si>
  <si>
    <t>PLY_10339</t>
  </si>
  <si>
    <t>PLY_10340</t>
  </si>
  <si>
    <t>PLY_10341</t>
  </si>
  <si>
    <t>PLY_10342</t>
  </si>
  <si>
    <t>PLY_10343</t>
  </si>
  <si>
    <t>PLY_10344</t>
  </si>
  <si>
    <t>PLY_10345</t>
  </si>
  <si>
    <t>PLY_10346</t>
  </si>
  <si>
    <t>PLY_10347</t>
  </si>
  <si>
    <t>PLY_10348</t>
  </si>
  <si>
    <t>PLY_10349</t>
  </si>
  <si>
    <t>PLY_10350</t>
  </si>
  <si>
    <t>PLY_10351</t>
  </si>
  <si>
    <t>PLY_10352</t>
  </si>
  <si>
    <t>PLY_10353</t>
  </si>
  <si>
    <t>PLY_10354</t>
  </si>
  <si>
    <t>PLY_10355</t>
  </si>
  <si>
    <t>PLY_10356</t>
  </si>
  <si>
    <t>PLY_10357</t>
  </si>
  <si>
    <t>PLY_10358</t>
  </si>
  <si>
    <t>PLY_10359</t>
  </si>
  <si>
    <t>PLY_10360</t>
  </si>
  <si>
    <t>PLY_10361</t>
  </si>
  <si>
    <t>PLY_10362</t>
  </si>
  <si>
    <t>PLY_10363</t>
  </si>
  <si>
    <t>PLY_10364</t>
  </si>
  <si>
    <t>PLY_10365</t>
  </si>
  <si>
    <t>PLY_10366</t>
  </si>
  <si>
    <t>PLY_10367</t>
  </si>
  <si>
    <t>PLY_10368</t>
  </si>
  <si>
    <t>PLY_10369</t>
  </si>
  <si>
    <t>PLY_10370</t>
  </si>
  <si>
    <t>PLY_10371</t>
  </si>
  <si>
    <t>PLY_10372</t>
  </si>
  <si>
    <t>PLY_10373</t>
  </si>
  <si>
    <t>PLY_10374</t>
  </si>
  <si>
    <t>PLY_10375</t>
  </si>
  <si>
    <t>PLY_10376</t>
  </si>
  <si>
    <t>PLY_10377</t>
  </si>
  <si>
    <t>PLY_10378</t>
  </si>
  <si>
    <t>PLY_10379</t>
  </si>
  <si>
    <t>PLY_10380</t>
  </si>
  <si>
    <t>PLY_10381</t>
  </si>
  <si>
    <t>PLY_10382</t>
  </si>
  <si>
    <t>PLY_10383</t>
  </si>
  <si>
    <t>PLY_10384</t>
  </si>
  <si>
    <t>PLY_10385</t>
  </si>
  <si>
    <t>PLY_10386</t>
  </si>
  <si>
    <t>PLY_10387</t>
  </si>
  <si>
    <t>PLY_10388</t>
  </si>
  <si>
    <t>PLY_10389</t>
  </si>
  <si>
    <t>PLY_10390</t>
  </si>
  <si>
    <t>PLY_10391</t>
  </si>
  <si>
    <t>PLY_10392</t>
  </si>
  <si>
    <t>PLY_10393</t>
  </si>
  <si>
    <t>PLY_10394</t>
  </si>
  <si>
    <t>PLY_10395</t>
  </si>
  <si>
    <t>PLY_10396</t>
  </si>
  <si>
    <t>PLY_10397</t>
  </si>
  <si>
    <t>PLY_10398</t>
  </si>
  <si>
    <t>PLY_10399</t>
  </si>
  <si>
    <t>PLY_10400</t>
  </si>
  <si>
    <t>PLY_10401</t>
  </si>
  <si>
    <t>PLY_10402</t>
  </si>
  <si>
    <t>PLY_10403</t>
  </si>
  <si>
    <t>PLY_10404</t>
  </si>
  <si>
    <t>PLY_10405</t>
  </si>
  <si>
    <t>PLY_10406</t>
  </si>
  <si>
    <t>PLY_10407</t>
  </si>
  <si>
    <t>PLY_10408</t>
  </si>
  <si>
    <t>PLY_10409</t>
  </si>
  <si>
    <t>PLY_10410</t>
  </si>
  <si>
    <t>PLY_10411</t>
  </si>
  <si>
    <t>PLY_10412</t>
  </si>
  <si>
    <t>PLY_10413</t>
  </si>
  <si>
    <t>PLY_10414</t>
  </si>
  <si>
    <t>PLY_10415</t>
  </si>
  <si>
    <t>PLY_10416</t>
  </si>
  <si>
    <t>PLY_10417</t>
  </si>
  <si>
    <t>PLY_10418</t>
  </si>
  <si>
    <t>PLY_10419</t>
  </si>
  <si>
    <t>PLY_10420</t>
  </si>
  <si>
    <t>PLY_10421</t>
  </si>
  <si>
    <t>PLY_10422</t>
  </si>
  <si>
    <t>PLY_10423</t>
  </si>
  <si>
    <t>PLY_10424</t>
  </si>
  <si>
    <t>PLY_10425</t>
  </si>
  <si>
    <t>PLY_10426</t>
  </si>
  <si>
    <t>PLY_10427</t>
  </si>
  <si>
    <t>PLY_10428</t>
  </si>
  <si>
    <t>PLY_10429</t>
  </si>
  <si>
    <t>PLY_10430</t>
  </si>
  <si>
    <t>PLY_10431</t>
  </si>
  <si>
    <t>PLY_10432</t>
  </si>
  <si>
    <t>PLY_10433</t>
  </si>
  <si>
    <t>PLY_10434</t>
  </si>
  <si>
    <t>PLY_10435</t>
  </si>
  <si>
    <t>PLY_10436</t>
  </si>
  <si>
    <t>PLY_10437</t>
  </si>
  <si>
    <t>PLY_10438</t>
  </si>
  <si>
    <t>PLY_10439</t>
  </si>
  <si>
    <t>PLY_10440</t>
  </si>
  <si>
    <t>PLY_10441</t>
  </si>
  <si>
    <t>PLY_10442</t>
  </si>
  <si>
    <t>PLY_10443</t>
  </si>
  <si>
    <t>PLY_10444</t>
  </si>
  <si>
    <t>PLY_10445</t>
  </si>
  <si>
    <t>PLY_10446</t>
  </si>
  <si>
    <t>PLY_10447</t>
  </si>
  <si>
    <t>PLY_10448</t>
  </si>
  <si>
    <t>PLY_10449</t>
  </si>
  <si>
    <t>PLY_10450</t>
  </si>
  <si>
    <t>PLY_10451</t>
  </si>
  <si>
    <t>PLY_10452</t>
  </si>
  <si>
    <t>PLY_10453</t>
  </si>
  <si>
    <t>PLY_10454</t>
  </si>
  <si>
    <t>PLY_10455</t>
  </si>
  <si>
    <t>PLY_10456</t>
  </si>
  <si>
    <t>PLY_10457</t>
  </si>
  <si>
    <t>PLY_10458</t>
  </si>
  <si>
    <t>PLY_10459</t>
  </si>
  <si>
    <t>PLY_10460</t>
  </si>
  <si>
    <t>PLY_10461</t>
  </si>
  <si>
    <t>PLY_10462</t>
  </si>
  <si>
    <t>PLY_10463</t>
  </si>
  <si>
    <t>PLY_10464</t>
  </si>
  <si>
    <t>PLY_10465</t>
  </si>
  <si>
    <t>PLY_10466</t>
  </si>
  <si>
    <t>PLY_10467</t>
  </si>
  <si>
    <t>PLY_10468</t>
  </si>
  <si>
    <t>PLY_10469</t>
  </si>
  <si>
    <t>PLY_10470</t>
  </si>
  <si>
    <t>PLY_10471</t>
  </si>
  <si>
    <t>PLY_10472</t>
  </si>
  <si>
    <t>PLY_10473</t>
  </si>
  <si>
    <t>PLY_10474</t>
  </si>
  <si>
    <t>PLY_10475</t>
  </si>
  <si>
    <t>PLY_10476</t>
  </si>
  <si>
    <t>PLY_10477</t>
  </si>
  <si>
    <t>PLY_10478</t>
  </si>
  <si>
    <t>PLY_10479</t>
  </si>
  <si>
    <t>PLY_10480</t>
  </si>
  <si>
    <t>PLY_10481</t>
  </si>
  <si>
    <t>PLY_10482</t>
  </si>
  <si>
    <t>PLY_10483</t>
  </si>
  <si>
    <t>PLY_10484</t>
  </si>
  <si>
    <t>PLY_10485</t>
  </si>
  <si>
    <t>PLY_10486</t>
  </si>
  <si>
    <t>PLY_10487</t>
  </si>
  <si>
    <t>PLY_10488</t>
  </si>
  <si>
    <t>PLY_10489</t>
  </si>
  <si>
    <t>PLY_10490</t>
  </si>
  <si>
    <t>PLY_10491</t>
  </si>
  <si>
    <t>PLY_10492</t>
  </si>
  <si>
    <t>PLY_10493</t>
  </si>
  <si>
    <t>PLY_10494</t>
  </si>
  <si>
    <t>PLY_10495</t>
  </si>
  <si>
    <t>PLY_10496</t>
  </si>
  <si>
    <t>PLY_10497</t>
  </si>
  <si>
    <t>PLY_10498</t>
  </si>
  <si>
    <t>PLY_10499</t>
  </si>
  <si>
    <t>PLY_10500</t>
  </si>
  <si>
    <t>PLY_10501</t>
  </si>
  <si>
    <t>PLY_10502</t>
  </si>
  <si>
    <t>PLY_10503</t>
  </si>
  <si>
    <t>PLY_10504</t>
  </si>
  <si>
    <t>PLY_10505</t>
  </si>
  <si>
    <t>PLY_10506</t>
  </si>
  <si>
    <t>PLY_10507</t>
  </si>
  <si>
    <t>PLY_10508</t>
  </si>
  <si>
    <t>PLY_10509</t>
  </si>
  <si>
    <t>PLY_10510</t>
  </si>
  <si>
    <t>PLY_10511</t>
  </si>
  <si>
    <t>PLY_10512</t>
  </si>
  <si>
    <t>PLY_10513</t>
  </si>
  <si>
    <t>PLY_10514</t>
  </si>
  <si>
    <t>PLY_10515</t>
  </si>
  <si>
    <t>PLY_10516</t>
  </si>
  <si>
    <t>PLY_10517</t>
  </si>
  <si>
    <t>PLY_10518</t>
  </si>
  <si>
    <t>PLY_10519</t>
  </si>
  <si>
    <t>PLY_10520</t>
  </si>
  <si>
    <t>PLY_10521</t>
  </si>
  <si>
    <t>PLY_10522</t>
  </si>
  <si>
    <t>PLY_10523</t>
  </si>
  <si>
    <t>PLY_10524</t>
  </si>
  <si>
    <t>PLY_10525</t>
  </si>
  <si>
    <t>PLY_10526</t>
  </si>
  <si>
    <t>PLY_10527</t>
  </si>
  <si>
    <t>PLY_10528</t>
  </si>
  <si>
    <t>PLY_10529</t>
  </si>
  <si>
    <t>PLY_10530</t>
  </si>
  <si>
    <t>PLY_10531</t>
  </si>
  <si>
    <t>PLY_10532</t>
  </si>
  <si>
    <t>PLY_10533</t>
  </si>
  <si>
    <t>PLY_10534</t>
  </si>
  <si>
    <t>PLY_10535</t>
  </si>
  <si>
    <t>PLY_10536</t>
  </si>
  <si>
    <t>PLY_10537</t>
  </si>
  <si>
    <t>PLY_10538</t>
  </si>
  <si>
    <t>PLY_10539</t>
  </si>
  <si>
    <t>PLY_10540</t>
  </si>
  <si>
    <t>PLY_10541</t>
  </si>
  <si>
    <t>PLY_10542</t>
  </si>
  <si>
    <t>PLY_10543</t>
  </si>
  <si>
    <t>PLY_10544</t>
  </si>
  <si>
    <t>PLY_10545</t>
  </si>
  <si>
    <t>PLY_10546</t>
  </si>
  <si>
    <t>PLY_10547</t>
  </si>
  <si>
    <t>PLY_10548</t>
  </si>
  <si>
    <t>PLY_10549</t>
  </si>
  <si>
    <t>PLY_10550</t>
  </si>
  <si>
    <t>PLY_10551</t>
  </si>
  <si>
    <t>PLY_10552</t>
  </si>
  <si>
    <t>PLY_10553</t>
  </si>
  <si>
    <t>PLY_10554</t>
  </si>
  <si>
    <t>PLY_10555</t>
  </si>
  <si>
    <t>PLY_10556</t>
  </si>
  <si>
    <t>PLY_10557</t>
  </si>
  <si>
    <t>PLY_10558</t>
  </si>
  <si>
    <t>PLY_10559</t>
  </si>
  <si>
    <t>PLY_10560</t>
  </si>
  <si>
    <t>PLY_10561</t>
  </si>
  <si>
    <t>PLY_10562</t>
  </si>
  <si>
    <t>PLY_10563</t>
  </si>
  <si>
    <t>PLY_10564</t>
  </si>
  <si>
    <t>PLY_10565</t>
  </si>
  <si>
    <t>PLY_10566</t>
  </si>
  <si>
    <t>PLY_10567</t>
  </si>
  <si>
    <t>PLY_10568</t>
  </si>
  <si>
    <t>PLY_10569</t>
  </si>
  <si>
    <t>PLY_10570</t>
  </si>
  <si>
    <t>PLY_10571</t>
  </si>
  <si>
    <t>PLY_10572</t>
  </si>
  <si>
    <t>PLY_10573</t>
  </si>
  <si>
    <t>PLY_10574</t>
  </si>
  <si>
    <t>PLY_10575</t>
  </si>
  <si>
    <t>PLY_10576</t>
  </si>
  <si>
    <t>PLY_10577</t>
  </si>
  <si>
    <t>PLY_10578</t>
  </si>
  <si>
    <t>PLY_10579</t>
  </si>
  <si>
    <t>PLY_10580</t>
  </si>
  <si>
    <t>PLY_10581</t>
  </si>
  <si>
    <t>PLY_10582</t>
  </si>
  <si>
    <t>PLY_10583</t>
  </si>
  <si>
    <t>PLY_10584</t>
  </si>
  <si>
    <t>PLY_10585</t>
  </si>
  <si>
    <t>PLY_10586</t>
  </si>
  <si>
    <t>PLY_10587</t>
  </si>
  <si>
    <t>PLY_10588</t>
  </si>
  <si>
    <t>PLY_10589</t>
  </si>
  <si>
    <t>PLY_10590</t>
  </si>
  <si>
    <t>PLY_10591</t>
  </si>
  <si>
    <t>PLY_10592</t>
  </si>
  <si>
    <t>PLY_10593</t>
  </si>
  <si>
    <t>PLY_10594</t>
  </si>
  <si>
    <t>PLY_10595</t>
  </si>
  <si>
    <t>PLY_10596</t>
  </si>
  <si>
    <t>PLY_10597</t>
  </si>
  <si>
    <t>PLY_10598</t>
  </si>
  <si>
    <t>PLY_10599</t>
  </si>
  <si>
    <t>PLY_10600</t>
  </si>
  <si>
    <t>PLY_10601</t>
  </si>
  <si>
    <t>PLY_10602</t>
  </si>
  <si>
    <t>PLY_10603</t>
  </si>
  <si>
    <t>PLY_10604</t>
  </si>
  <si>
    <t>PLY_10605</t>
  </si>
  <si>
    <t>PLY_10606</t>
  </si>
  <si>
    <t>PLY_10607</t>
  </si>
  <si>
    <t>PLY_10608</t>
  </si>
  <si>
    <t>PLY_10609</t>
  </si>
  <si>
    <t>PLY_10610</t>
  </si>
  <si>
    <t>PLY_10611</t>
  </si>
  <si>
    <t>PLY_10612</t>
  </si>
  <si>
    <t>PLY_10613</t>
  </si>
  <si>
    <t>PLY_10614</t>
  </si>
  <si>
    <t>PLY_10615</t>
  </si>
  <si>
    <t>PLY_10616</t>
  </si>
  <si>
    <t>PLY_10617</t>
  </si>
  <si>
    <t>PLY_10618</t>
  </si>
  <si>
    <t>PLY_10619</t>
  </si>
  <si>
    <t>PLY_10620</t>
  </si>
  <si>
    <t>PLY_10621</t>
  </si>
  <si>
    <t>PLY_10622</t>
  </si>
  <si>
    <t>PLY_10623</t>
  </si>
  <si>
    <t>PLY_10624</t>
  </si>
  <si>
    <t>PLY_10625</t>
  </si>
  <si>
    <t>PLY_10626</t>
  </si>
  <si>
    <t>PLY_10627</t>
  </si>
  <si>
    <t>PLY_10628</t>
  </si>
  <si>
    <t>PLY_10629</t>
  </si>
  <si>
    <t>PLY_10630</t>
  </si>
  <si>
    <t>PLY_10631</t>
  </si>
  <si>
    <t>PLY_10632</t>
  </si>
  <si>
    <t>PLY_10633</t>
  </si>
  <si>
    <t>PLY_10634</t>
  </si>
  <si>
    <t>PLY_10635</t>
  </si>
  <si>
    <t>PLY_10636</t>
  </si>
  <si>
    <t>PLY_10637</t>
  </si>
  <si>
    <t>PLY_10638</t>
  </si>
  <si>
    <t>PLY_10639</t>
  </si>
  <si>
    <t>PLY_10640</t>
  </si>
  <si>
    <t>PLY_10641</t>
  </si>
  <si>
    <t>PLY_10642</t>
  </si>
  <si>
    <t>PLY_10643</t>
  </si>
  <si>
    <t>PLY_10644</t>
  </si>
  <si>
    <t>PLY_10645</t>
  </si>
  <si>
    <t>PLY_10646</t>
  </si>
  <si>
    <t>PLY_10647</t>
  </si>
  <si>
    <t>PLY_10648</t>
  </si>
  <si>
    <t>PLY_10649</t>
  </si>
  <si>
    <t>PLY_10650</t>
  </si>
  <si>
    <t>PLY_10651</t>
  </si>
  <si>
    <t>PLY_10652</t>
  </si>
  <si>
    <t>PLY_10653</t>
  </si>
  <si>
    <t>PLY_10654</t>
  </si>
  <si>
    <t>PLY_10655</t>
  </si>
  <si>
    <t>PLY_10656</t>
  </si>
  <si>
    <t>PLY_10657</t>
  </si>
  <si>
    <t>PLY_10658</t>
  </si>
  <si>
    <t>PLY_10659</t>
  </si>
  <si>
    <t>PLY_10660</t>
  </si>
  <si>
    <t>PLY_10661</t>
  </si>
  <si>
    <t>PLY_10662</t>
  </si>
  <si>
    <t>PLY_10663</t>
  </si>
  <si>
    <t>PLY_10664</t>
  </si>
  <si>
    <t>PLY_10665</t>
  </si>
  <si>
    <t>PLY_10666</t>
  </si>
  <si>
    <t>PLY_10667</t>
  </si>
  <si>
    <t>PLY_10668</t>
  </si>
  <si>
    <t>PLY_10669</t>
  </si>
  <si>
    <t>PLY_10670</t>
  </si>
  <si>
    <t>PLY_10671</t>
  </si>
  <si>
    <t>PLY_10672</t>
  </si>
  <si>
    <t>PLY_10673</t>
  </si>
  <si>
    <t>PLY_10674</t>
  </si>
  <si>
    <t>PLY_10675</t>
  </si>
  <si>
    <t>PLY_10676</t>
  </si>
  <si>
    <t>PLY_10677</t>
  </si>
  <si>
    <t>PLY_10678</t>
  </si>
  <si>
    <t>PLY_10679</t>
  </si>
  <si>
    <t>PLY_10680</t>
  </si>
  <si>
    <t>PLY_10681</t>
  </si>
  <si>
    <t>PLY_10682</t>
  </si>
  <si>
    <t>PLY_10683</t>
  </si>
  <si>
    <t>PLY_10684</t>
  </si>
  <si>
    <t>PLY_10685</t>
  </si>
  <si>
    <t>PLY_10686</t>
  </si>
  <si>
    <t>PLY_10687</t>
  </si>
  <si>
    <t>PLY_10688</t>
  </si>
  <si>
    <t>PLY_10689</t>
  </si>
  <si>
    <t>PLY_10690</t>
  </si>
  <si>
    <t>PLY_10691</t>
  </si>
  <si>
    <t>PLY_10692</t>
  </si>
  <si>
    <t>PLY_10693</t>
  </si>
  <si>
    <t>PLY_10694</t>
  </si>
  <si>
    <t>PLY_10695</t>
  </si>
  <si>
    <t>PLY_10696</t>
  </si>
  <si>
    <t>PLY_10697</t>
  </si>
  <si>
    <t>PLY_10698</t>
  </si>
  <si>
    <t>PLY_10699</t>
  </si>
  <si>
    <t>PLY_10700</t>
  </si>
  <si>
    <t>PLY_10701</t>
  </si>
  <si>
    <t>PLY_10702</t>
  </si>
  <si>
    <t>PLY_10703</t>
  </si>
  <si>
    <t>PLY_10704</t>
  </si>
  <si>
    <t>PLY_10705</t>
  </si>
  <si>
    <t>PLY_10706</t>
  </si>
  <si>
    <t>PLY_10707</t>
  </si>
  <si>
    <t>PLY_10708</t>
  </si>
  <si>
    <t>PLY_10709</t>
  </si>
  <si>
    <t>PLY_10710</t>
  </si>
  <si>
    <t>PLY_10711</t>
  </si>
  <si>
    <t>PLY_10712</t>
  </si>
  <si>
    <t>PLY_10713</t>
  </si>
  <si>
    <t>PLY_10714</t>
  </si>
  <si>
    <t>PLY_10715</t>
  </si>
  <si>
    <t>PLY_10716</t>
  </si>
  <si>
    <t>PLY_10717</t>
  </si>
  <si>
    <t>PLY_10718</t>
  </si>
  <si>
    <t>PLY_10719</t>
  </si>
  <si>
    <t>PLY_10720</t>
  </si>
  <si>
    <t>PLY_10721</t>
  </si>
  <si>
    <t>PLY_10722</t>
  </si>
  <si>
    <t>PLY_10723</t>
  </si>
  <si>
    <t>PLY_10724</t>
  </si>
  <si>
    <t>PLY_10725</t>
  </si>
  <si>
    <t>PLY_10726</t>
  </si>
  <si>
    <t>PLY_10727</t>
  </si>
  <si>
    <t>PLY_10728</t>
  </si>
  <si>
    <t>PLY_10729</t>
  </si>
  <si>
    <t>PLY_10730</t>
  </si>
  <si>
    <t>PLY_10731</t>
  </si>
  <si>
    <t>PLY_10732</t>
  </si>
  <si>
    <t>PLY_10733</t>
  </si>
  <si>
    <t>PLY_10734</t>
  </si>
  <si>
    <t>PLY_10735</t>
  </si>
  <si>
    <t>PLY_10736</t>
  </si>
  <si>
    <t>PLY_10737</t>
  </si>
  <si>
    <t>PLY_10738</t>
  </si>
  <si>
    <t>PLY_10739</t>
  </si>
  <si>
    <t>PLY_10740</t>
  </si>
  <si>
    <t>PLY_10741</t>
  </si>
  <si>
    <t>PLY_10742</t>
  </si>
  <si>
    <t>PLY_10743</t>
  </si>
  <si>
    <t>PLY_10744</t>
  </si>
  <si>
    <t>PLY_10745</t>
  </si>
  <si>
    <t>PLY_10746</t>
  </si>
  <si>
    <t>PLY_10747</t>
  </si>
  <si>
    <t>PLY_10748</t>
  </si>
  <si>
    <t>PLY_10749</t>
  </si>
  <si>
    <t>PLY_10750</t>
  </si>
  <si>
    <t>PLY_10751</t>
  </si>
  <si>
    <t>PLY_10752</t>
  </si>
  <si>
    <t>PLY_10753</t>
  </si>
  <si>
    <t>PLY_10754</t>
  </si>
  <si>
    <t>PLY_10755</t>
  </si>
  <si>
    <t>PLY_10756</t>
  </si>
  <si>
    <t>PLY_10757</t>
  </si>
  <si>
    <t>PLY_10758</t>
  </si>
  <si>
    <t>PLY_10759</t>
  </si>
  <si>
    <t>PLY_10760</t>
  </si>
  <si>
    <t>PLY_10761</t>
  </si>
  <si>
    <t>PLY_10762</t>
  </si>
  <si>
    <t>PLY_10763</t>
  </si>
  <si>
    <t>PLY_10764</t>
  </si>
  <si>
    <t>PLY_10765</t>
  </si>
  <si>
    <t>PLY_10766</t>
  </si>
  <si>
    <t>PLY_10767</t>
  </si>
  <si>
    <t>PLY_10768</t>
  </si>
  <si>
    <t>PLY_10769</t>
  </si>
  <si>
    <t>PLY_10770</t>
  </si>
  <si>
    <t>PLY_10771</t>
  </si>
  <si>
    <t>PLY_10772</t>
  </si>
  <si>
    <t>PLY_10773</t>
  </si>
  <si>
    <t>PLY_10774</t>
  </si>
  <si>
    <t>PLY_10775</t>
  </si>
  <si>
    <t>PLY_10776</t>
  </si>
  <si>
    <t>PLY_10777</t>
  </si>
  <si>
    <t>PLY_10778</t>
  </si>
  <si>
    <t>PLY_10779</t>
  </si>
  <si>
    <t>PLY_10780</t>
  </si>
  <si>
    <t>PLY_10781</t>
  </si>
  <si>
    <t>PLY_10782</t>
  </si>
  <si>
    <t>PLY_10783</t>
  </si>
  <si>
    <t>PLY_10784</t>
  </si>
  <si>
    <t>PLY_10785</t>
  </si>
  <si>
    <t>PLY_10786</t>
  </si>
  <si>
    <t>PLY_10787</t>
  </si>
  <si>
    <t>PLY_10788</t>
  </si>
  <si>
    <t>PLY_10789</t>
  </si>
  <si>
    <t>PLY_10790</t>
  </si>
  <si>
    <t>PLY_10791</t>
  </si>
  <si>
    <t>PLY_10792</t>
  </si>
  <si>
    <t>PLY_10793</t>
  </si>
  <si>
    <t>PLY_10794</t>
  </si>
  <si>
    <t>PLY_10795</t>
  </si>
  <si>
    <t>PLY_10796</t>
  </si>
  <si>
    <t>PLY_10797</t>
  </si>
  <si>
    <t>PLY_10798</t>
  </si>
  <si>
    <t>PLY_10799</t>
  </si>
  <si>
    <t>PLY_10800</t>
  </si>
  <si>
    <t>PLY_10801</t>
  </si>
  <si>
    <t>PLY_10802</t>
  </si>
  <si>
    <t>PLY_10803</t>
  </si>
  <si>
    <t>PLY_10804</t>
  </si>
  <si>
    <t>PLY_10805</t>
  </si>
  <si>
    <t>PLY_10806</t>
  </si>
  <si>
    <t>PLY_10807</t>
  </si>
  <si>
    <t>PLY_10808</t>
  </si>
  <si>
    <t>PLY_10809</t>
  </si>
  <si>
    <t>PLY_10810</t>
  </si>
  <si>
    <t>PLY_10811</t>
  </si>
  <si>
    <t>PLY_10812</t>
  </si>
  <si>
    <t>PLY_10813</t>
  </si>
  <si>
    <t>PLY_10814</t>
  </si>
  <si>
    <t>PLY_10815</t>
  </si>
  <si>
    <t>PLY_10816</t>
  </si>
  <si>
    <t>PLY_10817</t>
  </si>
  <si>
    <t>PLY_10818</t>
  </si>
  <si>
    <t>PLY_10819</t>
  </si>
  <si>
    <t>PLY_10820</t>
  </si>
  <si>
    <t>PLY_10821</t>
  </si>
  <si>
    <t>PLY_10822</t>
  </si>
  <si>
    <t>PLY_10823</t>
  </si>
  <si>
    <t>PLY_10824</t>
  </si>
  <si>
    <t>PLY_10825</t>
  </si>
  <si>
    <t>PLY_10826</t>
  </si>
  <si>
    <t>PLY_10827</t>
  </si>
  <si>
    <t>PLY_10828</t>
  </si>
  <si>
    <t>PLY_10829</t>
  </si>
  <si>
    <t>PLY_10830</t>
  </si>
  <si>
    <t>PLY_10831</t>
  </si>
  <si>
    <t>PLY_10832</t>
  </si>
  <si>
    <t>PLY_10833</t>
  </si>
  <si>
    <t>PLY_10834</t>
  </si>
  <si>
    <t>PLY_10835</t>
  </si>
  <si>
    <t>PLY_10836</t>
  </si>
  <si>
    <t>PLY_10837</t>
  </si>
  <si>
    <t>PLY_10838</t>
  </si>
  <si>
    <t>PLY_10839</t>
  </si>
  <si>
    <t>PLY_10840</t>
  </si>
  <si>
    <t>PLY_10841</t>
  </si>
  <si>
    <t>PLY_10842</t>
  </si>
  <si>
    <t>PLY_10843</t>
  </si>
  <si>
    <t>PLY_10844</t>
  </si>
  <si>
    <t>PLY_10845</t>
  </si>
  <si>
    <t>PLY_10846</t>
  </si>
  <si>
    <t>PLY_10847</t>
  </si>
  <si>
    <t>PLY_10848</t>
  </si>
  <si>
    <t>PLY_10849</t>
  </si>
  <si>
    <t>PLY_10850</t>
  </si>
  <si>
    <t>PLY_10851</t>
  </si>
  <si>
    <t>PLY_10852</t>
  </si>
  <si>
    <t>PLY_10853</t>
  </si>
  <si>
    <t>PLY_10854</t>
  </si>
  <si>
    <t>PLY_10855</t>
  </si>
  <si>
    <t>PLY_10856</t>
  </si>
  <si>
    <t>PLY_10857</t>
  </si>
  <si>
    <t>PLY_10858</t>
  </si>
  <si>
    <t>PLY_10859</t>
  </si>
  <si>
    <t>PLY_10860</t>
  </si>
  <si>
    <t>PLY_10861</t>
  </si>
  <si>
    <t>PLY_10862</t>
  </si>
  <si>
    <t>PLY_10863</t>
  </si>
  <si>
    <t>PLY_10864</t>
  </si>
  <si>
    <t>PLY_10865</t>
  </si>
  <si>
    <t>PLY_10866</t>
  </si>
  <si>
    <t>PLY_10867</t>
  </si>
  <si>
    <t>PLY_10868</t>
  </si>
  <si>
    <t>PLY_10869</t>
  </si>
  <si>
    <t>PLY_10870</t>
  </si>
  <si>
    <t>PLY_10871</t>
  </si>
  <si>
    <t>PLY_10872</t>
  </si>
  <si>
    <t>PLY_10873</t>
  </si>
  <si>
    <t>PLY_10874</t>
  </si>
  <si>
    <t>PLY_10875</t>
  </si>
  <si>
    <t>PLY_10876</t>
  </si>
  <si>
    <t>PLY_10877</t>
  </si>
  <si>
    <t>PLY_10878</t>
  </si>
  <si>
    <t>PLY_10879</t>
  </si>
  <si>
    <t>PLY_10880</t>
  </si>
  <si>
    <t>PLY_10881</t>
  </si>
  <si>
    <t>PLY_10882</t>
  </si>
  <si>
    <t>PLY_10883</t>
  </si>
  <si>
    <t>PLY_10884</t>
  </si>
  <si>
    <t>PLY_10885</t>
  </si>
  <si>
    <t>PLY_10886</t>
  </si>
  <si>
    <t>PLY_10887</t>
  </si>
  <si>
    <t>PLY_10888</t>
  </si>
  <si>
    <t>PLY_10889</t>
  </si>
  <si>
    <t>PLY_10890</t>
  </si>
  <si>
    <t>PLY_10891</t>
  </si>
  <si>
    <t>PLY_10892</t>
  </si>
  <si>
    <t>PLY_10893</t>
  </si>
  <si>
    <t>PLY_10894</t>
  </si>
  <si>
    <t>PLY_10895</t>
  </si>
  <si>
    <t>PLY_10896</t>
  </si>
  <si>
    <t>PLY_10897</t>
  </si>
  <si>
    <t>PLY_10898</t>
  </si>
  <si>
    <t>PLY_10899</t>
  </si>
  <si>
    <t>PLY_10900</t>
  </si>
  <si>
    <t>PLY_10901</t>
  </si>
  <si>
    <t>PLY_10902</t>
  </si>
  <si>
    <t>PLY_10903</t>
  </si>
  <si>
    <t>PLY_10904</t>
  </si>
  <si>
    <t>PLY_10905</t>
  </si>
  <si>
    <t>PLY_10906</t>
  </si>
  <si>
    <t>PLY_10907</t>
  </si>
  <si>
    <t>PLY_10908</t>
  </si>
  <si>
    <t>PLY_10909</t>
  </si>
  <si>
    <t>PLY_10910</t>
  </si>
  <si>
    <t>PLY_10911</t>
  </si>
  <si>
    <t>PLY_10912</t>
  </si>
  <si>
    <t>PLY_10913</t>
  </si>
  <si>
    <t>PLY_10914</t>
  </si>
  <si>
    <t>PLY_10915</t>
  </si>
  <si>
    <t>PLY_10916</t>
  </si>
  <si>
    <t>PLY_10917</t>
  </si>
  <si>
    <t>PLY_10918</t>
  </si>
  <si>
    <t>PLY_10919</t>
  </si>
  <si>
    <t>PLY_10920</t>
  </si>
  <si>
    <t>PLY_10921</t>
  </si>
  <si>
    <t>PLY_10922</t>
  </si>
  <si>
    <t>PLY_10923</t>
  </si>
  <si>
    <t>PLY_10924</t>
  </si>
  <si>
    <t>PLY_10925</t>
  </si>
  <si>
    <t>PLY_10926</t>
  </si>
  <si>
    <t>PLY_10927</t>
  </si>
  <si>
    <t>PLY_10928</t>
  </si>
  <si>
    <t>PLY_10929</t>
  </si>
  <si>
    <t>PLY_10930</t>
  </si>
  <si>
    <t>PLY_10931</t>
  </si>
  <si>
    <t>PLY_10932</t>
  </si>
  <si>
    <t>PLY_10933</t>
  </si>
  <si>
    <t>PLY_10934</t>
  </si>
  <si>
    <t>PLY_10935</t>
  </si>
  <si>
    <t>PLY_10936</t>
  </si>
  <si>
    <t>PLY_10937</t>
  </si>
  <si>
    <t>PLY_10938</t>
  </si>
  <si>
    <t>PLY_10939</t>
  </si>
  <si>
    <t>PLY_10940</t>
  </si>
  <si>
    <t>PLY_10941</t>
  </si>
  <si>
    <t>PLY_10942</t>
  </si>
  <si>
    <t>PLY_10943</t>
  </si>
  <si>
    <t>PLY_10944</t>
  </si>
  <si>
    <t>PLY_10945</t>
  </si>
  <si>
    <t>PLY_10946</t>
  </si>
  <si>
    <t>PLY_10947</t>
  </si>
  <si>
    <t>PLY_10948</t>
  </si>
  <si>
    <t>PLY_10949</t>
  </si>
  <si>
    <t>PLY_10950</t>
  </si>
  <si>
    <t>PLY_10951</t>
  </si>
  <si>
    <t>PLY_10952</t>
  </si>
  <si>
    <t>PLY_10953</t>
  </si>
  <si>
    <t>PLY_10954</t>
  </si>
  <si>
    <t>PLY_10955</t>
  </si>
  <si>
    <t>PLY_10956</t>
  </si>
  <si>
    <t>PLY_10957</t>
  </si>
  <si>
    <t>PLY_10958</t>
  </si>
  <si>
    <t>PLY_10959</t>
  </si>
  <si>
    <t>PLY_10960</t>
  </si>
  <si>
    <t>PLY_10961</t>
  </si>
  <si>
    <t>PLY_10962</t>
  </si>
  <si>
    <t>PLY_10963</t>
  </si>
  <si>
    <t>PLY_10964</t>
  </si>
  <si>
    <t>PLY_10965</t>
  </si>
  <si>
    <t>PLY_10966</t>
  </si>
  <si>
    <t>PLY_10967</t>
  </si>
  <si>
    <t>PLY_10968</t>
  </si>
  <si>
    <t>PLY_10969</t>
  </si>
  <si>
    <t>PLY_10970</t>
  </si>
  <si>
    <t>PLY_10971</t>
  </si>
  <si>
    <t>PLY_10972</t>
  </si>
  <si>
    <t>PLY_10973</t>
  </si>
  <si>
    <t>PLY_10974</t>
  </si>
  <si>
    <t>PLY_10975</t>
  </si>
  <si>
    <t>PLY_10976</t>
  </si>
  <si>
    <t>PLY_10977</t>
  </si>
  <si>
    <t>PLY_10978</t>
  </si>
  <si>
    <t>PLY_10979</t>
  </si>
  <si>
    <t>PLY_10980</t>
  </si>
  <si>
    <t>PLY_10981</t>
  </si>
  <si>
    <t>PLY_10982</t>
  </si>
  <si>
    <t>PLY_10983</t>
  </si>
  <si>
    <t>PLY_10984</t>
  </si>
  <si>
    <t>PLY_10985</t>
  </si>
  <si>
    <t>PLY_10986</t>
  </si>
  <si>
    <t>PLY_10987</t>
  </si>
  <si>
    <t>PLY_10988</t>
  </si>
  <si>
    <t>PLY_10989</t>
  </si>
  <si>
    <t>PLY_10990</t>
  </si>
  <si>
    <t>PLY_10991</t>
  </si>
  <si>
    <t>PLY_10992</t>
  </si>
  <si>
    <t>PLY_10993</t>
  </si>
  <si>
    <t>PLY_10994</t>
  </si>
  <si>
    <t>PLY_10995</t>
  </si>
  <si>
    <t>PLY_10996</t>
  </si>
  <si>
    <t>PLY_10997</t>
  </si>
  <si>
    <t>PLY_10998</t>
  </si>
  <si>
    <t>PLY_10999</t>
  </si>
  <si>
    <t>PLY_11000</t>
  </si>
  <si>
    <t>PLY_11001</t>
  </si>
  <si>
    <t>PLY_11002</t>
  </si>
  <si>
    <t>PLY_11003</t>
  </si>
  <si>
    <t>PLY_11004</t>
  </si>
  <si>
    <t>PLY_11005</t>
  </si>
  <si>
    <t>PLY_11006</t>
  </si>
  <si>
    <t>PLY_11007</t>
  </si>
  <si>
    <t>PLY_11008</t>
  </si>
  <si>
    <t>PLY_11009</t>
  </si>
  <si>
    <t>PLY_11010</t>
  </si>
  <si>
    <t>PLY_11011</t>
  </si>
  <si>
    <t>PLY_11012</t>
  </si>
  <si>
    <t>PLY_11013</t>
  </si>
  <si>
    <t>PLY_11014</t>
  </si>
  <si>
    <t>PLY_11015</t>
  </si>
  <si>
    <t>PLY_11016</t>
  </si>
  <si>
    <t>PLY_11017</t>
  </si>
  <si>
    <t>PLY_11018</t>
  </si>
  <si>
    <t>PLY_11019</t>
  </si>
  <si>
    <t>PLY_11020</t>
  </si>
  <si>
    <t>PLY_11021</t>
  </si>
  <si>
    <t>PLY_11022</t>
  </si>
  <si>
    <t>PLY_11023</t>
  </si>
  <si>
    <t>PLY_11024</t>
  </si>
  <si>
    <t>PLY_11025</t>
  </si>
  <si>
    <t>PLY_11026</t>
  </si>
  <si>
    <t>PLY_11027</t>
  </si>
  <si>
    <t>PLY_11028</t>
  </si>
  <si>
    <t>PLY_11029</t>
  </si>
  <si>
    <t>PLY_11030</t>
  </si>
  <si>
    <t>PLY_11031</t>
  </si>
  <si>
    <t>PLY_11032</t>
  </si>
  <si>
    <t>PLY_11033</t>
  </si>
  <si>
    <t>PLY_11034</t>
  </si>
  <si>
    <t>PLY_11035</t>
  </si>
  <si>
    <t>PLY_11036</t>
  </si>
  <si>
    <t>PLY_11037</t>
  </si>
  <si>
    <t>PLY_11038</t>
  </si>
  <si>
    <t>PLY_11039</t>
  </si>
  <si>
    <t>PLY_11040</t>
  </si>
  <si>
    <t>PLY_11041</t>
  </si>
  <si>
    <t>PLY_11042</t>
  </si>
  <si>
    <t>PLY_11043</t>
  </si>
  <si>
    <t>PLY_11044</t>
  </si>
  <si>
    <t>PLY_11045</t>
  </si>
  <si>
    <t>PLY_11046</t>
  </si>
  <si>
    <t>PLY_11047</t>
  </si>
  <si>
    <t>PLY_11048</t>
  </si>
  <si>
    <t>PLY_11049</t>
  </si>
  <si>
    <t>PLY_11050</t>
  </si>
  <si>
    <t>PLY_11051</t>
  </si>
  <si>
    <t>PLY_11052</t>
  </si>
  <si>
    <t>PLY_11053</t>
  </si>
  <si>
    <t>PLY_11054</t>
  </si>
  <si>
    <t>PLY_11055</t>
  </si>
  <si>
    <t>PLY_11056</t>
  </si>
  <si>
    <t>PLY_11057</t>
  </si>
  <si>
    <t>PLY_11058</t>
  </si>
  <si>
    <t>PLY_11059</t>
  </si>
  <si>
    <t>PLY_11060</t>
  </si>
  <si>
    <t>PLY_11061</t>
  </si>
  <si>
    <t>PLY_11062</t>
  </si>
  <si>
    <t>PLY_11063</t>
  </si>
  <si>
    <t>PLY_11064</t>
  </si>
  <si>
    <t>PLY_11065</t>
  </si>
  <si>
    <t>PLY_11066</t>
  </si>
  <si>
    <t>PLY_11067</t>
  </si>
  <si>
    <t>PLY_11068</t>
  </si>
  <si>
    <t>PLY_11069</t>
  </si>
  <si>
    <t>PLY_11070</t>
  </si>
  <si>
    <t>PLY_11071</t>
  </si>
  <si>
    <t>PLY_11072</t>
  </si>
  <si>
    <t>PLY_11073</t>
  </si>
  <si>
    <t>PLY_11074</t>
  </si>
  <si>
    <t>PLY_11075</t>
  </si>
  <si>
    <t>PLY_11076</t>
  </si>
  <si>
    <t>PLY_11077</t>
  </si>
  <si>
    <t>PLY_11078</t>
  </si>
  <si>
    <t>PLY_11079</t>
  </si>
  <si>
    <t>PLY_11080</t>
  </si>
  <si>
    <t>PLY_11081</t>
  </si>
  <si>
    <t>PLY_11082</t>
  </si>
  <si>
    <t>PLY_11083</t>
  </si>
  <si>
    <t>PLY_11084</t>
  </si>
  <si>
    <t>PLY_11085</t>
  </si>
  <si>
    <t>PLY_11086</t>
  </si>
  <si>
    <t>PLY_11087</t>
  </si>
  <si>
    <t>PLY_11088</t>
  </si>
  <si>
    <t>PLY_11089</t>
  </si>
  <si>
    <t>PLY_11090</t>
  </si>
  <si>
    <t>PLY_11091</t>
  </si>
  <si>
    <t>PLY_11092</t>
  </si>
  <si>
    <t>PLY_11093</t>
  </si>
  <si>
    <t>PLY_11094</t>
  </si>
  <si>
    <t>PLY_11095</t>
  </si>
  <si>
    <t>PLY_11096</t>
  </si>
  <si>
    <t>PLY_11097</t>
  </si>
  <si>
    <t>PLY_11098</t>
  </si>
  <si>
    <t>PLY_11099</t>
  </si>
  <si>
    <t>PLY_11100</t>
  </si>
  <si>
    <t>PLY_11101</t>
  </si>
  <si>
    <t>PLY_11102</t>
  </si>
  <si>
    <t>PLY_11103</t>
  </si>
  <si>
    <t>PLY_11104</t>
  </si>
  <si>
    <t>PLY_11105</t>
  </si>
  <si>
    <t>PLY_11106</t>
  </si>
  <si>
    <t>PLY_11107</t>
  </si>
  <si>
    <t>PLY_11108</t>
  </si>
  <si>
    <t>PLY_11109</t>
  </si>
  <si>
    <t>PLY_11110</t>
  </si>
  <si>
    <t>PLY_11111</t>
  </si>
  <si>
    <t>PLY_11112</t>
  </si>
  <si>
    <t>PLY_11113</t>
  </si>
  <si>
    <t>PLY_11114</t>
  </si>
  <si>
    <t>PLY_11115</t>
  </si>
  <si>
    <t>PLY_11116</t>
  </si>
  <si>
    <t>PLY_11117</t>
  </si>
  <si>
    <t>PLY_11118</t>
  </si>
  <si>
    <t>PLY_11119</t>
  </si>
  <si>
    <t>PLY_11120</t>
  </si>
  <si>
    <t>PLY_11121</t>
  </si>
  <si>
    <t>PLY_11122</t>
  </si>
  <si>
    <t>PLY_11123</t>
  </si>
  <si>
    <t>PLY_11124</t>
  </si>
  <si>
    <t>PLY_11125</t>
  </si>
  <si>
    <t>PLY_11126</t>
  </si>
  <si>
    <t>PLY_11127</t>
  </si>
  <si>
    <t>PLY_11128</t>
  </si>
  <si>
    <t>PLY_11129</t>
  </si>
  <si>
    <t>PLY_11130</t>
  </si>
  <si>
    <t>PLY_11131</t>
  </si>
  <si>
    <t>PLY_11132</t>
  </si>
  <si>
    <t>PLY_11133</t>
  </si>
  <si>
    <t>PLY_11134</t>
  </si>
  <si>
    <t>PLY_11135</t>
  </si>
  <si>
    <t>PLY_11136</t>
  </si>
  <si>
    <t>PLY_11137</t>
  </si>
  <si>
    <t>PLY_11138</t>
  </si>
  <si>
    <t>PLY_11139</t>
  </si>
  <si>
    <t>PLY_11140</t>
  </si>
  <si>
    <t>PLY_11141</t>
  </si>
  <si>
    <t>PLY_11142</t>
  </si>
  <si>
    <t>PLY_11143</t>
  </si>
  <si>
    <t>PLY_11144</t>
  </si>
  <si>
    <t>PLY_11145</t>
  </si>
  <si>
    <t>PLY_11146</t>
  </si>
  <si>
    <t>PLY_11147</t>
  </si>
  <si>
    <t>PLY_11148</t>
  </si>
  <si>
    <t>PLY_11149</t>
  </si>
  <si>
    <t>PLY_11150</t>
  </si>
  <si>
    <t>PLY_11151</t>
  </si>
  <si>
    <t>PLY_11152</t>
  </si>
  <si>
    <t>PLY_11153</t>
  </si>
  <si>
    <t>PLY_11154</t>
  </si>
  <si>
    <t>PLY_11155</t>
  </si>
  <si>
    <t>PLY_11156</t>
  </si>
  <si>
    <t>PLY_11157</t>
  </si>
  <si>
    <t>PLY_11158</t>
  </si>
  <si>
    <t>PLY_11159</t>
  </si>
  <si>
    <t>PLY_11160</t>
  </si>
  <si>
    <t>PLY_11161</t>
  </si>
  <si>
    <t>PLY_11162</t>
  </si>
  <si>
    <t>PLY_11163</t>
  </si>
  <si>
    <t>PLY_11164</t>
  </si>
  <si>
    <t>PLY_11165</t>
  </si>
  <si>
    <t>PLY_11166</t>
  </si>
  <si>
    <t>PLY_11167</t>
  </si>
  <si>
    <t>PLY_11168</t>
  </si>
  <si>
    <t>PLY_11169</t>
  </si>
  <si>
    <t>PLY_11170</t>
  </si>
  <si>
    <t>PLY_11171</t>
  </si>
  <si>
    <t>PLY_11172</t>
  </si>
  <si>
    <t>PLY_11173</t>
  </si>
  <si>
    <t>PLY_11174</t>
  </si>
  <si>
    <t>PLY_11175</t>
  </si>
  <si>
    <t>PLY_11176</t>
  </si>
  <si>
    <t>PLY_11177</t>
  </si>
  <si>
    <t>PLY_11178</t>
  </si>
  <si>
    <t>PLY_11179</t>
  </si>
  <si>
    <t>PLY_11180</t>
  </si>
  <si>
    <t>PLY_11181</t>
  </si>
  <si>
    <t>PLY_11182</t>
  </si>
  <si>
    <t>PLY_11183</t>
  </si>
  <si>
    <t>PLY_11184</t>
  </si>
  <si>
    <t>PLY_11185</t>
  </si>
  <si>
    <t>PLY_11186</t>
  </si>
  <si>
    <t>PLY_11187</t>
  </si>
  <si>
    <t>PLY_11188</t>
  </si>
  <si>
    <t>PLY_11189</t>
  </si>
  <si>
    <t>PLY_11190</t>
  </si>
  <si>
    <t>PLY_11191</t>
  </si>
  <si>
    <t>PLY_11192</t>
  </si>
  <si>
    <t>PLY_11193</t>
  </si>
  <si>
    <t>PLY_11194</t>
  </si>
  <si>
    <t>PLY_11195</t>
  </si>
  <si>
    <t>PLY_11196</t>
  </si>
  <si>
    <t>PLY_11197</t>
  </si>
  <si>
    <t>PLY_11198</t>
  </si>
  <si>
    <t>PLY_11199</t>
  </si>
  <si>
    <t>PLY_11200</t>
  </si>
  <si>
    <t>PLY_11201</t>
  </si>
  <si>
    <t>PLY_11202</t>
  </si>
  <si>
    <t>PLY_11203</t>
  </si>
  <si>
    <t>PLY_11204</t>
  </si>
  <si>
    <t>PLY_11205</t>
  </si>
  <si>
    <t>PLY_11206</t>
  </si>
  <si>
    <t>PLY_11207</t>
  </si>
  <si>
    <t>PLY_11208</t>
  </si>
  <si>
    <t>PLY_11209</t>
  </si>
  <si>
    <t>PLY_11210</t>
  </si>
  <si>
    <t>PLY_11211</t>
  </si>
  <si>
    <t>PLY_11212</t>
  </si>
  <si>
    <t>PLY_11213</t>
  </si>
  <si>
    <t>PLY_11214</t>
  </si>
  <si>
    <t>PLY_11215</t>
  </si>
  <si>
    <t>PLY_11216</t>
  </si>
  <si>
    <t>PLY_11217</t>
  </si>
  <si>
    <t>PLY_11218</t>
  </si>
  <si>
    <t>PLY_11219</t>
  </si>
  <si>
    <t>PLY_11220</t>
  </si>
  <si>
    <t>PLY_11221</t>
  </si>
  <si>
    <t>PLY_11222</t>
  </si>
  <si>
    <t>PLY_11223</t>
  </si>
  <si>
    <t>PLY_11224</t>
  </si>
  <si>
    <t>PLY_11225</t>
  </si>
  <si>
    <t>PLY_11226</t>
  </si>
  <si>
    <t>PLY_11227</t>
  </si>
  <si>
    <t>PLY_11228</t>
  </si>
  <si>
    <t>PLY_11229</t>
  </si>
  <si>
    <t>PLY_11230</t>
  </si>
  <si>
    <t>PLY_11231</t>
  </si>
  <si>
    <t>PLY_11232</t>
  </si>
  <si>
    <t>PLY_11233</t>
  </si>
  <si>
    <t>PLY_11234</t>
  </si>
  <si>
    <t>PLY_11235</t>
  </si>
  <si>
    <t>PLY_11236</t>
  </si>
  <si>
    <t>PLY_11237</t>
  </si>
  <si>
    <t>PLY_11238</t>
  </si>
  <si>
    <t>PLY_11239</t>
  </si>
  <si>
    <t>PLY_11240</t>
  </si>
  <si>
    <t>PLY_11241</t>
  </si>
  <si>
    <t>PLY_11242</t>
  </si>
  <si>
    <t>PLY_11243</t>
  </si>
  <si>
    <t>PLY_11244</t>
  </si>
  <si>
    <t>PLY_11245</t>
  </si>
  <si>
    <t>PLY_11246</t>
  </si>
  <si>
    <t>PLY_11247</t>
  </si>
  <si>
    <t>PLY_11248</t>
  </si>
  <si>
    <t>PLY_11249</t>
  </si>
  <si>
    <t>PLY_11250</t>
  </si>
  <si>
    <t>PLY_11251</t>
  </si>
  <si>
    <t>PLY_11252</t>
  </si>
  <si>
    <t>PLY_11253</t>
  </si>
  <si>
    <t>PLY_11254</t>
  </si>
  <si>
    <t>PLY_11255</t>
  </si>
  <si>
    <t>PLY_11256</t>
  </si>
  <si>
    <t>PLY_11257</t>
  </si>
  <si>
    <t>PLY_11258</t>
  </si>
  <si>
    <t>PLY_11259</t>
  </si>
  <si>
    <t>PLY_11260</t>
  </si>
  <si>
    <t>PLY_11261</t>
  </si>
  <si>
    <t>PLY_11262</t>
  </si>
  <si>
    <t>PLY_11263</t>
  </si>
  <si>
    <t>PLY_11264</t>
  </si>
  <si>
    <t>PLY_11265</t>
  </si>
  <si>
    <t>PLY_11266</t>
  </si>
  <si>
    <t>PLY_11267</t>
  </si>
  <si>
    <t>PLY_11268</t>
  </si>
  <si>
    <t>PLY_11269</t>
  </si>
  <si>
    <t>PLY_11270</t>
  </si>
  <si>
    <t>PLY_11271</t>
  </si>
  <si>
    <t>PLY_11272</t>
  </si>
  <si>
    <t>PLY_11273</t>
  </si>
  <si>
    <t>PLY_11274</t>
  </si>
  <si>
    <t>PLY_11275</t>
  </si>
  <si>
    <t>PLY_11276</t>
  </si>
  <si>
    <t>PLY_11277</t>
  </si>
  <si>
    <t>PLY_11278</t>
  </si>
  <si>
    <t>PLY_11279</t>
  </si>
  <si>
    <t>PLY_11280</t>
  </si>
  <si>
    <t>PLY_11281</t>
  </si>
  <si>
    <t>PLY_11282</t>
  </si>
  <si>
    <t>PLY_11283</t>
  </si>
  <si>
    <t>PLY_11284</t>
  </si>
  <si>
    <t>PLY_11285</t>
  </si>
  <si>
    <t>PLY_11286</t>
  </si>
  <si>
    <t>PLY_11287</t>
  </si>
  <si>
    <t>PLY_11288</t>
  </si>
  <si>
    <t>PLY_11289</t>
  </si>
  <si>
    <t>PLY_11290</t>
  </si>
  <si>
    <t>PLY_11291</t>
  </si>
  <si>
    <t>PLY_11292</t>
  </si>
  <si>
    <t>PLY_11293</t>
  </si>
  <si>
    <t>PLY_11294</t>
  </si>
  <si>
    <t>PLY_11295</t>
  </si>
  <si>
    <t>PLY_11296</t>
  </si>
  <si>
    <t>PLY_11297</t>
  </si>
  <si>
    <t>PLY_11298</t>
  </si>
  <si>
    <t>PLY_11299</t>
  </si>
  <si>
    <t>PLY_11300</t>
  </si>
  <si>
    <t>PLY_11301</t>
  </si>
  <si>
    <t>PLY_11302</t>
  </si>
  <si>
    <t>PLY_11303</t>
  </si>
  <si>
    <t>PLY_11304</t>
  </si>
  <si>
    <t>PLY_11305</t>
  </si>
  <si>
    <t>PLY_11306</t>
  </si>
  <si>
    <t>PLY_11307</t>
  </si>
  <si>
    <t>PLY_11308</t>
  </si>
  <si>
    <t>PLY_11309</t>
  </si>
  <si>
    <t>PLY_11310</t>
  </si>
  <si>
    <t>PLY_11311</t>
  </si>
  <si>
    <t>PLY_11312</t>
  </si>
  <si>
    <t>PLY_11313</t>
  </si>
  <si>
    <t>PLY_11314</t>
  </si>
  <si>
    <t>PLY_11315</t>
  </si>
  <si>
    <t>PLY_11316</t>
  </si>
  <si>
    <t>PLY_11317</t>
  </si>
  <si>
    <t>PLY_11318</t>
  </si>
  <si>
    <t>PLY_11319</t>
  </si>
  <si>
    <t>PLY_11320</t>
  </si>
  <si>
    <t>PLY_11321</t>
  </si>
  <si>
    <t>PLY_11322</t>
  </si>
  <si>
    <t>PLY_11323</t>
  </si>
  <si>
    <t>PLY_11324</t>
  </si>
  <si>
    <t>PLY_11325</t>
  </si>
  <si>
    <t>PLY_11326</t>
  </si>
  <si>
    <t>PLY_11327</t>
  </si>
  <si>
    <t>PLY_11328</t>
  </si>
  <si>
    <t>PLY_11329</t>
  </si>
  <si>
    <t>PLY_11330</t>
  </si>
  <si>
    <t>PLY_11331</t>
  </si>
  <si>
    <t>PLY_11332</t>
  </si>
  <si>
    <t>PLY_11333</t>
  </si>
  <si>
    <t>PLY_11334</t>
  </si>
  <si>
    <t>PLY_11335</t>
  </si>
  <si>
    <t>PLY_11336</t>
  </si>
  <si>
    <t>PLY_11337</t>
  </si>
  <si>
    <t>PLY_11338</t>
  </si>
  <si>
    <t>PLY_11339</t>
  </si>
  <si>
    <t>PLY_11340</t>
  </si>
  <si>
    <t>PLY_11341</t>
  </si>
  <si>
    <t>PLY_11342</t>
  </si>
  <si>
    <t>PLY_11343</t>
  </si>
  <si>
    <t>PLY_11344</t>
  </si>
  <si>
    <t>PLY_11345</t>
  </si>
  <si>
    <t>PLY_11346</t>
  </si>
  <si>
    <t>PLY_11347</t>
  </si>
  <si>
    <t>PLY_11348</t>
  </si>
  <si>
    <t>PLY_11349</t>
  </si>
  <si>
    <t>PLY_11350</t>
  </si>
  <si>
    <t>PLY_11351</t>
  </si>
  <si>
    <t>PLY_11352</t>
  </si>
  <si>
    <t>PLY_11353</t>
  </si>
  <si>
    <t>PLY_11354</t>
  </si>
  <si>
    <t>PLY_11355</t>
  </si>
  <si>
    <t>PLY_11356</t>
  </si>
  <si>
    <t>PLY_11357</t>
  </si>
  <si>
    <t>PLY_11358</t>
  </si>
  <si>
    <t>PLY_11359</t>
  </si>
  <si>
    <t>PLY_11360</t>
  </si>
  <si>
    <t>PLY_11361</t>
  </si>
  <si>
    <t>PLY_11362</t>
  </si>
  <si>
    <t>PLY_11363</t>
  </si>
  <si>
    <t>PLY_11364</t>
  </si>
  <si>
    <t>PLY_11365</t>
  </si>
  <si>
    <t>PLY_11366</t>
  </si>
  <si>
    <t>PLY_11367</t>
  </si>
  <si>
    <t>PLY_11368</t>
  </si>
  <si>
    <t>PLY_11369</t>
  </si>
  <si>
    <t>PLY_11370</t>
  </si>
  <si>
    <t>PLY_11371</t>
  </si>
  <si>
    <t>PLY_11372</t>
  </si>
  <si>
    <t>PLY_11373</t>
  </si>
  <si>
    <t>PLY_11374</t>
  </si>
  <si>
    <t>PLY_11375</t>
  </si>
  <si>
    <t>PLY_11376</t>
  </si>
  <si>
    <t>PLY_11377</t>
  </si>
  <si>
    <t>PLY_11378</t>
  </si>
  <si>
    <t>PLY_11379</t>
  </si>
  <si>
    <t>PLY_11380</t>
  </si>
  <si>
    <t>PLY_11381</t>
  </si>
  <si>
    <t>PLY_11382</t>
  </si>
  <si>
    <t>PLY_11383</t>
  </si>
  <si>
    <t>PLY_11384</t>
  </si>
  <si>
    <t>PLY_11385</t>
  </si>
  <si>
    <t>PLY_11386</t>
  </si>
  <si>
    <t>PLY_11387</t>
  </si>
  <si>
    <t>PLY_11388</t>
  </si>
  <si>
    <t>PLY_11389</t>
  </si>
  <si>
    <t>PLY_11390</t>
  </si>
  <si>
    <t>PLY_11391</t>
  </si>
  <si>
    <t>PLY_11392</t>
  </si>
  <si>
    <t>PLY_11393</t>
  </si>
  <si>
    <t>PLY_11394</t>
  </si>
  <si>
    <t>PLY_11395</t>
  </si>
  <si>
    <t>PLY_11396</t>
  </si>
  <si>
    <t>PLY_11397</t>
  </si>
  <si>
    <t>PLY_11398</t>
  </si>
  <si>
    <t>PLY_11399</t>
  </si>
  <si>
    <t>PLY_11400</t>
  </si>
  <si>
    <t>PLY_11401</t>
  </si>
  <si>
    <t>PLY_11402</t>
  </si>
  <si>
    <t>PLY_11403</t>
  </si>
  <si>
    <t>PLY_11404</t>
  </si>
  <si>
    <t>PLY_11405</t>
  </si>
  <si>
    <t>PLY_11406</t>
  </si>
  <si>
    <t>PLY_11407</t>
  </si>
  <si>
    <t>PLY_11408</t>
  </si>
  <si>
    <t>PLY_11409</t>
  </si>
  <si>
    <t>PLY_11410</t>
  </si>
  <si>
    <t>PLY_11411</t>
  </si>
  <si>
    <t>PLY_11412</t>
  </si>
  <si>
    <t>PLY_11413</t>
  </si>
  <si>
    <t>PLY_11414</t>
  </si>
  <si>
    <t>PLY_11415</t>
  </si>
  <si>
    <t>PLY_11416</t>
  </si>
  <si>
    <t>PLY_11417</t>
  </si>
  <si>
    <t>PLY_11418</t>
  </si>
  <si>
    <t>PLY_11419</t>
  </si>
  <si>
    <t>PLY_11420</t>
  </si>
  <si>
    <t>PLY_11421</t>
  </si>
  <si>
    <t>PLY_11422</t>
  </si>
  <si>
    <t>PLY_11423</t>
  </si>
  <si>
    <t>PLY_11424</t>
  </si>
  <si>
    <t>PLY_11425</t>
  </si>
  <si>
    <t>PLY_11426</t>
  </si>
  <si>
    <t>PLY_11427</t>
  </si>
  <si>
    <t>PLY_11428</t>
  </si>
  <si>
    <t>PLY_11429</t>
  </si>
  <si>
    <t>PLY_11430</t>
  </si>
  <si>
    <t>PLY_11431</t>
  </si>
  <si>
    <t>PLY_11432</t>
  </si>
  <si>
    <t>PLY_11433</t>
  </si>
  <si>
    <t>PLY_11434</t>
  </si>
  <si>
    <t>PLY_11435</t>
  </si>
  <si>
    <t>PLY_11436</t>
  </si>
  <si>
    <t>PLY_11437</t>
  </si>
  <si>
    <t>PLY_11438</t>
  </si>
  <si>
    <t>PLY_11439</t>
  </si>
  <si>
    <t>PLY_11440</t>
  </si>
  <si>
    <t>PLY_11441</t>
  </si>
  <si>
    <t>PLY_11442</t>
  </si>
  <si>
    <t>PLY_11443</t>
  </si>
  <si>
    <t>PLY_11444</t>
  </si>
  <si>
    <t>PLY_11445</t>
  </si>
  <si>
    <t>PLY_11446</t>
  </si>
  <si>
    <t>PLY_11447</t>
  </si>
  <si>
    <t>PLY_11448</t>
  </si>
  <si>
    <t>PLY_11449</t>
  </si>
  <si>
    <t>PLY_11450</t>
  </si>
  <si>
    <t>PLY_11451</t>
  </si>
  <si>
    <t>PLY_11452</t>
  </si>
  <si>
    <t>PLY_11453</t>
  </si>
  <si>
    <t>PLY_11454</t>
  </si>
  <si>
    <t>PLY_11455</t>
  </si>
  <si>
    <t>PLY_11456</t>
  </si>
  <si>
    <t>PLY_11457</t>
  </si>
  <si>
    <t>PLY_11458</t>
  </si>
  <si>
    <t>PLY_11459</t>
  </si>
  <si>
    <t>PLY_11460</t>
  </si>
  <si>
    <t>PLY_11461</t>
  </si>
  <si>
    <t>PLY_11462</t>
  </si>
  <si>
    <t>PLY_11463</t>
  </si>
  <si>
    <t>PLY_11464</t>
  </si>
  <si>
    <t>PLY_11465</t>
  </si>
  <si>
    <t>PLY_11466</t>
  </si>
  <si>
    <t>PLY_11467</t>
  </si>
  <si>
    <t>PLY_11468</t>
  </si>
  <si>
    <t>PLY_11469</t>
  </si>
  <si>
    <t>PLY_11470</t>
  </si>
  <si>
    <t>PLY_11471</t>
  </si>
  <si>
    <t>PLY_11472</t>
  </si>
  <si>
    <t>PLY_11473</t>
  </si>
  <si>
    <t>PLY_11474</t>
  </si>
  <si>
    <t>PLY_11475</t>
  </si>
  <si>
    <t>PLY_11476</t>
  </si>
  <si>
    <t>PLY_11477</t>
  </si>
  <si>
    <t>PLY_11478</t>
  </si>
  <si>
    <t>PLY_11479</t>
  </si>
  <si>
    <t>PLY_11480</t>
  </si>
  <si>
    <t>PLY_11481</t>
  </si>
  <si>
    <t>PLY_11482</t>
  </si>
  <si>
    <t>PLY_11483</t>
  </si>
  <si>
    <t>PLY_11484</t>
  </si>
  <si>
    <t>PLY_11485</t>
  </si>
  <si>
    <t>PLY_11486</t>
  </si>
  <si>
    <t>PLY_11487</t>
  </si>
  <si>
    <t>PLY_11488</t>
  </si>
  <si>
    <t>PLY_11489</t>
  </si>
  <si>
    <t>PLY_11490</t>
  </si>
  <si>
    <t>PLY_11491</t>
  </si>
  <si>
    <t>PLY_11492</t>
  </si>
  <si>
    <t>PLY_11493</t>
  </si>
  <si>
    <t>PLY_11494</t>
  </si>
  <si>
    <t>PLY_11495</t>
  </si>
  <si>
    <t>PLY_11496</t>
  </si>
  <si>
    <t>PLY_11497</t>
  </si>
  <si>
    <t>PLY_11498</t>
  </si>
  <si>
    <t>PLY_11499</t>
  </si>
  <si>
    <t>PLY_11500</t>
  </si>
  <si>
    <t>PLY_11501</t>
  </si>
  <si>
    <t>PLY_11502</t>
  </si>
  <si>
    <t>PLY_11503</t>
  </si>
  <si>
    <t>PLY_11504</t>
  </si>
  <si>
    <t>PLY_11505</t>
  </si>
  <si>
    <t>PLY_11506</t>
  </si>
  <si>
    <t>PLY_11507</t>
  </si>
  <si>
    <t>PLY_11508</t>
  </si>
  <si>
    <t>PLY_11509</t>
  </si>
  <si>
    <t>PLY_11510</t>
  </si>
  <si>
    <t>PLY_11511</t>
  </si>
  <si>
    <t>PLY_11512</t>
  </si>
  <si>
    <t>PLY_11513</t>
  </si>
  <si>
    <t>PLY_11514</t>
  </si>
  <si>
    <t>PLY_11515</t>
  </si>
  <si>
    <t>PLY_11516</t>
  </si>
  <si>
    <t>PLY_11517</t>
  </si>
  <si>
    <t>PLY_11518</t>
  </si>
  <si>
    <t>PLY_11519</t>
  </si>
  <si>
    <t>PLY_11520</t>
  </si>
  <si>
    <t>PLY_11521</t>
  </si>
  <si>
    <t>PLY_11522</t>
  </si>
  <si>
    <t>PLY_11523</t>
  </si>
  <si>
    <t>PLY_11524</t>
  </si>
  <si>
    <t>PLY_11525</t>
  </si>
  <si>
    <t>PLY_11526</t>
  </si>
  <si>
    <t>PLY_11527</t>
  </si>
  <si>
    <t>PLY_11528</t>
  </si>
  <si>
    <t>PLY_11529</t>
  </si>
  <si>
    <t>PLY_11530</t>
  </si>
  <si>
    <t>PLY_11531</t>
  </si>
  <si>
    <t>PLY_11532</t>
  </si>
  <si>
    <t>PLY_11533</t>
  </si>
  <si>
    <t>PLY_11534</t>
  </si>
  <si>
    <t>PLY_11535</t>
  </si>
  <si>
    <t>PLY_11536</t>
  </si>
  <si>
    <t>PLY_11537</t>
  </si>
  <si>
    <t>PLY_11538</t>
  </si>
  <si>
    <t>PLY_11539</t>
  </si>
  <si>
    <t>PLY_11540</t>
  </si>
  <si>
    <t>PLY_11541</t>
  </si>
  <si>
    <t>PLY_11542</t>
  </si>
  <si>
    <t>PLY_11543</t>
  </si>
  <si>
    <t>PLY_11544</t>
  </si>
  <si>
    <t>PLY_11545</t>
  </si>
  <si>
    <t>PLY_11546</t>
  </si>
  <si>
    <t>PLY_11547</t>
  </si>
  <si>
    <t>PLY_11548</t>
  </si>
  <si>
    <t>PLY_11549</t>
  </si>
  <si>
    <t>PLY_11550</t>
  </si>
  <si>
    <t>PLY_11551</t>
  </si>
  <si>
    <t>PLY_11552</t>
  </si>
  <si>
    <t>PLY_11553</t>
  </si>
  <si>
    <t>PLY_11554</t>
  </si>
  <si>
    <t>PLY_11555</t>
  </si>
  <si>
    <t>PLY_11556</t>
  </si>
  <si>
    <t>PLY_11557</t>
  </si>
  <si>
    <t>PLY_11558</t>
  </si>
  <si>
    <t>PLY_11559</t>
  </si>
  <si>
    <t>PLY_11560</t>
  </si>
  <si>
    <t>PLY_11561</t>
  </si>
  <si>
    <t>PLY_11562</t>
  </si>
  <si>
    <t>PLY_11563</t>
  </si>
  <si>
    <t>PLY_11564</t>
  </si>
  <si>
    <t>PLY_11565</t>
  </si>
  <si>
    <t>PLY_11566</t>
  </si>
  <si>
    <t>PLY_11567</t>
  </si>
  <si>
    <t>PLY_11568</t>
  </si>
  <si>
    <t>PLY_11569</t>
  </si>
  <si>
    <t>PLY_11570</t>
  </si>
  <si>
    <t>PLY_11571</t>
  </si>
  <si>
    <t>PLY_11572</t>
  </si>
  <si>
    <t>PLY_11573</t>
  </si>
  <si>
    <t>PLY_11574</t>
  </si>
  <si>
    <t>PLY_11575</t>
  </si>
  <si>
    <t>PLY_11576</t>
  </si>
  <si>
    <t>PLY_11577</t>
  </si>
  <si>
    <t>PLY_11578</t>
  </si>
  <si>
    <t>PLY_11579</t>
  </si>
  <si>
    <t>PLY_11580</t>
  </si>
  <si>
    <t>PLY_11581</t>
  </si>
  <si>
    <t>PLY_11582</t>
  </si>
  <si>
    <t>PLY_11583</t>
  </si>
  <si>
    <t>PLY_11584</t>
  </si>
  <si>
    <t>PLY_11585</t>
  </si>
  <si>
    <t>PLY_11586</t>
  </si>
  <si>
    <t>PLY_11587</t>
  </si>
  <si>
    <t>PLY_11588</t>
  </si>
  <si>
    <t>PLY_11589</t>
  </si>
  <si>
    <t>PLY_11590</t>
  </si>
  <si>
    <t>PLY_11591</t>
  </si>
  <si>
    <t>PLY_11592</t>
  </si>
  <si>
    <t>PLY_11593</t>
  </si>
  <si>
    <t>PLY_11594</t>
  </si>
  <si>
    <t>PLY_11595</t>
  </si>
  <si>
    <t>PLY_11596</t>
  </si>
  <si>
    <t>PLY_11597</t>
  </si>
  <si>
    <t>PLY_11598</t>
  </si>
  <si>
    <t>PLY_11599</t>
  </si>
  <si>
    <t>PLY_11600</t>
  </si>
  <si>
    <t>PLY_11601</t>
  </si>
  <si>
    <t>PLY_11602</t>
  </si>
  <si>
    <t>PLY_11603</t>
  </si>
  <si>
    <t>PLY_11604</t>
  </si>
  <si>
    <t>PLY_11605</t>
  </si>
  <si>
    <t>PLY_11606</t>
  </si>
  <si>
    <t>PLY_11607</t>
  </si>
  <si>
    <t>PLY_11608</t>
  </si>
  <si>
    <t>PLY_11609</t>
  </si>
  <si>
    <t>PLY_11610</t>
  </si>
  <si>
    <t>PLY_11611</t>
  </si>
  <si>
    <t>PLY_11612</t>
  </si>
  <si>
    <t>PLY_11613</t>
  </si>
  <si>
    <t>PLY_11614</t>
  </si>
  <si>
    <t>PLY_11615</t>
  </si>
  <si>
    <t>PLY_11616</t>
  </si>
  <si>
    <t>PLY_11617</t>
  </si>
  <si>
    <t>PLY_11618</t>
  </si>
  <si>
    <t>PLY_11619</t>
  </si>
  <si>
    <t>PLY_11620</t>
  </si>
  <si>
    <t>PLY_11621</t>
  </si>
  <si>
    <t>PLY_11622</t>
  </si>
  <si>
    <t>PLY_11623</t>
  </si>
  <si>
    <t>PLY_11624</t>
  </si>
  <si>
    <t>PLY_11625</t>
  </si>
  <si>
    <t>PLY_11626</t>
  </si>
  <si>
    <t>PLY_11627</t>
  </si>
  <si>
    <t>PLY_11628</t>
  </si>
  <si>
    <t>PLY_11629</t>
  </si>
  <si>
    <t>PLY_11630</t>
  </si>
  <si>
    <t>PLY_11631</t>
  </si>
  <si>
    <t>PLY_11632</t>
  </si>
  <si>
    <t>PLY_11633</t>
  </si>
  <si>
    <t>PLY_11634</t>
  </si>
  <si>
    <t>PLY_11635</t>
  </si>
  <si>
    <t>PLY_11636</t>
  </si>
  <si>
    <t>PLY_11637</t>
  </si>
  <si>
    <t>PLY_11638</t>
  </si>
  <si>
    <t>PLY_11639</t>
  </si>
  <si>
    <t>PLY_11640</t>
  </si>
  <si>
    <t>PLY_11641</t>
  </si>
  <si>
    <t>PLY_11642</t>
  </si>
  <si>
    <t>PLY_11643</t>
  </si>
  <si>
    <t>PLY_11644</t>
  </si>
  <si>
    <t>PLY_11645</t>
  </si>
  <si>
    <t>PLY_11646</t>
  </si>
  <si>
    <t>PLY_11647</t>
  </si>
  <si>
    <t>PLY_11648</t>
  </si>
  <si>
    <t>PLY_11649</t>
  </si>
  <si>
    <t>PLY_11650</t>
  </si>
  <si>
    <t>PLY_11651</t>
  </si>
  <si>
    <t>PLY_11652</t>
  </si>
  <si>
    <t>PLY_11653</t>
  </si>
  <si>
    <t>PLY_11654</t>
  </si>
  <si>
    <t>PLY_11655</t>
  </si>
  <si>
    <t>PLY_11656</t>
  </si>
  <si>
    <t>PLY_11657</t>
  </si>
  <si>
    <t>PLY_11658</t>
  </si>
  <si>
    <t>PLY_11659</t>
  </si>
  <si>
    <t>PLY_11660</t>
  </si>
  <si>
    <t>PLY_11661</t>
  </si>
  <si>
    <t>PLY_11662</t>
  </si>
  <si>
    <t>PLY_11663</t>
  </si>
  <si>
    <t>PLY_11664</t>
  </si>
  <si>
    <t>PLY_11665</t>
  </si>
  <si>
    <t>PLY_11666</t>
  </si>
  <si>
    <t>PLY_11667</t>
  </si>
  <si>
    <t>PLY_11668</t>
  </si>
  <si>
    <t>PLY_11669</t>
  </si>
  <si>
    <t>PLY_11670</t>
  </si>
  <si>
    <t>PLY_11671</t>
  </si>
  <si>
    <t>PLY_11672</t>
  </si>
  <si>
    <t>PLY_11673</t>
  </si>
  <si>
    <t>PLY_11674</t>
  </si>
  <si>
    <t>PLY_11675</t>
  </si>
  <si>
    <t>PLY_11676</t>
  </si>
  <si>
    <t>PLY_11677</t>
  </si>
  <si>
    <t>PLY_11678</t>
  </si>
  <si>
    <t>PLY_11679</t>
  </si>
  <si>
    <t>PLY_11680</t>
  </si>
  <si>
    <t>PLY_11681</t>
  </si>
  <si>
    <t>PLY_11682</t>
  </si>
  <si>
    <t>PLY_11683</t>
  </si>
  <si>
    <t>PLY_11684</t>
  </si>
  <si>
    <t>PLY_11685</t>
  </si>
  <si>
    <t>PLY_11686</t>
  </si>
  <si>
    <t>PLY_11687</t>
  </si>
  <si>
    <t>PLY_11688</t>
  </si>
  <si>
    <t>PLY_11689</t>
  </si>
  <si>
    <t>PLY_11690</t>
  </si>
  <si>
    <t>PLY_11691</t>
  </si>
  <si>
    <t>PLY_11692</t>
  </si>
  <si>
    <t>PLY_11693</t>
  </si>
  <si>
    <t>PLY_11694</t>
  </si>
  <si>
    <t>PLY_11695</t>
  </si>
  <si>
    <t>PLY_11696</t>
  </si>
  <si>
    <t>CON_PLY_10003</t>
  </si>
  <si>
    <t>CON_PLY_10004</t>
  </si>
  <si>
    <t>CON_PLY_10005</t>
  </si>
  <si>
    <t>CON_PLY_10006</t>
  </si>
  <si>
    <t>CON_PLY_10007</t>
  </si>
  <si>
    <t>CON_PLY_10008</t>
  </si>
  <si>
    <t>CON_PLY_10009</t>
  </si>
  <si>
    <t>CON_PLY_10010</t>
  </si>
  <si>
    <t>CON_PLY_10011</t>
  </si>
  <si>
    <t>CON_PLY_10012</t>
  </si>
  <si>
    <t>CON_PLY_10013</t>
  </si>
  <si>
    <t>CON_PLY_10014</t>
  </si>
  <si>
    <t>CON_PLY_10015</t>
  </si>
  <si>
    <t>CON_PLY_10016</t>
  </si>
  <si>
    <t>CON_PLY_10017</t>
  </si>
  <si>
    <t>CON_PLY_10018</t>
  </si>
  <si>
    <t>CON_PLY_10019</t>
  </si>
  <si>
    <t>CON_PLY_10020</t>
  </si>
  <si>
    <t>CON_PLY_10021</t>
  </si>
  <si>
    <t>CON_PLY_10022</t>
  </si>
  <si>
    <t>CON_PLY_10023</t>
  </si>
  <si>
    <t>CON_PLY_10024</t>
  </si>
  <si>
    <t>CON_PLY_10025</t>
  </si>
  <si>
    <t>CON_PLY_10026</t>
  </si>
  <si>
    <t>CON_PLY_10027</t>
  </si>
  <si>
    <t>CON_PLY_10028</t>
  </si>
  <si>
    <t>CON_PLY_10029</t>
  </si>
  <si>
    <t>CON_PLY_10030</t>
  </si>
  <si>
    <t>CON_PLY_10031</t>
  </si>
  <si>
    <t>CON_PLY_10032</t>
  </si>
  <si>
    <t>CON_PLY_10033</t>
  </si>
  <si>
    <t>CON_PLY_10034</t>
  </si>
  <si>
    <t>CON_PLY_10035</t>
  </si>
  <si>
    <t>CON_PLY_10036</t>
  </si>
  <si>
    <t>CON_PLY_10037</t>
  </si>
  <si>
    <t>CON_PLY_10038</t>
  </si>
  <si>
    <t>CON_PLY_10039</t>
  </si>
  <si>
    <t>CON_PLY_10040</t>
  </si>
  <si>
    <t>CON_PLY_10041</t>
  </si>
  <si>
    <t>CON_PLY_10042</t>
  </si>
  <si>
    <t>CON_PLY_10043</t>
  </si>
  <si>
    <t>CON_PLY_10044</t>
  </si>
  <si>
    <t>CON_PLY_10045</t>
  </si>
  <si>
    <t>CON_PLY_10046</t>
  </si>
  <si>
    <t>CON_PLY_10047</t>
  </si>
  <si>
    <t>CON_PLY_10048</t>
  </si>
  <si>
    <t>CON_PLY_10049</t>
  </si>
  <si>
    <t>CON_PLY_10050</t>
  </si>
  <si>
    <t>CON_PLY_10051</t>
  </si>
  <si>
    <t>CON_PLY_10052</t>
  </si>
  <si>
    <t>CON_PLY_10053</t>
  </si>
  <si>
    <t>CON_PLY_10054</t>
  </si>
  <si>
    <t>CON_PLY_10055</t>
  </si>
  <si>
    <t>CON_PLY_10056</t>
  </si>
  <si>
    <t>CON_PLY_10057</t>
  </si>
  <si>
    <t>CON_PLY_10058</t>
  </si>
  <si>
    <t>CON_PLY_10059</t>
  </si>
  <si>
    <t>CON_PLY_10060</t>
  </si>
  <si>
    <t>CON_PLY_10061</t>
  </si>
  <si>
    <t>CON_PLY_10062</t>
  </si>
  <si>
    <t>CON_PLY_10063</t>
  </si>
  <si>
    <t>CON_PLY_10064</t>
  </si>
  <si>
    <t>CON_PLY_10065</t>
  </si>
  <si>
    <t>CON_PLY_10066</t>
  </si>
  <si>
    <t>CON_PLY_10067</t>
  </si>
  <si>
    <t>CON_PLY_10068</t>
  </si>
  <si>
    <t>CON_PLY_10069</t>
  </si>
  <si>
    <t>CON_PLY_10070</t>
  </si>
  <si>
    <t>CON_PLY_10071</t>
  </si>
  <si>
    <t>CON_PLY_10072</t>
  </si>
  <si>
    <t>CON_PLY_10073</t>
  </si>
  <si>
    <t>CON_PLY_10074</t>
  </si>
  <si>
    <t>CON_PLY_10075</t>
  </si>
  <si>
    <t>CON_PLY_10076</t>
  </si>
  <si>
    <t>CON_PLY_10077</t>
  </si>
  <si>
    <t>CON_PLY_10078</t>
  </si>
  <si>
    <t>CON_PLY_10079</t>
  </si>
  <si>
    <t>CON_PLY_10080</t>
  </si>
  <si>
    <t>CON_PLY_10081</t>
  </si>
  <si>
    <t>CON_PLY_10082</t>
  </si>
  <si>
    <t>CON_PLY_10083</t>
  </si>
  <si>
    <t>CON_PLY_10084</t>
  </si>
  <si>
    <t>CON_PLY_10085</t>
  </si>
  <si>
    <t>CON_PLY_10086</t>
  </si>
  <si>
    <t>CON_PLY_10087</t>
  </si>
  <si>
    <t>CON_PLY_10088</t>
  </si>
  <si>
    <t>CON_PLY_10089</t>
  </si>
  <si>
    <t>CON_PLY_10090</t>
  </si>
  <si>
    <t>CON_PLY_10091</t>
  </si>
  <si>
    <t>CON_PLY_10092</t>
  </si>
  <si>
    <t>CON_PLY_10093</t>
  </si>
  <si>
    <t>CON_PLY_10094</t>
  </si>
  <si>
    <t>CON_PLY_10095</t>
  </si>
  <si>
    <t>CON_PLY_10096</t>
  </si>
  <si>
    <t>CON_PLY_10097</t>
  </si>
  <si>
    <t>CON_PLY_10098</t>
  </si>
  <si>
    <t>CON_PLY_10099</t>
  </si>
  <si>
    <t>CON_PLY_10100</t>
  </si>
  <si>
    <t>CON_PLY_10101</t>
  </si>
  <si>
    <t>CON_PLY_10102</t>
  </si>
  <si>
    <t>CON_PLY_10103</t>
  </si>
  <si>
    <t>CON_PLY_10104</t>
  </si>
  <si>
    <t>CON_PLY_10105</t>
  </si>
  <si>
    <t>CON_PLY_10106</t>
  </si>
  <si>
    <t>CON_PLY_10107</t>
  </si>
  <si>
    <t>CON_PLY_10108</t>
  </si>
  <si>
    <t>CON_PLY_10109</t>
  </si>
  <si>
    <t>CON_PLY_10110</t>
  </si>
  <si>
    <t>CON_PLY_10111</t>
  </si>
  <si>
    <t>CON_PLY_10112</t>
  </si>
  <si>
    <t>CON_PLY_10113</t>
  </si>
  <si>
    <t>CON_PLY_10114</t>
  </si>
  <si>
    <t>CON_PLY_10115</t>
  </si>
  <si>
    <t>CON_PLY_10116</t>
  </si>
  <si>
    <t>CON_PLY_10117</t>
  </si>
  <si>
    <t>CON_PLY_10118</t>
  </si>
  <si>
    <t>CON_PLY_10119</t>
  </si>
  <si>
    <t>CON_PLY_10120</t>
  </si>
  <si>
    <t>CON_PLY_10121</t>
  </si>
  <si>
    <t>CON_PLY_10122</t>
  </si>
  <si>
    <t>CON_PLY_10123</t>
  </si>
  <si>
    <t>CON_PLY_10124</t>
  </si>
  <si>
    <t>CON_PLY_10125</t>
  </si>
  <si>
    <t>CON_PLY_10126</t>
  </si>
  <si>
    <t>CON_PLY_10127</t>
  </si>
  <si>
    <t>CON_PLY_10128</t>
  </si>
  <si>
    <t>CON_PLY_10129</t>
  </si>
  <si>
    <t>CON_PLY_10130</t>
  </si>
  <si>
    <t>CON_PLY_10131</t>
  </si>
  <si>
    <t>CON_PLY_10132</t>
  </si>
  <si>
    <t>CON_PLY_10133</t>
  </si>
  <si>
    <t>CON_PLY_10134</t>
  </si>
  <si>
    <t>CON_PLY_10135</t>
  </si>
  <si>
    <t>CON_PLY_10136</t>
  </si>
  <si>
    <t>CON_PLY_10137</t>
  </si>
  <si>
    <t>CON_PLY_10138</t>
  </si>
  <si>
    <t>CON_PLY_10139</t>
  </si>
  <si>
    <t>CON_PLY_10140</t>
  </si>
  <si>
    <t>CON_PLY_10141</t>
  </si>
  <si>
    <t>CON_PLY_10142</t>
  </si>
  <si>
    <t>CON_PLY_10143</t>
  </si>
  <si>
    <t>CON_PLY_10144</t>
  </si>
  <si>
    <t>CON_PLY_10145</t>
  </si>
  <si>
    <t>CON_PLY_10146</t>
  </si>
  <si>
    <t>CON_PLY_10147</t>
  </si>
  <si>
    <t>CON_PLY_10148</t>
  </si>
  <si>
    <t>CON_PLY_10149</t>
  </si>
  <si>
    <t>CON_PLY_10150</t>
  </si>
  <si>
    <t>CON_PLY_10151</t>
  </si>
  <si>
    <t>CON_PLY_10152</t>
  </si>
  <si>
    <t>CON_PLY_10153</t>
  </si>
  <si>
    <t>CON_PLY_10154</t>
  </si>
  <si>
    <t>CON_PLY_10155</t>
  </si>
  <si>
    <t>CON_PLY_10156</t>
  </si>
  <si>
    <t>CON_PLY_10157</t>
  </si>
  <si>
    <t>CON_PLY_10158</t>
  </si>
  <si>
    <t>CON_PLY_10159</t>
  </si>
  <si>
    <t>CON_PLY_10160</t>
  </si>
  <si>
    <t>CON_PLY_10161</t>
  </si>
  <si>
    <t>CON_PLY_10162</t>
  </si>
  <si>
    <t>CON_PLY_10163</t>
  </si>
  <si>
    <t>CON_PLY_10164</t>
  </si>
  <si>
    <t>CON_PLY_10165</t>
  </si>
  <si>
    <t>CON_PLY_10166</t>
  </si>
  <si>
    <t>CON_PLY_10167</t>
  </si>
  <si>
    <t>CON_PLY_10168</t>
  </si>
  <si>
    <t>CON_PLY_10169</t>
  </si>
  <si>
    <t>CON_PLY_10170</t>
  </si>
  <si>
    <t>CON_PLY_10171</t>
  </si>
  <si>
    <t>CON_PLY_10172</t>
  </si>
  <si>
    <t>CON_PLY_10173</t>
  </si>
  <si>
    <t>CON_PLY_10174</t>
  </si>
  <si>
    <t>CON_PLY_10175</t>
  </si>
  <si>
    <t>CON_PLY_10176</t>
  </si>
  <si>
    <t>CON_PLY_10177</t>
  </si>
  <si>
    <t>CON_PLY_10178</t>
  </si>
  <si>
    <t>CON_PLY_10179</t>
  </si>
  <si>
    <t>CON_PLY_10180</t>
  </si>
  <si>
    <t>CON_PLY_10181</t>
  </si>
  <si>
    <t>CON_PLY_10182</t>
  </si>
  <si>
    <t>CON_PLY_10183</t>
  </si>
  <si>
    <t>CON_PLY_10184</t>
  </si>
  <si>
    <t>CON_PLY_10185</t>
  </si>
  <si>
    <t>CON_PLY_10186</t>
  </si>
  <si>
    <t>CON_PLY_10187</t>
  </si>
  <si>
    <t>CON_PLY_10188</t>
  </si>
  <si>
    <t>CON_PLY_10189</t>
  </si>
  <si>
    <t>CON_PLY_10190</t>
  </si>
  <si>
    <t>CON_PLY_10191</t>
  </si>
  <si>
    <t>CON_PLY_10192</t>
  </si>
  <si>
    <t>CON_PLY_10193</t>
  </si>
  <si>
    <t>CON_PLY_10194</t>
  </si>
  <si>
    <t>CON_PLY_10195</t>
  </si>
  <si>
    <t>CON_PLY_10196</t>
  </si>
  <si>
    <t>CON_PLY_10197</t>
  </si>
  <si>
    <t>CON_PLY_10198</t>
  </si>
  <si>
    <t>CON_PLY_10199</t>
  </si>
  <si>
    <t>CON_PLY_10200</t>
  </si>
  <si>
    <t>CON_PLY_10201</t>
  </si>
  <si>
    <t>CON_PLY_10202</t>
  </si>
  <si>
    <t>CON_PLY_10203</t>
  </si>
  <si>
    <t>CON_PLY_10204</t>
  </si>
  <si>
    <t>CON_PLY_10205</t>
  </si>
  <si>
    <t>CON_PLY_10206</t>
  </si>
  <si>
    <t>CON_PLY_10207</t>
  </si>
  <si>
    <t>CON_PLY_10208</t>
  </si>
  <si>
    <t>CON_PLY_10209</t>
  </si>
  <si>
    <t>CON_PLY_10210</t>
  </si>
  <si>
    <t>CON_PLY_10211</t>
  </si>
  <si>
    <t>CON_PLY_10212</t>
  </si>
  <si>
    <t>CON_PLY_10213</t>
  </si>
  <si>
    <t>CON_PLY_10214</t>
  </si>
  <si>
    <t>CON_PLY_10215</t>
  </si>
  <si>
    <t>CON_PLY_10216</t>
  </si>
  <si>
    <t>CON_PLY_10217</t>
  </si>
  <si>
    <t>CON_PLY_10218</t>
  </si>
  <si>
    <t>CON_PLY_10219</t>
  </si>
  <si>
    <t>CON_PLY_10220</t>
  </si>
  <si>
    <t>CON_PLY_10221</t>
  </si>
  <si>
    <t>CON_PLY_10222</t>
  </si>
  <si>
    <t>CON_PLY_10223</t>
  </si>
  <si>
    <t>CON_PLY_10224</t>
  </si>
  <si>
    <t>CON_PLY_10225</t>
  </si>
  <si>
    <t>CON_PLY_10226</t>
  </si>
  <si>
    <t>CON_PLY_10227</t>
  </si>
  <si>
    <t>CON_PLY_10228</t>
  </si>
  <si>
    <t>CON_PLY_10229</t>
  </si>
  <si>
    <t>CON_PLY_10230</t>
  </si>
  <si>
    <t>CON_PLY_10231</t>
  </si>
  <si>
    <t>CON_PLY_10232</t>
  </si>
  <si>
    <t>CON_PLY_10233</t>
  </si>
  <si>
    <t>CON_PLY_10234</t>
  </si>
  <si>
    <t>CON_PLY_10235</t>
  </si>
  <si>
    <t>CON_PLY_10236</t>
  </si>
  <si>
    <t>CON_PLY_10237</t>
  </si>
  <si>
    <t>CON_PLY_10238</t>
  </si>
  <si>
    <t>CON_PLY_10239</t>
  </si>
  <si>
    <t>CON_PLY_10240</t>
  </si>
  <si>
    <t>CON_PLY_10241</t>
  </si>
  <si>
    <t>CON_PLY_10242</t>
  </si>
  <si>
    <t>CON_PLY_10243</t>
  </si>
  <si>
    <t>CON_PLY_10244</t>
  </si>
  <si>
    <t>CON_PLY_10245</t>
  </si>
  <si>
    <t>CON_PLY_10246</t>
  </si>
  <si>
    <t>CON_PLY_10247</t>
  </si>
  <si>
    <t>CON_PLY_10248</t>
  </si>
  <si>
    <t>CON_PLY_10249</t>
  </si>
  <si>
    <t>CON_PLY_10250</t>
  </si>
  <si>
    <t>CON_PLY_10251</t>
  </si>
  <si>
    <t>CON_PLY_10252</t>
  </si>
  <si>
    <t>CON_PLY_10253</t>
  </si>
  <si>
    <t>CON_PLY_10254</t>
  </si>
  <si>
    <t>CON_PLY_10255</t>
  </si>
  <si>
    <t>CON_PLY_10256</t>
  </si>
  <si>
    <t>CON_PLY_10257</t>
  </si>
  <si>
    <t>CON_PLY_10258</t>
  </si>
  <si>
    <t>CON_PLY_10259</t>
  </si>
  <si>
    <t>CON_PLY_10260</t>
  </si>
  <si>
    <t>CON_PLY_10261</t>
  </si>
  <si>
    <t>CON_PLY_10262</t>
  </si>
  <si>
    <t>CON_PLY_10263</t>
  </si>
  <si>
    <t>CON_PLY_10264</t>
  </si>
  <si>
    <t>CON_PLY_10265</t>
  </si>
  <si>
    <t>CON_PLY_10266</t>
  </si>
  <si>
    <t>CON_PLY_10267</t>
  </si>
  <si>
    <t>CON_PLY_10268</t>
  </si>
  <si>
    <t>CON_PLY_10269</t>
  </si>
  <si>
    <t>CON_PLY_10270</t>
  </si>
  <si>
    <t>CON_PLY_10271</t>
  </si>
  <si>
    <t>CON_PLY_10272</t>
  </si>
  <si>
    <t>CON_PLY_10273</t>
  </si>
  <si>
    <t>CON_PLY_10274</t>
  </si>
  <si>
    <t>CON_PLY_10275</t>
  </si>
  <si>
    <t>CON_PLY_10276</t>
  </si>
  <si>
    <t>CON_PLY_10277</t>
  </si>
  <si>
    <t>CON_PLY_10278</t>
  </si>
  <si>
    <t>CON_PLY_10279</t>
  </si>
  <si>
    <t>CON_PLY_10280</t>
  </si>
  <si>
    <t>CON_PLY_10281</t>
  </si>
  <si>
    <t>CON_PLY_10282</t>
  </si>
  <si>
    <t>CON_PLY_10283</t>
  </si>
  <si>
    <t>CON_PLY_10284</t>
  </si>
  <si>
    <t>CON_PLY_10285</t>
  </si>
  <si>
    <t>CON_PLY_10286</t>
  </si>
  <si>
    <t>CON_PLY_10287</t>
  </si>
  <si>
    <t>CON_PLY_10288</t>
  </si>
  <si>
    <t>CON_PLY_10289</t>
  </si>
  <si>
    <t>CON_PLY_10290</t>
  </si>
  <si>
    <t>CON_PLY_10291</t>
  </si>
  <si>
    <t>CON_PLY_10292</t>
  </si>
  <si>
    <t>CON_PLY_10293</t>
  </si>
  <si>
    <t>CON_PLY_10294</t>
  </si>
  <si>
    <t>CON_PLY_10295</t>
  </si>
  <si>
    <t>CON_PLY_10296</t>
  </si>
  <si>
    <t>CON_PLY_10297</t>
  </si>
  <si>
    <t>CON_PLY_10298</t>
  </si>
  <si>
    <t>CON_PLY_10299</t>
  </si>
  <si>
    <t>CON_PLY_10300</t>
  </si>
  <si>
    <t>CON_PLY_10301</t>
  </si>
  <si>
    <t>CON_PLY_10302</t>
  </si>
  <si>
    <t>CON_PLY_10303</t>
  </si>
  <si>
    <t>CON_PLY_10304</t>
  </si>
  <si>
    <t>CON_PLY_10305</t>
  </si>
  <si>
    <t>CON_PLY_10306</t>
  </si>
  <si>
    <t>CON_PLY_10307</t>
  </si>
  <si>
    <t>CON_PLY_10308</t>
  </si>
  <si>
    <t>CON_PLY_10309</t>
  </si>
  <si>
    <t>CON_PLY_10310</t>
  </si>
  <si>
    <t>CON_PLY_10311</t>
  </si>
  <si>
    <t>CON_PLY_10312</t>
  </si>
  <si>
    <t>CON_PLY_10313</t>
  </si>
  <si>
    <t>CON_PLY_10314</t>
  </si>
  <si>
    <t>CON_PLY_10315</t>
  </si>
  <si>
    <t>CON_PLY_10316</t>
  </si>
  <si>
    <t>CON_PLY_10317</t>
  </si>
  <si>
    <t>CON_PLY_10318</t>
  </si>
  <si>
    <t>CON_PLY_10319</t>
  </si>
  <si>
    <t>CON_PLY_10320</t>
  </si>
  <si>
    <t>CON_PLY_10321</t>
  </si>
  <si>
    <t>CON_PLY_10322</t>
  </si>
  <si>
    <t>CON_PLY_10323</t>
  </si>
  <si>
    <t>CON_PLY_10324</t>
  </si>
  <si>
    <t>CON_PLY_10325</t>
  </si>
  <si>
    <t>CON_PLY_10326</t>
  </si>
  <si>
    <t>CON_PLY_10327</t>
  </si>
  <si>
    <t>CON_PLY_10328</t>
  </si>
  <si>
    <t>CON_PLY_10329</t>
  </si>
  <si>
    <t>CON_PLY_10330</t>
  </si>
  <si>
    <t>CON_PLY_10331</t>
  </si>
  <si>
    <t>CON_PLY_10332</t>
  </si>
  <si>
    <t>CON_PLY_10333</t>
  </si>
  <si>
    <t>CON_PLY_10334</t>
  </si>
  <si>
    <t>CON_PLY_10335</t>
  </si>
  <si>
    <t>CON_PLY_10336</t>
  </si>
  <si>
    <t>CON_PLY_10337</t>
  </si>
  <si>
    <t>CON_PLY_10338</t>
  </si>
  <si>
    <t>CON_PLY_10339</t>
  </si>
  <si>
    <t>CON_PLY_10340</t>
  </si>
  <si>
    <t>CON_PLY_10341</t>
  </si>
  <si>
    <t>CON_PLY_10342</t>
  </si>
  <si>
    <t>CON_PLY_10343</t>
  </si>
  <si>
    <t>CON_PLY_10344</t>
  </si>
  <si>
    <t>CON_PLY_10345</t>
  </si>
  <si>
    <t>CON_PLY_10346</t>
  </si>
  <si>
    <t>CON_PLY_10347</t>
  </si>
  <si>
    <t>CON_PLY_10348</t>
  </si>
  <si>
    <t>CON_PLY_10349</t>
  </si>
  <si>
    <t>CON_PLY_10350</t>
  </si>
  <si>
    <t>CON_PLY_10351</t>
  </si>
  <si>
    <t>CON_PLY_10352</t>
  </si>
  <si>
    <t>CON_PLY_10353</t>
  </si>
  <si>
    <t>CON_PLY_10354</t>
  </si>
  <si>
    <t>CON_PLY_10355</t>
  </si>
  <si>
    <t>CON_PLY_10356</t>
  </si>
  <si>
    <t>CON_PLY_10357</t>
  </si>
  <si>
    <t>CON_PLY_10358</t>
  </si>
  <si>
    <t>CON_PLY_10359</t>
  </si>
  <si>
    <t>CON_PLY_10360</t>
  </si>
  <si>
    <t>CON_PLY_10361</t>
  </si>
  <si>
    <t>CON_PLY_10362</t>
  </si>
  <si>
    <t>CON_PLY_10363</t>
  </si>
  <si>
    <t>CON_PLY_10364</t>
  </si>
  <si>
    <t>CON_PLY_10365</t>
  </si>
  <si>
    <t>CON_PLY_10366</t>
  </si>
  <si>
    <t>CON_PLY_10367</t>
  </si>
  <si>
    <t>CON_PLY_10368</t>
  </si>
  <si>
    <t>CON_PLY_10369</t>
  </si>
  <si>
    <t>CON_PLY_10370</t>
  </si>
  <si>
    <t>CON_PLY_10371</t>
  </si>
  <si>
    <t>CON_PLY_10372</t>
  </si>
  <si>
    <t>CON_PLY_10373</t>
  </si>
  <si>
    <t>CON_PLY_10374</t>
  </si>
  <si>
    <t>CON_PLY_10375</t>
  </si>
  <si>
    <t>CON_PLY_10376</t>
  </si>
  <si>
    <t>CON_PLY_10377</t>
  </si>
  <si>
    <t>CON_PLY_10378</t>
  </si>
  <si>
    <t>CON_PLY_10379</t>
  </si>
  <si>
    <t>CON_PLY_10380</t>
  </si>
  <si>
    <t>CON_PLY_10381</t>
  </si>
  <si>
    <t>CON_PLY_10382</t>
  </si>
  <si>
    <t>CON_PLY_10383</t>
  </si>
  <si>
    <t>CON_PLY_10384</t>
  </si>
  <si>
    <t>CON_PLY_10385</t>
  </si>
  <si>
    <t>CON_PLY_10386</t>
  </si>
  <si>
    <t>CON_PLY_10387</t>
  </si>
  <si>
    <t>CON_PLY_10388</t>
  </si>
  <si>
    <t>CON_PLY_10389</t>
  </si>
  <si>
    <t>CON_PLY_10390</t>
  </si>
  <si>
    <t>CON_PLY_10391</t>
  </si>
  <si>
    <t>CON_PLY_10392</t>
  </si>
  <si>
    <t>CON_PLY_10393</t>
  </si>
  <si>
    <t>CON_PLY_10394</t>
  </si>
  <si>
    <t>CON_PLY_10395</t>
  </si>
  <si>
    <t>CON_PLY_10396</t>
  </si>
  <si>
    <t>CON_PLY_10397</t>
  </si>
  <si>
    <t>CON_PLY_10398</t>
  </si>
  <si>
    <t>CON_PLY_10399</t>
  </si>
  <si>
    <t>CON_PLY_10400</t>
  </si>
  <si>
    <t>CON_PLY_10401</t>
  </si>
  <si>
    <t>CON_PLY_10402</t>
  </si>
  <si>
    <t>CON_PLY_10403</t>
  </si>
  <si>
    <t>CON_PLY_10404</t>
  </si>
  <si>
    <t>CON_PLY_10405</t>
  </si>
  <si>
    <t>CON_PLY_10406</t>
  </si>
  <si>
    <t>CON_PLY_10407</t>
  </si>
  <si>
    <t>CON_PLY_10408</t>
  </si>
  <si>
    <t>CON_PLY_10409</t>
  </si>
  <si>
    <t>CON_PLY_10410</t>
  </si>
  <si>
    <t>CON_PLY_10411</t>
  </si>
  <si>
    <t>CON_PLY_10412</t>
  </si>
  <si>
    <t>CON_PLY_10413</t>
  </si>
  <si>
    <t>CON_PLY_10414</t>
  </si>
  <si>
    <t>CON_PLY_10415</t>
  </si>
  <si>
    <t>CON_PLY_10416</t>
  </si>
  <si>
    <t>CON_PLY_10417</t>
  </si>
  <si>
    <t>CON_PLY_10418</t>
  </si>
  <si>
    <t>CON_PLY_10419</t>
  </si>
  <si>
    <t>CON_PLY_10420</t>
  </si>
  <si>
    <t>CON_PLY_10421</t>
  </si>
  <si>
    <t>CON_PLY_10422</t>
  </si>
  <si>
    <t>CON_PLY_10423</t>
  </si>
  <si>
    <t>CON_PLY_10424</t>
  </si>
  <si>
    <t>CON_PLY_10425</t>
  </si>
  <si>
    <t>CON_PLY_10426</t>
  </si>
  <si>
    <t>CON_PLY_10427</t>
  </si>
  <si>
    <t>CON_PLY_10428</t>
  </si>
  <si>
    <t>CON_PLY_10429</t>
  </si>
  <si>
    <t>CON_PLY_10430</t>
  </si>
  <si>
    <t>CON_PLY_10431</t>
  </si>
  <si>
    <t>CON_PLY_10432</t>
  </si>
  <si>
    <t>CON_PLY_10433</t>
  </si>
  <si>
    <t>CON_PLY_10434</t>
  </si>
  <si>
    <t>CON_PLY_10435</t>
  </si>
  <si>
    <t>CON_PLY_10436</t>
  </si>
  <si>
    <t>CON_PLY_10437</t>
  </si>
  <si>
    <t>CON_PLY_10438</t>
  </si>
  <si>
    <t>CON_PLY_10439</t>
  </si>
  <si>
    <t>CON_PLY_10440</t>
  </si>
  <si>
    <t>CON_PLY_10441</t>
  </si>
  <si>
    <t>CON_PLY_10442</t>
  </si>
  <si>
    <t>CON_PLY_10443</t>
  </si>
  <si>
    <t>CON_PLY_10444</t>
  </si>
  <si>
    <t>CON_PLY_10445</t>
  </si>
  <si>
    <t>CON_PLY_10446</t>
  </si>
  <si>
    <t>CON_PLY_10447</t>
  </si>
  <si>
    <t>CON_PLY_10448</t>
  </si>
  <si>
    <t>CON_PLY_10449</t>
  </si>
  <si>
    <t>CON_PLY_10450</t>
  </si>
  <si>
    <t>CON_PLY_10451</t>
  </si>
  <si>
    <t>CON_PLY_10452</t>
  </si>
  <si>
    <t>CON_PLY_10453</t>
  </si>
  <si>
    <t>CON_PLY_10454</t>
  </si>
  <si>
    <t>CON_PLY_10455</t>
  </si>
  <si>
    <t>CON_PLY_10456</t>
  </si>
  <si>
    <t>CON_PLY_10457</t>
  </si>
  <si>
    <t>CON_PLY_10458</t>
  </si>
  <si>
    <t>CON_PLY_10459</t>
  </si>
  <si>
    <t>CON_PLY_10460</t>
  </si>
  <si>
    <t>CON_PLY_10461</t>
  </si>
  <si>
    <t>CON_PLY_10462</t>
  </si>
  <si>
    <t>CON_PLY_10463</t>
  </si>
  <si>
    <t>CON_PLY_10464</t>
  </si>
  <si>
    <t>CON_PLY_10465</t>
  </si>
  <si>
    <t>CON_PLY_10466</t>
  </si>
  <si>
    <t>CON_PLY_10467</t>
  </si>
  <si>
    <t>CON_PLY_10468</t>
  </si>
  <si>
    <t>CON_PLY_10469</t>
  </si>
  <si>
    <t>CON_PLY_10470</t>
  </si>
  <si>
    <t>CON_PLY_10471</t>
  </si>
  <si>
    <t>CON_PLY_10472</t>
  </si>
  <si>
    <t>CON_PLY_10473</t>
  </si>
  <si>
    <t>CON_PLY_10474</t>
  </si>
  <si>
    <t>CON_PLY_10475</t>
  </si>
  <si>
    <t>CON_PLY_10476</t>
  </si>
  <si>
    <t>CON_PLY_10477</t>
  </si>
  <si>
    <t>CON_PLY_10478</t>
  </si>
  <si>
    <t>CON_PLY_10479</t>
  </si>
  <si>
    <t>CON_PLY_10480</t>
  </si>
  <si>
    <t>CON_PLY_10481</t>
  </si>
  <si>
    <t>CON_PLY_10482</t>
  </si>
  <si>
    <t>CON_PLY_10483</t>
  </si>
  <si>
    <t>CON_PLY_10484</t>
  </si>
  <si>
    <t>CON_PLY_10485</t>
  </si>
  <si>
    <t>CON_PLY_10486</t>
  </si>
  <si>
    <t>CON_PLY_10487</t>
  </si>
  <si>
    <t>CON_PLY_10488</t>
  </si>
  <si>
    <t>CON_PLY_10489</t>
  </si>
  <si>
    <t>CON_PLY_10490</t>
  </si>
  <si>
    <t>CON_PLY_10491</t>
  </si>
  <si>
    <t>CON_PLY_10492</t>
  </si>
  <si>
    <t>CON_PLY_10493</t>
  </si>
  <si>
    <t>CON_PLY_10494</t>
  </si>
  <si>
    <t>CON_PLY_10495</t>
  </si>
  <si>
    <t>CON_PLY_10496</t>
  </si>
  <si>
    <t>CON_PLY_10497</t>
  </si>
  <si>
    <t>CON_PLY_10498</t>
  </si>
  <si>
    <t>CON_PLY_10499</t>
  </si>
  <si>
    <t>CON_PLY_10500</t>
  </si>
  <si>
    <t>CON_PLY_10501</t>
  </si>
  <si>
    <t>CON_PLY_10502</t>
  </si>
  <si>
    <t>CON_PLY_10503</t>
  </si>
  <si>
    <t>CON_PLY_10504</t>
  </si>
  <si>
    <t>CON_PLY_10505</t>
  </si>
  <si>
    <t>CON_PLY_10506</t>
  </si>
  <si>
    <t>CON_PLY_10507</t>
  </si>
  <si>
    <t>CON_PLY_10508</t>
  </si>
  <si>
    <t>CON_PLY_10509</t>
  </si>
  <si>
    <t>CON_PLY_10510</t>
  </si>
  <si>
    <t>CON_PLY_10511</t>
  </si>
  <si>
    <t>CON_PLY_10512</t>
  </si>
  <si>
    <t>CON_PLY_10513</t>
  </si>
  <si>
    <t>CON_PLY_10514</t>
  </si>
  <si>
    <t>CON_PLY_10515</t>
  </si>
  <si>
    <t>CON_PLY_10516</t>
  </si>
  <si>
    <t>CON_PLY_10517</t>
  </si>
  <si>
    <t>CON_PLY_10518</t>
  </si>
  <si>
    <t>CON_PLY_10519</t>
  </si>
  <si>
    <t>CON_PLY_10520</t>
  </si>
  <si>
    <t>CON_PLY_10521</t>
  </si>
  <si>
    <t>CON_PLY_10522</t>
  </si>
  <si>
    <t>CON_PLY_10523</t>
  </si>
  <si>
    <t>CON_PLY_10524</t>
  </si>
  <si>
    <t>CON_PLY_10525</t>
  </si>
  <si>
    <t>CON_PLY_10526</t>
  </si>
  <si>
    <t>CON_PLY_10527</t>
  </si>
  <si>
    <t>CON_PLY_10528</t>
  </si>
  <si>
    <t>CON_PLY_10529</t>
  </si>
  <si>
    <t>CON_PLY_10530</t>
  </si>
  <si>
    <t>CON_PLY_10531</t>
  </si>
  <si>
    <t>CON_PLY_10532</t>
  </si>
  <si>
    <t>CON_PLY_10533</t>
  </si>
  <si>
    <t>CON_PLY_10534</t>
  </si>
  <si>
    <t>CON_PLY_10535</t>
  </si>
  <si>
    <t>CON_PLY_10536</t>
  </si>
  <si>
    <t>CON_PLY_10537</t>
  </si>
  <si>
    <t>CON_PLY_10538</t>
  </si>
  <si>
    <t>CON_PLY_10539</t>
  </si>
  <si>
    <t>CON_PLY_10540</t>
  </si>
  <si>
    <t>CON_PLY_10541</t>
  </si>
  <si>
    <t>CON_PLY_10542</t>
  </si>
  <si>
    <t>CON_PLY_10543</t>
  </si>
  <si>
    <t>CON_PLY_10544</t>
  </si>
  <si>
    <t>CON_PLY_10545</t>
  </si>
  <si>
    <t>CON_PLY_10546</t>
  </si>
  <si>
    <t>CON_PLY_10547</t>
  </si>
  <si>
    <t>CON_PLY_10548</t>
  </si>
  <si>
    <t>CON_PLY_10549</t>
  </si>
  <si>
    <t>CON_PLY_10550</t>
  </si>
  <si>
    <t>CON_PLY_10551</t>
  </si>
  <si>
    <t>CON_PLY_10552</t>
  </si>
  <si>
    <t>CON_PLY_10553</t>
  </si>
  <si>
    <t>CON_PLY_10554</t>
  </si>
  <si>
    <t>CON_PLY_10555</t>
  </si>
  <si>
    <t>CON_PLY_10556</t>
  </si>
  <si>
    <t>CON_PLY_10557</t>
  </si>
  <si>
    <t>CON_PLY_10558</t>
  </si>
  <si>
    <t>CON_PLY_10559</t>
  </si>
  <si>
    <t>CON_PLY_10560</t>
  </si>
  <si>
    <t>CON_PLY_10561</t>
  </si>
  <si>
    <t>CON_PLY_10562</t>
  </si>
  <si>
    <t>CON_PLY_10563</t>
  </si>
  <si>
    <t>CON_PLY_10564</t>
  </si>
  <si>
    <t>CON_PLY_10565</t>
  </si>
  <si>
    <t>CON_PLY_10566</t>
  </si>
  <si>
    <t>CON_PLY_10567</t>
  </si>
  <si>
    <t>CON_PLY_10568</t>
  </si>
  <si>
    <t>CON_PLY_10569</t>
  </si>
  <si>
    <t>CON_PLY_10570</t>
  </si>
  <si>
    <t>CON_PLY_10571</t>
  </si>
  <si>
    <t>CON_PLY_10572</t>
  </si>
  <si>
    <t>CON_PLY_10573</t>
  </si>
  <si>
    <t>CON_PLY_10574</t>
  </si>
  <si>
    <t>CON_PLY_10575</t>
  </si>
  <si>
    <t>CON_PLY_10576</t>
  </si>
  <si>
    <t>CON_PLY_10577</t>
  </si>
  <si>
    <t>CON_PLY_10578</t>
  </si>
  <si>
    <t>CON_PLY_10579</t>
  </si>
  <si>
    <t>CON_PLY_10580</t>
  </si>
  <si>
    <t>CON_PLY_10581</t>
  </si>
  <si>
    <t>CON_PLY_10582</t>
  </si>
  <si>
    <t>CON_PLY_10583</t>
  </si>
  <si>
    <t>CON_PLY_10584</t>
  </si>
  <si>
    <t>CON_PLY_10585</t>
  </si>
  <si>
    <t>CON_PLY_10586</t>
  </si>
  <si>
    <t>CON_PLY_10587</t>
  </si>
  <si>
    <t>CON_PLY_10588</t>
  </si>
  <si>
    <t>CON_PLY_10589</t>
  </si>
  <si>
    <t>CON_PLY_10590</t>
  </si>
  <si>
    <t>CON_PLY_10591</t>
  </si>
  <si>
    <t>CON_PLY_10592</t>
  </si>
  <si>
    <t>CON_PLY_10593</t>
  </si>
  <si>
    <t>CON_PLY_10594</t>
  </si>
  <si>
    <t>CON_PLY_10595</t>
  </si>
  <si>
    <t>CON_PLY_10596</t>
  </si>
  <si>
    <t>CON_PLY_10597</t>
  </si>
  <si>
    <t>CON_PLY_10598</t>
  </si>
  <si>
    <t>CON_PLY_10599</t>
  </si>
  <si>
    <t>CON_PLY_10600</t>
  </si>
  <si>
    <t>CON_PLY_10601</t>
  </si>
  <si>
    <t>CON_PLY_10602</t>
  </si>
  <si>
    <t>CON_PLY_10603</t>
  </si>
  <si>
    <t>CON_PLY_10604</t>
  </si>
  <si>
    <t>CON_PLY_10605</t>
  </si>
  <si>
    <t>CON_PLY_10606</t>
  </si>
  <si>
    <t>CON_PLY_10607</t>
  </si>
  <si>
    <t>CON_PLY_10608</t>
  </si>
  <si>
    <t>CON_PLY_10609</t>
  </si>
  <si>
    <t>CON_PLY_10610</t>
  </si>
  <si>
    <t>CON_PLY_10611</t>
  </si>
  <si>
    <t>CON_PLY_10612</t>
  </si>
  <si>
    <t>CON_PLY_10613</t>
  </si>
  <si>
    <t>CON_PLY_10614</t>
  </si>
  <si>
    <t>CON_PLY_10615</t>
  </si>
  <si>
    <t>CON_PLY_10616</t>
  </si>
  <si>
    <t>CON_PLY_10617</t>
  </si>
  <si>
    <t>CON_PLY_10618</t>
  </si>
  <si>
    <t>CON_PLY_10619</t>
  </si>
  <si>
    <t>CON_PLY_10620</t>
  </si>
  <si>
    <t>CON_PLY_10621</t>
  </si>
  <si>
    <t>CON_PLY_10622</t>
  </si>
  <si>
    <t>CON_PLY_10623</t>
  </si>
  <si>
    <t>CON_PLY_10624</t>
  </si>
  <si>
    <t>CON_PLY_10625</t>
  </si>
  <si>
    <t>CON_PLY_10626</t>
  </si>
  <si>
    <t>CON_PLY_10627</t>
  </si>
  <si>
    <t>CON_PLY_10628</t>
  </si>
  <si>
    <t>CON_PLY_10629</t>
  </si>
  <si>
    <t>CON_PLY_10630</t>
  </si>
  <si>
    <t>CON_PLY_10631</t>
  </si>
  <si>
    <t>CON_PLY_10632</t>
  </si>
  <si>
    <t>CON_PLY_10633</t>
  </si>
  <si>
    <t>CON_PLY_10634</t>
  </si>
  <si>
    <t>CON_PLY_10635</t>
  </si>
  <si>
    <t>CON_PLY_10636</t>
  </si>
  <si>
    <t>CON_PLY_10637</t>
  </si>
  <si>
    <t>CON_PLY_10638</t>
  </si>
  <si>
    <t>CON_PLY_10639</t>
  </si>
  <si>
    <t>CON_PLY_10640</t>
  </si>
  <si>
    <t>CON_PLY_10641</t>
  </si>
  <si>
    <t>CON_PLY_10642</t>
  </si>
  <si>
    <t>CON_PLY_10643</t>
  </si>
  <si>
    <t>CON_PLY_10644</t>
  </si>
  <si>
    <t>CON_PLY_10645</t>
  </si>
  <si>
    <t>CON_PLY_10646</t>
  </si>
  <si>
    <t>CON_PLY_10647</t>
  </si>
  <si>
    <t>CON_PLY_10648</t>
  </si>
  <si>
    <t>CON_PLY_10649</t>
  </si>
  <si>
    <t>CON_PLY_10650</t>
  </si>
  <si>
    <t>CON_PLY_10651</t>
  </si>
  <si>
    <t>CON_PLY_10652</t>
  </si>
  <si>
    <t>CON_PLY_10653</t>
  </si>
  <si>
    <t>CON_PLY_10654</t>
  </si>
  <si>
    <t>CON_PLY_10655</t>
  </si>
  <si>
    <t>CON_PLY_10656</t>
  </si>
  <si>
    <t>CON_PLY_10657</t>
  </si>
  <si>
    <t>CON_PLY_10658</t>
  </si>
  <si>
    <t>CON_PLY_10659</t>
  </si>
  <si>
    <t>CON_PLY_10660</t>
  </si>
  <si>
    <t>CON_PLY_10661</t>
  </si>
  <si>
    <t>CON_PLY_10662</t>
  </si>
  <si>
    <t>CON_PLY_10663</t>
  </si>
  <si>
    <t>CON_PLY_10664</t>
  </si>
  <si>
    <t>CON_PLY_10665</t>
  </si>
  <si>
    <t>CON_PLY_10666</t>
  </si>
  <si>
    <t>CON_PLY_10667</t>
  </si>
  <si>
    <t>CON_PLY_10668</t>
  </si>
  <si>
    <t>CON_PLY_10669</t>
  </si>
  <si>
    <t>CON_PLY_10670</t>
  </si>
  <si>
    <t>CON_PLY_10671</t>
  </si>
  <si>
    <t>CON_PLY_10672</t>
  </si>
  <si>
    <t>CON_PLY_10673</t>
  </si>
  <si>
    <t>CON_PLY_10674</t>
  </si>
  <si>
    <t>CON_PLY_10675</t>
  </si>
  <si>
    <t>CON_PLY_10676</t>
  </si>
  <si>
    <t>CON_PLY_10677</t>
  </si>
  <si>
    <t>CON_PLY_10678</t>
  </si>
  <si>
    <t>CON_PLY_10679</t>
  </si>
  <si>
    <t>CON_PLY_10680</t>
  </si>
  <si>
    <t>CON_PLY_10681</t>
  </si>
  <si>
    <t>CON_PLY_10682</t>
  </si>
  <si>
    <t>CON_PLY_10683</t>
  </si>
  <si>
    <t>CON_PLY_10684</t>
  </si>
  <si>
    <t>CON_PLY_10685</t>
  </si>
  <si>
    <t>CON_PLY_10686</t>
  </si>
  <si>
    <t>CON_PLY_10687</t>
  </si>
  <si>
    <t>CON_PLY_10688</t>
  </si>
  <si>
    <t>CON_PLY_10689</t>
  </si>
  <si>
    <t>CON_PLY_10690</t>
  </si>
  <si>
    <t>CON_PLY_10691</t>
  </si>
  <si>
    <t>CON_PLY_10692</t>
  </si>
  <si>
    <t>CON_PLY_10693</t>
  </si>
  <si>
    <t>CON_PLY_10694</t>
  </si>
  <si>
    <t>CON_PLY_10695</t>
  </si>
  <si>
    <t>CON_PLY_10696</t>
  </si>
  <si>
    <t>CON_PLY_10697</t>
  </si>
  <si>
    <t>CON_PLY_10698</t>
  </si>
  <si>
    <t>CON_PLY_10699</t>
  </si>
  <si>
    <t>CON_PLY_10700</t>
  </si>
  <si>
    <t>CON_PLY_10701</t>
  </si>
  <si>
    <t>CON_PLY_10702</t>
  </si>
  <si>
    <t>CON_PLY_10703</t>
  </si>
  <si>
    <t>CON_PLY_10704</t>
  </si>
  <si>
    <t>CON_PLY_10705</t>
  </si>
  <si>
    <t>CON_PLY_10706</t>
  </si>
  <si>
    <t>CON_PLY_10707</t>
  </si>
  <si>
    <t>CON_PLY_10708</t>
  </si>
  <si>
    <t>CON_PLY_10709</t>
  </si>
  <si>
    <t>CON_PLY_10710</t>
  </si>
  <si>
    <t>CON_PLY_10711</t>
  </si>
  <si>
    <t>CON_PLY_10712</t>
  </si>
  <si>
    <t>CON_PLY_10713</t>
  </si>
  <si>
    <t>CON_PLY_10714</t>
  </si>
  <si>
    <t>CON_PLY_10715</t>
  </si>
  <si>
    <t>CON_PLY_10716</t>
  </si>
  <si>
    <t>CON_PLY_10717</t>
  </si>
  <si>
    <t>CON_PLY_10718</t>
  </si>
  <si>
    <t>CON_PLY_10719</t>
  </si>
  <si>
    <t>CON_PLY_10720</t>
  </si>
  <si>
    <t>CON_PLY_10721</t>
  </si>
  <si>
    <t>CON_PLY_10722</t>
  </si>
  <si>
    <t>CON_PLY_10723</t>
  </si>
  <si>
    <t>CON_PLY_10724</t>
  </si>
  <si>
    <t>CON_PLY_10725</t>
  </si>
  <si>
    <t>CON_PLY_10726</t>
  </si>
  <si>
    <t>CON_PLY_10727</t>
  </si>
  <si>
    <t>CON_PLY_10728</t>
  </si>
  <si>
    <t>CON_PLY_10729</t>
  </si>
  <si>
    <t>CON_PLY_10730</t>
  </si>
  <si>
    <t>CON_PLY_10731</t>
  </si>
  <si>
    <t>CON_PLY_10732</t>
  </si>
  <si>
    <t>CON_PLY_10733</t>
  </si>
  <si>
    <t>CON_PLY_10734</t>
  </si>
  <si>
    <t>CON_PLY_10735</t>
  </si>
  <si>
    <t>CON_PLY_10736</t>
  </si>
  <si>
    <t>CON_PLY_10737</t>
  </si>
  <si>
    <t>CON_PLY_10738</t>
  </si>
  <si>
    <t>CON_PLY_10739</t>
  </si>
  <si>
    <t>CON_PLY_10740</t>
  </si>
  <si>
    <t>CON_PLY_10741</t>
  </si>
  <si>
    <t>CON_PLY_10742</t>
  </si>
  <si>
    <t>CON_PLY_10743</t>
  </si>
  <si>
    <t>CON_PLY_10744</t>
  </si>
  <si>
    <t>CON_PLY_10745</t>
  </si>
  <si>
    <t>CON_PLY_10746</t>
  </si>
  <si>
    <t>CON_PLY_10747</t>
  </si>
  <si>
    <t>CON_PLY_10748</t>
  </si>
  <si>
    <t>CON_PLY_10749</t>
  </si>
  <si>
    <t>CON_PLY_10750</t>
  </si>
  <si>
    <t>CON_PLY_10751</t>
  </si>
  <si>
    <t>CON_PLY_10752</t>
  </si>
  <si>
    <t>CON_PLY_10753</t>
  </si>
  <si>
    <t>CON_PLY_10754</t>
  </si>
  <si>
    <t>CON_PLY_10755</t>
  </si>
  <si>
    <t>CON_PLY_10756</t>
  </si>
  <si>
    <t>CON_PLY_10757</t>
  </si>
  <si>
    <t>CON_PLY_10758</t>
  </si>
  <si>
    <t>CON_PLY_10759</t>
  </si>
  <si>
    <t>CON_PLY_10760</t>
  </si>
  <si>
    <t>CON_PLY_10761</t>
  </si>
  <si>
    <t>CON_PLY_10762</t>
  </si>
  <si>
    <t>CON_PLY_10763</t>
  </si>
  <si>
    <t>CON_PLY_10764</t>
  </si>
  <si>
    <t>CON_PLY_10765</t>
  </si>
  <si>
    <t>CON_PLY_10766</t>
  </si>
  <si>
    <t>CON_PLY_10767</t>
  </si>
  <si>
    <t>CON_PLY_10768</t>
  </si>
  <si>
    <t>CON_PLY_10769</t>
  </si>
  <si>
    <t>CON_PLY_10770</t>
  </si>
  <si>
    <t>CON_PLY_10771</t>
  </si>
  <si>
    <t>CON_PLY_10772</t>
  </si>
  <si>
    <t>CON_PLY_10773</t>
  </si>
  <si>
    <t>CON_PLY_10774</t>
  </si>
  <si>
    <t>CON_PLY_10775</t>
  </si>
  <si>
    <t>CON_PLY_10776</t>
  </si>
  <si>
    <t>CON_PLY_10777</t>
  </si>
  <si>
    <t>CON_PLY_10778</t>
  </si>
  <si>
    <t>CON_PLY_10779</t>
  </si>
  <si>
    <t>CON_PLY_10780</t>
  </si>
  <si>
    <t>CON_PLY_10781</t>
  </si>
  <si>
    <t>CON_PLY_10782</t>
  </si>
  <si>
    <t>CON_PLY_10783</t>
  </si>
  <si>
    <t>CON_PLY_10784</t>
  </si>
  <si>
    <t>CON_PLY_10785</t>
  </si>
  <si>
    <t>CON_PLY_10786</t>
  </si>
  <si>
    <t>CON_PLY_10787</t>
  </si>
  <si>
    <t>CON_PLY_10788</t>
  </si>
  <si>
    <t>CON_PLY_10789</t>
  </si>
  <si>
    <t>CON_PLY_10790</t>
  </si>
  <si>
    <t>CON_PLY_10791</t>
  </si>
  <si>
    <t>CON_PLY_10792</t>
  </si>
  <si>
    <t>CON_PLY_10793</t>
  </si>
  <si>
    <t>CON_PLY_10794</t>
  </si>
  <si>
    <t>CON_PLY_10795</t>
  </si>
  <si>
    <t>CON_PLY_10796</t>
  </si>
  <si>
    <t>CON_PLY_10797</t>
  </si>
  <si>
    <t>CON_PLY_10798</t>
  </si>
  <si>
    <t>CON_PLY_10799</t>
  </si>
  <si>
    <t>CON_PLY_10800</t>
  </si>
  <si>
    <t>CON_PLY_10801</t>
  </si>
  <si>
    <t>CON_PLY_10802</t>
  </si>
  <si>
    <t>CON_PLY_10803</t>
  </si>
  <si>
    <t>CON_PLY_10804</t>
  </si>
  <si>
    <t>CON_PLY_10805</t>
  </si>
  <si>
    <t>CON_PLY_10806</t>
  </si>
  <si>
    <t>CON_PLY_10807</t>
  </si>
  <si>
    <t>CON_PLY_10808</t>
  </si>
  <si>
    <t>CON_PLY_10809</t>
  </si>
  <si>
    <t>CON_PLY_10810</t>
  </si>
  <si>
    <t>CON_PLY_10811</t>
  </si>
  <si>
    <t>CON_PLY_10812</t>
  </si>
  <si>
    <t>CON_PLY_10813</t>
  </si>
  <si>
    <t>CON_PLY_10814</t>
  </si>
  <si>
    <t>CON_PLY_10815</t>
  </si>
  <si>
    <t>CON_PLY_10816</t>
  </si>
  <si>
    <t>CON_PLY_10817</t>
  </si>
  <si>
    <t>CON_PLY_10818</t>
  </si>
  <si>
    <t>CON_PLY_10819</t>
  </si>
  <si>
    <t>CON_PLY_10820</t>
  </si>
  <si>
    <t>CON_PLY_10821</t>
  </si>
  <si>
    <t>CON_PLY_10822</t>
  </si>
  <si>
    <t>CON_PLY_10823</t>
  </si>
  <si>
    <t>CON_PLY_10824</t>
  </si>
  <si>
    <t>CON_PLY_10825</t>
  </si>
  <si>
    <t>CON_PLY_10826</t>
  </si>
  <si>
    <t>CON_PLY_10827</t>
  </si>
  <si>
    <t>CON_PLY_10828</t>
  </si>
  <si>
    <t>CON_PLY_10829</t>
  </si>
  <si>
    <t>CON_PLY_10830</t>
  </si>
  <si>
    <t>CON_PLY_10831</t>
  </si>
  <si>
    <t>CON_PLY_10832</t>
  </si>
  <si>
    <t>CON_PLY_10833</t>
  </si>
  <si>
    <t>CON_PLY_10834</t>
  </si>
  <si>
    <t>CON_PLY_10835</t>
  </si>
  <si>
    <t>CON_PLY_10836</t>
  </si>
  <si>
    <t>CON_PLY_10837</t>
  </si>
  <si>
    <t>CON_PLY_10838</t>
  </si>
  <si>
    <t>CON_PLY_10839</t>
  </si>
  <si>
    <t>CON_PLY_10840</t>
  </si>
  <si>
    <t>CON_PLY_10841</t>
  </si>
  <si>
    <t>CON_PLY_10842</t>
  </si>
  <si>
    <t>CON_PLY_10843</t>
  </si>
  <si>
    <t>CON_PLY_10844</t>
  </si>
  <si>
    <t>CON_PLY_10845</t>
  </si>
  <si>
    <t>CON_PLY_10846</t>
  </si>
  <si>
    <t>CON_PLY_10847</t>
  </si>
  <si>
    <t>CON_PLY_10848</t>
  </si>
  <si>
    <t>CON_PLY_10849</t>
  </si>
  <si>
    <t>CON_PLY_10850</t>
  </si>
  <si>
    <t>CON_PLY_10851</t>
  </si>
  <si>
    <t>CON_PLY_10852</t>
  </si>
  <si>
    <t>CON_PLY_10853</t>
  </si>
  <si>
    <t>CON_PLY_10854</t>
  </si>
  <si>
    <t>CON_PLY_10855</t>
  </si>
  <si>
    <t>CON_PLY_10856</t>
  </si>
  <si>
    <t>CON_PLY_10857</t>
  </si>
  <si>
    <t>CON_PLY_10858</t>
  </si>
  <si>
    <t>CON_PLY_10859</t>
  </si>
  <si>
    <t>CON_PLY_10860</t>
  </si>
  <si>
    <t>CON_PLY_10861</t>
  </si>
  <si>
    <t>CON_PLY_10862</t>
  </si>
  <si>
    <t>CON_PLY_10863</t>
  </si>
  <si>
    <t>CON_PLY_10864</t>
  </si>
  <si>
    <t>CON_PLY_10865</t>
  </si>
  <si>
    <t>CON_PLY_10866</t>
  </si>
  <si>
    <t>CON_PLY_10867</t>
  </si>
  <si>
    <t>CON_PLY_10868</t>
  </si>
  <si>
    <t>CON_PLY_10869</t>
  </si>
  <si>
    <t>CON_PLY_10870</t>
  </si>
  <si>
    <t>CON_PLY_10871</t>
  </si>
  <si>
    <t>CON_PLY_10872</t>
  </si>
  <si>
    <t>CON_PLY_10873</t>
  </si>
  <si>
    <t>CON_PLY_10874</t>
  </si>
  <si>
    <t>CON_PLY_10875</t>
  </si>
  <si>
    <t>CON_PLY_10876</t>
  </si>
  <si>
    <t>CON_PLY_10877</t>
  </si>
  <si>
    <t>CON_PLY_10878</t>
  </si>
  <si>
    <t>CON_PLY_10879</t>
  </si>
  <si>
    <t>CON_PLY_10880</t>
  </si>
  <si>
    <t>CON_PLY_10881</t>
  </si>
  <si>
    <t>CON_PLY_10882</t>
  </si>
  <si>
    <t>CON_PLY_10883</t>
  </si>
  <si>
    <t>CON_PLY_10884</t>
  </si>
  <si>
    <t>CON_PLY_10885</t>
  </si>
  <si>
    <t>CON_PLY_10886</t>
  </si>
  <si>
    <t>CON_PLY_10887</t>
  </si>
  <si>
    <t>CON_PLY_10888</t>
  </si>
  <si>
    <t>CON_PLY_10889</t>
  </si>
  <si>
    <t>CON_PLY_10890</t>
  </si>
  <si>
    <t>CON_PLY_10891</t>
  </si>
  <si>
    <t>CON_PLY_10892</t>
  </si>
  <si>
    <t>CON_PLY_10893</t>
  </si>
  <si>
    <t>CON_PLY_10894</t>
  </si>
  <si>
    <t>CON_PLY_10895</t>
  </si>
  <si>
    <t>CON_PLY_10896</t>
  </si>
  <si>
    <t>CON_PLY_10897</t>
  </si>
  <si>
    <t>CON_PLY_10898</t>
  </si>
  <si>
    <t>CON_PLY_10899</t>
  </si>
  <si>
    <t>CON_PLY_10900</t>
  </si>
  <si>
    <t>CON_PLY_10901</t>
  </si>
  <si>
    <t>CON_PLY_10902</t>
  </si>
  <si>
    <t>CON_PLY_10903</t>
  </si>
  <si>
    <t>CON_PLY_10904</t>
  </si>
  <si>
    <t>CON_PLY_10905</t>
  </si>
  <si>
    <t>CON_PLY_10906</t>
  </si>
  <si>
    <t>CON_PLY_10907</t>
  </si>
  <si>
    <t>CON_PLY_10908</t>
  </si>
  <si>
    <t>CON_PLY_10909</t>
  </si>
  <si>
    <t>CON_PLY_10910</t>
  </si>
  <si>
    <t>CON_PLY_10911</t>
  </si>
  <si>
    <t>CON_PLY_10912</t>
  </si>
  <si>
    <t>CON_PLY_10913</t>
  </si>
  <si>
    <t>CON_PLY_10914</t>
  </si>
  <si>
    <t>CON_PLY_10915</t>
  </si>
  <si>
    <t>CON_PLY_10916</t>
  </si>
  <si>
    <t>CON_PLY_10917</t>
  </si>
  <si>
    <t>CON_PLY_10918</t>
  </si>
  <si>
    <t>CON_PLY_10919</t>
  </si>
  <si>
    <t>CON_PLY_10920</t>
  </si>
  <si>
    <t>CON_PLY_10921</t>
  </si>
  <si>
    <t>CON_PLY_10922</t>
  </si>
  <si>
    <t>CON_PLY_10923</t>
  </si>
  <si>
    <t>CON_PLY_10924</t>
  </si>
  <si>
    <t>CON_PLY_10925</t>
  </si>
  <si>
    <t>CON_PLY_10926</t>
  </si>
  <si>
    <t>CON_PLY_10927</t>
  </si>
  <si>
    <t>CON_PLY_10928</t>
  </si>
  <si>
    <t>CON_PLY_10929</t>
  </si>
  <si>
    <t>CON_PLY_10930</t>
  </si>
  <si>
    <t>CON_PLY_10931</t>
  </si>
  <si>
    <t>CON_PLY_10932</t>
  </si>
  <si>
    <t>CON_PLY_10933</t>
  </si>
  <si>
    <t>CON_PLY_10934</t>
  </si>
  <si>
    <t>CON_PLY_10935</t>
  </si>
  <si>
    <t>CON_PLY_10936</t>
  </si>
  <si>
    <t>CON_PLY_10937</t>
  </si>
  <si>
    <t>CON_PLY_10938</t>
  </si>
  <si>
    <t>CON_PLY_10939</t>
  </si>
  <si>
    <t>CON_PLY_10940</t>
  </si>
  <si>
    <t>CON_PLY_10941</t>
  </si>
  <si>
    <t>CON_PLY_10942</t>
  </si>
  <si>
    <t>CON_PLY_10943</t>
  </si>
  <si>
    <t>CON_PLY_10944</t>
  </si>
  <si>
    <t>CON_PLY_10945</t>
  </si>
  <si>
    <t>CON_PLY_10946</t>
  </si>
  <si>
    <t>CON_PLY_10947</t>
  </si>
  <si>
    <t>CON_PLY_10948</t>
  </si>
  <si>
    <t>CON_PLY_10949</t>
  </si>
  <si>
    <t>CON_PLY_10950</t>
  </si>
  <si>
    <t>CON_PLY_10951</t>
  </si>
  <si>
    <t>CON_PLY_10952</t>
  </si>
  <si>
    <t>CON_PLY_10953</t>
  </si>
  <si>
    <t>CON_PLY_10954</t>
  </si>
  <si>
    <t>CON_PLY_10955</t>
  </si>
  <si>
    <t>CON_PLY_10956</t>
  </si>
  <si>
    <t>CON_PLY_10957</t>
  </si>
  <si>
    <t>CON_PLY_10958</t>
  </si>
  <si>
    <t>CON_PLY_10959</t>
  </si>
  <si>
    <t>CON_PLY_10960</t>
  </si>
  <si>
    <t>CON_PLY_10961</t>
  </si>
  <si>
    <t>CON_PLY_10962</t>
  </si>
  <si>
    <t>CON_PLY_10963</t>
  </si>
  <si>
    <t>CON_PLY_10964</t>
  </si>
  <si>
    <t>CON_PLY_10965</t>
  </si>
  <si>
    <t>CON_PLY_10966</t>
  </si>
  <si>
    <t>CON_PLY_10967</t>
  </si>
  <si>
    <t>CON_PLY_10968</t>
  </si>
  <si>
    <t>CON_PLY_10969</t>
  </si>
  <si>
    <t>CON_PLY_10970</t>
  </si>
  <si>
    <t>CON_PLY_10971</t>
  </si>
  <si>
    <t>CON_PLY_10972</t>
  </si>
  <si>
    <t>CON_PLY_10973</t>
  </si>
  <si>
    <t>CON_PLY_10974</t>
  </si>
  <si>
    <t>CON_PLY_10975</t>
  </si>
  <si>
    <t>CON_PLY_10976</t>
  </si>
  <si>
    <t>CON_PLY_10977</t>
  </si>
  <si>
    <t>CON_PLY_10978</t>
  </si>
  <si>
    <t>CON_PLY_10979</t>
  </si>
  <si>
    <t>CON_PLY_10980</t>
  </si>
  <si>
    <t>CON_PLY_10981</t>
  </si>
  <si>
    <t>CON_PLY_10982</t>
  </si>
  <si>
    <t>CON_PLY_10983</t>
  </si>
  <si>
    <t>CON_PLY_10984</t>
  </si>
  <si>
    <t>CON_PLY_10985</t>
  </si>
  <si>
    <t>CON_PLY_10986</t>
  </si>
  <si>
    <t>CON_PLY_10987</t>
  </si>
  <si>
    <t>CON_PLY_10988</t>
  </si>
  <si>
    <t>CON_PLY_10989</t>
  </si>
  <si>
    <t>CON_PLY_10990</t>
  </si>
  <si>
    <t>CON_PLY_10991</t>
  </si>
  <si>
    <t>CON_PLY_10992</t>
  </si>
  <si>
    <t>CON_PLY_10993</t>
  </si>
  <si>
    <t>CON_PLY_10994</t>
  </si>
  <si>
    <t>CON_PLY_10995</t>
  </si>
  <si>
    <t>CON_PLY_10996</t>
  </si>
  <si>
    <t>CON_PLY_10997</t>
  </si>
  <si>
    <t>CON_PLY_10998</t>
  </si>
  <si>
    <t>CON_PLY_10999</t>
  </si>
  <si>
    <t>CON_PLY_11000</t>
  </si>
  <si>
    <t>CON_PLY_11001</t>
  </si>
  <si>
    <t>CON_PLY_11002</t>
  </si>
  <si>
    <t>CON_PLY_11003</t>
  </si>
  <si>
    <t>CON_PLY_11004</t>
  </si>
  <si>
    <t>CON_PLY_11005</t>
  </si>
  <si>
    <t>CON_PLY_11006</t>
  </si>
  <si>
    <t>CON_PLY_11007</t>
  </si>
  <si>
    <t>CON_PLY_11008</t>
  </si>
  <si>
    <t>CON_PLY_11009</t>
  </si>
  <si>
    <t>CON_PLY_11010</t>
  </si>
  <si>
    <t>CON_PLY_11011</t>
  </si>
  <si>
    <t>CON_PLY_11012</t>
  </si>
  <si>
    <t>CON_PLY_11013</t>
  </si>
  <si>
    <t>CON_PLY_11014</t>
  </si>
  <si>
    <t>CON_PLY_11015</t>
  </si>
  <si>
    <t>CON_PLY_11016</t>
  </si>
  <si>
    <t>CON_PLY_11017</t>
  </si>
  <si>
    <t>CON_PLY_11018</t>
  </si>
  <si>
    <t>CON_PLY_11019</t>
  </si>
  <si>
    <t>CON_PLY_11020</t>
  </si>
  <si>
    <t>CON_PLY_11021</t>
  </si>
  <si>
    <t>CON_PLY_11022</t>
  </si>
  <si>
    <t>CON_PLY_11023</t>
  </si>
  <si>
    <t>CON_PLY_11024</t>
  </si>
  <si>
    <t>CON_PLY_11025</t>
  </si>
  <si>
    <t>CON_PLY_11026</t>
  </si>
  <si>
    <t>CON_PLY_11027</t>
  </si>
  <si>
    <t>CON_PLY_11028</t>
  </si>
  <si>
    <t>CON_PLY_11029</t>
  </si>
  <si>
    <t>CON_PLY_11030</t>
  </si>
  <si>
    <t>CON_PLY_11031</t>
  </si>
  <si>
    <t>CON_PLY_11032</t>
  </si>
  <si>
    <t>CON_PLY_11033</t>
  </si>
  <si>
    <t>CON_PLY_11034</t>
  </si>
  <si>
    <t>CON_PLY_11035</t>
  </si>
  <si>
    <t>CON_PLY_11036</t>
  </si>
  <si>
    <t>CON_PLY_11037</t>
  </si>
  <si>
    <t>CON_PLY_11038</t>
  </si>
  <si>
    <t>CON_PLY_11039</t>
  </si>
  <si>
    <t>CON_PLY_11040</t>
  </si>
  <si>
    <t>CON_PLY_11041</t>
  </si>
  <si>
    <t>CON_PLY_11042</t>
  </si>
  <si>
    <t>CON_PLY_11043</t>
  </si>
  <si>
    <t>CON_PLY_11044</t>
  </si>
  <si>
    <t>CON_PLY_11045</t>
  </si>
  <si>
    <t>CON_PLY_11046</t>
  </si>
  <si>
    <t>CON_PLY_11047</t>
  </si>
  <si>
    <t>CON_PLY_11048</t>
  </si>
  <si>
    <t>CON_PLY_11049</t>
  </si>
  <si>
    <t>CON_PLY_11050</t>
  </si>
  <si>
    <t>CON_PLY_11051</t>
  </si>
  <si>
    <t>CON_PLY_11052</t>
  </si>
  <si>
    <t>CON_PLY_11053</t>
  </si>
  <si>
    <t>CON_PLY_11054</t>
  </si>
  <si>
    <t>CON_PLY_11055</t>
  </si>
  <si>
    <t>CON_PLY_11056</t>
  </si>
  <si>
    <t>CON_PLY_11057</t>
  </si>
  <si>
    <t>CON_PLY_11058</t>
  </si>
  <si>
    <t>CON_PLY_11059</t>
  </si>
  <si>
    <t>CON_PLY_11060</t>
  </si>
  <si>
    <t>CON_PLY_11061</t>
  </si>
  <si>
    <t>CON_PLY_11062</t>
  </si>
  <si>
    <t>CON_PLY_11063</t>
  </si>
  <si>
    <t>CON_PLY_11064</t>
  </si>
  <si>
    <t>CON_PLY_11065</t>
  </si>
  <si>
    <t>CON_PLY_11066</t>
  </si>
  <si>
    <t>CON_PLY_11067</t>
  </si>
  <si>
    <t>CON_PLY_11068</t>
  </si>
  <si>
    <t>CON_PLY_11069</t>
  </si>
  <si>
    <t>CON_PLY_11070</t>
  </si>
  <si>
    <t>CON_PLY_11071</t>
  </si>
  <si>
    <t>CON_PLY_11072</t>
  </si>
  <si>
    <t>CON_PLY_11073</t>
  </si>
  <si>
    <t>CON_PLY_11074</t>
  </si>
  <si>
    <t>CON_PLY_11075</t>
  </si>
  <si>
    <t>CON_PLY_11076</t>
  </si>
  <si>
    <t>CON_PLY_11077</t>
  </si>
  <si>
    <t>CON_PLY_11078</t>
  </si>
  <si>
    <t>CON_PLY_11079</t>
  </si>
  <si>
    <t>CON_PLY_11080</t>
  </si>
  <si>
    <t>CON_PLY_11081</t>
  </si>
  <si>
    <t>CON_PLY_11082</t>
  </si>
  <si>
    <t>CON_PLY_11083</t>
  </si>
  <si>
    <t>CON_PLY_11084</t>
  </si>
  <si>
    <t>CON_PLY_11085</t>
  </si>
  <si>
    <t>CON_PLY_11086</t>
  </si>
  <si>
    <t>CON_PLY_11087</t>
  </si>
  <si>
    <t>CON_PLY_11088</t>
  </si>
  <si>
    <t>CON_PLY_11089</t>
  </si>
  <si>
    <t>CON_PLY_11090</t>
  </si>
  <si>
    <t>CON_PLY_11091</t>
  </si>
  <si>
    <t>CON_PLY_11092</t>
  </si>
  <si>
    <t>CON_PLY_11093</t>
  </si>
  <si>
    <t>CON_PLY_11094</t>
  </si>
  <si>
    <t>CON_PLY_11095</t>
  </si>
  <si>
    <t>CON_PLY_11096</t>
  </si>
  <si>
    <t>CON_PLY_11097</t>
  </si>
  <si>
    <t>CON_PLY_11098</t>
  </si>
  <si>
    <t>CON_PLY_11099</t>
  </si>
  <si>
    <t>CON_PLY_11100</t>
  </si>
  <si>
    <t>CON_PLY_11101</t>
  </si>
  <si>
    <t>CON_PLY_11102</t>
  </si>
  <si>
    <t>CON_PLY_11103</t>
  </si>
  <si>
    <t>CON_PLY_11104</t>
  </si>
  <si>
    <t>CON_PLY_11105</t>
  </si>
  <si>
    <t>CON_PLY_11106</t>
  </si>
  <si>
    <t>CON_PLY_11107</t>
  </si>
  <si>
    <t>CON_PLY_11108</t>
  </si>
  <si>
    <t>CON_PLY_11109</t>
  </si>
  <si>
    <t>CON_PLY_11110</t>
  </si>
  <si>
    <t>CON_PLY_11111</t>
  </si>
  <si>
    <t>CON_PLY_11112</t>
  </si>
  <si>
    <t>CON_PLY_11113</t>
  </si>
  <si>
    <t>CON_PLY_11114</t>
  </si>
  <si>
    <t>CON_PLY_11115</t>
  </si>
  <si>
    <t>CON_PLY_11116</t>
  </si>
  <si>
    <t>CON_PLY_11117</t>
  </si>
  <si>
    <t>CON_PLY_11118</t>
  </si>
  <si>
    <t>CON_PLY_11119</t>
  </si>
  <si>
    <t>CON_PLY_11120</t>
  </si>
  <si>
    <t>CON_PLY_11121</t>
  </si>
  <si>
    <t>CON_PLY_11122</t>
  </si>
  <si>
    <t>CON_PLY_11123</t>
  </si>
  <si>
    <t>CON_PLY_11124</t>
  </si>
  <si>
    <t>CON_PLY_11125</t>
  </si>
  <si>
    <t>CON_PLY_11126</t>
  </si>
  <si>
    <t>CON_PLY_11127</t>
  </si>
  <si>
    <t>CON_PLY_11128</t>
  </si>
  <si>
    <t>CON_PLY_11129</t>
  </si>
  <si>
    <t>CON_PLY_11130</t>
  </si>
  <si>
    <t>CON_PLY_11131</t>
  </si>
  <si>
    <t>CON_PLY_11132</t>
  </si>
  <si>
    <t>CON_PLY_11133</t>
  </si>
  <si>
    <t>CON_PLY_11134</t>
  </si>
  <si>
    <t>CON_PLY_11135</t>
  </si>
  <si>
    <t>CON_PLY_11136</t>
  </si>
  <si>
    <t>CON_PLY_11137</t>
  </si>
  <si>
    <t>CON_PLY_11138</t>
  </si>
  <si>
    <t>CON_PLY_11139</t>
  </si>
  <si>
    <t>CON_PLY_11140</t>
  </si>
  <si>
    <t>CON_PLY_11141</t>
  </si>
  <si>
    <t>CON_PLY_11142</t>
  </si>
  <si>
    <t>CON_PLY_11143</t>
  </si>
  <si>
    <t>CON_PLY_11144</t>
  </si>
  <si>
    <t>CON_PLY_11145</t>
  </si>
  <si>
    <t>CON_PLY_11146</t>
  </si>
  <si>
    <t>CON_PLY_11147</t>
  </si>
  <si>
    <t>CON_PLY_11148</t>
  </si>
  <si>
    <t>CON_PLY_11149</t>
  </si>
  <si>
    <t>CON_PLY_11150</t>
  </si>
  <si>
    <t>CON_PLY_11151</t>
  </si>
  <si>
    <t>CON_PLY_11152</t>
  </si>
  <si>
    <t>CON_PLY_11153</t>
  </si>
  <si>
    <t>CON_PLY_11154</t>
  </si>
  <si>
    <t>CON_PLY_11155</t>
  </si>
  <si>
    <t>CON_PLY_11156</t>
  </si>
  <si>
    <t>CON_PLY_11157</t>
  </si>
  <si>
    <t>CON_PLY_11158</t>
  </si>
  <si>
    <t>CON_PLY_11159</t>
  </si>
  <si>
    <t>CON_PLY_11160</t>
  </si>
  <si>
    <t>CON_PLY_11161</t>
  </si>
  <si>
    <t>CON_PLY_11162</t>
  </si>
  <si>
    <t>CON_PLY_11163</t>
  </si>
  <si>
    <t>CON_PLY_11164</t>
  </si>
  <si>
    <t>CON_PLY_11165</t>
  </si>
  <si>
    <t>CON_PLY_11166</t>
  </si>
  <si>
    <t>CON_PLY_11167</t>
  </si>
  <si>
    <t>CON_PLY_11168</t>
  </si>
  <si>
    <t>CON_PLY_11169</t>
  </si>
  <si>
    <t>CON_PLY_11170</t>
  </si>
  <si>
    <t>CON_PLY_11171</t>
  </si>
  <si>
    <t>CON_PLY_11172</t>
  </si>
  <si>
    <t>CON_PLY_11173</t>
  </si>
  <si>
    <t>CON_PLY_11174</t>
  </si>
  <si>
    <t>CON_PLY_11175</t>
  </si>
  <si>
    <t>CON_PLY_11176</t>
  </si>
  <si>
    <t>CON_PLY_11177</t>
  </si>
  <si>
    <t>CON_PLY_11178</t>
  </si>
  <si>
    <t>CON_PLY_11179</t>
  </si>
  <si>
    <t>CON_PLY_11180</t>
  </si>
  <si>
    <t>CON_PLY_11181</t>
  </si>
  <si>
    <t>CON_PLY_11182</t>
  </si>
  <si>
    <t>CON_PLY_11183</t>
  </si>
  <si>
    <t>CON_PLY_11184</t>
  </si>
  <si>
    <t>CON_PLY_11185</t>
  </si>
  <si>
    <t>CON_PLY_11186</t>
  </si>
  <si>
    <t>CON_PLY_11187</t>
  </si>
  <si>
    <t>CON_PLY_11188</t>
  </si>
  <si>
    <t>CON_PLY_11189</t>
  </si>
  <si>
    <t>CON_PLY_11190</t>
  </si>
  <si>
    <t>CON_PLY_11191</t>
  </si>
  <si>
    <t>CON_PLY_11192</t>
  </si>
  <si>
    <t>CON_PLY_11193</t>
  </si>
  <si>
    <t>CON_PLY_11194</t>
  </si>
  <si>
    <t>CON_PLY_11195</t>
  </si>
  <si>
    <t>CON_PLY_11196</t>
  </si>
  <si>
    <t>CON_PLY_11197</t>
  </si>
  <si>
    <t>CON_PLY_11198</t>
  </si>
  <si>
    <t>CON_PLY_11199</t>
  </si>
  <si>
    <t>CON_PLY_11200</t>
  </si>
  <si>
    <t>CON_PLY_11201</t>
  </si>
  <si>
    <t>CON_PLY_11202</t>
  </si>
  <si>
    <t>CON_PLY_11203</t>
  </si>
  <si>
    <t>CON_PLY_11204</t>
  </si>
  <si>
    <t>CON_PLY_11205</t>
  </si>
  <si>
    <t>CON_PLY_11206</t>
  </si>
  <si>
    <t>CON_PLY_11207</t>
  </si>
  <si>
    <t>CON_PLY_11208</t>
  </si>
  <si>
    <t>CON_PLY_11209</t>
  </si>
  <si>
    <t>CON_PLY_11210</t>
  </si>
  <si>
    <t>CON_PLY_11211</t>
  </si>
  <si>
    <t>CON_PLY_11212</t>
  </si>
  <si>
    <t>CON_PLY_11213</t>
  </si>
  <si>
    <t>CON_PLY_11214</t>
  </si>
  <si>
    <t>CON_PLY_11215</t>
  </si>
  <si>
    <t>CON_PLY_11216</t>
  </si>
  <si>
    <t>CON_PLY_11217</t>
  </si>
  <si>
    <t>CON_PLY_11218</t>
  </si>
  <si>
    <t>CON_PLY_11219</t>
  </si>
  <si>
    <t>CON_PLY_11220</t>
  </si>
  <si>
    <t>CON_PLY_11221</t>
  </si>
  <si>
    <t>CON_PLY_11222</t>
  </si>
  <si>
    <t>CON_PLY_11223</t>
  </si>
  <si>
    <t>CON_PLY_11224</t>
  </si>
  <si>
    <t>CON_PLY_11225</t>
  </si>
  <si>
    <t>CON_PLY_11226</t>
  </si>
  <si>
    <t>CON_PLY_11227</t>
  </si>
  <si>
    <t>CON_PLY_11228</t>
  </si>
  <si>
    <t>CON_PLY_11229</t>
  </si>
  <si>
    <t>CON_PLY_11230</t>
  </si>
  <si>
    <t>CON_PLY_11231</t>
  </si>
  <si>
    <t>CON_PLY_11232</t>
  </si>
  <si>
    <t>CON_PLY_11233</t>
  </si>
  <si>
    <t>CON_PLY_11234</t>
  </si>
  <si>
    <t>CON_PLY_11235</t>
  </si>
  <si>
    <t>CON_PLY_11236</t>
  </si>
  <si>
    <t>CON_PLY_11237</t>
  </si>
  <si>
    <t>CON_PLY_11238</t>
  </si>
  <si>
    <t>CON_PLY_11239</t>
  </si>
  <si>
    <t>CON_PLY_11240</t>
  </si>
  <si>
    <t>CON_PLY_11241</t>
  </si>
  <si>
    <t>CON_PLY_11242</t>
  </si>
  <si>
    <t>CON_PLY_11243</t>
  </si>
  <si>
    <t>CON_PLY_11244</t>
  </si>
  <si>
    <t>CON_PLY_11245</t>
  </si>
  <si>
    <t>CON_PLY_11246</t>
  </si>
  <si>
    <t>CON_PLY_11247</t>
  </si>
  <si>
    <t>CON_PLY_11248</t>
  </si>
  <si>
    <t>CON_PLY_11249</t>
  </si>
  <si>
    <t>CON_PLY_11250</t>
  </si>
  <si>
    <t>CON_PLY_11251</t>
  </si>
  <si>
    <t>CON_PLY_11252</t>
  </si>
  <si>
    <t>CON_PLY_11253</t>
  </si>
  <si>
    <t>CON_PLY_11254</t>
  </si>
  <si>
    <t>CON_PLY_11255</t>
  </si>
  <si>
    <t>CON_PLY_11256</t>
  </si>
  <si>
    <t>CON_PLY_11257</t>
  </si>
  <si>
    <t>CON_PLY_11258</t>
  </si>
  <si>
    <t>CON_PLY_11259</t>
  </si>
  <si>
    <t>CON_PLY_11260</t>
  </si>
  <si>
    <t>CON_PLY_11261</t>
  </si>
  <si>
    <t>CON_PLY_11262</t>
  </si>
  <si>
    <t>CON_PLY_11263</t>
  </si>
  <si>
    <t>CON_PLY_11264</t>
  </si>
  <si>
    <t>CON_PLY_11265</t>
  </si>
  <si>
    <t>CON_PLY_11266</t>
  </si>
  <si>
    <t>CON_PLY_11267</t>
  </si>
  <si>
    <t>CON_PLY_11268</t>
  </si>
  <si>
    <t>CON_PLY_11269</t>
  </si>
  <si>
    <t>CON_PLY_11270</t>
  </si>
  <si>
    <t>CON_PLY_11271</t>
  </si>
  <si>
    <t>CON_PLY_11272</t>
  </si>
  <si>
    <t>CON_PLY_11273</t>
  </si>
  <si>
    <t>CON_PLY_11274</t>
  </si>
  <si>
    <t>CON_PLY_11275</t>
  </si>
  <si>
    <t>CON_PLY_11276</t>
  </si>
  <si>
    <t>CON_PLY_11277</t>
  </si>
  <si>
    <t>CON_PLY_11278</t>
  </si>
  <si>
    <t>CON_PLY_11279</t>
  </si>
  <si>
    <t>CON_PLY_11280</t>
  </si>
  <si>
    <t>CON_PLY_11281</t>
  </si>
  <si>
    <t>CON_PLY_11282</t>
  </si>
  <si>
    <t>CON_PLY_11283</t>
  </si>
  <si>
    <t>CON_PLY_11284</t>
  </si>
  <si>
    <t>CON_PLY_11285</t>
  </si>
  <si>
    <t>CON_PLY_11286</t>
  </si>
  <si>
    <t>CON_PLY_11287</t>
  </si>
  <si>
    <t>CON_PLY_11288</t>
  </si>
  <si>
    <t>CON_PLY_11289</t>
  </si>
  <si>
    <t>CON_PLY_11290</t>
  </si>
  <si>
    <t>CON_PLY_11291</t>
  </si>
  <si>
    <t>CON_PLY_11292</t>
  </si>
  <si>
    <t>CON_PLY_11293</t>
  </si>
  <si>
    <t>CON_PLY_11294</t>
  </si>
  <si>
    <t>CON_PLY_11295</t>
  </si>
  <si>
    <t>CON_PLY_11296</t>
  </si>
  <si>
    <t>CON_PLY_11297</t>
  </si>
  <si>
    <t>CON_PLY_11298</t>
  </si>
  <si>
    <t>CON_PLY_11299</t>
  </si>
  <si>
    <t>CON_PLY_11300</t>
  </si>
  <si>
    <t>CON_PLY_11301</t>
  </si>
  <si>
    <t>CON_PLY_11302</t>
  </si>
  <si>
    <t>CON_PLY_11303</t>
  </si>
  <si>
    <t>CON_PLY_11304</t>
  </si>
  <si>
    <t>CON_PLY_11305</t>
  </si>
  <si>
    <t>CON_PLY_11306</t>
  </si>
  <si>
    <t>CON_PLY_11307</t>
  </si>
  <si>
    <t>CON_PLY_11308</t>
  </si>
  <si>
    <t>CON_PLY_11309</t>
  </si>
  <si>
    <t>CON_PLY_11310</t>
  </si>
  <si>
    <t>CON_PLY_11311</t>
  </si>
  <si>
    <t>CON_PLY_11312</t>
  </si>
  <si>
    <t>CON_PLY_11313</t>
  </si>
  <si>
    <t>CON_PLY_11314</t>
  </si>
  <si>
    <t>CON_PLY_11315</t>
  </si>
  <si>
    <t>CON_PLY_11316</t>
  </si>
  <si>
    <t>CON_PLY_11317</t>
  </si>
  <si>
    <t>CON_PLY_11318</t>
  </si>
  <si>
    <t>CON_PLY_11319</t>
  </si>
  <si>
    <t>CON_PLY_11320</t>
  </si>
  <si>
    <t>CON_PLY_11321</t>
  </si>
  <si>
    <t>CON_PLY_11322</t>
  </si>
  <si>
    <t>CON_PLY_11323</t>
  </si>
  <si>
    <t>CON_PLY_11324</t>
  </si>
  <si>
    <t>CON_PLY_11325</t>
  </si>
  <si>
    <t>CON_PLY_11326</t>
  </si>
  <si>
    <t>CON_PLY_11327</t>
  </si>
  <si>
    <t>CON_PLY_11328</t>
  </si>
  <si>
    <t>CON_PLY_11329</t>
  </si>
  <si>
    <t>CON_PLY_11330</t>
  </si>
  <si>
    <t>CON_PLY_11331</t>
  </si>
  <si>
    <t>CON_PLY_11332</t>
  </si>
  <si>
    <t>CON_PLY_11333</t>
  </si>
  <si>
    <t>CON_PLY_11334</t>
  </si>
  <si>
    <t>CON_PLY_11335</t>
  </si>
  <si>
    <t>CON_PLY_11336</t>
  </si>
  <si>
    <t>CON_PLY_11337</t>
  </si>
  <si>
    <t>CON_PLY_11338</t>
  </si>
  <si>
    <t>CON_PLY_11339</t>
  </si>
  <si>
    <t>CON_PLY_11340</t>
  </si>
  <si>
    <t>CON_PLY_11341</t>
  </si>
  <si>
    <t>CON_PLY_11342</t>
  </si>
  <si>
    <t>CON_PLY_11343</t>
  </si>
  <si>
    <t>CON_PLY_11344</t>
  </si>
  <si>
    <t>CON_PLY_11345</t>
  </si>
  <si>
    <t>CON_PLY_11346</t>
  </si>
  <si>
    <t>CON_PLY_11347</t>
  </si>
  <si>
    <t>CON_PLY_11348</t>
  </si>
  <si>
    <t>CON_PLY_11349</t>
  </si>
  <si>
    <t>CON_PLY_11350</t>
  </si>
  <si>
    <t>CON_PLY_11351</t>
  </si>
  <si>
    <t>CON_PLY_11352</t>
  </si>
  <si>
    <t>CON_PLY_11353</t>
  </si>
  <si>
    <t>CON_PLY_11354</t>
  </si>
  <si>
    <t>CON_PLY_11355</t>
  </si>
  <si>
    <t>CON_PLY_11356</t>
  </si>
  <si>
    <t>CON_PLY_11357</t>
  </si>
  <si>
    <t>CON_PLY_11358</t>
  </si>
  <si>
    <t>CON_PLY_11359</t>
  </si>
  <si>
    <t>CON_PLY_11360</t>
  </si>
  <si>
    <t>CON_PLY_11361</t>
  </si>
  <si>
    <t>CON_PLY_11362</t>
  </si>
  <si>
    <t>CON_PLY_11363</t>
  </si>
  <si>
    <t>CON_PLY_11364</t>
  </si>
  <si>
    <t>CON_PLY_11365</t>
  </si>
  <si>
    <t>CON_PLY_11366</t>
  </si>
  <si>
    <t>CON_PLY_11367</t>
  </si>
  <si>
    <t>CON_PLY_11368</t>
  </si>
  <si>
    <t>CON_PLY_11369</t>
  </si>
  <si>
    <t>CON_PLY_11370</t>
  </si>
  <si>
    <t>CON_PLY_11371</t>
  </si>
  <si>
    <t>CON_PLY_11372</t>
  </si>
  <si>
    <t>CON_PLY_11373</t>
  </si>
  <si>
    <t>CON_PLY_11374</t>
  </si>
  <si>
    <t>CON_PLY_11375</t>
  </si>
  <si>
    <t>CON_PLY_11376</t>
  </si>
  <si>
    <t>CON_PLY_11377</t>
  </si>
  <si>
    <t>CON_PLY_11378</t>
  </si>
  <si>
    <t>CON_PLY_11379</t>
  </si>
  <si>
    <t>CON_PLY_11380</t>
  </si>
  <si>
    <t>CON_PLY_11381</t>
  </si>
  <si>
    <t>CON_PLY_11382</t>
  </si>
  <si>
    <t>CON_PLY_11383</t>
  </si>
  <si>
    <t>CON_PLY_11384</t>
  </si>
  <si>
    <t>CON_PLY_11385</t>
  </si>
  <si>
    <t>CON_PLY_11386</t>
  </si>
  <si>
    <t>CON_PLY_11387</t>
  </si>
  <si>
    <t>CON_PLY_11388</t>
  </si>
  <si>
    <t>CON_PLY_11389</t>
  </si>
  <si>
    <t>CON_PLY_11390</t>
  </si>
  <si>
    <t>CON_PLY_11391</t>
  </si>
  <si>
    <t>CON_PLY_11392</t>
  </si>
  <si>
    <t>CON_PLY_11393</t>
  </si>
  <si>
    <t>CON_PLY_11394</t>
  </si>
  <si>
    <t>CON_PLY_11395</t>
  </si>
  <si>
    <t>CON_PLY_11396</t>
  </si>
  <si>
    <t>CON_PLY_11397</t>
  </si>
  <si>
    <t>CON_PLY_11398</t>
  </si>
  <si>
    <t>CON_PLY_11399</t>
  </si>
  <si>
    <t>CON_PLY_11400</t>
  </si>
  <si>
    <t>CON_PLY_11401</t>
  </si>
  <si>
    <t>CON_PLY_11402</t>
  </si>
  <si>
    <t>CON_PLY_11403</t>
  </si>
  <si>
    <t>CON_PLY_11404</t>
  </si>
  <si>
    <t>CON_PLY_11405</t>
  </si>
  <si>
    <t>CON_PLY_11406</t>
  </si>
  <si>
    <t>CON_PLY_11407</t>
  </si>
  <si>
    <t>CON_PLY_11408</t>
  </si>
  <si>
    <t>CON_PLY_11409</t>
  </si>
  <si>
    <t>CON_PLY_11410</t>
  </si>
  <si>
    <t>CON_PLY_11411</t>
  </si>
  <si>
    <t>CON_PLY_11412</t>
  </si>
  <si>
    <t>CON_PLY_11413</t>
  </si>
  <si>
    <t>CON_PLY_11414</t>
  </si>
  <si>
    <t>CON_PLY_11415</t>
  </si>
  <si>
    <t>CON_PLY_11416</t>
  </si>
  <si>
    <t>CON_PLY_11417</t>
  </si>
  <si>
    <t>CON_PLY_11418</t>
  </si>
  <si>
    <t>CON_PLY_11419</t>
  </si>
  <si>
    <t>CON_PLY_11420</t>
  </si>
  <si>
    <t>CON_PLY_11421</t>
  </si>
  <si>
    <t>CON_PLY_11422</t>
  </si>
  <si>
    <t>CON_PLY_11423</t>
  </si>
  <si>
    <t>CON_PLY_11424</t>
  </si>
  <si>
    <t>CON_PLY_11425</t>
  </si>
  <si>
    <t>CON_PLY_11426</t>
  </si>
  <si>
    <t>CON_PLY_11427</t>
  </si>
  <si>
    <t>CON_PLY_11428</t>
  </si>
  <si>
    <t>CON_PLY_11429</t>
  </si>
  <si>
    <t>CON_PLY_11430</t>
  </si>
  <si>
    <t>CON_PLY_11431</t>
  </si>
  <si>
    <t>CON_PLY_11432</t>
  </si>
  <si>
    <t>CON_PLY_11433</t>
  </si>
  <si>
    <t>CON_PLY_11434</t>
  </si>
  <si>
    <t>CON_PLY_11435</t>
  </si>
  <si>
    <t>CON_PLY_11436</t>
  </si>
  <si>
    <t>CON_PLY_11437</t>
  </si>
  <si>
    <t>CON_PLY_11438</t>
  </si>
  <si>
    <t>CON_PLY_11439</t>
  </si>
  <si>
    <t>CON_PLY_11440</t>
  </si>
  <si>
    <t>CON_PLY_11441</t>
  </si>
  <si>
    <t>CON_PLY_11442</t>
  </si>
  <si>
    <t>CON_PLY_11443</t>
  </si>
  <si>
    <t>CON_PLY_11444</t>
  </si>
  <si>
    <t>CON_PLY_11445</t>
  </si>
  <si>
    <t>CON_PLY_11446</t>
  </si>
  <si>
    <t>CON_PLY_11447</t>
  </si>
  <si>
    <t>CON_PLY_11448</t>
  </si>
  <si>
    <t>CON_PLY_11449</t>
  </si>
  <si>
    <t>CON_PLY_11450</t>
  </si>
  <si>
    <t>CON_PLY_11451</t>
  </si>
  <si>
    <t>CON_PLY_11452</t>
  </si>
  <si>
    <t>CON_PLY_11453</t>
  </si>
  <si>
    <t>CON_PLY_11454</t>
  </si>
  <si>
    <t>CON_PLY_11455</t>
  </si>
  <si>
    <t>CON_PLY_11456</t>
  </si>
  <si>
    <t>CON_PLY_11457</t>
  </si>
  <si>
    <t>CON_PLY_11458</t>
  </si>
  <si>
    <t>CON_PLY_11459</t>
  </si>
  <si>
    <t>CON_PLY_11460</t>
  </si>
  <si>
    <t>CON_PLY_11461</t>
  </si>
  <si>
    <t>CON_PLY_11462</t>
  </si>
  <si>
    <t>CON_PLY_11463</t>
  </si>
  <si>
    <t>CON_PLY_11464</t>
  </si>
  <si>
    <t>CON_PLY_11465</t>
  </si>
  <si>
    <t>CON_PLY_11466</t>
  </si>
  <si>
    <t>CON_PLY_11467</t>
  </si>
  <si>
    <t>CON_PLY_11468</t>
  </si>
  <si>
    <t>CON_PLY_11469</t>
  </si>
  <si>
    <t>CON_PLY_11470</t>
  </si>
  <si>
    <t>CON_PLY_11471</t>
  </si>
  <si>
    <t>CON_PLY_11472</t>
  </si>
  <si>
    <t>CON_PLY_11473</t>
  </si>
  <si>
    <t>CON_PLY_11474</t>
  </si>
  <si>
    <t>CON_PLY_11475</t>
  </si>
  <si>
    <t>CON_PLY_11476</t>
  </si>
  <si>
    <t>CON_PLY_11477</t>
  </si>
  <si>
    <t>CON_PLY_11478</t>
  </si>
  <si>
    <t>CON_PLY_11479</t>
  </si>
  <si>
    <t>CON_PLY_11480</t>
  </si>
  <si>
    <t>CON_PLY_11481</t>
  </si>
  <si>
    <t>CON_PLY_11482</t>
  </si>
  <si>
    <t>CON_PLY_11483</t>
  </si>
  <si>
    <t>CON_PLY_11484</t>
  </si>
  <si>
    <t>CON_PLY_11485</t>
  </si>
  <si>
    <t>CON_PLY_11486</t>
  </si>
  <si>
    <t>CON_PLY_11487</t>
  </si>
  <si>
    <t>CON_PLY_11488</t>
  </si>
  <si>
    <t>CON_PLY_11489</t>
  </si>
  <si>
    <t>CON_PLY_11490</t>
  </si>
  <si>
    <t>CON_PLY_11491</t>
  </si>
  <si>
    <t>CON_PLY_11492</t>
  </si>
  <si>
    <t>CON_PLY_11493</t>
  </si>
  <si>
    <t>CON_PLY_11494</t>
  </si>
  <si>
    <t>CON_PLY_11495</t>
  </si>
  <si>
    <t>CON_PLY_11496</t>
  </si>
  <si>
    <t>CON_PLY_11497</t>
  </si>
  <si>
    <t>CON_PLY_11498</t>
  </si>
  <si>
    <t>CON_PLY_11499</t>
  </si>
  <si>
    <t>CON_PLY_11500</t>
  </si>
  <si>
    <t>CON_PLY_11501</t>
  </si>
  <si>
    <t>CON_PLY_11502</t>
  </si>
  <si>
    <t>CON_PLY_11503</t>
  </si>
  <si>
    <t>CON_PLY_11504</t>
  </si>
  <si>
    <t>CON_PLY_11505</t>
  </si>
  <si>
    <t>CON_PLY_11506</t>
  </si>
  <si>
    <t>CON_PLY_11507</t>
  </si>
  <si>
    <t>CON_PLY_11508</t>
  </si>
  <si>
    <t>CON_PLY_11509</t>
  </si>
  <si>
    <t>CON_PLY_11510</t>
  </si>
  <si>
    <t>CON_PLY_11511</t>
  </si>
  <si>
    <t>CON_PLY_11512</t>
  </si>
  <si>
    <t>CON_PLY_11513</t>
  </si>
  <si>
    <t>CON_PLY_11514</t>
  </si>
  <si>
    <t>CON_PLY_11515</t>
  </si>
  <si>
    <t>CON_PLY_11516</t>
  </si>
  <si>
    <t>CON_PLY_11517</t>
  </si>
  <si>
    <t>CON_PLY_11518</t>
  </si>
  <si>
    <t>CON_PLY_11519</t>
  </si>
  <si>
    <t>CON_PLY_11520</t>
  </si>
  <si>
    <t>CON_PLY_11521</t>
  </si>
  <si>
    <t>CON_PLY_11522</t>
  </si>
  <si>
    <t>CON_PLY_11523</t>
  </si>
  <si>
    <t>CON_PLY_11524</t>
  </si>
  <si>
    <t>CON_PLY_11525</t>
  </si>
  <si>
    <t>CON_PLY_11526</t>
  </si>
  <si>
    <t>CON_PLY_11527</t>
  </si>
  <si>
    <t>CON_PLY_11528</t>
  </si>
  <si>
    <t>CON_PLY_11529</t>
  </si>
  <si>
    <t>CON_PLY_11530</t>
  </si>
  <si>
    <t>CON_PLY_11531</t>
  </si>
  <si>
    <t>CON_PLY_11532</t>
  </si>
  <si>
    <t>CON_PLY_11533</t>
  </si>
  <si>
    <t>CON_PLY_11534</t>
  </si>
  <si>
    <t>CON_PLY_11535</t>
  </si>
  <si>
    <t>CON_PLY_11536</t>
  </si>
  <si>
    <t>CON_PLY_11537</t>
  </si>
  <si>
    <t>CON_PLY_11538</t>
  </si>
  <si>
    <t>CON_PLY_11539</t>
  </si>
  <si>
    <t>CON_PLY_11540</t>
  </si>
  <si>
    <t>CON_PLY_11541</t>
  </si>
  <si>
    <t>CON_PLY_11542</t>
  </si>
  <si>
    <t>CON_PLY_11543</t>
  </si>
  <si>
    <t>CON_PLY_11544</t>
  </si>
  <si>
    <t>CON_PLY_11545</t>
  </si>
  <si>
    <t>CON_PLY_11546</t>
  </si>
  <si>
    <t>CON_PLY_11547</t>
  </si>
  <si>
    <t>CON_PLY_11548</t>
  </si>
  <si>
    <t>CON_PLY_11549</t>
  </si>
  <si>
    <t>CON_PLY_11550</t>
  </si>
  <si>
    <t>CON_PLY_11551</t>
  </si>
  <si>
    <t>CON_PLY_11552</t>
  </si>
  <si>
    <t>CON_PLY_11553</t>
  </si>
  <si>
    <t>CON_PLY_11554</t>
  </si>
  <si>
    <t>CON_PLY_11555</t>
  </si>
  <si>
    <t>CON_PLY_11556</t>
  </si>
  <si>
    <t>CON_PLY_11557</t>
  </si>
  <si>
    <t>CON_PLY_11558</t>
  </si>
  <si>
    <t>CON_PLY_11559</t>
  </si>
  <si>
    <t>CON_PLY_11560</t>
  </si>
  <si>
    <t>CON_PLY_11561</t>
  </si>
  <si>
    <t>CON_PLY_11562</t>
  </si>
  <si>
    <t>CON_PLY_11563</t>
  </si>
  <si>
    <t>CON_PLY_11564</t>
  </si>
  <si>
    <t>CON_PLY_11565</t>
  </si>
  <si>
    <t>CON_PLY_11566</t>
  </si>
  <si>
    <t>CON_PLY_11567</t>
  </si>
  <si>
    <t>CON_PLY_11568</t>
  </si>
  <si>
    <t>CON_PLY_11569</t>
  </si>
  <si>
    <t>CON_PLY_11570</t>
  </si>
  <si>
    <t>CON_PLY_11571</t>
  </si>
  <si>
    <t>CON_PLY_11572</t>
  </si>
  <si>
    <t>CON_PLY_11573</t>
  </si>
  <si>
    <t>CON_PLY_11574</t>
  </si>
  <si>
    <t>CON_PLY_11575</t>
  </si>
  <si>
    <t>CON_PLY_11576</t>
  </si>
  <si>
    <t>CON_PLY_11577</t>
  </si>
  <si>
    <t>CON_PLY_11578</t>
  </si>
  <si>
    <t>CON_PLY_11579</t>
  </si>
  <si>
    <t>CON_PLY_11580</t>
  </si>
  <si>
    <t>CON_PLY_11581</t>
  </si>
  <si>
    <t>CON_PLY_11582</t>
  </si>
  <si>
    <t>CON_PLY_11583</t>
  </si>
  <si>
    <t>CON_PLY_11584</t>
  </si>
  <si>
    <t>CON_PLY_11585</t>
  </si>
  <si>
    <t>CON_PLY_11586</t>
  </si>
  <si>
    <t>CON_PLY_11587</t>
  </si>
  <si>
    <t>CON_PLY_11588</t>
  </si>
  <si>
    <t>CON_PLY_11589</t>
  </si>
  <si>
    <t>CON_PLY_11590</t>
  </si>
  <si>
    <t>CON_PLY_11591</t>
  </si>
  <si>
    <t>CON_PLY_11592</t>
  </si>
  <si>
    <t>CON_PLY_11593</t>
  </si>
  <si>
    <t>CON_PLY_11594</t>
  </si>
  <si>
    <t>CON_PLY_11595</t>
  </si>
  <si>
    <t>CON_PLY_11596</t>
  </si>
  <si>
    <t>CON_PLY_11597</t>
  </si>
  <si>
    <t>CON_PLY_11598</t>
  </si>
  <si>
    <t>CON_PLY_11599</t>
  </si>
  <si>
    <t>CON_PLY_11600</t>
  </si>
  <si>
    <t>CON_PLY_11601</t>
  </si>
  <si>
    <t>CON_PLY_11602</t>
  </si>
  <si>
    <t>CON_PLY_11603</t>
  </si>
  <si>
    <t>CON_PLY_11604</t>
  </si>
  <si>
    <t>CON_PLY_11605</t>
  </si>
  <si>
    <t>CON_PLY_11606</t>
  </si>
  <si>
    <t>CON_PLY_11607</t>
  </si>
  <si>
    <t>CON_PLY_11608</t>
  </si>
  <si>
    <t>CON_PLY_11609</t>
  </si>
  <si>
    <t>CON_PLY_11610</t>
  </si>
  <si>
    <t>CON_PLY_11611</t>
  </si>
  <si>
    <t>CON_PLY_11612</t>
  </si>
  <si>
    <t>CON_PLY_11613</t>
  </si>
  <si>
    <t>CON_PLY_11614</t>
  </si>
  <si>
    <t>CON_PLY_11615</t>
  </si>
  <si>
    <t>CON_PLY_11616</t>
  </si>
  <si>
    <t>CON_PLY_11617</t>
  </si>
  <si>
    <t>CON_PLY_11618</t>
  </si>
  <si>
    <t>CON_PLY_11619</t>
  </si>
  <si>
    <t>CON_PLY_11620</t>
  </si>
  <si>
    <t>CON_PLY_11621</t>
  </si>
  <si>
    <t>CON_PLY_11622</t>
  </si>
  <si>
    <t>CON_PLY_11623</t>
  </si>
  <si>
    <t>CON_PLY_11624</t>
  </si>
  <si>
    <t>CON_PLY_11625</t>
  </si>
  <si>
    <t>CON_PLY_11626</t>
  </si>
  <si>
    <t>CON_PLY_11627</t>
  </si>
  <si>
    <t>CON_PLY_11628</t>
  </si>
  <si>
    <t>CON_PLY_11629</t>
  </si>
  <si>
    <t>CON_PLY_11630</t>
  </si>
  <si>
    <t>CON_PLY_11631</t>
  </si>
  <si>
    <t>CON_PLY_11632</t>
  </si>
  <si>
    <t>CON_PLY_11633</t>
  </si>
  <si>
    <t>CON_PLY_11634</t>
  </si>
  <si>
    <t>CON_PLY_11635</t>
  </si>
  <si>
    <t>CON_PLY_11636</t>
  </si>
  <si>
    <t>CON_PLY_11637</t>
  </si>
  <si>
    <t>CON_PLY_11638</t>
  </si>
  <si>
    <t>CON_PLY_11639</t>
  </si>
  <si>
    <t>CON_PLY_11640</t>
  </si>
  <si>
    <t>CON_PLY_11641</t>
  </si>
  <si>
    <t>CON_PLY_11642</t>
  </si>
  <si>
    <t>CON_PLY_11643</t>
  </si>
  <si>
    <t>CON_PLY_11644</t>
  </si>
  <si>
    <t>CON_PLY_11645</t>
  </si>
  <si>
    <t>CON_PLY_11646</t>
  </si>
  <si>
    <t>CON_PLY_11647</t>
  </si>
  <si>
    <t>CON_PLY_11648</t>
  </si>
  <si>
    <t>CON_PLY_11649</t>
  </si>
  <si>
    <t>CON_PLY_11650</t>
  </si>
  <si>
    <t>CON_PLY_11651</t>
  </si>
  <si>
    <t>CON_PLY_11652</t>
  </si>
  <si>
    <t>CON_PLY_11653</t>
  </si>
  <si>
    <t>CON_PLY_11654</t>
  </si>
  <si>
    <t>CON_PLY_11655</t>
  </si>
  <si>
    <t>CON_PLY_11656</t>
  </si>
  <si>
    <t>CON_PLY_11657</t>
  </si>
  <si>
    <t>CON_PLY_11658</t>
  </si>
  <si>
    <t>CON_PLY_11659</t>
  </si>
  <si>
    <t>CON_PLY_11660</t>
  </si>
  <si>
    <t>CON_PLY_11661</t>
  </si>
  <si>
    <t>CON_PLY_11662</t>
  </si>
  <si>
    <t>CON_PLY_11663</t>
  </si>
  <si>
    <t>CON_PLY_11664</t>
  </si>
  <si>
    <t>CON_PLY_11665</t>
  </si>
  <si>
    <t>CON_PLY_11666</t>
  </si>
  <si>
    <t>CON_PLY_11667</t>
  </si>
  <si>
    <t>CON_PLY_11668</t>
  </si>
  <si>
    <t>CON_PLY_11669</t>
  </si>
  <si>
    <t>CON_PLY_11670</t>
  </si>
  <si>
    <t>CON_PLY_11671</t>
  </si>
  <si>
    <t>CON_PLY_11672</t>
  </si>
  <si>
    <t>CON_PLY_11673</t>
  </si>
  <si>
    <t>CON_PLY_11674</t>
  </si>
  <si>
    <t>CON_PLY_11675</t>
  </si>
  <si>
    <t>CON_PLY_11676</t>
  </si>
  <si>
    <t>CON_PLY_11677</t>
  </si>
  <si>
    <t>CON_PLY_11678</t>
  </si>
  <si>
    <t>CON_PLY_11679</t>
  </si>
  <si>
    <t>CON_PLY_11680</t>
  </si>
  <si>
    <t>CON_PLY_11681</t>
  </si>
  <si>
    <t>CON_PLY_11682</t>
  </si>
  <si>
    <t>CON_PLY_11683</t>
  </si>
  <si>
    <t>CON_PLY_11684</t>
  </si>
  <si>
    <t>CON_PLY_11685</t>
  </si>
  <si>
    <t>CON_PLY_11686</t>
  </si>
  <si>
    <t>CON_PLY_11687</t>
  </si>
  <si>
    <t>CON_PLY_11688</t>
  </si>
  <si>
    <t>CON_PLY_11689</t>
  </si>
  <si>
    <t>CON_PLY_11690</t>
  </si>
  <si>
    <t>CON_PLY_11691</t>
  </si>
  <si>
    <t>CON_PLY_11692</t>
  </si>
  <si>
    <t>CON_PLY_11693</t>
  </si>
  <si>
    <t>CON_PLY_11694</t>
  </si>
  <si>
    <t>CON_PLY_11695</t>
  </si>
  <si>
    <t>CON_PLY_11696</t>
  </si>
  <si>
    <t>Alabama</t>
  </si>
  <si>
    <t>Georgia</t>
  </si>
  <si>
    <t>Auburn</t>
  </si>
  <si>
    <t>Florida</t>
  </si>
  <si>
    <t>Florida State</t>
  </si>
  <si>
    <t>Miami</t>
  </si>
  <si>
    <t>Clemson</t>
  </si>
  <si>
    <t>Texas A&amp;M</t>
  </si>
  <si>
    <t>Oklahoma</t>
  </si>
  <si>
    <t>Ohio State</t>
  </si>
  <si>
    <t>Michigan</t>
  </si>
  <si>
    <t>Penn State</t>
  </si>
  <si>
    <t>Notre Dame</t>
  </si>
  <si>
    <t>USC</t>
  </si>
  <si>
    <t>UCLA</t>
  </si>
  <si>
    <t>Washington</t>
  </si>
  <si>
    <t>Stanford</t>
  </si>
  <si>
    <t>California</t>
  </si>
  <si>
    <t>Arizona State</t>
  </si>
  <si>
    <t>Utah</t>
  </si>
  <si>
    <t>BYU</t>
  </si>
  <si>
    <t>TCU</t>
  </si>
  <si>
    <t>Baylor</t>
  </si>
  <si>
    <t>Iowa</t>
  </si>
  <si>
    <t>Wisconsin</t>
  </si>
  <si>
    <t>Minnesota</t>
  </si>
  <si>
    <t>Nebraska</t>
  </si>
  <si>
    <t>Kansas State</t>
  </si>
  <si>
    <t>Missouri</t>
  </si>
  <si>
    <t>Tennessee</t>
  </si>
  <si>
    <t>Kentucky</t>
  </si>
  <si>
    <t>North Carolina</t>
  </si>
  <si>
    <t>NC State</t>
  </si>
  <si>
    <t>Virginia Tech</t>
  </si>
  <si>
    <t>West Virginia</t>
  </si>
  <si>
    <t>Pittsburgh</t>
  </si>
  <si>
    <t>Syracuse</t>
  </si>
  <si>
    <t>Rutgers</t>
  </si>
  <si>
    <t>Maryland</t>
  </si>
  <si>
    <t>Boston College</t>
  </si>
  <si>
    <t>UCF</t>
  </si>
  <si>
    <t>South Florida</t>
  </si>
  <si>
    <t>Fresno State</t>
  </si>
  <si>
    <t>Boise State</t>
  </si>
  <si>
    <t>Colorado</t>
  </si>
  <si>
    <t>Colorado State</t>
  </si>
  <si>
    <t>SMU</t>
  </si>
  <si>
    <t>Ole Miss</t>
  </si>
  <si>
    <t>Mississippi State</t>
  </si>
  <si>
    <t>Arkansas</t>
  </si>
  <si>
    <t>South Carolina</t>
  </si>
  <si>
    <t>Vanderbilt</t>
  </si>
  <si>
    <t>Texas Tech</t>
  </si>
  <si>
    <t>Oklahoma State</t>
  </si>
  <si>
    <t>Kansas</t>
  </si>
  <si>
    <t>Iowa State</t>
  </si>
  <si>
    <t>Illinois</t>
  </si>
  <si>
    <t>Indiana</t>
  </si>
  <si>
    <t>Purdue</t>
  </si>
  <si>
    <t>Michigan State</t>
  </si>
  <si>
    <t>Northwestern</t>
  </si>
  <si>
    <t>Louisville</t>
  </si>
  <si>
    <t>Virginia</t>
  </si>
  <si>
    <t>Duke</t>
  </si>
  <si>
    <t>Wake Forest</t>
  </si>
  <si>
    <t>Georgia Tech</t>
  </si>
  <si>
    <t>Cincinnati</t>
  </si>
  <si>
    <t>Memphis</t>
  </si>
  <si>
    <t>Tulane</t>
  </si>
  <si>
    <t>Houston</t>
  </si>
  <si>
    <t>Rice</t>
  </si>
  <si>
    <t>UTSA</t>
  </si>
  <si>
    <t>North Texas</t>
  </si>
  <si>
    <t>San Diego State</t>
  </si>
  <si>
    <t>UNLV</t>
  </si>
  <si>
    <t>Hawaii</t>
  </si>
  <si>
    <t>Air Force</t>
  </si>
  <si>
    <t>Navy</t>
  </si>
  <si>
    <t>Army</t>
  </si>
  <si>
    <t>Appalachian State</t>
  </si>
  <si>
    <t>Coastal Carolina</t>
  </si>
  <si>
    <t>James Madison</t>
  </si>
  <si>
    <t>Liberty</t>
  </si>
  <si>
    <t>Marshall</t>
  </si>
  <si>
    <t>Toledo</t>
  </si>
  <si>
    <t>Miami (OH)</t>
  </si>
  <si>
    <t>Western Michigan</t>
  </si>
  <si>
    <t>Central Michigan</t>
  </si>
  <si>
    <t>Eastern Michigan</t>
  </si>
  <si>
    <t>Northern Illinois</t>
  </si>
  <si>
    <t>Ball State</t>
  </si>
  <si>
    <t>Ohio</t>
  </si>
  <si>
    <t>Akron</t>
  </si>
  <si>
    <t>Buffalo</t>
  </si>
  <si>
    <t>UConn</t>
  </si>
  <si>
    <t>UMass</t>
  </si>
  <si>
    <t>Temple</t>
  </si>
  <si>
    <t>FAU</t>
  </si>
  <si>
    <t>FIU</t>
  </si>
  <si>
    <t>Georgia Southern</t>
  </si>
  <si>
    <t>Troy</t>
  </si>
  <si>
    <t>UL Lafayette</t>
  </si>
  <si>
    <t>UL Monroe</t>
  </si>
  <si>
    <t>Louisiana Tech</t>
  </si>
  <si>
    <t>Southern Miss</t>
  </si>
  <si>
    <t>UTEP</t>
  </si>
  <si>
    <t>New Mexico</t>
  </si>
  <si>
    <t>New Mexico State</t>
  </si>
  <si>
    <t>Wyoming</t>
  </si>
  <si>
    <t>Nevada</t>
  </si>
  <si>
    <t>San Jose State</t>
  </si>
  <si>
    <t>Utah State</t>
  </si>
  <si>
    <t>Arizona</t>
  </si>
  <si>
    <t>Oregon State</t>
  </si>
  <si>
    <t>Washington State</t>
  </si>
  <si>
    <t>Cal Poly</t>
  </si>
  <si>
    <t>Montana</t>
  </si>
  <si>
    <t>Montana State</t>
  </si>
  <si>
    <t>North Dakota State</t>
  </si>
  <si>
    <t>South Dakota State</t>
  </si>
  <si>
    <t>Jacksonville State</t>
  </si>
  <si>
    <t>Sam Houston</t>
  </si>
  <si>
    <t>Stephen F. Austin</t>
  </si>
  <si>
    <t>UT Martin</t>
  </si>
  <si>
    <t>Southeast Missouri State</t>
  </si>
  <si>
    <t>Youngstown State</t>
  </si>
  <si>
    <t>Villanova</t>
  </si>
  <si>
    <t>Delaware</t>
  </si>
  <si>
    <t>Richmond</t>
  </si>
  <si>
    <t>William &amp; Mary</t>
  </si>
  <si>
    <t>Furman</t>
  </si>
  <si>
    <t>Wofford</t>
  </si>
  <si>
    <t>Chattanooga</t>
  </si>
  <si>
    <t>ETSU</t>
  </si>
  <si>
    <t>Southern Illinois</t>
  </si>
  <si>
    <t>Illinois State</t>
  </si>
  <si>
    <t>North Dakota</t>
  </si>
  <si>
    <t>South Dakota</t>
  </si>
  <si>
    <t>Idaho</t>
  </si>
  <si>
    <t>Idaho State</t>
  </si>
  <si>
    <t>Weber State</t>
  </si>
  <si>
    <t>Sacramento State</t>
  </si>
  <si>
    <t>UC Davis</t>
  </si>
  <si>
    <t>Northern Arizona</t>
  </si>
  <si>
    <t>Eastern Washington</t>
  </si>
  <si>
    <t>Portland State</t>
  </si>
  <si>
    <t>Rhode Island</t>
  </si>
  <si>
    <t>New Hampshire</t>
  </si>
  <si>
    <t>Maine</t>
  </si>
  <si>
    <t>Albany</t>
  </si>
  <si>
    <t>Stony Brook</t>
  </si>
  <si>
    <t>Monmouth</t>
  </si>
  <si>
    <t>Towson</t>
  </si>
  <si>
    <t>Morgan State</t>
  </si>
  <si>
    <t>Howard</t>
  </si>
  <si>
    <t>Florida A&amp;M</t>
  </si>
  <si>
    <t>Jackson State</t>
  </si>
  <si>
    <t>Grambling State</t>
  </si>
  <si>
    <t>Southern</t>
  </si>
  <si>
    <t>Alcorn State</t>
  </si>
  <si>
    <t>Prairie View A&amp;M</t>
  </si>
  <si>
    <t>Texas Southern</t>
  </si>
  <si>
    <t>North Carolina A&amp;T</t>
  </si>
  <si>
    <t>South Carolina State</t>
  </si>
  <si>
    <t>Bethune-Cookman</t>
  </si>
  <si>
    <t>Tennessee State</t>
  </si>
  <si>
    <t>Alabama State</t>
  </si>
  <si>
    <t>Alabama A&amp;M</t>
  </si>
  <si>
    <t>Arkansas-Pine Bluff</t>
  </si>
  <si>
    <t>Missouri State</t>
  </si>
  <si>
    <t>UT Arlington</t>
  </si>
  <si>
    <t>Tarleton State</t>
  </si>
  <si>
    <t>Austin Peay</t>
  </si>
  <si>
    <t>Nicholls</t>
  </si>
  <si>
    <t>McNeese</t>
  </si>
  <si>
    <t>Lamar</t>
  </si>
  <si>
    <t>Incarnate Word</t>
  </si>
  <si>
    <t>Abilene Christian</t>
  </si>
  <si>
    <t>Northern Colorado</t>
  </si>
  <si>
    <t>Cal State Fullerton</t>
  </si>
  <si>
    <t>Cal State Sacramento</t>
  </si>
  <si>
    <t>San Diego</t>
  </si>
  <si>
    <t>Cal State Northridge</t>
  </si>
  <si>
    <t>Cal State San Bernardino</t>
  </si>
  <si>
    <t>Cal State San Marcos</t>
  </si>
  <si>
    <t>Long Beach State</t>
  </si>
  <si>
    <t>UC Irvine</t>
  </si>
  <si>
    <t>UC Riverside</t>
  </si>
  <si>
    <t>UC Santa Barbara</t>
  </si>
  <si>
    <t>UC San Diego</t>
  </si>
  <si>
    <t>San Francisco State</t>
  </si>
  <si>
    <t>Middle Tennessee</t>
  </si>
  <si>
    <t>Western Kentucky</t>
  </si>
  <si>
    <t>Eastern Kentucky</t>
  </si>
  <si>
    <t>Tennessee Tech</t>
  </si>
  <si>
    <t>Norfolk State</t>
  </si>
  <si>
    <t>Hampton</t>
  </si>
  <si>
    <t>Savannah State</t>
  </si>
  <si>
    <t>Central Arkansas</t>
  </si>
  <si>
    <t>SE Louisiana</t>
  </si>
  <si>
    <t>Arkansas State</t>
  </si>
  <si>
    <t>Louisiana</t>
  </si>
  <si>
    <t>Old Dominion</t>
  </si>
  <si>
    <t>South Alabama</t>
  </si>
  <si>
    <t>Kent State</t>
  </si>
  <si>
    <t>Bowling Green</t>
  </si>
  <si>
    <t>Georgia State</t>
  </si>
  <si>
    <t>Charlotte</t>
  </si>
  <si>
    <t>East Carolina</t>
  </si>
  <si>
    <t>Tulsa</t>
  </si>
  <si>
    <t>UAB</t>
  </si>
  <si>
    <t>Florida Atlantic</t>
  </si>
  <si>
    <t>Florida International</t>
  </si>
  <si>
    <t>Southeastern Louisiana</t>
  </si>
  <si>
    <t>Kennesaw State</t>
  </si>
  <si>
    <t>Murray State</t>
  </si>
  <si>
    <t>Montana Tech</t>
  </si>
  <si>
    <t>Valparaiso</t>
  </si>
  <si>
    <t>Drake</t>
  </si>
  <si>
    <t>Butler</t>
  </si>
  <si>
    <t>Dayton</t>
  </si>
  <si>
    <t>Holy Cross</t>
  </si>
  <si>
    <t>Fordham</t>
  </si>
  <si>
    <t>Colgate</t>
  </si>
  <si>
    <t>Lehigh</t>
  </si>
  <si>
    <t>Lafayette</t>
  </si>
  <si>
    <t>Bucknell</t>
  </si>
  <si>
    <t>Georgetown</t>
  </si>
  <si>
    <t>Mercer</t>
  </si>
  <si>
    <t>Samford</t>
  </si>
  <si>
    <t>Delaware State</t>
  </si>
  <si>
    <t>Central State</t>
  </si>
  <si>
    <t>Jacksonville</t>
  </si>
  <si>
    <t>Stetson</t>
  </si>
  <si>
    <t>Davidson</t>
  </si>
  <si>
    <t>Character_Flags</t>
  </si>
  <si>
    <t>Leadership_Role</t>
  </si>
  <si>
    <t>Awareness</t>
  </si>
  <si>
    <t>Poise</t>
  </si>
  <si>
    <t>Focus</t>
  </si>
  <si>
    <t>Leadership</t>
  </si>
  <si>
    <t>Competitiveness</t>
  </si>
  <si>
    <t>Confidence</t>
  </si>
  <si>
    <t>Work_Ethic</t>
  </si>
  <si>
    <t>Coachability</t>
  </si>
  <si>
    <t>Football_IQ</t>
  </si>
  <si>
    <t>Instincts</t>
  </si>
  <si>
    <t>Maturity</t>
  </si>
  <si>
    <t>Motor</t>
  </si>
  <si>
    <t>Speed</t>
  </si>
  <si>
    <t>Acceleration</t>
  </si>
  <si>
    <t>Agility</t>
  </si>
  <si>
    <t>Strength</t>
  </si>
  <si>
    <t>Jumping</t>
  </si>
  <si>
    <t>Stamina</t>
  </si>
  <si>
    <t>Traits</t>
  </si>
  <si>
    <t>Archetype</t>
  </si>
  <si>
    <t>Clean</t>
  </si>
  <si>
    <t>Team Captain</t>
  </si>
  <si>
    <t>developmental, poise, consistency, gunslinger</t>
  </si>
  <si>
    <t>Vertical Thrower</t>
  </si>
  <si>
    <t>Veteran Leader</t>
  </si>
  <si>
    <t>accuracy, pocket_presence</t>
  </si>
  <si>
    <t>Play-Action Specialist</t>
  </si>
  <si>
    <t>Lead by Example</t>
  </si>
  <si>
    <t>accuracy, timing</t>
  </si>
  <si>
    <t>Role Player</t>
  </si>
  <si>
    <t>quick_release, strong_arm</t>
  </si>
  <si>
    <t>cerebral, arm_talent</t>
  </si>
  <si>
    <t>Developmental Traits Player</t>
  </si>
  <si>
    <t>pass_blocking, speed, durability, third_down</t>
  </si>
  <si>
    <t>Bell-Cow Back</t>
  </si>
  <si>
    <t>body_control, release, hands, run_support</t>
  </si>
  <si>
    <t>Z Receiver</t>
  </si>
  <si>
    <t>vertical_threat, RAC, possession, high_point</t>
  </si>
  <si>
    <t>Field-Stretcher (Clear-Out)</t>
  </si>
  <si>
    <t>alignment_flex, reliable</t>
  </si>
  <si>
    <t>X Receiver</t>
  </si>
  <si>
    <t>vertical_threat, high_point</t>
  </si>
  <si>
    <t>release, hands</t>
  </si>
  <si>
    <t>Slot Technician</t>
  </si>
  <si>
    <t>stretch_field, reliable</t>
  </si>
  <si>
    <t>Vocal Leader</t>
  </si>
  <si>
    <t>pass_pro, inline, release</t>
  </si>
  <si>
    <t>Blocking Specialist</t>
  </si>
  <si>
    <t>release, contact_balance, hands</t>
  </si>
  <si>
    <t>Mismatch Weapon</t>
  </si>
  <si>
    <t>release, move_TE, consistent</t>
  </si>
  <si>
    <t>reliable, inline, red_zone</t>
  </si>
  <si>
    <t>seam_stretch, size</t>
  </si>
  <si>
    <t>Seam Stretcher</t>
  </si>
  <si>
    <t>technique, multi_position, communicator</t>
  </si>
  <si>
    <t>Swing Tackle</t>
  </si>
  <si>
    <t>displacement, swing_tackle, finisher</t>
  </si>
  <si>
    <t>footwork, multi_position, displacement</t>
  </si>
  <si>
    <t>Anchor Tackle</t>
  </si>
  <si>
    <t>footwork, veteran, range</t>
  </si>
  <si>
    <t>Athletic Space Guard</t>
  </si>
  <si>
    <t>athleticism, leadership</t>
  </si>
  <si>
    <t>Pulling Guard</t>
  </si>
  <si>
    <t>reach, veteran, leverage</t>
  </si>
  <si>
    <t>leadership, consistency</t>
  </si>
  <si>
    <t>Effort Questions</t>
  </si>
  <si>
    <t>technique, swing_tackle, mirror</t>
  </si>
  <si>
    <t>multi_position, gap_scheme, hand_placement</t>
  </si>
  <si>
    <t>Anchor Center</t>
  </si>
  <si>
    <t>finisher, versatility, power</t>
  </si>
  <si>
    <t>multi_position, run_blocking, hand_placement</t>
  </si>
  <si>
    <t>consistency, mauler, hand_placement, swing_tackle</t>
  </si>
  <si>
    <t>Power Run Mauler</t>
  </si>
  <si>
    <t>bull_rush, alignment_flex, hand_technique</t>
  </si>
  <si>
    <t>Power/Bull Rusher</t>
  </si>
  <si>
    <t>run_defense, pass_rush_plan, power_rush</t>
  </si>
  <si>
    <t>Quiet Contributor</t>
  </si>
  <si>
    <t>power_rush, versatility, run_defense</t>
  </si>
  <si>
    <t>disruption, power, two_gap</t>
  </si>
  <si>
    <t>Run-Fit Technician</t>
  </si>
  <si>
    <t>gap_integrity, technique_flex, counter</t>
  </si>
  <si>
    <t>0-Tech Nose</t>
  </si>
  <si>
    <t>push_pocket, technique_flex, quickness</t>
  </si>
  <si>
    <t>swim_move, gap_integrity, versatility</t>
  </si>
  <si>
    <t>fluidity, recognition, versatility</t>
  </si>
  <si>
    <t>Sub-Package LB</t>
  </si>
  <si>
    <t>Character Concern</t>
  </si>
  <si>
    <t>athleticism, form</t>
  </si>
  <si>
    <t>shed_blocks, physicality</t>
  </si>
  <si>
    <t>recognition, versatility, downhill</t>
  </si>
  <si>
    <t>Run-and-Hit Thumper</t>
  </si>
  <si>
    <t>slot, consistency, physicality</t>
  </si>
  <si>
    <t>Slot Corner</t>
  </si>
  <si>
    <t>size, flip_hips, press</t>
  </si>
  <si>
    <t>Press-Man Corner</t>
  </si>
  <si>
    <t>route_recognition, veteran, slot</t>
  </si>
  <si>
    <t>positioning, size</t>
  </si>
  <si>
    <t>matchup, force, positioning, coverage_ground</t>
  </si>
  <si>
    <t>Ball-Hawk FS</t>
  </si>
  <si>
    <t>route_recognition, positioning, range</t>
  </si>
  <si>
    <t>Range/Overlap Safety</t>
  </si>
  <si>
    <t>positioning, matchup, center_field</t>
  </si>
  <si>
    <t>Matchup Safety (TE/RB)</t>
  </si>
  <si>
    <t>coverage_ground, man_coverage, zone_awareness</t>
  </si>
  <si>
    <t>quarterback_defense, hybrid, run_support</t>
  </si>
  <si>
    <t>hang_time, veteran, rugby_style</t>
  </si>
  <si>
    <t>Hang-Time Specialist</t>
  </si>
  <si>
    <t>steady, versatility, coverage_time</t>
  </si>
  <si>
    <t>Effort Questions, Effort Inconsistency</t>
  </si>
  <si>
    <t>hybrid, pursuit</t>
  </si>
  <si>
    <t>shed_blocks, toughness, keys</t>
  </si>
  <si>
    <t>WILL (Chase LB)</t>
  </si>
  <si>
    <t>scrambling, strong_arm, decision_making</t>
  </si>
  <si>
    <t>Dual-Threat QB</t>
  </si>
  <si>
    <t>quick_release, play_action</t>
  </si>
  <si>
    <t>breakaway_speed, route_running, pass_catching</t>
  </si>
  <si>
    <t>Satellite Back</t>
  </si>
  <si>
    <t>speed, downhill</t>
  </si>
  <si>
    <t>Power Back</t>
  </si>
  <si>
    <t>YAC, blocking, high_point</t>
  </si>
  <si>
    <t>YAC Specialist</t>
  </si>
  <si>
    <t>concentration, explosiveness, blocking</t>
  </si>
  <si>
    <t>reliable, deep_speed, chess_piece, focus</t>
  </si>
  <si>
    <t>Vertical Separator</t>
  </si>
  <si>
    <t>possession, explosiveness</t>
  </si>
  <si>
    <t>explosiveness, contested_catch, slot_technician</t>
  </si>
  <si>
    <t>Contested-Catch Specialist</t>
  </si>
  <si>
    <t>tracking, deep_speed, explosiveness</t>
  </si>
  <si>
    <t>high_point, stretch_field, hands</t>
  </si>
  <si>
    <t>high_point, elusiveness, explosiveness</t>
  </si>
  <si>
    <t>reliable, stretch_field</t>
  </si>
  <si>
    <t>toughness, quickness, chess_piece</t>
  </si>
  <si>
    <t>Big Slot</t>
  </si>
  <si>
    <t>finisher, veteran, footwork</t>
  </si>
  <si>
    <t>anchor_presence, finisher, hand_placement, drive</t>
  </si>
  <si>
    <t>mauler, anchor, durability</t>
  </si>
  <si>
    <t>Phone-Booth Brawler</t>
  </si>
  <si>
    <t>swing_tackle, run_blocking</t>
  </si>
  <si>
    <t>anchor, mirror, hand_placement</t>
  </si>
  <si>
    <t>durability, run_blocking, technique</t>
  </si>
  <si>
    <t>gap_scheme, range, footwork</t>
  </si>
  <si>
    <t>leadership, zone_blocking, mirror</t>
  </si>
  <si>
    <t>Pure Pass Protector</t>
  </si>
  <si>
    <t>alignment_flex, relentless, strength, speed_rush</t>
  </si>
  <si>
    <t>Pure Speed Rusher</t>
  </si>
  <si>
    <t>disruption, production, run_defense</t>
  </si>
  <si>
    <t>Technical Hand Fighter</t>
  </si>
  <si>
    <t>relentless, production</t>
  </si>
  <si>
    <t>Contain Edge</t>
  </si>
  <si>
    <t>bull_rush, edge_setting</t>
  </si>
  <si>
    <t>power_rush, edge_setting</t>
  </si>
  <si>
    <t>leverage, counter, technique_flex</t>
  </si>
  <si>
    <t>push_pocket, effort, discipline</t>
  </si>
  <si>
    <t>gap_shooting, tackling, field_general</t>
  </si>
  <si>
    <t>MIKE (Field General)</t>
  </si>
  <si>
    <t>ball_skills, slot, zone_coverage</t>
  </si>
  <si>
    <t>Zone Technician</t>
  </si>
  <si>
    <t>awareness, slot, positioning</t>
  </si>
  <si>
    <t>Boundary Corner</t>
  </si>
  <si>
    <t>disruption, reliability, footwork</t>
  </si>
  <si>
    <t>slot, physicality, awareness</t>
  </si>
  <si>
    <t>tackling, instincts, matchup</t>
  </si>
  <si>
    <t>playmaker, leadership, TE_coverage</t>
  </si>
  <si>
    <t>communication, versatility, box_safety</t>
  </si>
  <si>
    <t>veteran, angles</t>
  </si>
  <si>
    <t>route_recognition, matchup, coverage_ground</t>
  </si>
  <si>
    <t>run_support, ball_skills, positioning, big_nickel</t>
  </si>
  <si>
    <t>leverage, versatility, coverage_ground</t>
  </si>
  <si>
    <t>distance, consistency, directional</t>
  </si>
  <si>
    <t>Accuracy/Control Kicker</t>
  </si>
  <si>
    <t>iron_man, snap_speed, steady</t>
  </si>
  <si>
    <t>Coverage Specialists</t>
  </si>
  <si>
    <t>physicality, coverage, form</t>
  </si>
  <si>
    <t>Coverage LB</t>
  </si>
  <si>
    <t>hybrid, stack</t>
  </si>
  <si>
    <t>man_coverage, communication, blitzing</t>
  </si>
  <si>
    <t>game_manager, field_vision, arm_talent</t>
  </si>
  <si>
    <t>Game Manager</t>
  </si>
  <si>
    <t>decision_making, mentor, clutch</t>
  </si>
  <si>
    <t>versatility, burst, agility</t>
  </si>
  <si>
    <t>zone_runner, YAC, decisiveness</t>
  </si>
  <si>
    <t>speed, versatility, agility</t>
  </si>
  <si>
    <t>vision, agility, one_cut</t>
  </si>
  <si>
    <t>Zone Runner</t>
  </si>
  <si>
    <t>fresh_legs, speed</t>
  </si>
  <si>
    <t>Change-of-Pace Back</t>
  </si>
  <si>
    <t>pass_blocking, pass_catching, zone_runner</t>
  </si>
  <si>
    <t>Receiving Specialist</t>
  </si>
  <si>
    <t>speed, contact_balance</t>
  </si>
  <si>
    <t>high_point, RAC, run_support, hands</t>
  </si>
  <si>
    <t>elusiveness, contested_catch, hands, toughness</t>
  </si>
  <si>
    <t>stem_control, YAC, route_running</t>
  </si>
  <si>
    <t>Route Savant</t>
  </si>
  <si>
    <t>deep_speed, run_support, concentration</t>
  </si>
  <si>
    <t>high_point, quickness, focus</t>
  </si>
  <si>
    <t>Effort Inconsistency</t>
  </si>
  <si>
    <t>toughness, separation, alignment_flex</t>
  </si>
  <si>
    <t>tracking, slot_technician, release</t>
  </si>
  <si>
    <t>red_zone, seam_stretch</t>
  </si>
  <si>
    <t>Receiving TE</t>
  </si>
  <si>
    <t>veteran, middle_field, red_zone, contact_balance</t>
  </si>
  <si>
    <t>blocking, power</t>
  </si>
  <si>
    <t>multi_position, range, mirror</t>
  </si>
  <si>
    <t>multi_position, reach, anchor</t>
  </si>
  <si>
    <t>leadership, mirror, finisher</t>
  </si>
  <si>
    <t>Protection Caller</t>
  </si>
  <si>
    <t>swing_tackle, range, pass_protection, durability</t>
  </si>
  <si>
    <t>leadership, anchor, swing_tackle</t>
  </si>
  <si>
    <t>edge_setting, finisher, effort</t>
  </si>
  <si>
    <t>hand_technique, get_off, length</t>
  </si>
  <si>
    <t>technique_flex, run_fit, power, leverage</t>
  </si>
  <si>
    <t>discipline, length, get_off</t>
  </si>
  <si>
    <t>counter, power_to_weight</t>
  </si>
  <si>
    <t>interior_pressure, alignment</t>
  </si>
  <si>
    <t>Block-Eating DT</t>
  </si>
  <si>
    <t>keys, calls, gap_shooting</t>
  </si>
  <si>
    <t>recovery, hands, physicality</t>
  </si>
  <si>
    <t>boundary_field, technique, reliability</t>
  </si>
  <si>
    <t>speed, press, positioning</t>
  </si>
  <si>
    <t>awareness, size, quickness</t>
  </si>
  <si>
    <t>man_coverage, instincts, positioning</t>
  </si>
  <si>
    <t>leverage, man_coverage, physicality</t>
  </si>
  <si>
    <t>tackling, TE_coverage, big_nickel</t>
  </si>
  <si>
    <t>placement, pressure, power_leg</t>
  </si>
  <si>
    <t>Power Kicker</t>
  </si>
  <si>
    <t>calm, power, reliable</t>
  </si>
  <si>
    <t>reliable, accuracy, iron_man</t>
  </si>
  <si>
    <t>hybrid, range</t>
  </si>
  <si>
    <t>man_coverage, physicality, keys</t>
  </si>
  <si>
    <t>change_direction, man_coverage</t>
  </si>
  <si>
    <t>stack, timing, range</t>
  </si>
  <si>
    <t>arm_talent, touch, developmental, clutch</t>
  </si>
  <si>
    <t>Pure Pocket Passer</t>
  </si>
  <si>
    <t>consistency, mentor</t>
  </si>
  <si>
    <t>mobility, poise</t>
  </si>
  <si>
    <t>burst, durability, third_down, power</t>
  </si>
  <si>
    <t>power, workhorse, route_running</t>
  </si>
  <si>
    <t>vision, breakaway_speed, third_down</t>
  </si>
  <si>
    <t>durability, receiving</t>
  </si>
  <si>
    <t>explosiveness, separation, body_control, deep_speed</t>
  </si>
  <si>
    <t>stretch_field, quickness</t>
  </si>
  <si>
    <t>release, deep_speed, versatility</t>
  </si>
  <si>
    <t>reliable, RAC, tracking</t>
  </si>
  <si>
    <t>focus, body_control</t>
  </si>
  <si>
    <t>Possession Receiver</t>
  </si>
  <si>
    <t>inline, size, hands</t>
  </si>
  <si>
    <t>seam_stretch, chip_block</t>
  </si>
  <si>
    <t>footwork, swing_tackle, gap_scheme</t>
  </si>
  <si>
    <t>anchor, mirror</t>
  </si>
  <si>
    <t>veteran, swing_tackle, mirror</t>
  </si>
  <si>
    <t>mirror, leverage, communicator, drive</t>
  </si>
  <si>
    <t>footwork, veteran, drive</t>
  </si>
  <si>
    <t>pass_protection, durability, multi_position</t>
  </si>
  <si>
    <t>durability, strength, anchor_presence, displacement</t>
  </si>
  <si>
    <t>anchor_presence, pass_protection, durability</t>
  </si>
  <si>
    <t>swing_tackle, drive, pulling</t>
  </si>
  <si>
    <t>footwork, run_blocking, anchor</t>
  </si>
  <si>
    <t>zone_blocking, gap_scheme, strength</t>
  </si>
  <si>
    <t>flexibility, versatility, production</t>
  </si>
  <si>
    <t>Bend Specialist</t>
  </si>
  <si>
    <t>burst, length, counter_moves</t>
  </si>
  <si>
    <t>inside_out, bull_rush, edge_setting</t>
  </si>
  <si>
    <t>hand_technique, edge_setting</t>
  </si>
  <si>
    <t>run_defense, length, versatility</t>
  </si>
  <si>
    <t>relentless, power_rush, repertoire</t>
  </si>
  <si>
    <t>flexibility, contain, versatility</t>
  </si>
  <si>
    <t>alignment, effort, get_off, anchor</t>
  </si>
  <si>
    <t>space_eater, run_fit, gap_penetration</t>
  </si>
  <si>
    <t>1-Tech Nose</t>
  </si>
  <si>
    <t>push_pocket, conditioning, get_off</t>
  </si>
  <si>
    <t>instincts, field_general</t>
  </si>
  <si>
    <t>shed_blocks, instincts, zone_drops, physicality</t>
  </si>
  <si>
    <t>physicality, playmaker, positioning, boundary_field</t>
  </si>
  <si>
    <t>Travel Corner</t>
  </si>
  <si>
    <t>veteran, positioning, size</t>
  </si>
  <si>
    <t>length, physicality, route_recognition</t>
  </si>
  <si>
    <t>force, playmaker, communication</t>
  </si>
  <si>
    <t>calls, force, coverage_ground</t>
  </si>
  <si>
    <t>touchback, experience, directional</t>
  </si>
  <si>
    <t>directional, calm, distance</t>
  </si>
  <si>
    <t>Directional Punter</t>
  </si>
  <si>
    <t>consistency, reliable, durability</t>
  </si>
  <si>
    <t>durability, consistency</t>
  </si>
  <si>
    <t>playmaker, quickness, physicality</t>
  </si>
  <si>
    <t>speed, physicality, disruption</t>
  </si>
  <si>
    <t>versatility, coverage, downhill</t>
  </si>
  <si>
    <t>SAM (Edge/Overhang)</t>
  </si>
  <si>
    <t>poise, developmental, risk_taker</t>
  </si>
  <si>
    <t>resilience, gunslinger</t>
  </si>
  <si>
    <t>contact_balance, downhill, burst, decisiveness</t>
  </si>
  <si>
    <t>burst, one_cut, zone_runner</t>
  </si>
  <si>
    <t>agility, speed</t>
  </si>
  <si>
    <t>third_down, speed</t>
  </si>
  <si>
    <t>high_point, explosiveness, blocking, route_running</t>
  </si>
  <si>
    <t>route_running, alignment_flex, deep_speed</t>
  </si>
  <si>
    <t>route_running, speed, run_support</t>
  </si>
  <si>
    <t>footwork, blocking</t>
  </si>
  <si>
    <t>contact_balance, chip_block, consistent, route_running</t>
  </si>
  <si>
    <t>route_running, seam_stretch, pass_pro</t>
  </si>
  <si>
    <t>pass_pro, power, H_back</t>
  </si>
  <si>
    <t>Move TE (F)</t>
  </si>
  <si>
    <t>versatility, mauler, veteran</t>
  </si>
  <si>
    <t>finisher, versatility</t>
  </si>
  <si>
    <t>power, multi_position, reach</t>
  </si>
  <si>
    <t>climb, pulling, swing_tackle</t>
  </si>
  <si>
    <t>leadership, hand_placement, power</t>
  </si>
  <si>
    <t>strength, technique, run_blocking</t>
  </si>
  <si>
    <t>pulling, veteran, finisher</t>
  </si>
  <si>
    <t>anchor, anchor_presence, range</t>
  </si>
  <si>
    <t>displacement, power, technique</t>
  </si>
  <si>
    <t>anchor, displacement, consistency</t>
  </si>
  <si>
    <t>bend, disruption, inside_out, motor</t>
  </si>
  <si>
    <t>flexibility, strength, effort</t>
  </si>
  <si>
    <t>repertoire, bend, inside_out</t>
  </si>
  <si>
    <t>leverage, flexibility, bull_rush</t>
  </si>
  <si>
    <t>run_defense, finisher, bend</t>
  </si>
  <si>
    <t>quickness, run_stopper, motor</t>
  </si>
  <si>
    <t>Gap-Shooter</t>
  </si>
  <si>
    <t>discipline, motor, two_gap</t>
  </si>
  <si>
    <t>hand_technique, mass, gap_integrity</t>
  </si>
  <si>
    <t>two_gap, mass, push_pocket</t>
  </si>
  <si>
    <t>discipline, conditioning, versatility</t>
  </si>
  <si>
    <t>effort, gap_penetration</t>
  </si>
  <si>
    <t>3-Tech Penetrator</t>
  </si>
  <si>
    <t>form, zone_drops</t>
  </si>
  <si>
    <t>versatility, recognition, stack</t>
  </si>
  <si>
    <t>sideline_to_sideline, toughness, keys</t>
  </si>
  <si>
    <t>communication, versatility, zone_drops</t>
  </si>
  <si>
    <t>awareness, playmaker, disruption, consistency</t>
  </si>
  <si>
    <t>slot, size, zone_coverage</t>
  </si>
  <si>
    <t>footwork, awareness, disruption</t>
  </si>
  <si>
    <t>flip_hips, slot, veteran</t>
  </si>
  <si>
    <t>reliability, tackling</t>
  </si>
  <si>
    <t>instincts, TE_coverage, box_safety</t>
  </si>
  <si>
    <t>leverage, versatility, man_coverage</t>
  </si>
  <si>
    <t>hybrid, run_support, leverage</t>
  </si>
  <si>
    <t>pressure, accuracy, calm</t>
  </si>
  <si>
    <t>accuracy, reliable</t>
  </si>
  <si>
    <t>gap_shooting, stack</t>
  </si>
  <si>
    <t>man_coverage, sure_tackler, shed_blocks</t>
  </si>
  <si>
    <t>recognition, blitzing, field_general</t>
  </si>
  <si>
    <t>play_action, poise, clutch</t>
  </si>
  <si>
    <t>developmental, leadership</t>
  </si>
  <si>
    <t>scrambling, cerebral</t>
  </si>
  <si>
    <t>Off-Schedule Creator</t>
  </si>
  <si>
    <t>goal_line, workhorse, pass_blocking</t>
  </si>
  <si>
    <t>third_down, YAC, workhorse</t>
  </si>
  <si>
    <t>Gap/Man Runner</t>
  </si>
  <si>
    <t>gap_scheme, fresh_legs</t>
  </si>
  <si>
    <t>Early-Down Grinder</t>
  </si>
  <si>
    <t>body_control, possession, quickness, focus</t>
  </si>
  <si>
    <t>alignment_flex, tracking, body_control, blocking</t>
  </si>
  <si>
    <t>concentration, blocking, high_point</t>
  </si>
  <si>
    <t>vertical_threat, concentration, reliable</t>
  </si>
  <si>
    <t>deep_speed, explosiveness, toughness</t>
  </si>
  <si>
    <t>footwork, high_point, toughness</t>
  </si>
  <si>
    <t>contact_balance, versatility, receiving</t>
  </si>
  <si>
    <t>inline, versatility</t>
  </si>
  <si>
    <t>drive, communicator, leverage</t>
  </si>
  <si>
    <t>leadership, zone_blocking</t>
  </si>
  <si>
    <t>swing_tackle, technique, finisher</t>
  </si>
  <si>
    <t>communicator, gap_scheme, multi_position</t>
  </si>
  <si>
    <t>run_blocking, swing_tackle, reach, pass_protection</t>
  </si>
  <si>
    <t>reach, gap_scheme, athleticism</t>
  </si>
  <si>
    <t>speed_rush, cornering, effort</t>
  </si>
  <si>
    <t>pass_rush_plan, flexibility, motor</t>
  </si>
  <si>
    <t>pass_rush_plan, effort, strength</t>
  </si>
  <si>
    <t>flexibility, contain, counter_moves</t>
  </si>
  <si>
    <t>pass_rush_plan, leverage, counter_moves</t>
  </si>
  <si>
    <t>hand_technique, pass_rush_plan, burst</t>
  </si>
  <si>
    <t>get_off, effort, length</t>
  </si>
  <si>
    <t>effort, get_off</t>
  </si>
  <si>
    <t>power, space_eater, gap_penetration, effort</t>
  </si>
  <si>
    <t>gap_integrity, anchor, quickness</t>
  </si>
  <si>
    <t>push_pocket, space_eater, versatility</t>
  </si>
  <si>
    <t>two_gap, push_pocket, swim_move</t>
  </si>
  <si>
    <t>space_eater, get_off</t>
  </si>
  <si>
    <t>space_eater, power_to_weight, gap_integrity</t>
  </si>
  <si>
    <t>hybrid, pursuit, timing</t>
  </si>
  <si>
    <t>awareness, slot, ball_skills</t>
  </si>
  <si>
    <t>straight_line, veteran, footwork</t>
  </si>
  <si>
    <t>change_direction, route_recognition, physicality</t>
  </si>
  <si>
    <t>reliability, positioning, boundary_field</t>
  </si>
  <si>
    <t>box_safety, positioning, communication</t>
  </si>
  <si>
    <t>versatility, leadership, man_coverage</t>
  </si>
  <si>
    <t>physicality, run_support, disguise</t>
  </si>
  <si>
    <t>consistency, man_coverage, run_support</t>
  </si>
  <si>
    <t>hybrid, consistency, disguise</t>
  </si>
  <si>
    <t>control, reliable, timing, veteran</t>
  </si>
  <si>
    <t>technique, veteran, reliable</t>
  </si>
  <si>
    <t>height, consistency, technique</t>
  </si>
  <si>
    <t>accuracy, steady</t>
  </si>
  <si>
    <t>recognition, calls</t>
  </si>
  <si>
    <t>press, versatility, hands</t>
  </si>
  <si>
    <t>size, hands, footwork</t>
  </si>
  <si>
    <t>fluidity, instincts, toughness</t>
  </si>
  <si>
    <t>shed_blocks, man_coverage, calls, range</t>
  </si>
  <si>
    <t>gunslinger, play_action, timing, clutch</t>
  </si>
  <si>
    <t>Point Guard QB</t>
  </si>
  <si>
    <t>mobility, developmental, poise</t>
  </si>
  <si>
    <t>mobility, field_vision, play_action</t>
  </si>
  <si>
    <t>poise, resilience</t>
  </si>
  <si>
    <t>open_field, power, workhorse</t>
  </si>
  <si>
    <t>open_field, route_running, goal_line</t>
  </si>
  <si>
    <t>gap_scheme, workhorse</t>
  </si>
  <si>
    <t>speed, possession, concentration, toughness</t>
  </si>
  <si>
    <t>YAC, contested_catch, vertical_threat</t>
  </si>
  <si>
    <t>reliable, explosiveness, versatility</t>
  </si>
  <si>
    <t>high_point, chess_piece, stretch_field</t>
  </si>
  <si>
    <t>deep_speed, run_support, hands</t>
  </si>
  <si>
    <t>contact_balance, edge_seal</t>
  </si>
  <si>
    <t>chip_block, veteran</t>
  </si>
  <si>
    <t>hand_placement, footwork</t>
  </si>
  <si>
    <t>reach, athleticism</t>
  </si>
  <si>
    <t>mauler, pulling, run_blocking</t>
  </si>
  <si>
    <t>range, swing_tackle</t>
  </si>
  <si>
    <t>veteran, mauler, technique</t>
  </si>
  <si>
    <t>pulling, mirror, strength</t>
  </si>
  <si>
    <t>mauler, consistency, pulling</t>
  </si>
  <si>
    <t>durability, athleticism, hand_placement</t>
  </si>
  <si>
    <t>motor, flexibility, counter_moves</t>
  </si>
  <si>
    <t>production, cornering, burst</t>
  </si>
  <si>
    <t>disruption, effort, finisher</t>
  </si>
  <si>
    <t>leverage, bend, burst</t>
  </si>
  <si>
    <t>speed_rush, finisher</t>
  </si>
  <si>
    <t>Speed-to-Power Rusher</t>
  </si>
  <si>
    <t>contain, repertoire</t>
  </si>
  <si>
    <t>motor, quickness, power</t>
  </si>
  <si>
    <t>quickness, disruption, alignment</t>
  </si>
  <si>
    <t>anchor, counter</t>
  </si>
  <si>
    <t>run_fit, counter</t>
  </si>
  <si>
    <t>blitzing, sure_tackler</t>
  </si>
  <si>
    <t>toughness, sub_package</t>
  </si>
  <si>
    <t>zone_drops, communication, physicality</t>
  </si>
  <si>
    <t>run_support, positioning, reliability, flip_hips</t>
  </si>
  <si>
    <t>route_recognition, straight_line, versatility</t>
  </si>
  <si>
    <t>awareness, flip_hips, physicality</t>
  </si>
  <si>
    <t>disguise, veteran, versatility</t>
  </si>
  <si>
    <t>TE_coverage, hybrid, coverage_ground</t>
  </si>
  <si>
    <t>consistency, pressure, control, experience</t>
  </si>
  <si>
    <t>approach, experience, consistency, power_leg</t>
  </si>
  <si>
    <t>clutch, placement, timing</t>
  </si>
  <si>
    <t>Clutch/Pressure Kicker</t>
  </si>
  <si>
    <t>snap_speed, iron_man</t>
  </si>
  <si>
    <t>coverage, range</t>
  </si>
  <si>
    <t>fluidity, communication, zone_drops</t>
  </si>
  <si>
    <t>stack, range, fluidity</t>
  </si>
  <si>
    <t>pursuit, downhill, gap_shooting</t>
  </si>
  <si>
    <t>deep_ball, pre_snap_reads, anticipation</t>
  </si>
  <si>
    <t>quick_release, scrambling</t>
  </si>
  <si>
    <t>scrambling, consistency</t>
  </si>
  <si>
    <t>gunslinger, deep_ball</t>
  </si>
  <si>
    <t>System QB</t>
  </si>
  <si>
    <t>developmental, velocity</t>
  </si>
  <si>
    <t>mentor, field_vision</t>
  </si>
  <si>
    <t>decisiveness, goal_line, workhorse</t>
  </si>
  <si>
    <t>Open-Field Creator</t>
  </si>
  <si>
    <t>versatility, workhorse, patience</t>
  </si>
  <si>
    <t>route_running, vision, third_down</t>
  </si>
  <si>
    <t>footwork, tracking, route_running, possession</t>
  </si>
  <si>
    <t>YAC, speed, chess_piece</t>
  </si>
  <si>
    <t>stem_control, chess_piece</t>
  </si>
  <si>
    <t>run_support, reliable, stretch_field</t>
  </si>
  <si>
    <t>elusiveness, chess_piece, speed</t>
  </si>
  <si>
    <t>H_back, reliable, receiving</t>
  </si>
  <si>
    <t>veteran, separation, move_TE</t>
  </si>
  <si>
    <t>pass_pro, vertical, power</t>
  </si>
  <si>
    <t>reliable, size</t>
  </si>
  <si>
    <t>pulling, power, zone_blocking</t>
  </si>
  <si>
    <t>strength, gap_scheme, mirror</t>
  </si>
  <si>
    <t>mauler, run_blocking, zone_blocking</t>
  </si>
  <si>
    <t>range, technique</t>
  </si>
  <si>
    <t>anchor_presence, hand_placement</t>
  </si>
  <si>
    <t>durability, footwork, drive</t>
  </si>
  <si>
    <t>anchor, leadership, gap_scheme, pulling</t>
  </si>
  <si>
    <t>drive, finisher, mirror</t>
  </si>
  <si>
    <t>power, swing_tackle, displacement</t>
  </si>
  <si>
    <t>run_defense, hand_technique, alignment_flex</t>
  </si>
  <si>
    <t>contain, length, cornering</t>
  </si>
  <si>
    <t>repertoire, speed_rush, leverage</t>
  </si>
  <si>
    <t>disruption, versatility, burst</t>
  </si>
  <si>
    <t>leverage, run_fit, conditioning, space_eater</t>
  </si>
  <si>
    <t>motor, counter, gap_penetration</t>
  </si>
  <si>
    <t>effort, get_off, versatility</t>
  </si>
  <si>
    <t>timing, toughness, athleticism</t>
  </si>
  <si>
    <t>stack, pursuit, timing</t>
  </si>
  <si>
    <t>versatility, sure_tackler, recognition</t>
  </si>
  <si>
    <t>size, recovery, consistency</t>
  </si>
  <si>
    <t>run_support, man_coverage, playmaker</t>
  </si>
  <si>
    <t>route_recognition, physicality, versatility</t>
  </si>
  <si>
    <t>matchup, veteran, communication</t>
  </si>
  <si>
    <t>force, consistency, center_field</t>
  </si>
  <si>
    <t>Single-High Eraser</t>
  </si>
  <si>
    <t>big_nickel, downhill, ball_skills</t>
  </si>
  <si>
    <t>directional, coverage_time, rollout</t>
  </si>
  <si>
    <t>iron_man, reliable</t>
  </si>
  <si>
    <t>hybrid, keys</t>
  </si>
  <si>
    <t>physicality, run_support</t>
  </si>
  <si>
    <t>stack, man_coverage, athleticism, versatility</t>
  </si>
  <si>
    <t>sure_tackler, stack, keys</t>
  </si>
  <si>
    <t>pursuit, toughness, take_on</t>
  </si>
  <si>
    <t>man_coverage, shed_blocks, fluidity</t>
  </si>
  <si>
    <t>timing, velocity, scrambling</t>
  </si>
  <si>
    <t>Scramble-to-Throw QB</t>
  </si>
  <si>
    <t>velocity, arm_talent</t>
  </si>
  <si>
    <t>downhill, agility, pass_blocking</t>
  </si>
  <si>
    <t>gap_scheme, receiving, one_cut</t>
  </si>
  <si>
    <t>one_cut, workhorse</t>
  </si>
  <si>
    <t>zone_runner, fresh_legs</t>
  </si>
  <si>
    <t>pass_catching, workhorse, decisiveness</t>
  </si>
  <si>
    <t>Third-Down Protector</t>
  </si>
  <si>
    <t>slot_technician, RAC, vertical_threat</t>
  </si>
  <si>
    <t>run_support, quickness, elusiveness</t>
  </si>
  <si>
    <t>slot_technician, footwork, run_support</t>
  </si>
  <si>
    <t>versatility, contested_catch, run_support</t>
  </si>
  <si>
    <t>toughness, route_running</t>
  </si>
  <si>
    <t>focus, speed, reliable</t>
  </si>
  <si>
    <t>size, blocking, contact_balance</t>
  </si>
  <si>
    <t>veteran, leverage, YAC</t>
  </si>
  <si>
    <t>zone_blocking, hand_placement</t>
  </si>
  <si>
    <t>displacement, consistency</t>
  </si>
  <si>
    <t>veteran, footwork, mauler, run_blocking</t>
  </si>
  <si>
    <t>strength, leadership</t>
  </si>
  <si>
    <t>durability, range, gap_scheme, anchor_presence</t>
  </si>
  <si>
    <t>finisher, swing_tackle, reach, leadership</t>
  </si>
  <si>
    <t>run_defense, hand_technique, bend</t>
  </si>
  <si>
    <t>motor, hand_technique, power_rush</t>
  </si>
  <si>
    <t>pass_rush_plan, strength, inside_out</t>
  </si>
  <si>
    <t>counter_moves, cornering</t>
  </si>
  <si>
    <t>edge_setting, bull_rush</t>
  </si>
  <si>
    <t>get_off, finisher</t>
  </si>
  <si>
    <t>power_to_weight, run_fit, counter</t>
  </si>
  <si>
    <t>leverage, gap_penetration, swim_move</t>
  </si>
  <si>
    <t>leverage, interior_pressure, run_stopper</t>
  </si>
  <si>
    <t>leverage, versatility, run_stopper</t>
  </si>
  <si>
    <t>discipline, effort, alignment</t>
  </si>
  <si>
    <t>take_on, sure_tackler</t>
  </si>
  <si>
    <t>sideline_to_sideline, zone_drops</t>
  </si>
  <si>
    <t>timing, form, versatility</t>
  </si>
  <si>
    <t>slot, hands, positioning</t>
  </si>
  <si>
    <t>route_recognition, straight_line, footwork, flip_hips</t>
  </si>
  <si>
    <t>length, reliability, versatility</t>
  </si>
  <si>
    <t>recovery, technique, man_coverage</t>
  </si>
  <si>
    <t>length, man_coverage, consistency</t>
  </si>
  <si>
    <t>Off-Man Mirror Corner</t>
  </si>
  <si>
    <t>range, quarterback_defense, positioning</t>
  </si>
  <si>
    <t>big_nickel, playmaker</t>
  </si>
  <si>
    <t>downhill, force</t>
  </si>
  <si>
    <t>tackling, communication</t>
  </si>
  <si>
    <t>power, coverage_time, calm, directional</t>
  </si>
  <si>
    <t>steady, placement, power</t>
  </si>
  <si>
    <t>reliable, accuracy</t>
  </si>
  <si>
    <t>fluidity, range</t>
  </si>
  <si>
    <t>coverage, physicality</t>
  </si>
  <si>
    <t>communication, sideline_to_sideline, keys</t>
  </si>
  <si>
    <t>Blitz Specialist</t>
  </si>
  <si>
    <t>keys, fluidity, timing</t>
  </si>
  <si>
    <t>anticipation, play_action, decision_making, toughness</t>
  </si>
  <si>
    <t>game_manager, resilience, decision_making</t>
  </si>
  <si>
    <t>arm_talent, mentor, game_manager</t>
  </si>
  <si>
    <t>burst, route_running, one_cut, fresh_legs</t>
  </si>
  <si>
    <t>burst, power</t>
  </si>
  <si>
    <t>vision, contact_balance</t>
  </si>
  <si>
    <t>chess_piece, deep_speed, contested_catch, stem_control</t>
  </si>
  <si>
    <t>concentration, explosiveness, stem_control, alignment_flex</t>
  </si>
  <si>
    <t>YAC, route_running, release</t>
  </si>
  <si>
    <t>blocking, slot_technician, speed</t>
  </si>
  <si>
    <t>speed, possession, tracking</t>
  </si>
  <si>
    <t>reliable, leverage</t>
  </si>
  <si>
    <t>release, route_running, H_back, awareness</t>
  </si>
  <si>
    <t>release, middle_field, blocking</t>
  </si>
  <si>
    <t>seam_stretch, move_TE</t>
  </si>
  <si>
    <t>consistency, reach, anchor</t>
  </si>
  <si>
    <t>range, leadership, multi_position</t>
  </si>
  <si>
    <t>anchor_presence, versatility, leverage</t>
  </si>
  <si>
    <t>leverage, displacement, reach</t>
  </si>
  <si>
    <t>strength, hand_placement, anchor_presence</t>
  </si>
  <si>
    <t>strength, technique, versatility</t>
  </si>
  <si>
    <t>run_blocking, anchor_presence, zone_blocking</t>
  </si>
  <si>
    <t>leverage, range, leadership</t>
  </si>
  <si>
    <t>multi_position, hand_placement, finisher</t>
  </si>
  <si>
    <t>contain, production, bull_rush, length</t>
  </si>
  <si>
    <t>run_defense, disruption, inside_out</t>
  </si>
  <si>
    <t>burst, leverage, hand_technique</t>
  </si>
  <si>
    <t>get_off, cornering, contain</t>
  </si>
  <si>
    <t>relentless, inside_out, repertoire</t>
  </si>
  <si>
    <t>swim_move, discipline, power</t>
  </si>
  <si>
    <t>quickness, disruption, power_to_weight, power</t>
  </si>
  <si>
    <t>range, take_on</t>
  </si>
  <si>
    <t>calls, fluidity, versatility</t>
  </si>
  <si>
    <t>reliability, straight_line, length, boundary_field</t>
  </si>
  <si>
    <t>reliability, technique, size, ball_skills</t>
  </si>
  <si>
    <t>size, reliability, ball_skills</t>
  </si>
  <si>
    <t>man_coverage, ball_skills, speed</t>
  </si>
  <si>
    <t>veteran, route_recognition</t>
  </si>
  <si>
    <t>big_nickel, physicality</t>
  </si>
  <si>
    <t>consistency, TE_coverage, force</t>
  </si>
  <si>
    <t>experience, distance, timing</t>
  </si>
  <si>
    <t>technique, hang_time, rollout</t>
  </si>
  <si>
    <t>iron_man, steady</t>
  </si>
  <si>
    <t>dependable, consistency, steady</t>
  </si>
  <si>
    <t>field_general, shed_blocks, zone_drops</t>
  </si>
  <si>
    <t>calls, take_on</t>
  </si>
  <si>
    <t>coverage, hybrid</t>
  </si>
  <si>
    <t>sure_tackler, pursuit, communication</t>
  </si>
  <si>
    <t>communication, instincts</t>
  </si>
  <si>
    <t>speed, length</t>
  </si>
  <si>
    <t>sure_tackler, communication, sideline_to_sideline</t>
  </si>
  <si>
    <t>keys, communication, downhill</t>
  </si>
  <si>
    <t>change_direction, shed_blocks, communication</t>
  </si>
  <si>
    <t>cerebral, strong_arm, play_action</t>
  </si>
  <si>
    <t>Rhythm/Timing QB</t>
  </si>
  <si>
    <t>touch, toughness</t>
  </si>
  <si>
    <t>scrambling, pre_snap_reads, poise</t>
  </si>
  <si>
    <t>velocity, risk_taker</t>
  </si>
  <si>
    <t>receiving, zone_runner, durability</t>
  </si>
  <si>
    <t>pass_blocking, speed</t>
  </si>
  <si>
    <t>burst, one_cut</t>
  </si>
  <si>
    <t>downhill, power</t>
  </si>
  <si>
    <t>quickness, alignment_flex, deep_speed, focus</t>
  </si>
  <si>
    <t>concentration, RAC, speed</t>
  </si>
  <si>
    <t>stretch_field, reliable, separation</t>
  </si>
  <si>
    <t>hands, high_point</t>
  </si>
  <si>
    <t>hands, vertical_threat, quickness</t>
  </si>
  <si>
    <t>focus, contested_catch, stem_control</t>
  </si>
  <si>
    <t>separation, H_back, veteran, mismatch</t>
  </si>
  <si>
    <t>leverage, edge_seal</t>
  </si>
  <si>
    <t>chip_block, versatility</t>
  </si>
  <si>
    <t>reach, range, mirror</t>
  </si>
  <si>
    <t>mauler, reach</t>
  </si>
  <si>
    <t>pass_protection, leadership, multi_position</t>
  </si>
  <si>
    <t>multi_position, consistency, hand_placement</t>
  </si>
  <si>
    <t>drive, consistency</t>
  </si>
  <si>
    <t>mirror, power</t>
  </si>
  <si>
    <t>mauler, leadership, pass_protection</t>
  </si>
  <si>
    <t>run_blocking, anchor, athleticism, anchor_presence</t>
  </si>
  <si>
    <t>durability, run_blocking, finisher</t>
  </si>
  <si>
    <t>run_blocking, range, mauler, zone_blocking</t>
  </si>
  <si>
    <t>consistency, athleticism, leadership</t>
  </si>
  <si>
    <t>zone_blocking, pulling, multi_position</t>
  </si>
  <si>
    <t>get_off, disruption, inside_out</t>
  </si>
  <si>
    <t>versatility, edge_setting, motor, repertoire</t>
  </si>
  <si>
    <t>finisher, run_defense, motor</t>
  </si>
  <si>
    <t>run_defense, repertoire, relentless</t>
  </si>
  <si>
    <t>relentless, alignment_flex, cornering</t>
  </si>
  <si>
    <t>gap_integrity, technique_flex, hand_technique, anchor</t>
  </si>
  <si>
    <t>run_fit, swim_move, gap_penetration</t>
  </si>
  <si>
    <t>gap_integrity, anchor, effort</t>
  </si>
  <si>
    <t>push_pocket, swim_move, space_eater</t>
  </si>
  <si>
    <t>discipline, effort, power_to_weight</t>
  </si>
  <si>
    <t>swim_move, versatility, interior_pressure</t>
  </si>
  <si>
    <t>range, field_general</t>
  </si>
  <si>
    <t>fluidity, zone_drops, communication</t>
  </si>
  <si>
    <t>versatility, press, awareness</t>
  </si>
  <si>
    <t>hands, zone_coverage, change_direction</t>
  </si>
  <si>
    <t>versatility, reliability, awareness</t>
  </si>
  <si>
    <t>downhill, physicality, playmaker</t>
  </si>
  <si>
    <t>run_support, zone_awareness, man_coverage</t>
  </si>
  <si>
    <t>veteran, versatility, force</t>
  </si>
  <si>
    <t>playmaker, box_safety, run_support</t>
  </si>
  <si>
    <t>Run-Fit Enforcer</t>
  </si>
  <si>
    <t>man_coverage, leverage, zone_awareness</t>
  </si>
  <si>
    <t>consistency, route_recognition</t>
  </si>
  <si>
    <t>technique, clutch, placement</t>
  </si>
  <si>
    <t>hang_time, calm, directional</t>
  </si>
  <si>
    <t>hang_time, consistency, veteran</t>
  </si>
  <si>
    <t>keys, physicality, change_direction, timing</t>
  </si>
  <si>
    <t>physicality, hybrid, keys</t>
  </si>
  <si>
    <t>pocket_presence, raw, scrambling</t>
  </si>
  <si>
    <t>decision_making, leadership, clutch</t>
  </si>
  <si>
    <t>toughness, play_action, arm_talent</t>
  </si>
  <si>
    <t>balance, agility, open_field</t>
  </si>
  <si>
    <t>third_down, contact_balance, pass_catching</t>
  </si>
  <si>
    <t>power, downhill</t>
  </si>
  <si>
    <t>agility, burst, elusiveness</t>
  </si>
  <si>
    <t>power, fresh_legs, burst</t>
  </si>
  <si>
    <t>YAC, hands, focus</t>
  </si>
  <si>
    <t>possession, RAC, release</t>
  </si>
  <si>
    <t>separation, toughness, explosiveness</t>
  </si>
  <si>
    <t>blocking, route_running, concentration</t>
  </si>
  <si>
    <t>veteran, contact_balance, blocking, middle_field</t>
  </si>
  <si>
    <t>Inline Y</t>
  </si>
  <si>
    <t>seam_stretch, edge_seal</t>
  </si>
  <si>
    <t>swing_tackle, durability</t>
  </si>
  <si>
    <t>gap_scheme, anchor_presence, pulling</t>
  </si>
  <si>
    <t>reach, pass_protection, gap_scheme</t>
  </si>
  <si>
    <t>mauler, footwork</t>
  </si>
  <si>
    <t>pulling, drive, power</t>
  </si>
  <si>
    <t>consistency, displacement, range, footwork</t>
  </si>
  <si>
    <t>durability, multi_position, finisher</t>
  </si>
  <si>
    <t>reach, multi_position, mauler, drive</t>
  </si>
  <si>
    <t>mauler, communicator, climb</t>
  </si>
  <si>
    <t>leverage, versatility, pass_protection</t>
  </si>
  <si>
    <t>get_off, versatility, flexibility, leverage</t>
  </si>
  <si>
    <t>cornering, hand_technique, versatility</t>
  </si>
  <si>
    <t>production, contain, leverage</t>
  </si>
  <si>
    <t>leverage, versatility, speed_rush</t>
  </si>
  <si>
    <t>contain, production, flexibility</t>
  </si>
  <si>
    <t>length, repertoire</t>
  </si>
  <si>
    <t>quickness, run_stopper, push_pocket</t>
  </si>
  <si>
    <t>hand_technique, conditioning, discipline</t>
  </si>
  <si>
    <t>pursuit, zone_drops</t>
  </si>
  <si>
    <t>blitzing, zone_drops</t>
  </si>
  <si>
    <t>timing, calls, shed_blocks</t>
  </si>
  <si>
    <t>field_general, blitzing, coverage, sub_package</t>
  </si>
  <si>
    <t>sure_tackler, toughness, take_on</t>
  </si>
  <si>
    <t>hands, straight_line, technique</t>
  </si>
  <si>
    <t>positioning, physicality, versatility</t>
  </si>
  <si>
    <t>hands, veteran, boundary_field</t>
  </si>
  <si>
    <t>man_coverage, straight_line, hands</t>
  </si>
  <si>
    <t>consistency, change_direction, ball_skills</t>
  </si>
  <si>
    <t>leadership, positioning, TE_coverage</t>
  </si>
  <si>
    <t>box_safety, center_field</t>
  </si>
  <si>
    <t>force, coverage_ground, matchup, veteran</t>
  </si>
  <si>
    <t>distance, veteran, height, pin_deep</t>
  </si>
  <si>
    <t>Distance/Flip-Field Punter</t>
  </si>
  <si>
    <t>durability, veteran</t>
  </si>
  <si>
    <t>consistency, dependable, steady</t>
  </si>
  <si>
    <t>gap_shooting, calls, versatility</t>
  </si>
  <si>
    <t>length, quickness</t>
  </si>
  <si>
    <t>shed_blocks, hybrid, instincts</t>
  </si>
  <si>
    <t>velocity, leadership, risk_taker</t>
  </si>
  <si>
    <t>arm_talent, developmental, anticipation</t>
  </si>
  <si>
    <t>deep_ball, game_manager</t>
  </si>
  <si>
    <t>balance, decisiveness, breakaway_speed, YAC</t>
  </si>
  <si>
    <t>one_cut, pass_blocking, versatility</t>
  </si>
  <si>
    <t>breakaway_speed, power, fresh_legs</t>
  </si>
  <si>
    <t>speed, decisiveness, downhill</t>
  </si>
  <si>
    <t>third_down, YAC</t>
  </si>
  <si>
    <t>patience, contact_balance</t>
  </si>
  <si>
    <t>high_point, slot_technician, footwork</t>
  </si>
  <si>
    <t>separation, run_support, quickness</t>
  </si>
  <si>
    <t>concentration, stem_control, RAC</t>
  </si>
  <si>
    <t>stretch_field, footwork, possession</t>
  </si>
  <si>
    <t>YAC, footwork</t>
  </si>
  <si>
    <t>versatility, slot_technician, blocking</t>
  </si>
  <si>
    <t>reliable, elusiveness, run_support</t>
  </si>
  <si>
    <t>alignment_flex, body_control</t>
  </si>
  <si>
    <t>slot_technician, concentration, chess_piece</t>
  </si>
  <si>
    <t>YAC, separation</t>
  </si>
  <si>
    <t>YAC, veteran, H_back</t>
  </si>
  <si>
    <t>blocking, awareness, consistent</t>
  </si>
  <si>
    <t>hand_placement, pulling</t>
  </si>
  <si>
    <t>gap_scheme, veteran, power</t>
  </si>
  <si>
    <t>swing_tackle, leverage, zone_blocking</t>
  </si>
  <si>
    <t>gap_scheme, anchor, drive</t>
  </si>
  <si>
    <t>veteran, range, versatility</t>
  </si>
  <si>
    <t>anchor, finisher, zone_blocking, hand_placement</t>
  </si>
  <si>
    <t>run_blocking, leadership, versatility</t>
  </si>
  <si>
    <t>versatility, climb, finisher</t>
  </si>
  <si>
    <t>technique, durability, pass_protection</t>
  </si>
  <si>
    <t>speed_rush, repertoire, disruption</t>
  </si>
  <si>
    <t>burst, motor, strength</t>
  </si>
  <si>
    <t>flexibility, pass_rush_plan, edge_setting</t>
  </si>
  <si>
    <t>bull_rush, counter_moves</t>
  </si>
  <si>
    <t>burst, cornering, bull_rush</t>
  </si>
  <si>
    <t>counter, length, get_off</t>
  </si>
  <si>
    <t>motor, hand_technique, length</t>
  </si>
  <si>
    <t>versatility, gap_penetration, push_pocket</t>
  </si>
  <si>
    <t>gap_penetration, alignment</t>
  </si>
  <si>
    <t>downhill, communication, coverage</t>
  </si>
  <si>
    <t>zone_drops, versatility, keys</t>
  </si>
  <si>
    <t>sideline_to_sideline, toughness</t>
  </si>
  <si>
    <t>timing, stack, change_direction</t>
  </si>
  <si>
    <t>physicality, versatility, positioning</t>
  </si>
  <si>
    <t>reliability, press, size</t>
  </si>
  <si>
    <t>quickness, positioning, size</t>
  </si>
  <si>
    <t>TE_coverage, angles, veteran, tackling</t>
  </si>
  <si>
    <t>coverage_ground, veteran, playmaker</t>
  </si>
  <si>
    <t>timing, placement, touchback</t>
  </si>
  <si>
    <t>reliable, calm, directional</t>
  </si>
  <si>
    <t>power_leg, experience, ice_in_veins</t>
  </si>
  <si>
    <t>veteran, hang_time, rollout</t>
  </si>
  <si>
    <t>versatility, coverage</t>
  </si>
  <si>
    <t>timing, calls</t>
  </si>
  <si>
    <t>man_coverage, pursuit, recognition</t>
  </si>
  <si>
    <t>versatility, press, straight_line</t>
  </si>
  <si>
    <t>man_coverage, calls, pursuit, blitzing</t>
  </si>
  <si>
    <t>toughness, stack, keys, timing</t>
  </si>
  <si>
    <t>take_on, communication, form</t>
  </si>
  <si>
    <t>RPO_savvy, field_vision, strong_arm, gunslinger</t>
  </si>
  <si>
    <t>elusiveness, vision, open_field</t>
  </si>
  <si>
    <t>goal_line, one_cut, agility</t>
  </si>
  <si>
    <t>one_cut, contact_balance</t>
  </si>
  <si>
    <t>agility, decisiveness</t>
  </si>
  <si>
    <t>blocking, stem_control, reliable, body_control</t>
  </si>
  <si>
    <t>quickness, alignment_flex, reliable</t>
  </si>
  <si>
    <t>high_point, blocking, versatility</t>
  </si>
  <si>
    <t>high_point, stem_control, explosiveness</t>
  </si>
  <si>
    <t>body_control, footwork, reliable</t>
  </si>
  <si>
    <t>hands, chess_piece</t>
  </si>
  <si>
    <t>pass_pro, veteran, inline</t>
  </si>
  <si>
    <t>displacement, climb, durability</t>
  </si>
  <si>
    <t>climb, gap_scheme, power</t>
  </si>
  <si>
    <t>pass_protection, multi_position</t>
  </si>
  <si>
    <t>climb, versatility</t>
  </si>
  <si>
    <t>displacement, consistency, anchor</t>
  </si>
  <si>
    <t>pulling, versatility, zone_blocking, mirror</t>
  </si>
  <si>
    <t>versatility, climb, leverage</t>
  </si>
  <si>
    <t>pulling, durability, power</t>
  </si>
  <si>
    <t>consistency, footwork, athleticism</t>
  </si>
  <si>
    <t>inside_out, disruption, strength</t>
  </si>
  <si>
    <t>burst, cornering, edge_setting</t>
  </si>
  <si>
    <t>strength, motor, production</t>
  </si>
  <si>
    <t>leverage, hand_technique</t>
  </si>
  <si>
    <t>run_stopper, conditioning, alignment</t>
  </si>
  <si>
    <t>conditioning, counter, power</t>
  </si>
  <si>
    <t>leverage, effort</t>
  </si>
  <si>
    <t>counter, mass, length</t>
  </si>
  <si>
    <t>conditioning, get_off, hand_technique</t>
  </si>
  <si>
    <t>take_on, athleticism, sideline_to_sideline</t>
  </si>
  <si>
    <t>hands, boundary_field, change_direction, speed</t>
  </si>
  <si>
    <t>technique, size, ball_skills, press</t>
  </si>
  <si>
    <t>physicality, size, quickness</t>
  </si>
  <si>
    <t>route_recognition, hands</t>
  </si>
  <si>
    <t>veteran, man_coverage, disguise</t>
  </si>
  <si>
    <t>positioning, physicality, disguise</t>
  </si>
  <si>
    <t>consistency, calls</t>
  </si>
  <si>
    <t>veteran, instincts, route_recognition</t>
  </si>
  <si>
    <t>calls, range</t>
  </si>
  <si>
    <t>consistency, experience, technique, directional</t>
  </si>
  <si>
    <t>power_leg, clutch, consistency</t>
  </si>
  <si>
    <t>technique, control, calm</t>
  </si>
  <si>
    <t>rollout, pin_deep, technique</t>
  </si>
  <si>
    <t>reliable, pin_deep, height</t>
  </si>
  <si>
    <t>snap_speed, iron_man, steady</t>
  </si>
  <si>
    <t>veteran, accuracy, durability</t>
  </si>
  <si>
    <t>hands, positioning, awareness</t>
  </si>
  <si>
    <t>man_coverage, run_support, versatility</t>
  </si>
  <si>
    <t>blitzing, keys, shed_blocks, zone_drops</t>
  </si>
  <si>
    <t>form, stack, pursuit, fluidity</t>
  </si>
  <si>
    <t>leadership, cerebral, touch, scrambling</t>
  </si>
  <si>
    <t>zone_runner, YAC, agility</t>
  </si>
  <si>
    <t>workhorse, YAC, receiving</t>
  </si>
  <si>
    <t>goal_line, pass_blocking, speed</t>
  </si>
  <si>
    <t>alignment_flex, elusiveness, speed</t>
  </si>
  <si>
    <t>blocking, release, vertical_threat</t>
  </si>
  <si>
    <t>vertical_threat, possession, chess_piece</t>
  </si>
  <si>
    <t>footwork, tracking, quickness</t>
  </si>
  <si>
    <t>concentration, stem_control, blocking</t>
  </si>
  <si>
    <t>vertical_threat, alignment_flex, hands</t>
  </si>
  <si>
    <t>toughness, vertical_threat, footwork</t>
  </si>
  <si>
    <t>reliable, vertical_threat</t>
  </si>
  <si>
    <t>awareness, inline, veteran, red_zone</t>
  </si>
  <si>
    <t>mismatch, route_running, contact_balance</t>
  </si>
  <si>
    <t>veteran, seam_stretch</t>
  </si>
  <si>
    <t>footwork, run_blocking, anchor_presence</t>
  </si>
  <si>
    <t>pass_protection, run_blocking, hand_placement</t>
  </si>
  <si>
    <t>range, mirror</t>
  </si>
  <si>
    <t>communicator, zone_blocking, anchor, gap_scheme</t>
  </si>
  <si>
    <t>power, leadership, reach</t>
  </si>
  <si>
    <t>pass_protection, hand_placement, run_blocking, climb</t>
  </si>
  <si>
    <t>multi_position, hand_placement, drive</t>
  </si>
  <si>
    <t>gap_scheme, consistency, climb</t>
  </si>
  <si>
    <t>gap_scheme, communicator, climb</t>
  </si>
  <si>
    <t>drive, finisher, pulling</t>
  </si>
  <si>
    <t>production, edge_setting, strength</t>
  </si>
  <si>
    <t>inside_out, flexibility, pass_rush_plan</t>
  </si>
  <si>
    <t>production, run_defense, relentless</t>
  </si>
  <si>
    <t>burst, production</t>
  </si>
  <si>
    <t>leverage, bull_rush, speed_rush</t>
  </si>
  <si>
    <t>finisher, run_defense</t>
  </si>
  <si>
    <t>speed_rush, bend, power_rush</t>
  </si>
  <si>
    <t>finisher, edge_setting</t>
  </si>
  <si>
    <t>motor, discipline, alignment, space_eater</t>
  </si>
  <si>
    <t>hand_technique, leverage, interior_pressure</t>
  </si>
  <si>
    <t>versatility, mass, length</t>
  </si>
  <si>
    <t>fluidity, man_coverage</t>
  </si>
  <si>
    <t>athleticism, gap_shooting, downhill, field_general</t>
  </si>
  <si>
    <t>playmaker, zone_coverage, quickness, physicality</t>
  </si>
  <si>
    <t>Match-Zone Corner</t>
  </si>
  <si>
    <t>tackling, change_direction, length, boundary_field</t>
  </si>
  <si>
    <t>man_coverage, flip_hips, veteran</t>
  </si>
  <si>
    <t>awareness, size, hands</t>
  </si>
  <si>
    <t>consistency, physicality</t>
  </si>
  <si>
    <t>awareness, physicality</t>
  </si>
  <si>
    <t>leadership, matchup, physicality, calls</t>
  </si>
  <si>
    <t>versatility, box_safety, playmaker</t>
  </si>
  <si>
    <t>disguise, physicality, leadership</t>
  </si>
  <si>
    <t>Box Safety</t>
  </si>
  <si>
    <t>calls, route_recognition, physicality</t>
  </si>
  <si>
    <t>power_leg, calm, control</t>
  </si>
  <si>
    <t>hang_time, placement, distance</t>
  </si>
  <si>
    <t>snap_speed, dependable</t>
  </si>
  <si>
    <t>consistency, iron_man, veteran</t>
  </si>
  <si>
    <t>stack, instincts, gap_shooting</t>
  </si>
  <si>
    <t>flip_hips, reliability, positioning</t>
  </si>
  <si>
    <t>recovery, route_recognition</t>
  </si>
  <si>
    <t>gap_shooting, change_direction, coverage</t>
  </si>
  <si>
    <t>take_on, communication, gap_shooting</t>
  </si>
  <si>
    <t>play_action, quick_release, developmental, arm_talent</t>
  </si>
  <si>
    <t>touch, scrambling</t>
  </si>
  <si>
    <t>quick_release, resilience</t>
  </si>
  <si>
    <t>contact_balance, receiving, fresh_legs, gap_scheme</t>
  </si>
  <si>
    <t>decisiveness, burst, durability</t>
  </si>
  <si>
    <t>open_field, power, patience</t>
  </si>
  <si>
    <t>pass_catching, breakaway_speed</t>
  </si>
  <si>
    <t>pass_blocking, downhill</t>
  </si>
  <si>
    <t>vertical_threat, possession, RAC</t>
  </si>
  <si>
    <t>release, route_running, concentration</t>
  </si>
  <si>
    <t>separation, speed</t>
  </si>
  <si>
    <t>reliable, concentration, vertical_threat</t>
  </si>
  <si>
    <t>quickness, alignment_flex</t>
  </si>
  <si>
    <t>versatility, consistent, hands, awareness</t>
  </si>
  <si>
    <t>veteran, blocking, H_back</t>
  </si>
  <si>
    <t>move_TE, leverage, pass_pro</t>
  </si>
  <si>
    <t>red_zone, edge_seal, middle_field</t>
  </si>
  <si>
    <t>middle_field, leverage, veteran</t>
  </si>
  <si>
    <t>footwork, strength, pulling</t>
  </si>
  <si>
    <t>gap_scheme, anchor_presence, zone_blocking</t>
  </si>
  <si>
    <t>gap_scheme, durability, communicator</t>
  </si>
  <si>
    <t>drive, athleticism, climb</t>
  </si>
  <si>
    <t>drive, range, leverage</t>
  </si>
  <si>
    <t>athleticism, mirror</t>
  </si>
  <si>
    <t>mirror, mauler, pulling</t>
  </si>
  <si>
    <t>pass_protection, athleticism, run_blocking</t>
  </si>
  <si>
    <t>hand_placement, anchor, communicator</t>
  </si>
  <si>
    <t>run_blocking, leverage, climb</t>
  </si>
  <si>
    <t>flexibility, run_defense, hand_technique</t>
  </si>
  <si>
    <t>disruption, finisher, contain, speed_rush</t>
  </si>
  <si>
    <t>run_defense, length, speed_rush</t>
  </si>
  <si>
    <t>space_eater, conditioning, gap_integrity, hand_technique</t>
  </si>
  <si>
    <t>anchor, get_off, gap_integrity</t>
  </si>
  <si>
    <t>swim_move, leverage</t>
  </si>
  <si>
    <t>conditioning, power_to_weight</t>
  </si>
  <si>
    <t>hand_technique, run_stopper</t>
  </si>
  <si>
    <t>physicality, versatility, keys</t>
  </si>
  <si>
    <t>coverage, athleticism, take_on</t>
  </si>
  <si>
    <t>change_direction, sub_package, sideline_to_sideline</t>
  </si>
  <si>
    <t>change_direction, range, coverage</t>
  </si>
  <si>
    <t>change_direction, blitzing, instincts, range</t>
  </si>
  <si>
    <t>press, quickness, awareness</t>
  </si>
  <si>
    <t>recovery, reliability, change_direction</t>
  </si>
  <si>
    <t>size, run_support, footwork</t>
  </si>
  <si>
    <t>leadership, tackling, box_safety</t>
  </si>
  <si>
    <t>playmaker, center_field, positioning</t>
  </si>
  <si>
    <t>calls, playmaker, big_nickel</t>
  </si>
  <si>
    <t>ball_skills, quarterback_defense, consistency</t>
  </si>
  <si>
    <t>calm, pin_deep, consistency</t>
  </si>
  <si>
    <t>calls, instincts, stack</t>
  </si>
  <si>
    <t>recognition, athleticism, field_general</t>
  </si>
  <si>
    <t>field_general, physicality, blitzing, man_coverage</t>
  </si>
  <si>
    <t>recognition, calls, sub_package</t>
  </si>
  <si>
    <t>poise, pocket_presence, raw</t>
  </si>
  <si>
    <t>velocity, scrambling</t>
  </si>
  <si>
    <t>route_running, downhill, pass_catching</t>
  </si>
  <si>
    <t>route_running, goal_line</t>
  </si>
  <si>
    <t>burst, downhill</t>
  </si>
  <si>
    <t>gap_scheme, durability</t>
  </si>
  <si>
    <t>stretch_field, contested_catch, RAC, focus</t>
  </si>
  <si>
    <t>separation, toughness, release</t>
  </si>
  <si>
    <t>blocking, chess_piece, footwork</t>
  </si>
  <si>
    <t>footwork, YAC, deep_speed</t>
  </si>
  <si>
    <t>high_point, run_support</t>
  </si>
  <si>
    <t>concentration, versatility</t>
  </si>
  <si>
    <t>possession, elusiveness, chess_piece</t>
  </si>
  <si>
    <t>elusiveness, blocking, tracking</t>
  </si>
  <si>
    <t>receiving, consistent, middle_field</t>
  </si>
  <si>
    <t>receiving, size, consistent</t>
  </si>
  <si>
    <t>leverage, reliable, contact_balance</t>
  </si>
  <si>
    <t>climb, displacement, leadership</t>
  </si>
  <si>
    <t>veteran, technique, anchor</t>
  </si>
  <si>
    <t>pass_protection, mauler, multi_position</t>
  </si>
  <si>
    <t>finisher, pulling, durability</t>
  </si>
  <si>
    <t>drive, athleticism</t>
  </si>
  <si>
    <t>communicator, versatility, leverage</t>
  </si>
  <si>
    <t>zone_blocking, durability, range, pass_protection</t>
  </si>
  <si>
    <t>versatility, run_blocking, strength</t>
  </si>
  <si>
    <t>mirror, versatility, displacement</t>
  </si>
  <si>
    <t>get_off, cornering, hand_technique</t>
  </si>
  <si>
    <t>motor, run_defense, get_off</t>
  </si>
  <si>
    <t>pass_rush_plan, repertoire, edge_setting</t>
  </si>
  <si>
    <t>flexibility, hand_technique, get_off</t>
  </si>
  <si>
    <t>strength, motor</t>
  </si>
  <si>
    <t>length, alignment_flex</t>
  </si>
  <si>
    <t>run_defense, power_rush, speed_rush</t>
  </si>
  <si>
    <t>speed_rush, motor</t>
  </si>
  <si>
    <t>push_pocket, leverage, counter, run_stopper</t>
  </si>
  <si>
    <t>conditioning, leverage, disruption</t>
  </si>
  <si>
    <t>quickness, interior_pressure, run_fit</t>
  </si>
  <si>
    <t>space_eater, swim_move, disruption</t>
  </si>
  <si>
    <t>sub_package, field_general, coverage</t>
  </si>
  <si>
    <t>hybrid, coverage, take_on</t>
  </si>
  <si>
    <t>veteran, disruption, versatility, quickness</t>
  </si>
  <si>
    <t>positioning, zone_coverage, tackling, physicality</t>
  </si>
  <si>
    <t>change_direction, route_recognition, footwork</t>
  </si>
  <si>
    <t>press, footwork, reliability</t>
  </si>
  <si>
    <t>disguise, box_safety, angles</t>
  </si>
  <si>
    <t>downhill, veteran, force</t>
  </si>
  <si>
    <t>force, veteran</t>
  </si>
  <si>
    <t>range, veteran, instincts, downhill</t>
  </si>
  <si>
    <t>TE_coverage, route_recognition, physicality</t>
  </si>
  <si>
    <t>pressure, control, distance</t>
  </si>
  <si>
    <t>consistency, veteran</t>
  </si>
  <si>
    <t>zone_drops, take_on, tackling</t>
  </si>
  <si>
    <t>sideline_to_sideline, instincts</t>
  </si>
  <si>
    <t>athleticism, calls</t>
  </si>
  <si>
    <t>timing, hybrid</t>
  </si>
  <si>
    <t>tackling, versatility, disruption</t>
  </si>
  <si>
    <t>instincts, physicality, timing</t>
  </si>
  <si>
    <t>fluidity, recognition, sideline_to_sideline</t>
  </si>
  <si>
    <t>velocity, pre_snap_reads, raw</t>
  </si>
  <si>
    <t>anticipation, cerebral</t>
  </si>
  <si>
    <t>fresh_legs, balance, open_field</t>
  </si>
  <si>
    <t>gap_scheme, versatility, speed</t>
  </si>
  <si>
    <t>patience, elusiveness, fresh_legs</t>
  </si>
  <si>
    <t>receiving, agility</t>
  </si>
  <si>
    <t>balance, durability, contact_balance</t>
  </si>
  <si>
    <t>zone_runner, fresh_legs, pass_blocking</t>
  </si>
  <si>
    <t>alignment_flex, quickness, blocking, reliable</t>
  </si>
  <si>
    <t>RAC, deep_speed, concentration</t>
  </si>
  <si>
    <t>RAC, reliable, speed, focus</t>
  </si>
  <si>
    <t>vertical_threat, separation</t>
  </si>
  <si>
    <t>chess_piece, toughness</t>
  </si>
  <si>
    <t>middle_field, mismatch, leverage</t>
  </si>
  <si>
    <t>finisher, zone_blocking, leverage</t>
  </si>
  <si>
    <t>reach, run_blocking, technique, durability</t>
  </si>
  <si>
    <t>range, veteran</t>
  </si>
  <si>
    <t>zone_blocking, range, veteran</t>
  </si>
  <si>
    <t>athleticism, reach, power, pass_protection</t>
  </si>
  <si>
    <t>climb, anchor_presence, versatility</t>
  </si>
  <si>
    <t>power_rush, motor, alignment_flex</t>
  </si>
  <si>
    <t>cornering, bull_rush, production</t>
  </si>
  <si>
    <t>effort, get_off, edge_setting</t>
  </si>
  <si>
    <t>finisher, burst, repertoire</t>
  </si>
  <si>
    <t>versatility, effort</t>
  </si>
  <si>
    <t>conditioning, gap_penetration, two_gap</t>
  </si>
  <si>
    <t>quickness, power, counter</t>
  </si>
  <si>
    <t>gap_integrity, conditioning, power_to_weight</t>
  </si>
  <si>
    <t>run_fit, space_eater, length</t>
  </si>
  <si>
    <t>recognition, sideline_to_sideline</t>
  </si>
  <si>
    <t>keys, toughness</t>
  </si>
  <si>
    <t>zone_coverage, size, technique, run_support</t>
  </si>
  <si>
    <t>technique, awareness, physicality, quickness</t>
  </si>
  <si>
    <t>speed, man_coverage, disruption</t>
  </si>
  <si>
    <t>positioning, physicality, disruption</t>
  </si>
  <si>
    <t>consistency, man_coverage, range</t>
  </si>
  <si>
    <t>hybrid, positioning, TE_coverage</t>
  </si>
  <si>
    <t>zone_awareness, calls</t>
  </si>
  <si>
    <t>coverage_ground, veteran, physicality</t>
  </si>
  <si>
    <t>man_coverage, veteran, angles</t>
  </si>
  <si>
    <t>distance, experience, placement</t>
  </si>
  <si>
    <t>coverage_time, reliable, flip_field</t>
  </si>
  <si>
    <t>veteran, iron_man, snap_speed</t>
  </si>
  <si>
    <t>shed_blocks, change_direction, pursuit</t>
  </si>
  <si>
    <t>form, keys, coverage</t>
  </si>
  <si>
    <t>range, fluidity, sub_package</t>
  </si>
  <si>
    <t>hybrid, zone_drops, stack</t>
  </si>
  <si>
    <t>man_coverage, timing, communication, change_direction</t>
  </si>
  <si>
    <t>mobility, accuracy</t>
  </si>
  <si>
    <t>game_manager, leadership, strong_arm</t>
  </si>
  <si>
    <t>breakaway_speed, YAC, gap_scheme</t>
  </si>
  <si>
    <t>goal_line, vision, elusiveness, downhill</t>
  </si>
  <si>
    <t>open_field, third_down, fresh_legs</t>
  </si>
  <si>
    <t>contact_balance, YAC</t>
  </si>
  <si>
    <t>concentration, route_running, release, alignment_flex</t>
  </si>
  <si>
    <t>versatility, quickness</t>
  </si>
  <si>
    <t>RAC, reliable</t>
  </si>
  <si>
    <t>versatility, speed</t>
  </si>
  <si>
    <t>blocking, hands, red_zone</t>
  </si>
  <si>
    <t>YAC, versatility</t>
  </si>
  <si>
    <t>hands, blocking</t>
  </si>
  <si>
    <t>range, zone_blocking, multi_position</t>
  </si>
  <si>
    <t>athleticism, strength, displacement</t>
  </si>
  <si>
    <t>leverage, drive</t>
  </si>
  <si>
    <t>strength, consistency</t>
  </si>
  <si>
    <t>hand_placement, athleticism, mauler, climb</t>
  </si>
  <si>
    <t>displacement, mauler, climb, multi_position</t>
  </si>
  <si>
    <t>reach, run_blocking, footwork</t>
  </si>
  <si>
    <t>mauler, hand_placement, strength</t>
  </si>
  <si>
    <t>length, flexibility, speed_rush, pass_rush_plan</t>
  </si>
  <si>
    <t>bull_rush, bend, run_defense</t>
  </si>
  <si>
    <t>flexibility, speed_rush, effort</t>
  </si>
  <si>
    <t>edge_setting, disruption</t>
  </si>
  <si>
    <t>strength, contain</t>
  </si>
  <si>
    <t>mass, length, effort, gap_penetration</t>
  </si>
  <si>
    <t>gap_penetration, two_gap, disruption</t>
  </si>
  <si>
    <t>push_pocket, effort</t>
  </si>
  <si>
    <t>discipline, counter, disruption</t>
  </si>
  <si>
    <t>two_gap, mass</t>
  </si>
  <si>
    <t>toughness, recognition, calls</t>
  </si>
  <si>
    <t>blitzing, physicality, pursuit</t>
  </si>
  <si>
    <t>downhill, sideline_to_sideline, form</t>
  </si>
  <si>
    <t>communication, change_direction</t>
  </si>
  <si>
    <t>take_on, instincts, physicality</t>
  </si>
  <si>
    <t>straight_line, quickness, press</t>
  </si>
  <si>
    <t>change_direction, speed, disruption</t>
  </si>
  <si>
    <t>tackling, zone_awareness, communication</t>
  </si>
  <si>
    <t>quarterback_defense, man_coverage, positioning, playmaker</t>
  </si>
  <si>
    <t>calm, technique, control</t>
  </si>
  <si>
    <t>height, rugby_style, technique</t>
  </si>
  <si>
    <t>reliable, consistency</t>
  </si>
  <si>
    <t>field_general, change_direction, timing</t>
  </si>
  <si>
    <t>man_coverage, keys</t>
  </si>
  <si>
    <t>technique, boundary_field, speed</t>
  </si>
  <si>
    <t>route_recognition, quickness</t>
  </si>
  <si>
    <t>man_coverage, field_general, physicality, sub_package</t>
  </si>
  <si>
    <t>zone_drops, timing, sideline_to_sideline</t>
  </si>
  <si>
    <t>field_general, blitzing, sure_tackler</t>
  </si>
  <si>
    <t>toughness, gunslinger, timing</t>
  </si>
  <si>
    <t>decision_making, pre_snap_reads</t>
  </si>
  <si>
    <t>toughness, deep_ball</t>
  </si>
  <si>
    <t>elusiveness, gap_scheme, workhorse</t>
  </si>
  <si>
    <t>downhill, vision</t>
  </si>
  <si>
    <t>breakaway_speed, pass_blocking</t>
  </si>
  <si>
    <t>body_control, stem_control, chess_piece</t>
  </si>
  <si>
    <t>alignment_flex, separation, possession, focus</t>
  </si>
  <si>
    <t>concentration, chess_piece, YAC</t>
  </si>
  <si>
    <t>separation, possession, deep_speed</t>
  </si>
  <si>
    <t>high_point, quickness, toughness</t>
  </si>
  <si>
    <t>contested_catch, run_support, separation</t>
  </si>
  <si>
    <t>separation, blocking</t>
  </si>
  <si>
    <t>separation, chip_block, move_TE</t>
  </si>
  <si>
    <t>edge_seal, move_TE, YAC</t>
  </si>
  <si>
    <t>route_running, H_back, power</t>
  </si>
  <si>
    <t>multi_position, hand_placement, communicator</t>
  </si>
  <si>
    <t>veteran, swing_tackle, zone_blocking</t>
  </si>
  <si>
    <t>range, leadership, mauler</t>
  </si>
  <si>
    <t>zone_blocking, power, swing_tackle</t>
  </si>
  <si>
    <t>footwork, mauler, climb</t>
  </si>
  <si>
    <t>mauler, strength, hand_placement, communicator</t>
  </si>
  <si>
    <t>gap_scheme, leadership, consistency</t>
  </si>
  <si>
    <t>technique, power, reach, run_blocking</t>
  </si>
  <si>
    <t>hand_placement, anchor_presence, zone_blocking</t>
  </si>
  <si>
    <t>power_rush, cornering, run_defense, versatility</t>
  </si>
  <si>
    <t>alignment_flex, bend, counter_moves</t>
  </si>
  <si>
    <t>flexibility, versatility, burst</t>
  </si>
  <si>
    <t>quickness, push_pocket, space_eater, leverage</t>
  </si>
  <si>
    <t>versatility, anchor, gap_integrity</t>
  </si>
  <si>
    <t>get_off, conditioning</t>
  </si>
  <si>
    <t>gap_penetration, versatility, motor</t>
  </si>
  <si>
    <t>keys, shed_blocks</t>
  </si>
  <si>
    <t>man_coverage, physicality, sure_tackler</t>
  </si>
  <si>
    <t>tackling, stack</t>
  </si>
  <si>
    <t>pursuit, recognition, zone_drops, timing</t>
  </si>
  <si>
    <t>ball_skills, size, veteran</t>
  </si>
  <si>
    <t>consistency, speed, playmaker, zone_coverage</t>
  </si>
  <si>
    <t>press, straight_line, positioning</t>
  </si>
  <si>
    <t>change_direction, ball_skills, speed</t>
  </si>
  <si>
    <t>technique, change_direction</t>
  </si>
  <si>
    <t>center_field, ball_skills, hybrid</t>
  </si>
  <si>
    <t>communication, range, force</t>
  </si>
  <si>
    <t>consistency, hybrid, tackling</t>
  </si>
  <si>
    <t>TE_coverage, route_recognition, leverage</t>
  </si>
  <si>
    <t>run_support, communication, man_coverage</t>
  </si>
  <si>
    <t>clutch, calm, approach</t>
  </si>
  <si>
    <t>hang_time, placement, rugby_style</t>
  </si>
  <si>
    <t>reliable, rollout, pin_deep</t>
  </si>
  <si>
    <t>downhill, coverage, hybrid</t>
  </si>
  <si>
    <t>stack, sub_package, instincts</t>
  </si>
  <si>
    <t>hands, versatility, reliability</t>
  </si>
  <si>
    <t>toughness, man_coverage, change_direction</t>
  </si>
  <si>
    <t>communication, fluidity, sub_package</t>
  </si>
  <si>
    <t>communication, versatility, physicality</t>
  </si>
  <si>
    <t>touch, deep_ball, RPO_savvy</t>
  </si>
  <si>
    <t>cerebral, resilience, poise</t>
  </si>
  <si>
    <t>mobility, gunslinger</t>
  </si>
  <si>
    <t>field_vision, strong_arm</t>
  </si>
  <si>
    <t>vision, third_down, power</t>
  </si>
  <si>
    <t>pass_catching, agility, downhill</t>
  </si>
  <si>
    <t>one_cut, power, burst</t>
  </si>
  <si>
    <t>versatility, breakaway_speed</t>
  </si>
  <si>
    <t>footwork, high_point, chess_piece, YAC</t>
  </si>
  <si>
    <t>vertical_threat, high_point, footwork</t>
  </si>
  <si>
    <t>blocking, contested_catch, vertical_threat</t>
  </si>
  <si>
    <t>contested_catch, stem_control, quickness</t>
  </si>
  <si>
    <t>possession, versatility, explosiveness</t>
  </si>
  <si>
    <t>consistent, contact_balance, release</t>
  </si>
  <si>
    <t>power, mismatch</t>
  </si>
  <si>
    <t>receiving, size, veteran</t>
  </si>
  <si>
    <t>size, receiving, separation</t>
  </si>
  <si>
    <t>inline, versatility, leverage</t>
  </si>
  <si>
    <t>receiving, pass_pro</t>
  </si>
  <si>
    <t>pulling, technique, run_blocking</t>
  </si>
  <si>
    <t>anchor_presence, multi_position</t>
  </si>
  <si>
    <t>power, mirror</t>
  </si>
  <si>
    <t>hand_placement, climb, range, gap_scheme</t>
  </si>
  <si>
    <t>durability, mauler, multi_position</t>
  </si>
  <si>
    <t>range, strength</t>
  </si>
  <si>
    <t>zone_blocking, anchor_presence</t>
  </si>
  <si>
    <t>mauler, consistency, communicator</t>
  </si>
  <si>
    <t>anchor_presence, displacement, swing_tackle, leverage</t>
  </si>
  <si>
    <t>consistency, zone_blocking, range, communicator</t>
  </si>
  <si>
    <t>durability, reach, swing_tackle</t>
  </si>
  <si>
    <t>anchor_presence, gap_scheme, range</t>
  </si>
  <si>
    <t>strength, run_blocking, finisher</t>
  </si>
  <si>
    <t>disruption, hand_technique, bull_rush</t>
  </si>
  <si>
    <t>length, strength, production</t>
  </si>
  <si>
    <t>length, production, bull_rush</t>
  </si>
  <si>
    <t>disruption, strength, repertoire</t>
  </si>
  <si>
    <t>versatility, repertoire, motor</t>
  </si>
  <si>
    <t>get_off, motor, pass_rush_plan</t>
  </si>
  <si>
    <t>run_defense, bend</t>
  </si>
  <si>
    <t>technique_flex, discipline, anchor</t>
  </si>
  <si>
    <t>mass, conditioning</t>
  </si>
  <si>
    <t>disruption, length, power</t>
  </si>
  <si>
    <t>technique_flex, space_eater, leverage</t>
  </si>
  <si>
    <t>sideline_to_sideline, downhill</t>
  </si>
  <si>
    <t>sub_package, communication, timing</t>
  </si>
  <si>
    <t>man_coverage, stack, blitzing</t>
  </si>
  <si>
    <t>reliability, recovery, playmaker, disruption</t>
  </si>
  <si>
    <t>length, recovery, hands</t>
  </si>
  <si>
    <t>versatility, route_recognition, technique</t>
  </si>
  <si>
    <t>slot, ball_skills, route_recognition</t>
  </si>
  <si>
    <t>playmaker, veteran, quarterback_defense, box_safety</t>
  </si>
  <si>
    <t>communication, angles</t>
  </si>
  <si>
    <t>range, veteran, leverage</t>
  </si>
  <si>
    <t>ball_skills, matchup</t>
  </si>
  <si>
    <t>height, steady, placement</t>
  </si>
  <si>
    <t>fluidity, pursuit, sub_package</t>
  </si>
  <si>
    <t>sideline_to_sideline, take_on</t>
  </si>
  <si>
    <t>footwork, press, reliability</t>
  </si>
  <si>
    <t>sub_package, timing, take_on, coverage</t>
  </si>
  <si>
    <t>cerebral, timing, mentor, play_action</t>
  </si>
  <si>
    <t>game_manager, quick_release</t>
  </si>
  <si>
    <t>deep_ball, strong_arm, consistency</t>
  </si>
  <si>
    <t>mentor, gunslinger</t>
  </si>
  <si>
    <t>fresh_legs, third_down, agility</t>
  </si>
  <si>
    <t>gap_scheme, elusiveness, vision</t>
  </si>
  <si>
    <t>versatility, route_running, decisiveness</t>
  </si>
  <si>
    <t>vision, elusiveness</t>
  </si>
  <si>
    <t>quickness, contested_catch, run_support</t>
  </si>
  <si>
    <t>footwork, explosiveness, blocking</t>
  </si>
  <si>
    <t>release, explosiveness, contested_catch</t>
  </si>
  <si>
    <t>tracking, RAC</t>
  </si>
  <si>
    <t>contested_catch, stem_control</t>
  </si>
  <si>
    <t>red_zone, edge_seal, H_back</t>
  </si>
  <si>
    <t>red_zone, vertical, inline</t>
  </si>
  <si>
    <t>mismatch, vertical, awareness</t>
  </si>
  <si>
    <t>power, anchor_presence, hand_placement</t>
  </si>
  <si>
    <t>hand_placement, anchor_presence</t>
  </si>
  <si>
    <t>strength, drive, climb</t>
  </si>
  <si>
    <t>climb, finisher</t>
  </si>
  <si>
    <t>mirror, displacement, versatility</t>
  </si>
  <si>
    <t>leadership, pulling, swing_tackle, run_blocking</t>
  </si>
  <si>
    <t>technique, footwork, displacement</t>
  </si>
  <si>
    <t>power, communicator, displacement</t>
  </si>
  <si>
    <t>leverage, athleticism, displacement</t>
  </si>
  <si>
    <t>technique, versatility, veteran</t>
  </si>
  <si>
    <t>technique, leadership, zone_blocking, footwork</t>
  </si>
  <si>
    <t>leverage, flexibility, burst, edge_setting</t>
  </si>
  <si>
    <t>power_rush, run_defense, disruption</t>
  </si>
  <si>
    <t>inside_out, strength, length</t>
  </si>
  <si>
    <t>quickness, gap_integrity, space_eater</t>
  </si>
  <si>
    <t>disruption, gap_penetration, space_eater</t>
  </si>
  <si>
    <t>hand_technique, gap_integrity, anchor</t>
  </si>
  <si>
    <t>run_fit, counter, effort</t>
  </si>
  <si>
    <t>power_to_weight, two_gap, power</t>
  </si>
  <si>
    <t>swim_move, power, alignment</t>
  </si>
  <si>
    <t>fluidity, instincts</t>
  </si>
  <si>
    <t>form, sub_package, keys</t>
  </si>
  <si>
    <t>footwork, zone_coverage, ball_skills, press</t>
  </si>
  <si>
    <t>hands, man_coverage, veteran, length</t>
  </si>
  <si>
    <t>run_support, man_coverage, consistency</t>
  </si>
  <si>
    <t>size, physicality, positioning</t>
  </si>
  <si>
    <t>consistency, positioning</t>
  </si>
  <si>
    <t>ball_skills, center_field, force</t>
  </si>
  <si>
    <t>center_field, leverage, physicality</t>
  </si>
  <si>
    <t>TE_coverage, disguise</t>
  </si>
  <si>
    <t>instincts, leverage, leadership</t>
  </si>
  <si>
    <t>timing, experience, ice_in_veins</t>
  </si>
  <si>
    <t>steady, height, technique, directional</t>
  </si>
  <si>
    <t>change_direction, shed_blocks, sub_package</t>
  </si>
  <si>
    <t>instincts, range</t>
  </si>
  <si>
    <t>shed_blocks, keys</t>
  </si>
  <si>
    <t>route_recognition, tackling, hands</t>
  </si>
  <si>
    <t>length, press, consistency</t>
  </si>
  <si>
    <t>timing, downhill, zone_drops</t>
  </si>
  <si>
    <t>hybrid, man_coverage, gap_shooting</t>
  </si>
  <si>
    <t>play_action, deep_ball, velocity, raw</t>
  </si>
  <si>
    <t>game_manager, RPO_savvy</t>
  </si>
  <si>
    <t>anticipation, consistency</t>
  </si>
  <si>
    <t>pre_snap_reads, scrambling</t>
  </si>
  <si>
    <t>gap_scheme, speed, agility</t>
  </si>
  <si>
    <t>YAC, elusiveness, agility</t>
  </si>
  <si>
    <t>receiving, breakaway_speed, balance</t>
  </si>
  <si>
    <t>open_field, downhill, vision</t>
  </si>
  <si>
    <t>decisiveness, contact_balance, downhill</t>
  </si>
  <si>
    <t>vision, route_running</t>
  </si>
  <si>
    <t>body_control, reliable, tracking, quickness</t>
  </si>
  <si>
    <t>YAC, run_support, chess_piece</t>
  </si>
  <si>
    <t>reliable, speed, chess_piece</t>
  </si>
  <si>
    <t>RAC, explosiveness, versatility</t>
  </si>
  <si>
    <t>body_control, stem_control</t>
  </si>
  <si>
    <t>body_control, chess_piece</t>
  </si>
  <si>
    <t>receiving, pass_pro, mismatch, separation</t>
  </si>
  <si>
    <t>veteran, vertical</t>
  </si>
  <si>
    <t>finisher, leadership, leverage</t>
  </si>
  <si>
    <t>communicator, pulling</t>
  </si>
  <si>
    <t>range, veteran, displacement</t>
  </si>
  <si>
    <t>reach, drive</t>
  </si>
  <si>
    <t>footwork, zone_blocking</t>
  </si>
  <si>
    <t>run_blocking, durability, mauler</t>
  </si>
  <si>
    <t>zone_blocking, finisher, anchor</t>
  </si>
  <si>
    <t>multi_position, reach, mauler, power</t>
  </si>
  <si>
    <t>power_rush, pass_rush_plan, cornering</t>
  </si>
  <si>
    <t>bend, finisher, leverage</t>
  </si>
  <si>
    <t>alignment_flex, get_off</t>
  </si>
  <si>
    <t>discipline, versatility, anchor, quickness</t>
  </si>
  <si>
    <t>power_to_weight, power, versatility</t>
  </si>
  <si>
    <t>discipline, mass, disruption</t>
  </si>
  <si>
    <t>Coaching Staff Issues</t>
  </si>
  <si>
    <t>hand_technique, technique_flex, quickness</t>
  </si>
  <si>
    <t>toughness, change_direction, keys</t>
  </si>
  <si>
    <t>coverage, tackling</t>
  </si>
  <si>
    <t>coverage, recognition, downhill</t>
  </si>
  <si>
    <t>speed, man_coverage, zone_coverage, flip_hips</t>
  </si>
  <si>
    <t>size, boundary_field, tackling</t>
  </si>
  <si>
    <t>press, boundary_field, awareness</t>
  </si>
  <si>
    <t>quickness, veteran, hands</t>
  </si>
  <si>
    <t>angles, man_coverage, hybrid</t>
  </si>
  <si>
    <t>man_coverage, versatility</t>
  </si>
  <si>
    <t>center_field, ball_skills, route_recognition</t>
  </si>
  <si>
    <t>ball_skills, center_field</t>
  </si>
  <si>
    <t>clutch, accuracy, touchback</t>
  </si>
  <si>
    <t>steady, coverage_time, veteran, rollout</t>
  </si>
  <si>
    <t>downhill, sideline_to_sideline, take_on</t>
  </si>
  <si>
    <t>hands, length</t>
  </si>
  <si>
    <t>boundary_field, size</t>
  </si>
  <si>
    <t>downhill, stack, blitzing</t>
  </si>
  <si>
    <t>calls, sub_package, pursuit</t>
  </si>
  <si>
    <t>pre_snap_reads, anticipation, mentor</t>
  </si>
  <si>
    <t>pass_blocking, power, balance</t>
  </si>
  <si>
    <t>gap_scheme, versatility</t>
  </si>
  <si>
    <t>fresh_legs, gap_scheme, vision</t>
  </si>
  <si>
    <t>deep_speed, elusiveness, slot_technician</t>
  </si>
  <si>
    <t>tracking, body_control, chess_piece</t>
  </si>
  <si>
    <t>focus, deep_speed, stem_control</t>
  </si>
  <si>
    <t>tracking, footwork</t>
  </si>
  <si>
    <t>contested_catch, run_support</t>
  </si>
  <si>
    <t>versatility, possession</t>
  </si>
  <si>
    <t>route_running, versatility, mismatch</t>
  </si>
  <si>
    <t>consistent, vertical, awareness</t>
  </si>
  <si>
    <t>consistent, contact_balance</t>
  </si>
  <si>
    <t>multi_position, displacement, mauler</t>
  </si>
  <si>
    <t>gap_scheme, reach, anchor_presence</t>
  </si>
  <si>
    <t>hand_placement, reach</t>
  </si>
  <si>
    <t>pulling, run_blocking</t>
  </si>
  <si>
    <t>mauler, run_blocking, mirror</t>
  </si>
  <si>
    <t>communicator, climb, mauler</t>
  </si>
  <si>
    <t>consistency, leadership, technique</t>
  </si>
  <si>
    <t>technique, run_blocking, pass_protection</t>
  </si>
  <si>
    <t>reach, multi_position, anchor</t>
  </si>
  <si>
    <t>leverage, communicator, durability</t>
  </si>
  <si>
    <t>alignment_flex, bend, run_defense, length</t>
  </si>
  <si>
    <t>counter_moves, alignment_flex, disruption</t>
  </si>
  <si>
    <t>disruption, alignment_flex, speed_rush</t>
  </si>
  <si>
    <t>versatility, run_defense, burst</t>
  </si>
  <si>
    <t>hand_technique, production</t>
  </si>
  <si>
    <t>inside_out, counter_moves, finisher</t>
  </si>
  <si>
    <t>length, bend, effort</t>
  </si>
  <si>
    <t>swim_move, disruption, motor, run_fit</t>
  </si>
  <si>
    <t>get_off, leverage, space_eater</t>
  </si>
  <si>
    <t>instincts, athleticism, calls</t>
  </si>
  <si>
    <t>zone_coverage, playmaker, reliability</t>
  </si>
  <si>
    <t>zone_coverage, physicality, speed, ball_skills</t>
  </si>
  <si>
    <t>slot, speed, zone_coverage</t>
  </si>
  <si>
    <t>footwork, route_recognition, tackling</t>
  </si>
  <si>
    <t>quickness, recovery</t>
  </si>
  <si>
    <t>disruption, recovery</t>
  </si>
  <si>
    <t>center_field, hybrid, tackling</t>
  </si>
  <si>
    <t>force, instincts</t>
  </si>
  <si>
    <t>leverage, leadership</t>
  </si>
  <si>
    <t>center_field, versatility, tackling</t>
  </si>
  <si>
    <t>zone_awareness, angles</t>
  </si>
  <si>
    <t>disguise, center_field, instincts</t>
  </si>
  <si>
    <t>consistency, durability, reliable</t>
  </si>
  <si>
    <t>range, sub_package, zone_drops</t>
  </si>
  <si>
    <t>form, physicality</t>
  </si>
  <si>
    <t>consistency, boundary_field, flip_hips</t>
  </si>
  <si>
    <t>versatility, ball_skills, tackling</t>
  </si>
  <si>
    <t>fluidity, gap_shooting, shed_blocks</t>
  </si>
  <si>
    <t>gap_shooting, sure_tackler, shed_blocks</t>
  </si>
  <si>
    <t>gunslinger, cerebral, field_vision</t>
  </si>
  <si>
    <t>decisiveness, receiving, downhill, fresh_legs</t>
  </si>
  <si>
    <t>elusiveness, YAC, zone_runner</t>
  </si>
  <si>
    <t>balance, downhill</t>
  </si>
  <si>
    <t>versatility, elusiveness</t>
  </si>
  <si>
    <t>durability, agility</t>
  </si>
  <si>
    <t>high_point, hands, alignment_flex, slot_technician</t>
  </si>
  <si>
    <t>elusiveness, stretch_field, alignment_flex</t>
  </si>
  <si>
    <t>contested_catch, slot_technician, quickness</t>
  </si>
  <si>
    <t>hands, run_support</t>
  </si>
  <si>
    <t>Emotional/Volatile</t>
  </si>
  <si>
    <t>blocking, alignment_flex</t>
  </si>
  <si>
    <t>high_point, YAC</t>
  </si>
  <si>
    <t>move_TE, receiving, pass_pro</t>
  </si>
  <si>
    <t>veteran, red_zone</t>
  </si>
  <si>
    <t>mirror, durability, climb</t>
  </si>
  <si>
    <t>drive, multi_position</t>
  </si>
  <si>
    <t>finisher, climb, anchor</t>
  </si>
  <si>
    <t>strength, run_blocking</t>
  </si>
  <si>
    <t>range, finisher, communicator, displacement</t>
  </si>
  <si>
    <t>power, consistency, swing_tackle</t>
  </si>
  <si>
    <t>climb, footwork, strength, durability</t>
  </si>
  <si>
    <t>hand_placement, strength, communicator</t>
  </si>
  <si>
    <t>veteran, leadership, versatility, zone_blocking</t>
  </si>
  <si>
    <t>pulling, displacement, leverage</t>
  </si>
  <si>
    <t>disruption, burst, cornering</t>
  </si>
  <si>
    <t>bull_rush, inside_out, leverage</t>
  </si>
  <si>
    <t>disruption, power_rush, finisher</t>
  </si>
  <si>
    <t>cornering, disruption, get_off</t>
  </si>
  <si>
    <t>strength, counter_moves</t>
  </si>
  <si>
    <t>run_stopper, technique_flex, gap_integrity, effort</t>
  </si>
  <si>
    <t>run_fit, alignment, effort</t>
  </si>
  <si>
    <t>space_eater, length, discipline</t>
  </si>
  <si>
    <t>get_off, counter, interior_pressure</t>
  </si>
  <si>
    <t>power, gap_integrity, length</t>
  </si>
  <si>
    <t>technique_flex, conditioning, discipline</t>
  </si>
  <si>
    <t>athleticism, take_on</t>
  </si>
  <si>
    <t>athleticism, calls, instincts</t>
  </si>
  <si>
    <t>toughness, sure_tackler, man_coverage</t>
  </si>
  <si>
    <t>flip_hips, consistency, zone_coverage, disruption</t>
  </si>
  <si>
    <t>zone_coverage, flip_hips, run_support, slot</t>
  </si>
  <si>
    <t>hands, awareness, boundary_field</t>
  </si>
  <si>
    <t>versatility, disruption, veteran</t>
  </si>
  <si>
    <t>change_direction, disruption</t>
  </si>
  <si>
    <t>playmaker, big_nickel, center_field</t>
  </si>
  <si>
    <t>TE_coverage, hybrid</t>
  </si>
  <si>
    <t>zone_awareness, angles, leadership</t>
  </si>
  <si>
    <t>force, angles</t>
  </si>
  <si>
    <t>big_nickel, communication</t>
  </si>
  <si>
    <t>directional, technique, distance, calm</t>
  </si>
  <si>
    <t>pin_deep, height, versatility, steady</t>
  </si>
  <si>
    <t>iron_man, snap_speed</t>
  </si>
  <si>
    <t>range, calls, stack</t>
  </si>
  <si>
    <t>zone_coverage, physicality</t>
  </si>
  <si>
    <t>flip_hips, zone_coverage</t>
  </si>
  <si>
    <t>physicality, sideline_to_sideline, coverage</t>
  </si>
  <si>
    <t>blitzing, communication, zone_drops, form</t>
  </si>
  <si>
    <t>accuracy, timing, gunslinger, developmental</t>
  </si>
  <si>
    <t>mobility, raw</t>
  </si>
  <si>
    <t>speed, third_down</t>
  </si>
  <si>
    <t>explosiveness, stretch_field, reliable</t>
  </si>
  <si>
    <t>RAC, possession, chess_piece</t>
  </si>
  <si>
    <t>speed, run_support, RAC</t>
  </si>
  <si>
    <t>hands, speed, YAC</t>
  </si>
  <si>
    <t>deep_speed, separation</t>
  </si>
  <si>
    <t>possession, stretch_field, separation</t>
  </si>
  <si>
    <t>chess_piece, reliable, route_running</t>
  </si>
  <si>
    <t>versatility, RAC</t>
  </si>
  <si>
    <t>move_TE, YAC, receiving, red_zone</t>
  </si>
  <si>
    <t>mismatch, inline, chip_block</t>
  </si>
  <si>
    <t>release, veteran</t>
  </si>
  <si>
    <t>mismatch, inline, separation</t>
  </si>
  <si>
    <t>anchor, finisher, leverage</t>
  </si>
  <si>
    <t>climb, multi_position, finisher</t>
  </si>
  <si>
    <t>reach, athleticism, pass_protection</t>
  </si>
  <si>
    <t>mirror, veteran, power</t>
  </si>
  <si>
    <t>finisher, anchor_presence, pulling</t>
  </si>
  <si>
    <t>leverage, footwork, athleticism</t>
  </si>
  <si>
    <t>power_rush, relentless, cornering</t>
  </si>
  <si>
    <t>bull_rush, production, run_defense</t>
  </si>
  <si>
    <t>versatility, production, bull_rush</t>
  </si>
  <si>
    <t>get_off, alignment_flex</t>
  </si>
  <si>
    <t>motor, finisher</t>
  </si>
  <si>
    <t>power, run_fit, effort</t>
  </si>
  <si>
    <t>versatility, hand_technique, length</t>
  </si>
  <si>
    <t>gap_penetration, gap_integrity, conditioning</t>
  </si>
  <si>
    <t>shed_blocks, hybrid, form</t>
  </si>
  <si>
    <t>fluidity, pursuit, physicality</t>
  </si>
  <si>
    <t>shed_blocks, hybrid, gap_shooting</t>
  </si>
  <si>
    <t>timing, downhill</t>
  </si>
  <si>
    <t>field_general, stack, gap_shooting</t>
  </si>
  <si>
    <t>size, physicality, consistency</t>
  </si>
  <si>
    <t>physicality, positioning, hands</t>
  </si>
  <si>
    <t>positioning, consistency, man_coverage</t>
  </si>
  <si>
    <t>slot, footwork, press</t>
  </si>
  <si>
    <t>hybrid, range, leadership</t>
  </si>
  <si>
    <t>angles, playmaker</t>
  </si>
  <si>
    <t>approach, accuracy, ice_in_veins, power_leg</t>
  </si>
  <si>
    <t>coverage_time, veteran, versatility</t>
  </si>
  <si>
    <t>accuracy, iron_man</t>
  </si>
  <si>
    <t>sub_package, toughness, recognition</t>
  </si>
  <si>
    <t>coverage, fluidity, keys</t>
  </si>
  <si>
    <t>versatility, form, range</t>
  </si>
  <si>
    <t>timing, stack, calls</t>
  </si>
  <si>
    <t>instincts, communication</t>
  </si>
  <si>
    <t>change_direction, positioning</t>
  </si>
  <si>
    <t>footwork, playmaker, physicality</t>
  </si>
  <si>
    <t>field_vision, clutch, arm_talent</t>
  </si>
  <si>
    <t>timing, toughness, mobility</t>
  </si>
  <si>
    <t>touch, field_vision</t>
  </si>
  <si>
    <t>anticipation, raw</t>
  </si>
  <si>
    <t>open_field, decisiveness, goal_line</t>
  </si>
  <si>
    <t>pass_catching, one_cut</t>
  </si>
  <si>
    <t>decisiveness, gap_scheme, open_field</t>
  </si>
  <si>
    <t>one_cut, gap_scheme, receiving</t>
  </si>
  <si>
    <t>chess_piece, possession, stem_control, hands</t>
  </si>
  <si>
    <t>hands, versatility, body_control, footwork</t>
  </si>
  <si>
    <t>focus, YAC, footwork</t>
  </si>
  <si>
    <t>hands, high_point, vertical_threat</t>
  </si>
  <si>
    <t>blocking, possession, stretch_field</t>
  </si>
  <si>
    <t>red_zone, release, chip_block, route_running</t>
  </si>
  <si>
    <t>awareness, blocking, seam_stretch</t>
  </si>
  <si>
    <t>release, pass_pro, contact_balance</t>
  </si>
  <si>
    <t>communicator, veteran, hand_placement</t>
  </si>
  <si>
    <t>mirror, mauler</t>
  </si>
  <si>
    <t>anchor_presence, power, zone_blocking</t>
  </si>
  <si>
    <t>drive, communicator, climb</t>
  </si>
  <si>
    <t>consistency, climb, athleticism</t>
  </si>
  <si>
    <t>zone_blocking, durability, leadership</t>
  </si>
  <si>
    <t>gap_scheme, versatility, power</t>
  </si>
  <si>
    <t>technique, mauler, reach</t>
  </si>
  <si>
    <t>leadership, run_blocking, veteran, leverage</t>
  </si>
  <si>
    <t>anchor, technique, run_blocking, reach</t>
  </si>
  <si>
    <t>hand_technique, length, burst, bend</t>
  </si>
  <si>
    <t>disruption, flexibility, edge_setting</t>
  </si>
  <si>
    <t>cornering, run_defense, effort</t>
  </si>
  <si>
    <t>flexibility, edge_setting, bull_rush</t>
  </si>
  <si>
    <t>technique_flex, run_fit, mass</t>
  </si>
  <si>
    <t>discipline, anchor</t>
  </si>
  <si>
    <t>gap_penetration, length, run_stopper</t>
  </si>
  <si>
    <t>keys, tackling, hybrid</t>
  </si>
  <si>
    <t>pursuit, timing</t>
  </si>
  <si>
    <t>range, form</t>
  </si>
  <si>
    <t>field_general, shed_blocks, fluidity</t>
  </si>
  <si>
    <t>ball_skills, length, technique, run_support</t>
  </si>
  <si>
    <t>boundary_field, quickness, positioning</t>
  </si>
  <si>
    <t>zone_coverage, speed, flip_hips</t>
  </si>
  <si>
    <t>zone_coverage, reliability, size</t>
  </si>
  <si>
    <t>versatility, coverage_ground, box_safety</t>
  </si>
  <si>
    <t>leadership, positioning, tackling</t>
  </si>
  <si>
    <t>run_support, matchup, physicality</t>
  </si>
  <si>
    <t>leverage, physicality</t>
  </si>
  <si>
    <t>reliable, ice_in_veins, approach</t>
  </si>
  <si>
    <t>technique, versatility, pin_deep, steady</t>
  </si>
  <si>
    <t>gap_shooting, field_general, man_coverage</t>
  </si>
  <si>
    <t>sub_package, shed_blocks</t>
  </si>
  <si>
    <t>hybrid, calls, pursuit</t>
  </si>
  <si>
    <t>toughness, keys, gap_shooting, range</t>
  </si>
  <si>
    <t>arm_talent, touch, risk_taker</t>
  </si>
  <si>
    <t>decision_making, timing</t>
  </si>
  <si>
    <t>quick_release, decision_making</t>
  </si>
  <si>
    <t>receiving, open_field, patience, gap_scheme</t>
  </si>
  <si>
    <t>quickness, body_control, tracking</t>
  </si>
  <si>
    <t>slot_technician, route_running, quickness</t>
  </si>
  <si>
    <t>RAC, run_support</t>
  </si>
  <si>
    <t>mismatch, YAC, edge_seal, pass_pro</t>
  </si>
  <si>
    <t>awareness, contact_balance, middle_field</t>
  </si>
  <si>
    <t>inline, power</t>
  </si>
  <si>
    <t>contact_balance, route_running, pass_pro</t>
  </si>
  <si>
    <t>versatility, hand_placement, power</t>
  </si>
  <si>
    <t>swing_tackle, consistency, hand_placement</t>
  </si>
  <si>
    <t>anchor, durability</t>
  </si>
  <si>
    <t>leverage, drive, mauler</t>
  </si>
  <si>
    <t>leadership, mauler</t>
  </si>
  <si>
    <t>technique, anchor_presence, displacement</t>
  </si>
  <si>
    <t>pulling, footwork, communicator</t>
  </si>
  <si>
    <t>displacement, durability, range</t>
  </si>
  <si>
    <t>strength, reach, displacement</t>
  </si>
  <si>
    <t>inside_out, disruption, production</t>
  </si>
  <si>
    <t>counter_moves, production, alignment_flex</t>
  </si>
  <si>
    <t>cornering, inside_out, hand_technique</t>
  </si>
  <si>
    <t>hand_technique, get_off, disruption</t>
  </si>
  <si>
    <t>anchor, push_pocket, motor, gap_penetration</t>
  </si>
  <si>
    <t>swim_move, quickness, leverage</t>
  </si>
  <si>
    <t>interior_pressure, hand_technique</t>
  </si>
  <si>
    <t>anchor, discipline, swim_move</t>
  </si>
  <si>
    <t>run_stopper, leverage, run_fit</t>
  </si>
  <si>
    <t>run_stopper, get_off</t>
  </si>
  <si>
    <t>timing, stack, tackling</t>
  </si>
  <si>
    <t>athleticism, tackling</t>
  </si>
  <si>
    <t>recognition, zone_drops, form</t>
  </si>
  <si>
    <t>reliability, playmaker, physicality, versatility</t>
  </si>
  <si>
    <t>playmaker, versatility, zone_coverage, footwork</t>
  </si>
  <si>
    <t>press, recovery, length</t>
  </si>
  <si>
    <t>playmaker, tackling, zone_awareness</t>
  </si>
  <si>
    <t>disguise, leadership, big_nickel</t>
  </si>
  <si>
    <t>TE_coverage, downhill, veteran</t>
  </si>
  <si>
    <t>power_leg, control, veteran</t>
  </si>
  <si>
    <t>touchback, clutch, experience</t>
  </si>
  <si>
    <t>technique, distance, reliable</t>
  </si>
  <si>
    <t>snap_speed, veteran</t>
  </si>
  <si>
    <t>timing, sub_package, sure_tackler</t>
  </si>
  <si>
    <t>range, physicality, stack</t>
  </si>
  <si>
    <t>technique, reliability, zone_coverage</t>
  </si>
  <si>
    <t>run_support, flip_hips</t>
  </si>
  <si>
    <t>calls, athleticism, physicality</t>
  </si>
  <si>
    <t>recognition, zone_drops, change_direction</t>
  </si>
  <si>
    <t>timing, gunslinger, scrambling</t>
  </si>
  <si>
    <t>leadership, clutch, decision_making</t>
  </si>
  <si>
    <t>accuracy, velocity, poise</t>
  </si>
  <si>
    <t>play_action, toughness, velocity</t>
  </si>
  <si>
    <t>route_running, agility, power</t>
  </si>
  <si>
    <t>burst, breakaway_speed, durability</t>
  </si>
  <si>
    <t>downhill, workhorse, route_running</t>
  </si>
  <si>
    <t>YAC, power, burst</t>
  </si>
  <si>
    <t>breakaway_speed, decisiveness</t>
  </si>
  <si>
    <t>contested_catch, blocking, focus</t>
  </si>
  <si>
    <t>vertical_threat, slot_technician, YAC</t>
  </si>
  <si>
    <t>versatility, elusiveness, tracking</t>
  </si>
  <si>
    <t>alignment_flex, YAC, blocking</t>
  </si>
  <si>
    <t>release, move_TE, seam_stretch</t>
  </si>
  <si>
    <t>reliable, mismatch</t>
  </si>
  <si>
    <t>chip_block, mismatch, move_TE</t>
  </si>
  <si>
    <t>route_running, release, seam_stretch</t>
  </si>
  <si>
    <t>displacement, gap_scheme</t>
  </si>
  <si>
    <t>climb, drive, strength, technique</t>
  </si>
  <si>
    <t>pass_protection, consistency, range</t>
  </si>
  <si>
    <t>versatility, technique, anchor_presence</t>
  </si>
  <si>
    <t>multi_position, climb</t>
  </si>
  <si>
    <t>zone_blocking, consistency, gap_scheme</t>
  </si>
  <si>
    <t>drive, athleticism, durability</t>
  </si>
  <si>
    <t>consistency, reach, anchor_presence, finisher</t>
  </si>
  <si>
    <t>power, climb, durability</t>
  </si>
  <si>
    <t>relentless, bull_rush, flexibility</t>
  </si>
  <si>
    <t>relentless, contain, pass_rush_plan</t>
  </si>
  <si>
    <t>hand_technique, relentless</t>
  </si>
  <si>
    <t>disruption, motor, mass, gap_penetration</t>
  </si>
  <si>
    <t>conditioning, swim_move, technique_flex</t>
  </si>
  <si>
    <t>motor, power_to_weight, mass</t>
  </si>
  <si>
    <t>interior_pressure, two_gap</t>
  </si>
  <si>
    <t>counter, versatility</t>
  </si>
  <si>
    <t>take_on, coverage, sideline_to_sideline</t>
  </si>
  <si>
    <t>form, timing, sub_package</t>
  </si>
  <si>
    <t>form, versatility, take_on</t>
  </si>
  <si>
    <t>sure_tackler, fluidity, field_general</t>
  </si>
  <si>
    <t>quickness, physicality, consistency, zone_coverage</t>
  </si>
  <si>
    <t>man_coverage, playmaker, straight_line, versatility</t>
  </si>
  <si>
    <t>run_support, zone_coverage, slot, press</t>
  </si>
  <si>
    <t>zone_coverage, technique</t>
  </si>
  <si>
    <t>force, disguise, playmaker, range</t>
  </si>
  <si>
    <t>matchup, disguise, coverage_ground</t>
  </si>
  <si>
    <t>man_coverage, communication, coverage_ground</t>
  </si>
  <si>
    <t>experience, control, reliable, pressure</t>
  </si>
  <si>
    <t>veteran, consistency, pressure</t>
  </si>
  <si>
    <t>placement, rugby_style, height</t>
  </si>
  <si>
    <t>dependable, reliable, consistency</t>
  </si>
  <si>
    <t>pursuit, instincts, fluidity</t>
  </si>
  <si>
    <t>size, route_recognition</t>
  </si>
  <si>
    <t>awareness, size, positioning</t>
  </si>
  <si>
    <t>range, physicality, blitzing</t>
  </si>
  <si>
    <t>instincts, zone_drops, sub_package</t>
  </si>
  <si>
    <t>strong_arm, toughness, quick_release, leadership</t>
  </si>
  <si>
    <t>poise, arm_talent</t>
  </si>
  <si>
    <t>route_running, fresh_legs, open_field</t>
  </si>
  <si>
    <t>speed, open_field, gap_scheme, vision</t>
  </si>
  <si>
    <t>elusiveness, goal_line</t>
  </si>
  <si>
    <t>YAC, agility, third_down</t>
  </si>
  <si>
    <t>focus, release, elusiveness</t>
  </si>
  <si>
    <t>explosiveness, alignment_flex</t>
  </si>
  <si>
    <t>focus, release, high_point</t>
  </si>
  <si>
    <t>release, speed</t>
  </si>
  <si>
    <t>vertical_threat, chess_piece, YAC</t>
  </si>
  <si>
    <t>quickness, RAC</t>
  </si>
  <si>
    <t>hands, focus, quickness</t>
  </si>
  <si>
    <t>reliable, blocking, contact_balance</t>
  </si>
  <si>
    <t>release, veteran, awareness</t>
  </si>
  <si>
    <t>release, inline, middle_field</t>
  </si>
  <si>
    <t>awareness, size</t>
  </si>
  <si>
    <t>range, reach, consistency</t>
  </si>
  <si>
    <t>gap_scheme, footwork</t>
  </si>
  <si>
    <t>run_blocking, range, communicator</t>
  </si>
  <si>
    <t>footwork, durability, strength</t>
  </si>
  <si>
    <t>reach, strength, leadership</t>
  </si>
  <si>
    <t>hand_placement, communicator, multi_position, anchor</t>
  </si>
  <si>
    <t>relentless, strength, alignment_flex</t>
  </si>
  <si>
    <t>inside_out, effort, repertoire</t>
  </si>
  <si>
    <t>leverage, burst, effort</t>
  </si>
  <si>
    <t>bend, alignment_flex</t>
  </si>
  <si>
    <t>edge_setting, power_rush</t>
  </si>
  <si>
    <t>contain, production</t>
  </si>
  <si>
    <t>gap_integrity, anchor, run_stopper</t>
  </si>
  <si>
    <t>quickness, run_fit</t>
  </si>
  <si>
    <t>motor, get_off, mass</t>
  </si>
  <si>
    <t>space_eater, conditioning</t>
  </si>
  <si>
    <t>calls, downhill, change_direction</t>
  </si>
  <si>
    <t>physicality, communication, change_direction</t>
  </si>
  <si>
    <t>pursuit, sure_tackler</t>
  </si>
  <si>
    <t>recognition, range, sure_tackler</t>
  </si>
  <si>
    <t>downhill, shed_blocks, change_direction, pursuit</t>
  </si>
  <si>
    <t>awareness, footwork, flip_hips, boundary_field</t>
  </si>
  <si>
    <t>straight_line, boundary_field, route_recognition</t>
  </si>
  <si>
    <t>route_recognition, boundary_field, veteran</t>
  </si>
  <si>
    <t>reliability, change_direction</t>
  </si>
  <si>
    <t>positioning, speed</t>
  </si>
  <si>
    <t>matchup, instincts, box_safety</t>
  </si>
  <si>
    <t>zone_awareness, consistency, range</t>
  </si>
  <si>
    <t>big_nickel, TE_coverage, calls</t>
  </si>
  <si>
    <t>communication, leadership, matchup</t>
  </si>
  <si>
    <t>leverage, force</t>
  </si>
  <si>
    <t>steady, coverage_time, rollout</t>
  </si>
  <si>
    <t>iron_man, steady, consistency</t>
  </si>
  <si>
    <t>tackling, blitzing</t>
  </si>
  <si>
    <t>sub_package, instincts</t>
  </si>
  <si>
    <t>blitzing, recognition, sideline_to_sideline</t>
  </si>
  <si>
    <t>calls, timing, tackling</t>
  </si>
  <si>
    <t>gap_shooting, field_general, hybrid</t>
  </si>
  <si>
    <t>anticipation, pocket_presence</t>
  </si>
  <si>
    <t>deep_ball, poise, raw</t>
  </si>
  <si>
    <t>mentor, timing</t>
  </si>
  <si>
    <t>open_field, power, vision, downhill</t>
  </si>
  <si>
    <t>vision, durability</t>
  </si>
  <si>
    <t>YAC, burst, speed</t>
  </si>
  <si>
    <t>breakaway_speed, open_field, elusiveness</t>
  </si>
  <si>
    <t>RAC, quickness, release, high_point</t>
  </si>
  <si>
    <t>slot_technician, speed, chess_piece, deep_speed</t>
  </si>
  <si>
    <t>release, explosiveness, alignment_flex</t>
  </si>
  <si>
    <t>RAC, explosiveness, deep_speed, versatility</t>
  </si>
  <si>
    <t>RAC, speed</t>
  </si>
  <si>
    <t>YAC, pass_pro, receiving</t>
  </si>
  <si>
    <t>leverage, receiving, H_back</t>
  </si>
  <si>
    <t>YAC, receiving, size</t>
  </si>
  <si>
    <t>anchor, versatility, communicator</t>
  </si>
  <si>
    <t>durability, strength, hand_placement</t>
  </si>
  <si>
    <t>power, pass_protection</t>
  </si>
  <si>
    <t>drive, reach, power</t>
  </si>
  <si>
    <t>anchor_presence, durability, strength</t>
  </si>
  <si>
    <t>athleticism, pass_protection, leadership</t>
  </si>
  <si>
    <t>climb, range, technique</t>
  </si>
  <si>
    <t>range, technique, mauler</t>
  </si>
  <si>
    <t>relentless, versatility, length</t>
  </si>
  <si>
    <t>effort, production, burst</t>
  </si>
  <si>
    <t>get_off, relentless, pass_rush_plan</t>
  </si>
  <si>
    <t>speed_rush, disruption, effort</t>
  </si>
  <si>
    <t>run_defense, power_rush</t>
  </si>
  <si>
    <t>length, gap_penetration, disruption</t>
  </si>
  <si>
    <t>quickness, hand_technique, anchor</t>
  </si>
  <si>
    <t>technique_flex, counter, quickness</t>
  </si>
  <si>
    <t>sure_tackler, coverage, versatility</t>
  </si>
  <si>
    <t>zone_drops, recognition</t>
  </si>
  <si>
    <t>sideline_to_sideline, calls, tackling</t>
  </si>
  <si>
    <t>coverage, athleticism, physicality</t>
  </si>
  <si>
    <t>boundary_field, recovery, disruption</t>
  </si>
  <si>
    <t>ball_skills, awareness, technique</t>
  </si>
  <si>
    <t>zone_coverage, positioning, man_coverage</t>
  </si>
  <si>
    <t>positioning, force, hybrid</t>
  </si>
  <si>
    <t>disguise, versatility, man_coverage</t>
  </si>
  <si>
    <t>angles, TE_coverage</t>
  </si>
  <si>
    <t>force, TE_coverage, leverage, downhill</t>
  </si>
  <si>
    <t>run_support, consistency</t>
  </si>
  <si>
    <t>calls, matchup, disguise</t>
  </si>
  <si>
    <t>hang_time, directional, rollout</t>
  </si>
  <si>
    <t>durability, consistency, reliable</t>
  </si>
  <si>
    <t>man_coverage, stack, downhill</t>
  </si>
  <si>
    <t>zone_coverage, veteran</t>
  </si>
  <si>
    <t>instincts, timing, versatility</t>
  </si>
  <si>
    <t>change_direction, sure_tackler, blitzing</t>
  </si>
  <si>
    <t>downhill, sure_tackler, stack</t>
  </si>
  <si>
    <t>instincts, gap_shooting, stack</t>
  </si>
  <si>
    <t>raw, accuracy, pocket_presence, poise</t>
  </si>
  <si>
    <t>cerebral, mentor</t>
  </si>
  <si>
    <t>toughness, timing, accuracy</t>
  </si>
  <si>
    <t>toughness, consistency</t>
  </si>
  <si>
    <t>balance, versatility, durability, YAC</t>
  </si>
  <si>
    <t>durability, one_cut, gap_scheme</t>
  </si>
  <si>
    <t>goal_line, receiving</t>
  </si>
  <si>
    <t>route_running, workhorse, power</t>
  </si>
  <si>
    <t>one_cut, balance, breakaway_speed</t>
  </si>
  <si>
    <t>focus, contested_catch, stem_control, chess_piece</t>
  </si>
  <si>
    <t>tracking, alignment_flex</t>
  </si>
  <si>
    <t>separation, stretch_field, focus</t>
  </si>
  <si>
    <t>route_running, RAC</t>
  </si>
  <si>
    <t>possession, speed</t>
  </si>
  <si>
    <t>separation, run_support, chess_piece</t>
  </si>
  <si>
    <t>speed, release</t>
  </si>
  <si>
    <t>contact_balance, pass_pro, leverage</t>
  </si>
  <si>
    <t>reliable, vertical, awareness</t>
  </si>
  <si>
    <t>power, versatility, separation</t>
  </si>
  <si>
    <t>inline, YAC, hands</t>
  </si>
  <si>
    <t>swing_tackle, finisher, pass_protection</t>
  </si>
  <si>
    <t>hand_placement, climb</t>
  </si>
  <si>
    <t>displacement, durability, mirror</t>
  </si>
  <si>
    <t>durability, power, anchor_presence</t>
  </si>
  <si>
    <t>footwork, versatility, leadership</t>
  </si>
  <si>
    <t>range, swing_tackle, reach</t>
  </si>
  <si>
    <t>athleticism, displacement, swing_tackle</t>
  </si>
  <si>
    <t>gap_scheme, durability, versatility</t>
  </si>
  <si>
    <t>edge_setting, motor, speed_rush</t>
  </si>
  <si>
    <t>inside_out, pass_rush_plan, flexibility</t>
  </si>
  <si>
    <t>versatility, pass_rush_plan, strength, contain</t>
  </si>
  <si>
    <t>contain, cornering, disruption</t>
  </si>
  <si>
    <t>motor, gap_penetration</t>
  </si>
  <si>
    <t>recognition, field_general, sure_tackler</t>
  </si>
  <si>
    <t>instincts, hybrid</t>
  </si>
  <si>
    <t>timing, toughness, hybrid, change_direction</t>
  </si>
  <si>
    <t>man_coverage, flip_hips, hands</t>
  </si>
  <si>
    <t>slot, size, reliability</t>
  </si>
  <si>
    <t>flip_hips, tackling, disruption</t>
  </si>
  <si>
    <t>versatility, instincts, force</t>
  </si>
  <si>
    <t>hybrid, force, disguise</t>
  </si>
  <si>
    <t>ice_in_veins, timing, consistency</t>
  </si>
  <si>
    <t>rugby_style, coverage_time, flip_field, calm</t>
  </si>
  <si>
    <t>durability, steady</t>
  </si>
  <si>
    <t>downhill, recognition, blitzing</t>
  </si>
  <si>
    <t>sub_package, tackling, zone_drops</t>
  </si>
  <si>
    <t>recognition, sure_tackler</t>
  </si>
  <si>
    <t>Texas State</t>
  </si>
  <si>
    <t>Harding</t>
  </si>
  <si>
    <t>Carson-Newman</t>
  </si>
  <si>
    <t>Central Oklahoma</t>
  </si>
  <si>
    <t>Northern Iowa</t>
  </si>
  <si>
    <t>Miami (FL)</t>
  </si>
  <si>
    <t>West Florida</t>
  </si>
  <si>
    <t>Valdosta State</t>
  </si>
  <si>
    <t>Ferris State</t>
  </si>
  <si>
    <t>Colorado School of Mines</t>
  </si>
  <si>
    <t>Northwest Missouri State</t>
  </si>
  <si>
    <t>Grand Valley State</t>
  </si>
  <si>
    <t>PICK_2026_R1_MIL</t>
  </si>
  <si>
    <t>PICK_2026_R1_MEM</t>
  </si>
  <si>
    <t>PICK_2026_R1_SPP</t>
  </si>
  <si>
    <t>PICK_2026_R1_ORL</t>
  </si>
  <si>
    <t>PICK_2026_R1_AUS</t>
  </si>
  <si>
    <t>PICK_2026_R1_JAX</t>
  </si>
  <si>
    <t>PICK_2026_R1_BUF</t>
  </si>
  <si>
    <t>PICK_2026_R1_CLE</t>
  </si>
  <si>
    <t>PICK_2026_R1_IND</t>
  </si>
  <si>
    <t>PICK_2026_R1_DET</t>
  </si>
  <si>
    <t>PICK_2026_R1_BIR</t>
  </si>
  <si>
    <t>PICK_2026_R1_NAS</t>
  </si>
  <si>
    <t>PICK_2026_R1_CHI</t>
  </si>
  <si>
    <t>PICK_2026_R1_CHA</t>
  </si>
  <si>
    <t>PICK_2026_R1_BAL</t>
  </si>
  <si>
    <t>PICK_2026_R1_HOU</t>
  </si>
  <si>
    <t>PICK_2026_R1_PIT</t>
  </si>
  <si>
    <t>PICK_2026_R1_PHX</t>
  </si>
  <si>
    <t>PICK_2026_R1_MIA</t>
  </si>
  <si>
    <t>PICK_2026_R1_SEA</t>
  </si>
  <si>
    <t>PICK_2026_R1_LAS</t>
  </si>
  <si>
    <t>PICK_2026_R1_DAL</t>
  </si>
  <si>
    <t>PICK_2026_R1_DEN</t>
  </si>
  <si>
    <t>PICK_2026_R1_ATL</t>
  </si>
  <si>
    <t>PICK_2026_R1_LVA</t>
  </si>
  <si>
    <t>PICK_2026_R1_STL</t>
  </si>
  <si>
    <t>PICK_2026_R1_WAS</t>
  </si>
  <si>
    <t>PICK_2026_R1_SDA</t>
  </si>
  <si>
    <t>PICK_2026_R1_PHI</t>
  </si>
  <si>
    <t>PICK_2026_R1_BOS</t>
  </si>
  <si>
    <t>PICK_2026_R2_MIL</t>
  </si>
  <si>
    <t>PICK_2026_R2_MEM</t>
  </si>
  <si>
    <t>PICK_2026_R2_SPP</t>
  </si>
  <si>
    <t>PICK_2026_R2_ORL</t>
  </si>
  <si>
    <t>PICK_2026_R2_AUS</t>
  </si>
  <si>
    <t>PICK_2026_R2_JAX</t>
  </si>
  <si>
    <t>PICK_2026_R2_BUF</t>
  </si>
  <si>
    <t>PICK_2026_R2_CLE</t>
  </si>
  <si>
    <t>PICK_2026_R2_IND</t>
  </si>
  <si>
    <t>PICK_2026_R2_DET</t>
  </si>
  <si>
    <t>PICK_2026_R2_BIR</t>
  </si>
  <si>
    <t>PICK_2026_R2_NAS</t>
  </si>
  <si>
    <t>PICK_2026_R2_CHI</t>
  </si>
  <si>
    <t>PICK_2026_R2_CHA</t>
  </si>
  <si>
    <t>PICK_2026_R2_BAL</t>
  </si>
  <si>
    <t>PICK_2026_R2_HOU</t>
  </si>
  <si>
    <t>PICK_2026_R2_PIT</t>
  </si>
  <si>
    <t>PICK_2026_R2_PHX</t>
  </si>
  <si>
    <t>PICK_2026_R2_MIA</t>
  </si>
  <si>
    <t>PICK_2026_R2_SEA</t>
  </si>
  <si>
    <t>PICK_2026_R2_LAS</t>
  </si>
  <si>
    <t>PICK_2026_R2_DAL</t>
  </si>
  <si>
    <t>PICK_2026_R2_NOH</t>
  </si>
  <si>
    <t>PICK_2026_R2_DEN</t>
  </si>
  <si>
    <t>PICK_2026_R2_ATL</t>
  </si>
  <si>
    <t>PICK_2026_R2_LVA</t>
  </si>
  <si>
    <t>PICK_2026_R2_NYG</t>
  </si>
  <si>
    <t>PICK_2026_R2_STL</t>
  </si>
  <si>
    <t>PICK_2026_R2_WAS</t>
  </si>
  <si>
    <t>PICK_2026_R2_SDA</t>
  </si>
  <si>
    <t>PICK_2026_R2_PHI</t>
  </si>
  <si>
    <t>PICK_2026_R2_BOS</t>
  </si>
  <si>
    <t>PICK_2026_R3_MIL</t>
  </si>
  <si>
    <t>PICK_2026_R3_MEM</t>
  </si>
  <si>
    <t>PICK_2026_R3_SPP</t>
  </si>
  <si>
    <t>PICK_2026_R3_ORL</t>
  </si>
  <si>
    <t>PICK_2026_R3_AUS</t>
  </si>
  <si>
    <t>PICK_2026_R3_JAX</t>
  </si>
  <si>
    <t>PICK_2026_R3_BUF</t>
  </si>
  <si>
    <t>PICK_2026_R3_CLE</t>
  </si>
  <si>
    <t>PICK_2026_R3_IND</t>
  </si>
  <si>
    <t>PICK_2026_R3_DET</t>
  </si>
  <si>
    <t>PICK_2026_R3_BIR</t>
  </si>
  <si>
    <t>PICK_2026_R3_NAS</t>
  </si>
  <si>
    <t>PICK_2026_R3_CHI</t>
  </si>
  <si>
    <t>PICK_2026_R3_CHA</t>
  </si>
  <si>
    <t>PICK_2026_R3_BAL</t>
  </si>
  <si>
    <t>PICK_2026_R3_HOU</t>
  </si>
  <si>
    <t>PICK_2026_R3_PIT</t>
  </si>
  <si>
    <t>PICK_2026_R3_PHX</t>
  </si>
  <si>
    <t>PICK_2026_R3_MIA</t>
  </si>
  <si>
    <t>PICK_2026_R3_SEA</t>
  </si>
  <si>
    <t>PICK_2026_R3_LAS</t>
  </si>
  <si>
    <t>PICK_2026_R3_DAL</t>
  </si>
  <si>
    <t>PICK_2026_R3_NOH</t>
  </si>
  <si>
    <t>PICK_2026_R3_DEN</t>
  </si>
  <si>
    <t>PICK_2026_R3_ATL</t>
  </si>
  <si>
    <t>PICK_2026_R3_LVA</t>
  </si>
  <si>
    <t>PICK_2026_R3_NYG</t>
  </si>
  <si>
    <t>PICK_2026_R3_STL</t>
  </si>
  <si>
    <t>PICK_2026_R3_WAS</t>
  </si>
  <si>
    <t>PICK_2026_R3_SDA</t>
  </si>
  <si>
    <t>PICK_2026_R3_PHI</t>
  </si>
  <si>
    <t>PICK_2026_R3_BOS</t>
  </si>
  <si>
    <t>PICK_2026_R4_MIL</t>
  </si>
  <si>
    <t>PICK_2026_R4_MEM</t>
  </si>
  <si>
    <t>PICK_2026_R4_SPP</t>
  </si>
  <si>
    <t>PICK_2026_R4_ORL</t>
  </si>
  <si>
    <t>PICK_2026_R4_AUS</t>
  </si>
  <si>
    <t>PICK_2026_R4_JAX</t>
  </si>
  <si>
    <t>PICK_2026_R4_BUF</t>
  </si>
  <si>
    <t>PICK_2026_R4_CLE</t>
  </si>
  <si>
    <t>PICK_2026_R4_IND</t>
  </si>
  <si>
    <t>PICK_2026_R4_DET</t>
  </si>
  <si>
    <t>PICK_2026_R4_BIR</t>
  </si>
  <si>
    <t>PICK_2026_R4_NAS</t>
  </si>
  <si>
    <t>PICK_2026_R4_CHI</t>
  </si>
  <si>
    <t>PICK_2026_R4_CHA</t>
  </si>
  <si>
    <t>PICK_2026_R4_BAL</t>
  </si>
  <si>
    <t>PICK_2026_R4_HOU</t>
  </si>
  <si>
    <t>PICK_2026_R4_PIT</t>
  </si>
  <si>
    <t>PICK_2026_R4_PHX</t>
  </si>
  <si>
    <t>PICK_2026_R4_MIA</t>
  </si>
  <si>
    <t>PICK_2026_R4_SEA</t>
  </si>
  <si>
    <t>PICK_2026_R4_LAS</t>
  </si>
  <si>
    <t>PICK_2026_R4_DAL</t>
  </si>
  <si>
    <t>PICK_2026_R4_NOH</t>
  </si>
  <si>
    <t>PICK_2026_R4_DEN</t>
  </si>
  <si>
    <t>PICK_2026_R4_ATL</t>
  </si>
  <si>
    <t>PICK_2026_R4_LVA</t>
  </si>
  <si>
    <t>PICK_2026_R4_NYG</t>
  </si>
  <si>
    <t>PICK_2026_R4_STL</t>
  </si>
  <si>
    <t>PICK_2026_R4_WAS</t>
  </si>
  <si>
    <t>PICK_2026_R4_SDA</t>
  </si>
  <si>
    <t>PICK_2026_R4_PHI</t>
  </si>
  <si>
    <t>PICK_2026_R4_BOS</t>
  </si>
  <si>
    <t>PICK_2026_R5_MIL</t>
  </si>
  <si>
    <t>PICK_2026_R5_MEM</t>
  </si>
  <si>
    <t>PICK_2026_R5_SPP</t>
  </si>
  <si>
    <t>PICK_2026_R5_ORL</t>
  </si>
  <si>
    <t>PICK_2026_R5_AUS</t>
  </si>
  <si>
    <t>PICK_2026_R5_JAX</t>
  </si>
  <si>
    <t>PICK_2026_R5_BUF</t>
  </si>
  <si>
    <t>PICK_2026_R5_CLE</t>
  </si>
  <si>
    <t>PICK_2026_R5_IND</t>
  </si>
  <si>
    <t>PICK_2026_R5_DET</t>
  </si>
  <si>
    <t>PICK_2026_R5_BIR</t>
  </si>
  <si>
    <t>PICK_2026_R5_NAS</t>
  </si>
  <si>
    <t>PICK_2026_R5_CHI</t>
  </si>
  <si>
    <t>PICK_2026_R5_CHA</t>
  </si>
  <si>
    <t>PICK_2026_R5_BAL</t>
  </si>
  <si>
    <t>PICK_2026_R5_HOU</t>
  </si>
  <si>
    <t>PICK_2026_R5_PIT</t>
  </si>
  <si>
    <t>PICK_2026_R5_PHX</t>
  </si>
  <si>
    <t>PICK_2026_R5_MIA</t>
  </si>
  <si>
    <t>PICK_2026_R5_SEA</t>
  </si>
  <si>
    <t>PICK_2026_R5_LAS</t>
  </si>
  <si>
    <t>PICK_2026_R5_DAL</t>
  </si>
  <si>
    <t>PICK_2026_R5_NOH</t>
  </si>
  <si>
    <t>PICK_2026_R5_DEN</t>
  </si>
  <si>
    <t>PICK_2026_R5_ATL</t>
  </si>
  <si>
    <t>PICK_2026_R5_LVA</t>
  </si>
  <si>
    <t>PICK_2026_R5_NYG</t>
  </si>
  <si>
    <t>PICK_2026_R5_STL</t>
  </si>
  <si>
    <t>PICK_2026_R5_WAS</t>
  </si>
  <si>
    <t>PICK_2026_R5_SDA</t>
  </si>
  <si>
    <t>PICK_2026_R5_PHI</t>
  </si>
  <si>
    <t>PICK_2026_R5_BOS</t>
  </si>
  <si>
    <t>PICK_2026_R6_MIL</t>
  </si>
  <si>
    <t>PICK_2026_R6_MEM</t>
  </si>
  <si>
    <t>PICK_2026_R6_SPP</t>
  </si>
  <si>
    <t>PICK_2026_R6_ORL</t>
  </si>
  <si>
    <t>PICK_2026_R6_AUS</t>
  </si>
  <si>
    <t>PICK_2026_R6_JAX</t>
  </si>
  <si>
    <t>PICK_2026_R6_BUF</t>
  </si>
  <si>
    <t>PICK_2026_R6_CLE</t>
  </si>
  <si>
    <t>PICK_2026_R6_IND</t>
  </si>
  <si>
    <t>PICK_2026_R6_DET</t>
  </si>
  <si>
    <t>PICK_2026_R6_BIR</t>
  </si>
  <si>
    <t>PICK_2026_R6_NAS</t>
  </si>
  <si>
    <t>PICK_2026_R6_CHI</t>
  </si>
  <si>
    <t>PICK_2026_R6_CHA</t>
  </si>
  <si>
    <t>PICK_2026_R6_BAL</t>
  </si>
  <si>
    <t>PICK_2026_R6_HOU</t>
  </si>
  <si>
    <t>PICK_2026_R6_PIT</t>
  </si>
  <si>
    <t>PICK_2026_R6_PHX</t>
  </si>
  <si>
    <t>PICK_2026_R6_MIA</t>
  </si>
  <si>
    <t>PICK_2026_R6_SEA</t>
  </si>
  <si>
    <t>PICK_2026_R6_LAS</t>
  </si>
  <si>
    <t>PICK_2026_R6_DAL</t>
  </si>
  <si>
    <t>PICK_2026_R6_NOH</t>
  </si>
  <si>
    <t>PICK_2026_R6_DEN</t>
  </si>
  <si>
    <t>PICK_2026_R6_ATL</t>
  </si>
  <si>
    <t>PICK_2026_R6_LVA</t>
  </si>
  <si>
    <t>PICK_2026_R6_NYG</t>
  </si>
  <si>
    <t>PICK_2026_R6_STL</t>
  </si>
  <si>
    <t>PICK_2026_R6_WAS</t>
  </si>
  <si>
    <t>PICK_2026_R6_SDA</t>
  </si>
  <si>
    <t>PICK_2026_R6_PHI</t>
  </si>
  <si>
    <t>PICK_2026_R6_BOS</t>
  </si>
  <si>
    <t>PICK_2026_R7_MIL</t>
  </si>
  <si>
    <t>PICK_2026_R7_MEM</t>
  </si>
  <si>
    <t>PICK_2026_R7_SPP</t>
  </si>
  <si>
    <t>PICK_2026_R7_ORL</t>
  </si>
  <si>
    <t>PICK_2026_R7_AUS</t>
  </si>
  <si>
    <t>PICK_2026_R7_JAX</t>
  </si>
  <si>
    <t>PICK_2026_R7_BUF</t>
  </si>
  <si>
    <t>PICK_2026_R7_CLE</t>
  </si>
  <si>
    <t>PICK_2026_R7_IND</t>
  </si>
  <si>
    <t>PICK_2026_R7_DET</t>
  </si>
  <si>
    <t>PICK_2026_R7_BIR</t>
  </si>
  <si>
    <t>PICK_2026_R7_NAS</t>
  </si>
  <si>
    <t>PICK_2026_R7_CHI</t>
  </si>
  <si>
    <t>PICK_2026_R7_CHA</t>
  </si>
  <si>
    <t>PICK_2026_R7_BAL</t>
  </si>
  <si>
    <t>PICK_2026_R7_HOU</t>
  </si>
  <si>
    <t>PICK_2026_R7_PIT</t>
  </si>
  <si>
    <t>PICK_2026_R7_PHX</t>
  </si>
  <si>
    <t>PICK_2026_R7_MIA</t>
  </si>
  <si>
    <t>PICK_2026_R7_SEA</t>
  </si>
  <si>
    <t>PICK_2026_R7_LAS</t>
  </si>
  <si>
    <t>PICK_2026_R7_DAL</t>
  </si>
  <si>
    <t>PICK_2026_R7_NOH</t>
  </si>
  <si>
    <t>PICK_2026_R7_DEN</t>
  </si>
  <si>
    <t>PICK_2026_R7_ATL</t>
  </si>
  <si>
    <t>PICK_2026_R7_LVA</t>
  </si>
  <si>
    <t>PICK_2026_R7_NYG</t>
  </si>
  <si>
    <t>PICK_2026_R7_STL</t>
  </si>
  <si>
    <t>PICK_2026_R7_WAS</t>
  </si>
  <si>
    <t>PICK_2026_R7_SDA</t>
  </si>
  <si>
    <t>PICK_2026_R7_PHI</t>
  </si>
  <si>
    <t>PICK_2026_R7_BOS</t>
  </si>
  <si>
    <t>Smashmouth / Ball Control</t>
  </si>
  <si>
    <t>Quick Game / Timing Offense</t>
  </si>
  <si>
    <t>Fake-Ready / Opportunistic</t>
  </si>
  <si>
    <t>Motion-Based / Misdirection</t>
  </si>
  <si>
    <t>Man-Heavy / Press-Man</t>
  </si>
  <si>
    <t>4–2–5 Nickel Base</t>
  </si>
  <si>
    <t>Ismael High</t>
  </si>
  <si>
    <t>Gino Langston</t>
  </si>
  <si>
    <t>Colt Davies</t>
  </si>
  <si>
    <t>Brant Caron</t>
  </si>
  <si>
    <t>Warren Chamberlain</t>
  </si>
  <si>
    <t>Tristan Logan</t>
  </si>
  <si>
    <t>Jordi Hoffmann</t>
  </si>
  <si>
    <t>Austen Tharp</t>
  </si>
  <si>
    <t>Latrell Gee</t>
  </si>
  <si>
    <t>Stefan Maciel</t>
  </si>
  <si>
    <t>Tavon Custer</t>
  </si>
  <si>
    <t>Jarett Hooks</t>
  </si>
  <si>
    <t>Blair Villegas</t>
  </si>
  <si>
    <t>Daylon Stevens</t>
  </si>
  <si>
    <t>Reagan Gaddis</t>
  </si>
  <si>
    <t>Zachary Zheng</t>
  </si>
  <si>
    <t>Elliott Seifert</t>
  </si>
  <si>
    <t>Avery Terrell</t>
  </si>
  <si>
    <t>Gary Wicker</t>
  </si>
  <si>
    <t>Tyquan Sisson</t>
  </si>
  <si>
    <t>Bridger Frantz</t>
  </si>
  <si>
    <t>Gabriel Withers</t>
  </si>
  <si>
    <t>Neo Ragsdale</t>
  </si>
  <si>
    <t>Jacques Woodall</t>
  </si>
  <si>
    <t>Pablo McGill</t>
  </si>
  <si>
    <t>Samuel Clark</t>
  </si>
  <si>
    <t>Keanu Schilling</t>
  </si>
  <si>
    <t>Drake Sigler</t>
  </si>
  <si>
    <t>Trey Meyers</t>
  </si>
  <si>
    <t>Trenten Cady</t>
  </si>
  <si>
    <t>Avery Sosa</t>
  </si>
  <si>
    <t>Talon Salcedo</t>
  </si>
  <si>
    <t>Jarred Olivarez</t>
  </si>
  <si>
    <t>Hezekiah Dunning</t>
  </si>
  <si>
    <t>Justus Marrero</t>
  </si>
  <si>
    <t>Johnny Royal</t>
  </si>
  <si>
    <t>William Casillas</t>
  </si>
  <si>
    <t>Leonel Britt</t>
  </si>
  <si>
    <t>Zion Nixon</t>
  </si>
  <si>
    <t>Hernan Royer</t>
  </si>
  <si>
    <t>Triston Jolley</t>
  </si>
  <si>
    <t>Jaiden Ferris</t>
  </si>
  <si>
    <t>Andres Cordero</t>
  </si>
  <si>
    <t>Lamar Garvin</t>
  </si>
  <si>
    <t>Roberto Binder</t>
  </si>
  <si>
    <t>Ari Wallis</t>
  </si>
  <si>
    <t>Josef Dickson</t>
  </si>
  <si>
    <t>Patrick Lackey</t>
  </si>
  <si>
    <t>Donnell Sturgeon</t>
  </si>
  <si>
    <t>Kegan Nagle</t>
  </si>
  <si>
    <t>Ashton Stanton</t>
  </si>
  <si>
    <t>Dillon Mehta</t>
  </si>
  <si>
    <t>Zachery Bales</t>
  </si>
  <si>
    <t>Kavon Fontaine</t>
  </si>
  <si>
    <t>Wesley Sweeney</t>
  </si>
  <si>
    <t>Nick Cotton</t>
  </si>
  <si>
    <t>Christopher Mosher</t>
  </si>
  <si>
    <t>Javon Geer</t>
  </si>
  <si>
    <t>Cristian Kimble</t>
  </si>
  <si>
    <t>Blaise Harrell</t>
  </si>
  <si>
    <t>Austen Swenson</t>
  </si>
  <si>
    <t>Malik Marshall</t>
  </si>
  <si>
    <t>Blaze Schaefer</t>
  </si>
  <si>
    <t>Benny Farr</t>
  </si>
  <si>
    <t>Long Sabo</t>
  </si>
  <si>
    <t>Noel Whittington</t>
  </si>
  <si>
    <t>Jamari Zepeda</t>
  </si>
  <si>
    <t>Kenny Batchelor</t>
  </si>
  <si>
    <t>Samson Wheatley</t>
  </si>
  <si>
    <t>Raphael Schulz</t>
  </si>
  <si>
    <t>Evan Swanson</t>
  </si>
  <si>
    <t>Zane Lilly</t>
  </si>
  <si>
    <t>Zachary Hennessy</t>
  </si>
  <si>
    <t>Terrell Lacy</t>
  </si>
  <si>
    <t>Bryce Ralston</t>
  </si>
  <si>
    <t>Zachariah Dubois</t>
  </si>
  <si>
    <t>Jameson Sutter</t>
  </si>
  <si>
    <t>Jarod Washington</t>
  </si>
  <si>
    <t>Gannon Santos</t>
  </si>
  <si>
    <t>Liam Toney</t>
  </si>
  <si>
    <t>Denver Keyes</t>
  </si>
  <si>
    <t>Estevan Beaver</t>
  </si>
  <si>
    <t>Tyrell Casey</t>
  </si>
  <si>
    <t>Lyle Lin</t>
  </si>
  <si>
    <t>Porter Mesa</t>
  </si>
  <si>
    <t>Hector Ricks</t>
  </si>
  <si>
    <t>Elian Farrar</t>
  </si>
  <si>
    <t>Travon Brink</t>
  </si>
  <si>
    <t>Philip Cone</t>
  </si>
  <si>
    <t>Marques Keeney</t>
  </si>
  <si>
    <t>Dameon Pappas</t>
  </si>
  <si>
    <t>Claudio Emery</t>
  </si>
  <si>
    <t>Marcello Stephen</t>
  </si>
  <si>
    <t>Leonel Angulo</t>
  </si>
  <si>
    <t>Yosef Adams</t>
  </si>
  <si>
    <t>Trevion Kearney</t>
  </si>
  <si>
    <t>Louie Glynn</t>
  </si>
  <si>
    <t>Kurtis East</t>
  </si>
  <si>
    <t>Titus Traylor</t>
  </si>
  <si>
    <t>Zavier Cheung</t>
  </si>
  <si>
    <t>Morgan Jay</t>
  </si>
  <si>
    <t>Shane Romano</t>
  </si>
  <si>
    <t>Ulysses McClintock</t>
  </si>
  <si>
    <t>Hernan Crump</t>
  </si>
  <si>
    <t>Derek Breaux</t>
  </si>
  <si>
    <t>Kenny Baugh</t>
  </si>
  <si>
    <t>Carson Padron</t>
  </si>
  <si>
    <t>Edward Calabrese</t>
  </si>
  <si>
    <t>Arron Edmonds</t>
  </si>
  <si>
    <t>Rex Farley</t>
  </si>
  <si>
    <t>Sergio McCoy</t>
  </si>
  <si>
    <t>Tyrese Bradshaw</t>
  </si>
  <si>
    <t>Jarod Ramos</t>
  </si>
  <si>
    <t>Justus Dooley</t>
  </si>
  <si>
    <t>Kareem Hoke</t>
  </si>
  <si>
    <t>Jovanni Paquette</t>
  </si>
  <si>
    <t>Kristian Julian</t>
  </si>
  <si>
    <t>Misael Bartholomew</t>
  </si>
  <si>
    <t>Declan Reimer</t>
  </si>
  <si>
    <t>Warren Reese</t>
  </si>
  <si>
    <t>Darrion Hunt</t>
  </si>
  <si>
    <t>Gustavo Lawson</t>
  </si>
  <si>
    <t>Rico Burley</t>
  </si>
  <si>
    <t>Sam Olivares</t>
  </si>
  <si>
    <t>Lamar Ashcraft</t>
  </si>
  <si>
    <t>Emiliano Olson</t>
  </si>
  <si>
    <t>Lorenzo Hauser</t>
  </si>
  <si>
    <t>James Aaron</t>
  </si>
  <si>
    <t>Trystan Trimble</t>
  </si>
  <si>
    <t>Blaine Lehman</t>
  </si>
  <si>
    <t>Dayton Swisher</t>
  </si>
  <si>
    <t>Johnathan Ayala</t>
  </si>
  <si>
    <t>Abner Riggins</t>
  </si>
  <si>
    <t>Jaylin Bullard</t>
  </si>
  <si>
    <t>Colby Laney</t>
  </si>
  <si>
    <t>Kellen Mayes</t>
  </si>
  <si>
    <t>Gordon Barnhill</t>
  </si>
  <si>
    <t>Terrence Stanton</t>
  </si>
  <si>
    <t>Marquise Padilla</t>
  </si>
  <si>
    <t>Isaias Adkins</t>
  </si>
  <si>
    <t>Stefan Royer</t>
  </si>
  <si>
    <t>Emiliano Desantis</t>
  </si>
  <si>
    <t>Geovanni McHugh</t>
  </si>
  <si>
    <t>Colby Muse</t>
  </si>
  <si>
    <t>Kelton Rau</t>
  </si>
  <si>
    <t>Fletcher Jewell</t>
  </si>
  <si>
    <t>Jordon Blue</t>
  </si>
  <si>
    <t>Noel Gooch</t>
  </si>
  <si>
    <t>Deshaun Franco</t>
  </si>
  <si>
    <t>Bruno Andrews</t>
  </si>
  <si>
    <t>Emiliano Ledbetter</t>
  </si>
  <si>
    <t>Tyrone Blum</t>
  </si>
  <si>
    <t>Kenneth Witherspoon</t>
  </si>
  <si>
    <t>Garret Bagley</t>
  </si>
  <si>
    <t>Zavier Sells</t>
  </si>
  <si>
    <t>Hakeem Sisson</t>
  </si>
  <si>
    <t>Braxton Clinton</t>
  </si>
  <si>
    <t>London Adair</t>
  </si>
  <si>
    <t>Menachem Key</t>
  </si>
  <si>
    <t>Xzavier Westmoreland</t>
  </si>
  <si>
    <t>Izaiah Pereira</t>
  </si>
  <si>
    <t>London Romano</t>
  </si>
  <si>
    <t>Judah Daniel</t>
  </si>
  <si>
    <t>Ibrahim Harry</t>
  </si>
  <si>
    <t>Clayton Zhu</t>
  </si>
  <si>
    <t>Tyreke Andre</t>
  </si>
  <si>
    <t>Omari Gillespie</t>
  </si>
  <si>
    <t>Ronald Hargis</t>
  </si>
  <si>
    <t>Semaj Spears</t>
  </si>
  <si>
    <t>Gregory Jeffers</t>
  </si>
  <si>
    <t>Max Schott</t>
  </si>
  <si>
    <t>Kelly Parent</t>
  </si>
  <si>
    <t>Bernardo Nall</t>
  </si>
  <si>
    <t>Sebastien Farley</t>
  </si>
  <si>
    <t>Keshawn Roman</t>
  </si>
  <si>
    <t>Varun Dorn</t>
  </si>
  <si>
    <t>Dylan Calhoun</t>
  </si>
  <si>
    <t>Ervin Naylor</t>
  </si>
  <si>
    <t>Talon Mueller</t>
  </si>
  <si>
    <t>Andrew Grover</t>
  </si>
  <si>
    <t>Colt Flynn</t>
  </si>
  <si>
    <t>Markus Dayton</t>
  </si>
  <si>
    <t>Markel McClelland</t>
  </si>
  <si>
    <t>Rasheed Buford</t>
  </si>
  <si>
    <t>Sterling Richter</t>
  </si>
  <si>
    <t>Perry Cheek</t>
  </si>
  <si>
    <t>Bronson Gannon</t>
  </si>
  <si>
    <t>Dandre Mackay</t>
  </si>
  <si>
    <t>Brandt Fortune</t>
  </si>
  <si>
    <t>Jakobe Sanborn</t>
  </si>
  <si>
    <t>Johnathon Taggart</t>
  </si>
  <si>
    <t>Draven Honeycutt</t>
  </si>
  <si>
    <t>Issac Hudson</t>
  </si>
  <si>
    <t>Martin Beavers</t>
  </si>
  <si>
    <t>Yehuda Calhoun</t>
  </si>
  <si>
    <t>Demarco Lindley</t>
  </si>
  <si>
    <t>Dontae Kenney</t>
  </si>
  <si>
    <t>Porter Hayden</t>
  </si>
  <si>
    <t>Mustafa Ivy</t>
  </si>
  <si>
    <t>Grady Hair</t>
  </si>
  <si>
    <t>Stone Vail</t>
  </si>
  <si>
    <t>Bilal Ibrahim</t>
  </si>
  <si>
    <t>Harvey Yost</t>
  </si>
  <si>
    <t>Glenn Ledbetter</t>
  </si>
  <si>
    <t>Alexander Clement</t>
  </si>
  <si>
    <t>Marquis Bartlett</t>
  </si>
  <si>
    <t>Devlin Landis</t>
  </si>
  <si>
    <t>Alexander Shifflett</t>
  </si>
  <si>
    <t>Jefferson Mahon</t>
  </si>
  <si>
    <t>Cristofer Rosales</t>
  </si>
  <si>
    <t>Avery Duncan</t>
  </si>
  <si>
    <t>Leonard Latham</t>
  </si>
  <si>
    <t>Tyreek Rincon</t>
  </si>
  <si>
    <t>Harley Mosher</t>
  </si>
  <si>
    <t>Hayden Dean</t>
  </si>
  <si>
    <t>Robert Guerrero</t>
  </si>
  <si>
    <t>Sheldon Douglass</t>
  </si>
  <si>
    <t>Kalen Walker</t>
  </si>
  <si>
    <t>Isaias Laird</t>
  </si>
  <si>
    <t>Dontae Crespo</t>
  </si>
  <si>
    <t>Derick Gregg</t>
  </si>
  <si>
    <t>Omari Kramer</t>
  </si>
  <si>
    <t>Dionte Peterman</t>
  </si>
  <si>
    <t>Julio Connell</t>
  </si>
  <si>
    <t>Tristan Nunn</t>
  </si>
  <si>
    <t>Marquis Parry</t>
  </si>
  <si>
    <t>Micah Hutson</t>
  </si>
  <si>
    <t>Marvin Crooks</t>
  </si>
  <si>
    <t>Jake Hooks</t>
  </si>
  <si>
    <t>Jalil Tellez</t>
  </si>
  <si>
    <t>Micah Fournier</t>
  </si>
  <si>
    <t>Sahil Perdue</t>
  </si>
  <si>
    <t>Blayne Shumate</t>
  </si>
  <si>
    <t>Spencer Keating</t>
  </si>
  <si>
    <t>Kendrick Cotter</t>
  </si>
  <si>
    <t>Immanuel Wagner</t>
  </si>
  <si>
    <t>Stetson Malley</t>
  </si>
  <si>
    <t>Rene Dale</t>
  </si>
  <si>
    <t>Kale Willey</t>
  </si>
  <si>
    <t>Sydney Duenas</t>
  </si>
  <si>
    <t>Hans Reaves</t>
  </si>
  <si>
    <t>Edward Snead</t>
  </si>
  <si>
    <t>Madison Adkins</t>
  </si>
  <si>
    <t>Ibrahim Frank</t>
  </si>
  <si>
    <t>Colin Mulligan</t>
  </si>
  <si>
    <t>Wilson Hoffman</t>
  </si>
  <si>
    <t>Nelson Myers</t>
  </si>
  <si>
    <t>Jeff Houser</t>
  </si>
  <si>
    <t>Miles Lind</t>
  </si>
  <si>
    <t>Jarred Cao</t>
  </si>
  <si>
    <t>Ishmael Jensen</t>
  </si>
  <si>
    <t>Dominick Mcwhorter</t>
  </si>
  <si>
    <t>Titus Mullin</t>
  </si>
  <si>
    <t>Austyn Gunter</t>
  </si>
  <si>
    <t>Jonas Strand</t>
  </si>
  <si>
    <t>Mitchell Hilton</t>
  </si>
  <si>
    <t>Julio Choate</t>
  </si>
  <si>
    <t>Campbell Baltazar</t>
  </si>
  <si>
    <t>Ronnie Lehmann</t>
  </si>
  <si>
    <t>Alvaro Forster</t>
  </si>
  <si>
    <t>Kolton Locklear</t>
  </si>
  <si>
    <t>Kobe Kasper</t>
  </si>
  <si>
    <t>Jarett Stanley</t>
  </si>
  <si>
    <t>Demarco Shipley</t>
  </si>
  <si>
    <t>Hugo Estep</t>
  </si>
  <si>
    <t>Demond Biggs</t>
  </si>
  <si>
    <t>Frank Ferrer</t>
  </si>
  <si>
    <t>Dezmond Tong</t>
  </si>
  <si>
    <t>Gunner Timm</t>
  </si>
  <si>
    <t>Jaron Breaux</t>
  </si>
  <si>
    <t>Jaren Tinsley</t>
  </si>
  <si>
    <t>Jacoby Schilling</t>
  </si>
  <si>
    <t>Colin Dailey</t>
  </si>
  <si>
    <t>Solomon Craven</t>
  </si>
  <si>
    <t>Earl Crider</t>
  </si>
  <si>
    <t>Fredrick Roush</t>
  </si>
  <si>
    <t>Gilberto Braden</t>
  </si>
  <si>
    <t>Benjamin Faber</t>
  </si>
  <si>
    <t>Kian Griffiths</t>
  </si>
  <si>
    <t>Demonte Post</t>
  </si>
  <si>
    <t>Jameson Marvin</t>
  </si>
  <si>
    <t>Dominick Dugger</t>
  </si>
  <si>
    <t>Jamar Bragg</t>
  </si>
  <si>
    <t>Mackenzie Chaney</t>
  </si>
  <si>
    <t>Ervin Hulsey</t>
  </si>
  <si>
    <t>Konner Hook</t>
  </si>
  <si>
    <t>Rylan Herman</t>
  </si>
  <si>
    <t>Barry Martz</t>
  </si>
  <si>
    <t>Cecil Eaton</t>
  </si>
  <si>
    <t>Tobias Juarez</t>
  </si>
  <si>
    <t>Jordy Joyce</t>
  </si>
  <si>
    <t>Angelo Perry</t>
  </si>
  <si>
    <t>Latrell Petersen</t>
  </si>
  <si>
    <t>Mikel Shell</t>
  </si>
  <si>
    <t>Cayden Mark</t>
  </si>
  <si>
    <t>Dayne Dugger</t>
  </si>
  <si>
    <t>Tyrell Lemay</t>
  </si>
  <si>
    <t>Zain Tice</t>
  </si>
  <si>
    <t>Alton Fair</t>
  </si>
  <si>
    <t>Misael Hay</t>
  </si>
  <si>
    <t>Zavier Albertson</t>
  </si>
  <si>
    <t>Kalob Priest</t>
  </si>
  <si>
    <t>Max Cope</t>
  </si>
  <si>
    <t>Bernard Egan</t>
  </si>
  <si>
    <t>Kevon Arnold</t>
  </si>
  <si>
    <t>Dwight Zhu</t>
  </si>
  <si>
    <t>Byron Caron</t>
  </si>
  <si>
    <t>Cale Root</t>
  </si>
  <si>
    <t>Nasir Donnelly</t>
  </si>
  <si>
    <t>Marion Eldridge</t>
  </si>
  <si>
    <t>Roger Cyr</t>
  </si>
  <si>
    <t>Jerry Ashford</t>
  </si>
  <si>
    <t>Brayden Jett</t>
  </si>
  <si>
    <t>Nicklaus Hager</t>
  </si>
  <si>
    <t>Gustavo Jamison</t>
  </si>
  <si>
    <t>Vincenzo Cloud</t>
  </si>
  <si>
    <t>Rylee Shank</t>
  </si>
  <si>
    <t>Juan Botello</t>
  </si>
  <si>
    <t>Brandan Luce</t>
  </si>
  <si>
    <t>Quentin Legg</t>
  </si>
  <si>
    <t>Cecil Cockrell</t>
  </si>
  <si>
    <t>Abraham Fritz</t>
  </si>
  <si>
    <t>Cameron Huang</t>
  </si>
  <si>
    <t>Ryder Vang</t>
  </si>
  <si>
    <t>Caiden Low</t>
  </si>
  <si>
    <t>Alessandro Grice</t>
  </si>
  <si>
    <t>Wyatt Pugh</t>
  </si>
  <si>
    <t>Hernan Couture</t>
  </si>
  <si>
    <t>Grayson Reyes</t>
  </si>
  <si>
    <t>Dallin Biddle</t>
  </si>
  <si>
    <t>Jaxson Cavanaugh</t>
  </si>
  <si>
    <t>Domenic Logan</t>
  </si>
  <si>
    <t>Donovan Doran</t>
  </si>
  <si>
    <t>Austen Robb</t>
  </si>
  <si>
    <t>Ethan Ridley</t>
  </si>
  <si>
    <t>Charlie Nall</t>
  </si>
  <si>
    <t>Garret Harden</t>
  </si>
  <si>
    <t>Blaze Dix</t>
  </si>
  <si>
    <t>Calvin Sprague</t>
  </si>
  <si>
    <t>Travon Ko</t>
  </si>
  <si>
    <t>Campbell Marvin</t>
  </si>
  <si>
    <t>Uriah Rosa</t>
  </si>
  <si>
    <t>Jayden Armenta</t>
  </si>
  <si>
    <t>Chaz Hacker</t>
  </si>
  <si>
    <t>Cesar Metz</t>
  </si>
  <si>
    <t>Mohamed Mayo</t>
  </si>
  <si>
    <t>Samson Jasso</t>
  </si>
  <si>
    <t>Kirk Spurlock</t>
  </si>
  <si>
    <t>Tyler Samuel</t>
  </si>
  <si>
    <t>Tony Finch</t>
  </si>
  <si>
    <t>Bernardo Mobley</t>
  </si>
  <si>
    <t>Byron Kirk</t>
  </si>
  <si>
    <t>Marlon Yu</t>
  </si>
  <si>
    <t>Elian McNair</t>
  </si>
  <si>
    <t>Kalob Dowd</t>
  </si>
  <si>
    <t>Mustafa Hays</t>
  </si>
  <si>
    <t>Alton Malloy</t>
  </si>
  <si>
    <t>Chaim Littleton</t>
  </si>
  <si>
    <t>Levi Collazo</t>
  </si>
  <si>
    <t>Preston Hubbard</t>
  </si>
  <si>
    <t>Emanuel Schuster</t>
  </si>
  <si>
    <t>Alfred Torrez</t>
  </si>
  <si>
    <t>Galen Randle</t>
  </si>
  <si>
    <t>Vicente Bridges</t>
  </si>
  <si>
    <t>Glenn Choate</t>
  </si>
  <si>
    <t>Leonard Kiser</t>
  </si>
  <si>
    <t>Gideon Hinson</t>
  </si>
  <si>
    <t>Jake Santiago</t>
  </si>
  <si>
    <t>Brennan Malloy</t>
  </si>
  <si>
    <t>Griffin Laster</t>
  </si>
  <si>
    <t>Eli Andre</t>
  </si>
  <si>
    <t>Logan Cooney</t>
  </si>
  <si>
    <t>Kolton Barth</t>
  </si>
  <si>
    <t>Josiah Honeycutt</t>
  </si>
  <si>
    <t>Billy Catalano</t>
  </si>
  <si>
    <t>Brant Ahrens</t>
  </si>
  <si>
    <t>Dimitri Lerma</t>
  </si>
  <si>
    <t>Malik Beasley</t>
  </si>
  <si>
    <t>Eddie Newman</t>
  </si>
  <si>
    <t>Ramiro Barksdale</t>
  </si>
  <si>
    <t>Sonny Spann</t>
  </si>
  <si>
    <t>Phillip Stone</t>
  </si>
  <si>
    <t>Leroy Bass</t>
  </si>
  <si>
    <t>Johnpaul Quintanilla</t>
  </si>
  <si>
    <t>Mikel Seitz</t>
  </si>
  <si>
    <t>Ruben Juarez</t>
  </si>
  <si>
    <t>Noah Renner</t>
  </si>
  <si>
    <t>Jaylin Strain</t>
  </si>
  <si>
    <t>Roger Flanagan</t>
  </si>
  <si>
    <t>Justice Arreola</t>
  </si>
  <si>
    <t>Harrison Freedman</t>
  </si>
  <si>
    <t>Zander Connolly</t>
  </si>
  <si>
    <t>Fernando Kaur</t>
  </si>
  <si>
    <t>Anderson Katz</t>
  </si>
  <si>
    <t>Carlos Lozano</t>
  </si>
  <si>
    <t>Bruce Daniels</t>
  </si>
  <si>
    <t>Jordi Bivens</t>
  </si>
  <si>
    <t>Forrest Grossman</t>
  </si>
  <si>
    <t>Tyrell Cain</t>
  </si>
  <si>
    <t>Lamont Montes</t>
  </si>
  <si>
    <t>Dontae Blake</t>
  </si>
  <si>
    <t>Howard Fisher</t>
  </si>
  <si>
    <t>Paris Cerda</t>
  </si>
  <si>
    <t>Damion Martel</t>
  </si>
  <si>
    <t>Kent Winters</t>
  </si>
  <si>
    <t>Shawn Payne</t>
  </si>
  <si>
    <t>Wayne Zhao</t>
  </si>
  <si>
    <t>Luther McClanahan</t>
  </si>
  <si>
    <t>Peter Dees</t>
  </si>
  <si>
    <t>Trinity Stearns</t>
  </si>
  <si>
    <t>Josef Seeley</t>
  </si>
  <si>
    <t>Oswaldo Humphries</t>
  </si>
  <si>
    <t>Jason Blackwell</t>
  </si>
  <si>
    <t>Andres Harman</t>
  </si>
  <si>
    <t>Vincent Hay</t>
  </si>
  <si>
    <t>Destin Petersen</t>
  </si>
  <si>
    <t>Carlo Maldonado</t>
  </si>
  <si>
    <t>Grant Ruiz</t>
  </si>
  <si>
    <t>Cole Knox</t>
  </si>
  <si>
    <t>Dontae Keefe</t>
  </si>
  <si>
    <t>Antoine Maher</t>
  </si>
  <si>
    <t>Xavier Vandyke</t>
  </si>
  <si>
    <t>Zavier Colby</t>
  </si>
  <si>
    <t>Javen Kurtz</t>
  </si>
  <si>
    <t>Bernard Carlin</t>
  </si>
  <si>
    <t>Freddy Mackenzie</t>
  </si>
  <si>
    <t>David Carrera</t>
  </si>
  <si>
    <t>Kenyon Peek</t>
  </si>
  <si>
    <t>Jaydon Combs</t>
  </si>
  <si>
    <t>Jerimiah Dunaway</t>
  </si>
  <si>
    <t>Leonel Dean</t>
  </si>
  <si>
    <t>Donte Cobb</t>
  </si>
  <si>
    <t>Rick Batista</t>
  </si>
  <si>
    <t>Ignacio Trent</t>
  </si>
  <si>
    <t>Coleman Hammonds</t>
  </si>
  <si>
    <t>Sean Burks</t>
  </si>
  <si>
    <t>Albert Gee</t>
  </si>
  <si>
    <t>Ethen Hendricks</t>
  </si>
  <si>
    <t>Clayton Becker</t>
  </si>
  <si>
    <t>Ricardo Conn</t>
  </si>
  <si>
    <t>Zane Briseno</t>
  </si>
  <si>
    <t>Elian Westbrook</t>
  </si>
  <si>
    <t>Tyson Bauer</t>
  </si>
  <si>
    <t>Tye Ball</t>
  </si>
  <si>
    <t>Armand Bautista</t>
  </si>
  <si>
    <t>Ean Sorenson</t>
  </si>
  <si>
    <t>Broderick Mcnulty</t>
  </si>
  <si>
    <t>Luther Swisher</t>
  </si>
  <si>
    <t>David Ivey</t>
  </si>
  <si>
    <t>Moshe Webber</t>
  </si>
  <si>
    <t>Vance Grubb</t>
  </si>
  <si>
    <t>Chester Cho</t>
  </si>
  <si>
    <t>Kenyon Lawton</t>
  </si>
  <si>
    <t>Abdul Munn</t>
  </si>
  <si>
    <t>Nick McKay</t>
  </si>
  <si>
    <t>Freddie Mock</t>
  </si>
  <si>
    <t>Anthony Ocampo</t>
  </si>
  <si>
    <t>Harold Ostrander</t>
  </si>
  <si>
    <t>Justice Mancini</t>
  </si>
  <si>
    <t>Tavon Christenson</t>
  </si>
  <si>
    <t>Henry Connolly</t>
  </si>
  <si>
    <t>Kobie Wadsworth</t>
  </si>
  <si>
    <t>Osvaldo Hooks</t>
  </si>
  <si>
    <t>Aldo Gill</t>
  </si>
  <si>
    <t>Darian Rosa</t>
  </si>
  <si>
    <t>Shamar Reinhardt</t>
  </si>
  <si>
    <t>Adriel Rubin</t>
  </si>
  <si>
    <t>Marquis Cone</t>
  </si>
  <si>
    <t>Armando Hamilton</t>
  </si>
  <si>
    <t>Sidney Hardy</t>
  </si>
  <si>
    <t>Jovanni Weems</t>
  </si>
  <si>
    <t>Phoenix Tsai</t>
  </si>
  <si>
    <t>Amari Hopkins</t>
  </si>
  <si>
    <t>Miguelangel Colley</t>
  </si>
  <si>
    <t>Ramon Meier</t>
  </si>
  <si>
    <t>Kirk Helton</t>
  </si>
  <si>
    <t>Jarrod Steen</t>
  </si>
  <si>
    <t>Juwan Espinosa</t>
  </si>
  <si>
    <t>Leslie Colwell</t>
  </si>
  <si>
    <t>Bradley Crabtree</t>
  </si>
  <si>
    <t>Kent Pressley</t>
  </si>
  <si>
    <t>Rolando Cantrell</t>
  </si>
  <si>
    <t>Latrell Crutchfield</t>
  </si>
  <si>
    <t>Dakota Royal</t>
  </si>
  <si>
    <t>Juwan Jennings</t>
  </si>
  <si>
    <t>Armani Martino</t>
  </si>
  <si>
    <t>Ty Parry</t>
  </si>
  <si>
    <t>Rahul Higginbotham</t>
  </si>
  <si>
    <t>Marco Barnes</t>
  </si>
  <si>
    <t>Deion Otoole</t>
  </si>
  <si>
    <t>Ty Hein</t>
  </si>
  <si>
    <t>Dustin Sims</t>
  </si>
  <si>
    <t>Markell Cormier</t>
  </si>
  <si>
    <t>Arthur Frantz</t>
  </si>
  <si>
    <t>Gordon Paine</t>
  </si>
  <si>
    <t>Benjamin Solomon</t>
  </si>
  <si>
    <t>Kayden Varner</t>
  </si>
  <si>
    <t>Grayson Gresham</t>
  </si>
  <si>
    <t>Slade Beard</t>
  </si>
  <si>
    <t>Frederick Marshall</t>
  </si>
  <si>
    <t>Korbin Cardona</t>
  </si>
  <si>
    <t>Duane Mount</t>
  </si>
  <si>
    <t>Elian Newberry</t>
  </si>
  <si>
    <t>Drake Carreon</t>
  </si>
  <si>
    <t>Joe Dolan</t>
  </si>
  <si>
    <t>Oliver Carmichael</t>
  </si>
  <si>
    <t>Chris Wilson</t>
  </si>
  <si>
    <t>Jaxson Caruso</t>
  </si>
  <si>
    <t>Weston Rose</t>
  </si>
  <si>
    <t>Antonio Ray</t>
  </si>
  <si>
    <t>Jaden Hyde</t>
  </si>
  <si>
    <t>Conrad Reeder</t>
  </si>
  <si>
    <t>Shaun Ball</t>
  </si>
  <si>
    <t>Lewis Ramey</t>
  </si>
  <si>
    <t>Tobias Ngo</t>
  </si>
  <si>
    <t>Rico Trammell</t>
  </si>
  <si>
    <t>Kieran Barrett</t>
  </si>
  <si>
    <t>Tate Yoder</t>
  </si>
  <si>
    <t>Presley Bishop</t>
  </si>
  <si>
    <t>Kody Hudson</t>
  </si>
  <si>
    <t>Loren Abney</t>
  </si>
  <si>
    <t>Alberto Almanza</t>
  </si>
  <si>
    <t>Milan Hutchison</t>
  </si>
  <si>
    <t>Dusty Mora</t>
  </si>
  <si>
    <t>Freddie Rosenthal</t>
  </si>
  <si>
    <t>Gonzalo Spicer</t>
  </si>
  <si>
    <t>Vernon Haskell</t>
  </si>
  <si>
    <t>Ahmad Barker</t>
  </si>
  <si>
    <t>Elian Woo</t>
  </si>
  <si>
    <t>Bret Rees</t>
  </si>
  <si>
    <t>Martin Temple</t>
  </si>
  <si>
    <t>Alfonso Dobbs</t>
  </si>
  <si>
    <t>Brant Crespo</t>
  </si>
  <si>
    <t>Leo Copeland</t>
  </si>
  <si>
    <t>Jefferson Liang</t>
  </si>
  <si>
    <t>Coleton Cruse</t>
  </si>
  <si>
    <t>Tye Connor</t>
  </si>
  <si>
    <t>Felix Samples</t>
  </si>
  <si>
    <t>Jarvis Douglas</t>
  </si>
  <si>
    <t>Ernest Davies</t>
  </si>
  <si>
    <t>Marco Tomlinson</t>
  </si>
  <si>
    <t>Walter Almeida</t>
  </si>
  <si>
    <t>Duncan Shull</t>
  </si>
  <si>
    <t>Notnamed Caldwell</t>
  </si>
  <si>
    <t>Kent Marquez</t>
  </si>
  <si>
    <t>Benito Horn</t>
  </si>
  <si>
    <t>Milton Thatcher</t>
  </si>
  <si>
    <t>Keshawn Trinidad</t>
  </si>
  <si>
    <t>Jensen Ezell</t>
  </si>
  <si>
    <t>Demonte Lemon</t>
  </si>
  <si>
    <t>Lukas McDermott</t>
  </si>
  <si>
    <t>Dallin Heath</t>
  </si>
  <si>
    <t>Gregorio Oakes</t>
  </si>
  <si>
    <t>Mitchel Blocker</t>
  </si>
  <si>
    <t>Carlo Kauffman</t>
  </si>
  <si>
    <t>Dontae Oshea</t>
  </si>
  <si>
    <t>Arnold Rush</t>
  </si>
  <si>
    <t>Zackery France</t>
  </si>
  <si>
    <t>Darrius Franz</t>
  </si>
  <si>
    <t>Chris Solorzano</t>
  </si>
  <si>
    <t>Brandon Barbour</t>
  </si>
  <si>
    <t>Peyton Butcher</t>
  </si>
  <si>
    <t>Walker Almeida</t>
  </si>
  <si>
    <t>Miguelangel Franklin</t>
  </si>
  <si>
    <t>Bennett Forman</t>
  </si>
  <si>
    <t>Andre Nix</t>
  </si>
  <si>
    <t>Royce Bartholomew</t>
  </si>
  <si>
    <t>Lamont Arredondo</t>
  </si>
  <si>
    <t>Wade Ward</t>
  </si>
  <si>
    <t>Efrain Burt</t>
  </si>
  <si>
    <t>Gage Bernstein</t>
  </si>
  <si>
    <t>Dayne Johns</t>
  </si>
  <si>
    <t>Ivan Arnett</t>
  </si>
  <si>
    <t>Roland Schuler</t>
  </si>
  <si>
    <t>Bobby Hicks</t>
  </si>
  <si>
    <t>Reagan Bollinger</t>
  </si>
  <si>
    <t>Tyreke Counts</t>
  </si>
  <si>
    <t>Adonis McGraw</t>
  </si>
  <si>
    <t>Coy Gruber</t>
  </si>
  <si>
    <t>Christion Barger</t>
  </si>
  <si>
    <t>Sabastian Alarcon</t>
  </si>
  <si>
    <t>Marques Hirsch</t>
  </si>
  <si>
    <t>Walter Foy</t>
  </si>
  <si>
    <t>Arman Herrera</t>
  </si>
  <si>
    <t>Nicholas Joy</t>
  </si>
  <si>
    <t>Christian Lima</t>
  </si>
  <si>
    <t>Mateo Nagel</t>
  </si>
  <si>
    <t>PERS_0306</t>
  </si>
  <si>
    <t>PERS_0307</t>
  </si>
  <si>
    <t>PERS_0308</t>
  </si>
  <si>
    <t>PERS_0309</t>
  </si>
  <si>
    <t>PERS_0310</t>
  </si>
  <si>
    <t>PERS_0311</t>
  </si>
  <si>
    <t>PERS_0312</t>
  </si>
  <si>
    <t>PERS_0313</t>
  </si>
  <si>
    <t>PERS_0314</t>
  </si>
  <si>
    <t>PERS_0315</t>
  </si>
  <si>
    <t>PERS_0316</t>
  </si>
  <si>
    <t>PERS_0317</t>
  </si>
  <si>
    <t>PERS_0318</t>
  </si>
  <si>
    <t>PERS_0319</t>
  </si>
  <si>
    <t>PERS_0320</t>
  </si>
  <si>
    <t>PERS_0321</t>
  </si>
  <si>
    <t>PERS_0322</t>
  </si>
  <si>
    <t>PERS_0323</t>
  </si>
  <si>
    <t>PERS_0324</t>
  </si>
  <si>
    <t>PERS_0325</t>
  </si>
  <si>
    <t>PERS_0326</t>
  </si>
  <si>
    <t>PERS_0327</t>
  </si>
  <si>
    <t>PERS_0328</t>
  </si>
  <si>
    <t>PERS_0329</t>
  </si>
  <si>
    <t>PERS_0330</t>
  </si>
  <si>
    <t>PERS_0331</t>
  </si>
  <si>
    <t>PERS_0332</t>
  </si>
  <si>
    <t>PERS_0333</t>
  </si>
  <si>
    <t>PERS_0334</t>
  </si>
  <si>
    <t>PERS_0335</t>
  </si>
  <si>
    <t>PERS_0336</t>
  </si>
  <si>
    <t>PERS_0337</t>
  </si>
  <si>
    <t>PERS_0338</t>
  </si>
  <si>
    <t>PERS_0339</t>
  </si>
  <si>
    <t>PERS_0340</t>
  </si>
  <si>
    <t>PERS_0341</t>
  </si>
  <si>
    <t>PERS_0342</t>
  </si>
  <si>
    <t>PERS_0343</t>
  </si>
  <si>
    <t>PERS_0344</t>
  </si>
  <si>
    <t>PERS_0345</t>
  </si>
  <si>
    <t>PERS_0346</t>
  </si>
  <si>
    <t>PERS_0347</t>
  </si>
  <si>
    <t>PERS_0348</t>
  </si>
  <si>
    <t>PERS_0349</t>
  </si>
  <si>
    <t>PERS_0350</t>
  </si>
  <si>
    <t>PERS_0351</t>
  </si>
  <si>
    <t>PERS_0352</t>
  </si>
  <si>
    <t>PERS_0353</t>
  </si>
  <si>
    <t>PERS_0354</t>
  </si>
  <si>
    <t>PERS_0355</t>
  </si>
  <si>
    <t>PERS_0356</t>
  </si>
  <si>
    <t>PERS_0357</t>
  </si>
  <si>
    <t>PERS_0358</t>
  </si>
  <si>
    <t>PERS_0359</t>
  </si>
  <si>
    <t>PERS_0360</t>
  </si>
  <si>
    <t>PERS_0361</t>
  </si>
  <si>
    <t>PERS_0362</t>
  </si>
  <si>
    <t>PERS_0363</t>
  </si>
  <si>
    <t>PERS_0364</t>
  </si>
  <si>
    <t>PERS_0365</t>
  </si>
  <si>
    <t>PERS_0366</t>
  </si>
  <si>
    <t>PERS_0367</t>
  </si>
  <si>
    <t>PERS_0368</t>
  </si>
  <si>
    <t>PERS_0369</t>
  </si>
  <si>
    <t>PERS_0370</t>
  </si>
  <si>
    <t>PERS_0371</t>
  </si>
  <si>
    <t>PERS_0372</t>
  </si>
  <si>
    <t>PERS_0373</t>
  </si>
  <si>
    <t>PERS_0374</t>
  </si>
  <si>
    <t>PERS_0375</t>
  </si>
  <si>
    <t>PERS_0376</t>
  </si>
  <si>
    <t>PERS_0377</t>
  </si>
  <si>
    <t>PERS_0378</t>
  </si>
  <si>
    <t>PERS_0379</t>
  </si>
  <si>
    <t>PERS_0380</t>
  </si>
  <si>
    <t>PERS_0381</t>
  </si>
  <si>
    <t>PERS_0382</t>
  </si>
  <si>
    <t>PERS_0383</t>
  </si>
  <si>
    <t>PERS_0384</t>
  </si>
  <si>
    <t>PERS_0385</t>
  </si>
  <si>
    <t>PERS_0386</t>
  </si>
  <si>
    <t>PERS_0387</t>
  </si>
  <si>
    <t>PERS_0388</t>
  </si>
  <si>
    <t>PERS_0389</t>
  </si>
  <si>
    <t>PERS_0390</t>
  </si>
  <si>
    <t>PERS_0391</t>
  </si>
  <si>
    <t>PERS_0392</t>
  </si>
  <si>
    <t>PERS_0393</t>
  </si>
  <si>
    <t>PERS_0394</t>
  </si>
  <si>
    <t>PERS_0395</t>
  </si>
  <si>
    <t>PERS_0396</t>
  </si>
  <si>
    <t>PERS_0397</t>
  </si>
  <si>
    <t>PERS_0398</t>
  </si>
  <si>
    <t>PERS_0399</t>
  </si>
  <si>
    <t>PERS_0400</t>
  </si>
  <si>
    <t>PERS_0401</t>
  </si>
  <si>
    <t>PERS_0402</t>
  </si>
  <si>
    <t>PERS_0403</t>
  </si>
  <si>
    <t>PERS_0404</t>
  </si>
  <si>
    <t>PERS_0405</t>
  </si>
  <si>
    <t>PERS_0406</t>
  </si>
  <si>
    <t>PERS_0407</t>
  </si>
  <si>
    <t>PERS_0408</t>
  </si>
  <si>
    <t>PERS_0409</t>
  </si>
  <si>
    <t>PERS_0410</t>
  </si>
  <si>
    <t>PERS_0411</t>
  </si>
  <si>
    <t>PERS_0412</t>
  </si>
  <si>
    <t>PERS_0413</t>
  </si>
  <si>
    <t>PERS_0414</t>
  </si>
  <si>
    <t>PERS_0415</t>
  </si>
  <si>
    <t>PERS_0416</t>
  </si>
  <si>
    <t>PERS_0417</t>
  </si>
  <si>
    <t>PERS_0418</t>
  </si>
  <si>
    <t>PERS_0419</t>
  </si>
  <si>
    <t>PERS_0420</t>
  </si>
  <si>
    <t>PERS_0421</t>
  </si>
  <si>
    <t>PERS_0422</t>
  </si>
  <si>
    <t>PERS_0423</t>
  </si>
  <si>
    <t>PERS_0424</t>
  </si>
  <si>
    <t>PERS_0425</t>
  </si>
  <si>
    <t>PERS_0426</t>
  </si>
  <si>
    <t>PERS_0427</t>
  </si>
  <si>
    <t>PERS_0428</t>
  </si>
  <si>
    <t>PERS_0429</t>
  </si>
  <si>
    <t>PERS_0430</t>
  </si>
  <si>
    <t>PERS_0431</t>
  </si>
  <si>
    <t>PERS_0432</t>
  </si>
  <si>
    <t>PERS_0433</t>
  </si>
  <si>
    <t>PERS_0434</t>
  </si>
  <si>
    <t>PERS_0435</t>
  </si>
  <si>
    <t>PERS_0436</t>
  </si>
  <si>
    <t>PERS_0437</t>
  </si>
  <si>
    <t>PERS_0438</t>
  </si>
  <si>
    <t>PERS_0439</t>
  </si>
  <si>
    <t>PERS_0440</t>
  </si>
  <si>
    <t>PERS_0441</t>
  </si>
  <si>
    <t>PERS_0442</t>
  </si>
  <si>
    <t>PERS_0443</t>
  </si>
  <si>
    <t>PERS_0444</t>
  </si>
  <si>
    <t>PERS_0445</t>
  </si>
  <si>
    <t>PERS_0446</t>
  </si>
  <si>
    <t>PERS_0447</t>
  </si>
  <si>
    <t>PERS_0448</t>
  </si>
  <si>
    <t>PERS_0449</t>
  </si>
  <si>
    <t>PERS_0450</t>
  </si>
  <si>
    <t>PERS_0451</t>
  </si>
  <si>
    <t>PERS_0452</t>
  </si>
  <si>
    <t>PERS_0453</t>
  </si>
  <si>
    <t>PERS_0454</t>
  </si>
  <si>
    <t>PERS_0455</t>
  </si>
  <si>
    <t>PERS_0456</t>
  </si>
  <si>
    <t>PERS_0457</t>
  </si>
  <si>
    <t>PERS_0458</t>
  </si>
  <si>
    <t>PERS_0459</t>
  </si>
  <si>
    <t>PERS_0460</t>
  </si>
  <si>
    <t>PERS_0461</t>
  </si>
  <si>
    <t>PERS_0462</t>
  </si>
  <si>
    <t>PERS_0463</t>
  </si>
  <si>
    <t>PERS_0464</t>
  </si>
  <si>
    <t>PERS_0465</t>
  </si>
  <si>
    <t>PERS_0466</t>
  </si>
  <si>
    <t>PERS_0467</t>
  </si>
  <si>
    <t>PERS_0468</t>
  </si>
  <si>
    <t>PERS_0469</t>
  </si>
  <si>
    <t>PERS_0470</t>
  </si>
  <si>
    <t>PERS_0471</t>
  </si>
  <si>
    <t>PERS_0472</t>
  </si>
  <si>
    <t>PERS_0473</t>
  </si>
  <si>
    <t>PERS_0474</t>
  </si>
  <si>
    <t>PERS_0475</t>
  </si>
  <si>
    <t>PERS_0476</t>
  </si>
  <si>
    <t>PERS_0477</t>
  </si>
  <si>
    <t>PERS_0478</t>
  </si>
  <si>
    <t>PERS_0479</t>
  </si>
  <si>
    <t>PERS_0480</t>
  </si>
  <si>
    <t>PERS_0481</t>
  </si>
  <si>
    <t>PERS_0482</t>
  </si>
  <si>
    <t>PERS_0483</t>
  </si>
  <si>
    <t>PERS_0484</t>
  </si>
  <si>
    <t>PERS_0485</t>
  </si>
  <si>
    <t>PERS_0486</t>
  </si>
  <si>
    <t>PERS_0487</t>
  </si>
  <si>
    <t>PERS_0488</t>
  </si>
  <si>
    <t>PERS_0489</t>
  </si>
  <si>
    <t>PERS_0490</t>
  </si>
  <si>
    <t>PERS_0491</t>
  </si>
  <si>
    <t>PERS_0492</t>
  </si>
  <si>
    <t>PERS_0493</t>
  </si>
  <si>
    <t>PERS_0494</t>
  </si>
  <si>
    <t>PERS_0495</t>
  </si>
  <si>
    <t>PERS_0496</t>
  </si>
  <si>
    <t>PERS_0497</t>
  </si>
  <si>
    <t>PERS_0498</t>
  </si>
  <si>
    <t>PERS_0499</t>
  </si>
  <si>
    <t>PERS_0500</t>
  </si>
  <si>
    <t>PERS_0501</t>
  </si>
  <si>
    <t>PERS_0502</t>
  </si>
  <si>
    <t>PERS_0503</t>
  </si>
  <si>
    <t>PERS_0504</t>
  </si>
  <si>
    <t>PERS_0505</t>
  </si>
  <si>
    <t>PERS_0506</t>
  </si>
  <si>
    <t>PERS_0507</t>
  </si>
  <si>
    <t>PERS_0508</t>
  </si>
  <si>
    <t>PERS_0509</t>
  </si>
  <si>
    <t>PERS_0510</t>
  </si>
  <si>
    <t>PERS_0511</t>
  </si>
  <si>
    <t>PERS_0512</t>
  </si>
  <si>
    <t>PERS_0513</t>
  </si>
  <si>
    <t>PERS_0514</t>
  </si>
  <si>
    <t>PERS_0515</t>
  </si>
  <si>
    <t>PERS_0516</t>
  </si>
  <si>
    <t>PERS_0517</t>
  </si>
  <si>
    <t>PERS_0518</t>
  </si>
  <si>
    <t>PERS_0519</t>
  </si>
  <si>
    <t>PERS_0520</t>
  </si>
  <si>
    <t>PERS_0521</t>
  </si>
  <si>
    <t>PERS_0522</t>
  </si>
  <si>
    <t>PERS_0523</t>
  </si>
  <si>
    <t>PERS_0524</t>
  </si>
  <si>
    <t>PERS_0525</t>
  </si>
  <si>
    <t>PERS_0526</t>
  </si>
  <si>
    <t>PERS_0527</t>
  </si>
  <si>
    <t>PERS_0528</t>
  </si>
  <si>
    <t>PERS_0529</t>
  </si>
  <si>
    <t>PERS_0530</t>
  </si>
  <si>
    <t>PERS_0531</t>
  </si>
  <si>
    <t>PERS_0532</t>
  </si>
  <si>
    <t>PERS_0533</t>
  </si>
  <si>
    <t>PERS_0534</t>
  </si>
  <si>
    <t>PERS_0535</t>
  </si>
  <si>
    <t>PERS_0536</t>
  </si>
  <si>
    <t>PERS_0537</t>
  </si>
  <si>
    <t>PERS_0538</t>
  </si>
  <si>
    <t>PERS_0539</t>
  </si>
  <si>
    <t>PERS_0540</t>
  </si>
  <si>
    <t>PERS_0541</t>
  </si>
  <si>
    <t>PERS_0542</t>
  </si>
  <si>
    <t>PERS_0543</t>
  </si>
  <si>
    <t>PERS_0544</t>
  </si>
  <si>
    <t>PERS_0545</t>
  </si>
  <si>
    <t>PERS_0546</t>
  </si>
  <si>
    <t>PERS_0547</t>
  </si>
  <si>
    <t>PERS_0548</t>
  </si>
  <si>
    <t>PERS_0549</t>
  </si>
  <si>
    <t>PERS_0550</t>
  </si>
  <si>
    <t>PERS_0551</t>
  </si>
  <si>
    <t>PERS_0552</t>
  </si>
  <si>
    <t>PERS_0553</t>
  </si>
  <si>
    <t>PERS_0554</t>
  </si>
  <si>
    <t>PERS_0555</t>
  </si>
  <si>
    <t>PERS_0556</t>
  </si>
  <si>
    <t>PERS_0557</t>
  </si>
  <si>
    <t>PERS_0558</t>
  </si>
  <si>
    <t>PERS_0559</t>
  </si>
  <si>
    <t>PERS_0560</t>
  </si>
  <si>
    <t>PERS_0561</t>
  </si>
  <si>
    <t>PERS_0562</t>
  </si>
  <si>
    <t>PERS_0563</t>
  </si>
  <si>
    <t>PERS_0564</t>
  </si>
  <si>
    <t>PERS_0565</t>
  </si>
  <si>
    <t>PERS_0566</t>
  </si>
  <si>
    <t>PERS_0567</t>
  </si>
  <si>
    <t>PERS_0568</t>
  </si>
  <si>
    <t>PERS_0569</t>
  </si>
  <si>
    <t>PERS_0570</t>
  </si>
  <si>
    <t>PERS_0571</t>
  </si>
  <si>
    <t>PERS_0572</t>
  </si>
  <si>
    <t>PERS_0573</t>
  </si>
  <si>
    <t>PERS_0574</t>
  </si>
  <si>
    <t>PERS_0575</t>
  </si>
  <si>
    <t>PERS_0576</t>
  </si>
  <si>
    <t>PERS_0577</t>
  </si>
  <si>
    <t>PERS_0578</t>
  </si>
  <si>
    <t>PERS_0579</t>
  </si>
  <si>
    <t>PERS_0580</t>
  </si>
  <si>
    <t>PERS_0581</t>
  </si>
  <si>
    <t>PERS_0582</t>
  </si>
  <si>
    <t>PERS_0583</t>
  </si>
  <si>
    <t>PERS_0584</t>
  </si>
  <si>
    <t>PERS_0585</t>
  </si>
  <si>
    <t>PERS_0586</t>
  </si>
  <si>
    <t>PERS_0587</t>
  </si>
  <si>
    <t>PERS_0588</t>
  </si>
  <si>
    <t>PERS_0589</t>
  </si>
  <si>
    <t>PERS_0590</t>
  </si>
  <si>
    <t>PERS_0591</t>
  </si>
  <si>
    <t>PERS_0592</t>
  </si>
  <si>
    <t>PERS_0593</t>
  </si>
  <si>
    <t>PERS_0594</t>
  </si>
  <si>
    <t>PERS_0595</t>
  </si>
  <si>
    <t>PERS_0596</t>
  </si>
  <si>
    <t>PERS_0597</t>
  </si>
  <si>
    <t>PERS_0598</t>
  </si>
  <si>
    <t>PERS_0599</t>
  </si>
  <si>
    <t>PERS_0600</t>
  </si>
  <si>
    <t>PERS_0601</t>
  </si>
  <si>
    <t>PERS_0602</t>
  </si>
  <si>
    <t>PERS_0603</t>
  </si>
  <si>
    <t>PERS_0604</t>
  </si>
  <si>
    <t>PERS_0605</t>
  </si>
  <si>
    <t>PERS_0606</t>
  </si>
  <si>
    <t>PERS_0607</t>
  </si>
  <si>
    <t>PERS_0608</t>
  </si>
  <si>
    <t>PERS_0609</t>
  </si>
  <si>
    <t>PERS_0610</t>
  </si>
  <si>
    <t>PERS_0611</t>
  </si>
  <si>
    <t>PERS_0612</t>
  </si>
  <si>
    <t>PERS_0613</t>
  </si>
  <si>
    <t>PERS_0614</t>
  </si>
  <si>
    <t>PERS_0615</t>
  </si>
  <si>
    <t>PERS_0616</t>
  </si>
  <si>
    <t>PERS_0617</t>
  </si>
  <si>
    <t>PERS_0618</t>
  </si>
  <si>
    <t>PERS_0619</t>
  </si>
  <si>
    <t>PERS_0620</t>
  </si>
  <si>
    <t>PERS_0621</t>
  </si>
  <si>
    <t>PERS_0622</t>
  </si>
  <si>
    <t>PERS_0623</t>
  </si>
  <si>
    <t>PERS_0624</t>
  </si>
  <si>
    <t>PERS_0625</t>
  </si>
  <si>
    <t>PERS_0626</t>
  </si>
  <si>
    <t>PERS_0627</t>
  </si>
  <si>
    <t>PERS_0628</t>
  </si>
  <si>
    <t>PERS_0629</t>
  </si>
  <si>
    <t>PERS_0630</t>
  </si>
  <si>
    <t>PERS_0631</t>
  </si>
  <si>
    <t>PERS_0632</t>
  </si>
  <si>
    <t>PERS_0633</t>
  </si>
  <si>
    <t>PERS_0634</t>
  </si>
  <si>
    <t>PERS_0635</t>
  </si>
  <si>
    <t>PERS_0636</t>
  </si>
  <si>
    <t>PERS_0637</t>
  </si>
  <si>
    <t>PERS_0638</t>
  </si>
  <si>
    <t>PERS_0639</t>
  </si>
  <si>
    <t>PERS_0640</t>
  </si>
  <si>
    <t>PERS_0641</t>
  </si>
  <si>
    <t>PERS_0642</t>
  </si>
  <si>
    <t>PERS_0643</t>
  </si>
  <si>
    <t>PERS_0644</t>
  </si>
  <si>
    <t>PERS_0645</t>
  </si>
  <si>
    <t>PERS_0646</t>
  </si>
  <si>
    <t>PERS_0647</t>
  </si>
  <si>
    <t>PERS_0648</t>
  </si>
  <si>
    <t>PERS_0649</t>
  </si>
  <si>
    <t>PERS_0650</t>
  </si>
  <si>
    <t>PERS_0651</t>
  </si>
  <si>
    <t>PERS_0652</t>
  </si>
  <si>
    <t>PERS_0653</t>
  </si>
  <si>
    <t>PERS_0654</t>
  </si>
  <si>
    <t>PERS_0655</t>
  </si>
  <si>
    <t>PERS_0656</t>
  </si>
  <si>
    <t>PERS_0657</t>
  </si>
  <si>
    <t>PERS_0658</t>
  </si>
  <si>
    <t>PERS_0659</t>
  </si>
  <si>
    <t>PERS_0660</t>
  </si>
  <si>
    <t>PERS_0661</t>
  </si>
  <si>
    <t>PERS_0662</t>
  </si>
  <si>
    <t>PERS_0663</t>
  </si>
  <si>
    <t>PERS_0664</t>
  </si>
  <si>
    <t>PERS_0665</t>
  </si>
  <si>
    <t>PERS_0666</t>
  </si>
  <si>
    <t>PERS_0667</t>
  </si>
  <si>
    <t>PERS_0668</t>
  </si>
  <si>
    <t>PERS_0669</t>
  </si>
  <si>
    <t>PERS_0670</t>
  </si>
  <si>
    <t>PERS_0671</t>
  </si>
  <si>
    <t>PERS_0672</t>
  </si>
  <si>
    <t>PERS_0673</t>
  </si>
  <si>
    <t>PERS_0674</t>
  </si>
  <si>
    <t>PERS_0675</t>
  </si>
  <si>
    <t>PERS_0676</t>
  </si>
  <si>
    <t>PERS_0677</t>
  </si>
  <si>
    <t>PERS_0678</t>
  </si>
  <si>
    <t>PERS_0679</t>
  </si>
  <si>
    <t>PERS_0680</t>
  </si>
  <si>
    <t>PERS_0681</t>
  </si>
  <si>
    <t>PERS_0682</t>
  </si>
  <si>
    <t>PERS_0683</t>
  </si>
  <si>
    <t>PERS_0684</t>
  </si>
  <si>
    <t>PERS_0685</t>
  </si>
  <si>
    <t>PERS_0686</t>
  </si>
  <si>
    <t>PERS_0687</t>
  </si>
  <si>
    <t>PERS_0688</t>
  </si>
  <si>
    <t>PERS_0689</t>
  </si>
  <si>
    <t>PERS_0690</t>
  </si>
  <si>
    <t>PERS_0691</t>
  </si>
  <si>
    <t>PERS_0692</t>
  </si>
  <si>
    <t>PERS_0693</t>
  </si>
  <si>
    <t>PERS_0694</t>
  </si>
  <si>
    <t>PERS_0695</t>
  </si>
  <si>
    <t>PERS_0696</t>
  </si>
  <si>
    <t>PERS_0697</t>
  </si>
  <si>
    <t>PERS_0698</t>
  </si>
  <si>
    <t>PERS_0699</t>
  </si>
  <si>
    <t>PERS_0700</t>
  </si>
  <si>
    <t>PERS_0701</t>
  </si>
  <si>
    <t>PERS_0702</t>
  </si>
  <si>
    <t>PERS_0703</t>
  </si>
  <si>
    <t>PERS_0704</t>
  </si>
  <si>
    <t>PERS_0705</t>
  </si>
  <si>
    <t>PERS_0706</t>
  </si>
  <si>
    <t>PERS_0707</t>
  </si>
  <si>
    <t>PERS_0708</t>
  </si>
  <si>
    <t>PERS_0709</t>
  </si>
  <si>
    <t>PERS_0710</t>
  </si>
  <si>
    <t>PERS_0711</t>
  </si>
  <si>
    <t>PERS_0712</t>
  </si>
  <si>
    <t>PERS_0713</t>
  </si>
  <si>
    <t>PERS_0714</t>
  </si>
  <si>
    <t>PERS_0715</t>
  </si>
  <si>
    <t>PERS_0716</t>
  </si>
  <si>
    <t>PERS_0717</t>
  </si>
  <si>
    <t>PERS_0718</t>
  </si>
  <si>
    <t>PERS_0719</t>
  </si>
  <si>
    <t>PERS_0720</t>
  </si>
  <si>
    <t>PERS_0721</t>
  </si>
  <si>
    <t>PERS_0722</t>
  </si>
  <si>
    <t>PERS_0723</t>
  </si>
  <si>
    <t>PERS_0724</t>
  </si>
  <si>
    <t>PERS_0725</t>
  </si>
  <si>
    <t>PERS_0726</t>
  </si>
  <si>
    <t>PERS_0727</t>
  </si>
  <si>
    <t>PERS_0728</t>
  </si>
  <si>
    <t>PERS_0729</t>
  </si>
  <si>
    <t>PERS_0730</t>
  </si>
  <si>
    <t>PERS_0731</t>
  </si>
  <si>
    <t>PERS_0732</t>
  </si>
  <si>
    <t>PERS_0733</t>
  </si>
  <si>
    <t>PERS_0734</t>
  </si>
  <si>
    <t>PERS_0735</t>
  </si>
  <si>
    <t>PERS_0736</t>
  </si>
  <si>
    <t>PERS_0737</t>
  </si>
  <si>
    <t>PERS_0738</t>
  </si>
  <si>
    <t>PERS_0739</t>
  </si>
  <si>
    <t>PERS_0740</t>
  </si>
  <si>
    <t>PERS_0741</t>
  </si>
  <si>
    <t>PERS_0742</t>
  </si>
  <si>
    <t>PERS_0743</t>
  </si>
  <si>
    <t>PERS_0744</t>
  </si>
  <si>
    <t>PERS_0745</t>
  </si>
  <si>
    <t>PERS_0746</t>
  </si>
  <si>
    <t>PERS_0747</t>
  </si>
  <si>
    <t>PERS_0748</t>
  </si>
  <si>
    <t>PERS_0749</t>
  </si>
  <si>
    <t>PERS_0750</t>
  </si>
  <si>
    <t>PERS_0751</t>
  </si>
  <si>
    <t>PERS_0752</t>
  </si>
  <si>
    <t>PERS_0753</t>
  </si>
  <si>
    <t>PERS_0754</t>
  </si>
  <si>
    <t>PERS_0755</t>
  </si>
  <si>
    <t>PERS_0756</t>
  </si>
  <si>
    <t>PERS_0757</t>
  </si>
  <si>
    <t>PERS_0758</t>
  </si>
  <si>
    <t>PERS_0759</t>
  </si>
  <si>
    <t>PERS_0760</t>
  </si>
  <si>
    <t>PERS_0761</t>
  </si>
  <si>
    <t>PERS_0762</t>
  </si>
  <si>
    <t>PERS_0763</t>
  </si>
  <si>
    <t>PERS_0764</t>
  </si>
  <si>
    <t>PERS_0765</t>
  </si>
  <si>
    <t>PERS_0766</t>
  </si>
  <si>
    <t>PERS_0767</t>
  </si>
  <si>
    <t>PERS_0768</t>
  </si>
  <si>
    <t>PERS_0769</t>
  </si>
  <si>
    <t>PERS_0770</t>
  </si>
  <si>
    <t>PERS_0771</t>
  </si>
  <si>
    <t>PERS_0772</t>
  </si>
  <si>
    <t>PERS_0773</t>
  </si>
  <si>
    <t>PERS_0774</t>
  </si>
  <si>
    <t>PERS_0775</t>
  </si>
  <si>
    <t>PERS_0776</t>
  </si>
  <si>
    <t>PERS_0777</t>
  </si>
  <si>
    <t>PERS_0778</t>
  </si>
  <si>
    <t>PERS_0779</t>
  </si>
  <si>
    <t>PERS_0780</t>
  </si>
  <si>
    <t>PERS_0781</t>
  </si>
  <si>
    <t>PERS_0782</t>
  </si>
  <si>
    <t>PERS_0783</t>
  </si>
  <si>
    <t>PERS_0784</t>
  </si>
  <si>
    <t>PERS_0785</t>
  </si>
  <si>
    <t>PERS_0786</t>
  </si>
  <si>
    <t>PERS_0787</t>
  </si>
  <si>
    <t>PERS_0788</t>
  </si>
  <si>
    <t>PERS_0789</t>
  </si>
  <si>
    <t>PERS_0790</t>
  </si>
  <si>
    <t>PERS_0791</t>
  </si>
  <si>
    <t>PERS_0792</t>
  </si>
  <si>
    <t>PERS_0793</t>
  </si>
  <si>
    <t>PERS_0794</t>
  </si>
  <si>
    <t>PERS_0795</t>
  </si>
  <si>
    <t>PERS_0796</t>
  </si>
  <si>
    <t>PERS_0797</t>
  </si>
  <si>
    <t>PERS_0798</t>
  </si>
  <si>
    <t>PERS_0799</t>
  </si>
  <si>
    <t>PERS_0800</t>
  </si>
  <si>
    <t>PERS_0801</t>
  </si>
  <si>
    <t>PERS_0802</t>
  </si>
  <si>
    <t>PERS_0803</t>
  </si>
  <si>
    <t>PERS_0804</t>
  </si>
  <si>
    <t>PERS_0805</t>
  </si>
  <si>
    <t>PERS_0806</t>
  </si>
  <si>
    <t>PERS_0807</t>
  </si>
  <si>
    <t>PERS_0808</t>
  </si>
  <si>
    <t>PERS_0809</t>
  </si>
  <si>
    <t>PERS_0810</t>
  </si>
  <si>
    <t>PERS_0811</t>
  </si>
  <si>
    <t>PERS_0812</t>
  </si>
  <si>
    <t>PERS_0813</t>
  </si>
  <si>
    <t>PERS_0814</t>
  </si>
  <si>
    <t>PERS_0815</t>
  </si>
  <si>
    <t>PERS_0816</t>
  </si>
  <si>
    <t>PERS_0817</t>
  </si>
  <si>
    <t>PERS_0818</t>
  </si>
  <si>
    <t>PERS_0819</t>
  </si>
  <si>
    <t>PERS_0820</t>
  </si>
  <si>
    <t>PERS_0821</t>
  </si>
  <si>
    <t>PERS_0822</t>
  </si>
  <si>
    <t>PERS_0823</t>
  </si>
  <si>
    <t>PERS_0824</t>
  </si>
  <si>
    <t>PERS_0825</t>
  </si>
  <si>
    <t>PERS_0826</t>
  </si>
  <si>
    <t>PERS_0827</t>
  </si>
  <si>
    <t>PERS_0828</t>
  </si>
  <si>
    <t>PERS_0829</t>
  </si>
  <si>
    <t>PERS_0830</t>
  </si>
  <si>
    <t>PERS_0831</t>
  </si>
  <si>
    <t>PERS_0832</t>
  </si>
  <si>
    <t>PERS_0833</t>
  </si>
  <si>
    <t>PERS_0834</t>
  </si>
  <si>
    <t>PERS_0835</t>
  </si>
  <si>
    <t>PERS_0836</t>
  </si>
  <si>
    <t>PERS_0837</t>
  </si>
  <si>
    <t>PERS_0838</t>
  </si>
  <si>
    <t>PERS_0839</t>
  </si>
  <si>
    <t>PERS_0840</t>
  </si>
  <si>
    <t>PERS_0841</t>
  </si>
  <si>
    <t>PERS_0842</t>
  </si>
  <si>
    <t>PERS_0843</t>
  </si>
  <si>
    <t>PERS_0844</t>
  </si>
  <si>
    <t>PERS_0845</t>
  </si>
  <si>
    <t>PERS_0846</t>
  </si>
  <si>
    <t>PERS_0847</t>
  </si>
  <si>
    <t>PERS_0848</t>
  </si>
  <si>
    <t>PERS_0849</t>
  </si>
  <si>
    <t>PERS_0850</t>
  </si>
  <si>
    <t>PERS_0851</t>
  </si>
  <si>
    <t>PERS_0852</t>
  </si>
  <si>
    <t>PERS_0853</t>
  </si>
  <si>
    <t>PERS_0854</t>
  </si>
  <si>
    <t>PERS_0855</t>
  </si>
  <si>
    <t>PERS_0856</t>
  </si>
  <si>
    <t>PERS_0857</t>
  </si>
  <si>
    <t>PERS_0858</t>
  </si>
  <si>
    <t>PERS_0859</t>
  </si>
  <si>
    <t>PERS_0860</t>
  </si>
  <si>
    <t>PERS_0861</t>
  </si>
  <si>
    <t>PERS_0862</t>
  </si>
  <si>
    <t>PERS_0863</t>
  </si>
  <si>
    <t>PERS_0864</t>
  </si>
  <si>
    <t>PERS_0865</t>
  </si>
  <si>
    <t>PERS_0866</t>
  </si>
  <si>
    <t>PERS_0867</t>
  </si>
  <si>
    <t>PERS_0868</t>
  </si>
  <si>
    <t>PERS_0869</t>
  </si>
  <si>
    <t>PERS_0870</t>
  </si>
  <si>
    <t>PERS_0871</t>
  </si>
  <si>
    <t>PERS_0872</t>
  </si>
  <si>
    <t>PERS_0873</t>
  </si>
  <si>
    <t>PERS_0874</t>
  </si>
  <si>
    <t>PERS_0875</t>
  </si>
  <si>
    <t>PERS_0876</t>
  </si>
  <si>
    <t>PERS_0877</t>
  </si>
  <si>
    <t>PERS_0878</t>
  </si>
  <si>
    <t>PERS_0879</t>
  </si>
  <si>
    <t>PERS_0880</t>
  </si>
  <si>
    <t>PERS_0881</t>
  </si>
  <si>
    <t>PERS_0882</t>
  </si>
  <si>
    <t>PERS_0883</t>
  </si>
  <si>
    <t>PERS_0884</t>
  </si>
  <si>
    <t>PERS_0885</t>
  </si>
  <si>
    <t>PERS_0886</t>
  </si>
  <si>
    <t>PERS_0887</t>
  </si>
  <si>
    <t>PERS_0888</t>
  </si>
  <si>
    <t>PERS_0889</t>
  </si>
  <si>
    <t>PERS_0890</t>
  </si>
  <si>
    <t>PERS_0891</t>
  </si>
  <si>
    <t>PERS_0892</t>
  </si>
  <si>
    <t>PERS_0893</t>
  </si>
  <si>
    <t>CON_DB_0306</t>
  </si>
  <si>
    <t>CON_DB_0307</t>
  </si>
  <si>
    <t>CON_DB_0308</t>
  </si>
  <si>
    <t>CON_DB_0309</t>
  </si>
  <si>
    <t>CON_DB_0310</t>
  </si>
  <si>
    <t>CON_DB_0311</t>
  </si>
  <si>
    <t>CON_DB_0312</t>
  </si>
  <si>
    <t>CON_DB_0313</t>
  </si>
  <si>
    <t>CON_DB_0314</t>
  </si>
  <si>
    <t>CON_DB_0315</t>
  </si>
  <si>
    <t>CON_DB_0316</t>
  </si>
  <si>
    <t>CON_DB_0317</t>
  </si>
  <si>
    <t>CON_DB_0318</t>
  </si>
  <si>
    <t>CON_DB_0319</t>
  </si>
  <si>
    <t>CON_DB_0320</t>
  </si>
  <si>
    <t>CON_DB_0321</t>
  </si>
  <si>
    <t>CON_DB_0322</t>
  </si>
  <si>
    <t>CON_DB_0323</t>
  </si>
  <si>
    <t>CON_DB_0324</t>
  </si>
  <si>
    <t>CON_DB_0325</t>
  </si>
  <si>
    <t>CON_DB_0326</t>
  </si>
  <si>
    <t>CON_DB_0327</t>
  </si>
  <si>
    <t>CON_DB_0328</t>
  </si>
  <si>
    <t>CON_DB_0329</t>
  </si>
  <si>
    <t>CON_DB_0330</t>
  </si>
  <si>
    <t>CON_DB_0331</t>
  </si>
  <si>
    <t>CON_DB_0332</t>
  </si>
  <si>
    <t>CON_DB_0333</t>
  </si>
  <si>
    <t>CON_DB_0334</t>
  </si>
  <si>
    <t>CON_DB_0335</t>
  </si>
  <si>
    <t>CON_DB_0336</t>
  </si>
  <si>
    <t>CON_DB_0337</t>
  </si>
  <si>
    <t>CON_DB_0338</t>
  </si>
  <si>
    <t>CON_DB_0339</t>
  </si>
  <si>
    <t>CON_DB_0340</t>
  </si>
  <si>
    <t>CON_DB_0341</t>
  </si>
  <si>
    <t>CON_DB_0342</t>
  </si>
  <si>
    <t>CON_DB_0343</t>
  </si>
  <si>
    <t>CON_DB_0344</t>
  </si>
  <si>
    <t>CON_DB_0345</t>
  </si>
  <si>
    <t>CON_DB_0346</t>
  </si>
  <si>
    <t>CON_DB_0347</t>
  </si>
  <si>
    <t>CON_DB_0348</t>
  </si>
  <si>
    <t>CON_DB_0349</t>
  </si>
  <si>
    <t>CON_DB_0350</t>
  </si>
  <si>
    <t>CON_DB_0351</t>
  </si>
  <si>
    <t>CON_DB_0352</t>
  </si>
  <si>
    <t>CON_DB_0353</t>
  </si>
  <si>
    <t>CON_DB_0354</t>
  </si>
  <si>
    <t>CON_DB_0355</t>
  </si>
  <si>
    <t>CON_DB_0356</t>
  </si>
  <si>
    <t>CON_DB_0357</t>
  </si>
  <si>
    <t>CON_DB_0358</t>
  </si>
  <si>
    <t>CON_DB_0359</t>
  </si>
  <si>
    <t>CON_DB_0360</t>
  </si>
  <si>
    <t>CON_DB_0361</t>
  </si>
  <si>
    <t>CON_DB_0362</t>
  </si>
  <si>
    <t>CON_DB_0363</t>
  </si>
  <si>
    <t>CON_DB_0364</t>
  </si>
  <si>
    <t>CON_DB_0365</t>
  </si>
  <si>
    <t>CON_DB_0366</t>
  </si>
  <si>
    <t>CON_DB_0367</t>
  </si>
  <si>
    <t>CON_DB_0368</t>
  </si>
  <si>
    <t>CON_DB_0369</t>
  </si>
  <si>
    <t>CON_DB_0594</t>
  </si>
  <si>
    <t>CON_DB_0595</t>
  </si>
  <si>
    <t>CON_DB_0596</t>
  </si>
  <si>
    <t>CON_DB_0597</t>
  </si>
  <si>
    <t>CON_DB_0598</t>
  </si>
  <si>
    <t>CON_DB_0599</t>
  </si>
  <si>
    <t>CON_DB_0600</t>
  </si>
  <si>
    <t>CON_DB_0601</t>
  </si>
  <si>
    <t>CON_DB_0602</t>
  </si>
  <si>
    <t>CON_DB_0603</t>
  </si>
  <si>
    <t>CON_DB_0604</t>
  </si>
  <si>
    <t>CON_DB_0605</t>
  </si>
  <si>
    <t>CON_DB_0606</t>
  </si>
  <si>
    <t>CON_DB_0607</t>
  </si>
  <si>
    <t>CON_DB_0608</t>
  </si>
  <si>
    <t>CON_DB_0609</t>
  </si>
  <si>
    <t>CON_DB_0610</t>
  </si>
  <si>
    <t>CON_DB_0611</t>
  </si>
  <si>
    <t>CON_DB_0612</t>
  </si>
  <si>
    <t>CON_DB_0613</t>
  </si>
  <si>
    <t>CON_DB_0614</t>
  </si>
  <si>
    <t>CON_DB_0615</t>
  </si>
  <si>
    <t>CON_DB_0616</t>
  </si>
  <si>
    <t>CON_DB_0617</t>
  </si>
  <si>
    <t>CON_DB_0618</t>
  </si>
  <si>
    <t>CON_DB_0619</t>
  </si>
  <si>
    <t>CON_DB_0620</t>
  </si>
  <si>
    <t>CON_DB_0621</t>
  </si>
  <si>
    <t>CON_DB_0622</t>
  </si>
  <si>
    <t>CON_DB_0623</t>
  </si>
  <si>
    <t>CON_DB_0624</t>
  </si>
  <si>
    <t>CON_DB_0625</t>
  </si>
  <si>
    <t>CON_DB_0626</t>
  </si>
  <si>
    <t>CON_DB_0627</t>
  </si>
  <si>
    <t>CON_DB_0628</t>
  </si>
  <si>
    <t>CON_DB_0629</t>
  </si>
  <si>
    <t>CON_DB_0630</t>
  </si>
  <si>
    <t>CON_DB_0631</t>
  </si>
  <si>
    <t>CON_DB_0632</t>
  </si>
  <si>
    <t>CON_DB_0633</t>
  </si>
  <si>
    <t>CON_DB_0634</t>
  </si>
  <si>
    <t>CON_DB_0635</t>
  </si>
  <si>
    <t>CON_DB_0636</t>
  </si>
  <si>
    <t>CON_DB_0637</t>
  </si>
  <si>
    <t>CON_DB_0638</t>
  </si>
  <si>
    <t>CON_DB_0639</t>
  </si>
  <si>
    <t>CON_DB_0640</t>
  </si>
  <si>
    <t>CON_DB_0641</t>
  </si>
  <si>
    <t>CON_DB_0642</t>
  </si>
  <si>
    <t>CON_DB_0643</t>
  </si>
  <si>
    <t>CON_DB_0644</t>
  </si>
  <si>
    <t>CON_DB_0645</t>
  </si>
  <si>
    <t>CON_DB_0646</t>
  </si>
  <si>
    <t>CON_DB_0647</t>
  </si>
  <si>
    <t>CON_DB_0648</t>
  </si>
  <si>
    <t>CON_DB_0649</t>
  </si>
  <si>
    <t>CON_DB_0650</t>
  </si>
  <si>
    <t>CON_DB_0651</t>
  </si>
  <si>
    <t>CON_DB_0652</t>
  </si>
  <si>
    <t>CON_DB_0653</t>
  </si>
  <si>
    <t>CON_DB_0654</t>
  </si>
  <si>
    <t>CON_DB_0655</t>
  </si>
  <si>
    <t>CON_DB_0656</t>
  </si>
  <si>
    <t>CON_DB_0657</t>
  </si>
  <si>
    <t>Tampa 2 (Kiffin)</t>
  </si>
  <si>
    <t>Cover 3 (Carroll)</t>
  </si>
  <si>
    <t>Cover 4 Match (Saban)</t>
  </si>
  <si>
    <t>Two-High Match (Fangio)</t>
  </si>
  <si>
    <t>Zone Blitz (LeBeau)</t>
  </si>
  <si>
    <t>Nickel Pressure (Buddy Ryan)</t>
  </si>
  <si>
    <t>CON_WRRB_0466</t>
  </si>
  <si>
    <t>CON_WRRB_0467</t>
  </si>
  <si>
    <t>CON_WRRB_0468</t>
  </si>
  <si>
    <t>CON_WRRB_0469</t>
  </si>
  <si>
    <t>CON_WRRB_0470</t>
  </si>
  <si>
    <t>CON_WRRB_0471</t>
  </si>
  <si>
    <t>CON_WRRB_0472</t>
  </si>
  <si>
    <t>CON_WRRB_0473</t>
  </si>
  <si>
    <t>CON_WRRB_0474</t>
  </si>
  <si>
    <t>CON_WRRB_0475</t>
  </si>
  <si>
    <t>CON_WRRB_0476</t>
  </si>
  <si>
    <t>CON_WRRB_0477</t>
  </si>
  <si>
    <t>CON_WRRB_0478</t>
  </si>
  <si>
    <t>CON_WRRB_0479</t>
  </si>
  <si>
    <t>CON_WRRB_0480</t>
  </si>
  <si>
    <t>CON_WRRB_0481</t>
  </si>
  <si>
    <t>CON_WRRB_0482</t>
  </si>
  <si>
    <t>CON_WRRB_0483</t>
  </si>
  <si>
    <t>CON_WRRB_0484</t>
  </si>
  <si>
    <t>CON_WRRB_0485</t>
  </si>
  <si>
    <t>CON_WRRB_0486</t>
  </si>
  <si>
    <t>CON_WRRB_0487</t>
  </si>
  <si>
    <t>CON_WRRB_0488</t>
  </si>
  <si>
    <t>CON_WRRB_0489</t>
  </si>
  <si>
    <t>CON_WRRB_0490</t>
  </si>
  <si>
    <t>CON_WRRB_0491</t>
  </si>
  <si>
    <t>CON_WRRB_0492</t>
  </si>
  <si>
    <t>CON_WRRB_0493</t>
  </si>
  <si>
    <t>CON_WRRB_0494</t>
  </si>
  <si>
    <t>CON_WRRB_0495</t>
  </si>
  <si>
    <t>CON_WRRB_0496</t>
  </si>
  <si>
    <t>CON_WRRB_0497</t>
  </si>
  <si>
    <t>Aggressive / Block-Oriented</t>
  </si>
  <si>
    <t>Return-Focused</t>
  </si>
  <si>
    <t>Coverage-First</t>
  </si>
  <si>
    <t>Shanahan Outside Zone</t>
  </si>
  <si>
    <t>Air Raid</t>
  </si>
  <si>
    <t>Chip Kelly RPO</t>
  </si>
  <si>
    <t>Urban Meyer Spread</t>
  </si>
  <si>
    <t>Vertical Passing</t>
  </si>
  <si>
    <t>Pro Style Balanced</t>
  </si>
  <si>
    <t>Power / Gap (Landry)</t>
  </si>
  <si>
    <t>West Coast (Walsh)</t>
  </si>
  <si>
    <t>4–3 Base (Noll)</t>
  </si>
  <si>
    <t>3–4 Base (Bum Phillips)</t>
  </si>
  <si>
    <t>46 Defense (Bears)</t>
  </si>
  <si>
    <t>Hybrid Multiple Front</t>
  </si>
  <si>
    <t>47 Defense (Bears)</t>
  </si>
  <si>
    <t>Column1</t>
  </si>
  <si>
    <t>CON_QB_0370</t>
  </si>
  <si>
    <t>CON_QB_0371</t>
  </si>
  <si>
    <t>CON_QB_0372</t>
  </si>
  <si>
    <t>CON_QB_0373</t>
  </si>
  <si>
    <t>CON_QB_0374</t>
  </si>
  <si>
    <t>CON_QB_0375</t>
  </si>
  <si>
    <t>CON_QB_0376</t>
  </si>
  <si>
    <t>CON_QB_0377</t>
  </si>
  <si>
    <t>CON_QB_0378</t>
  </si>
  <si>
    <t>CON_QB_0379</t>
  </si>
  <si>
    <t>CON_QB_0380</t>
  </si>
  <si>
    <t>CON_QB_0381</t>
  </si>
  <si>
    <t>CON_QB_0382</t>
  </si>
  <si>
    <t>CON_QB_0383</t>
  </si>
  <si>
    <t>CON_QB_0384</t>
  </si>
  <si>
    <t>CON_QB_0385</t>
  </si>
  <si>
    <t>CON_QB_0386</t>
  </si>
  <si>
    <t>CON_QB_0387</t>
  </si>
  <si>
    <t>CON_QB_0388</t>
  </si>
  <si>
    <t>CON_QB_0389</t>
  </si>
  <si>
    <t>CON_QB_0390</t>
  </si>
  <si>
    <t>CON_QB_0391</t>
  </si>
  <si>
    <t>CON_QB_0392</t>
  </si>
  <si>
    <t>CON_QB_0393</t>
  </si>
  <si>
    <t>CON_QB_0394</t>
  </si>
  <si>
    <t>CON_QB_0395</t>
  </si>
  <si>
    <t>CON_QB_0396</t>
  </si>
  <si>
    <t>CON_QB_0397</t>
  </si>
  <si>
    <t>CON_QB_0398</t>
  </si>
  <si>
    <t>CON_QB_0399</t>
  </si>
  <si>
    <t>CON_QB_0400</t>
  </si>
  <si>
    <t>CON_QB_0401</t>
  </si>
  <si>
    <t>CON_QB_0402</t>
  </si>
  <si>
    <t>CON_QB_0403</t>
  </si>
  <si>
    <t>CON_QB_0404</t>
  </si>
  <si>
    <t>CON_QB_0405</t>
  </si>
  <si>
    <t>CON_QB_0406</t>
  </si>
  <si>
    <t>CON_QB_0407</t>
  </si>
  <si>
    <t>CON_QB_0408</t>
  </si>
  <si>
    <t>CON_QB_0409</t>
  </si>
  <si>
    <t>CON_QB_0410</t>
  </si>
  <si>
    <t>CON_QB_0411</t>
  </si>
  <si>
    <t>CON_QB_0412</t>
  </si>
  <si>
    <t>CON_QB_0413</t>
  </si>
  <si>
    <t>CON_QB_0414</t>
  </si>
  <si>
    <t>CON_QB_0415</t>
  </si>
  <si>
    <t>CON_QB_0416</t>
  </si>
  <si>
    <t>CON_QB_0417</t>
  </si>
  <si>
    <t>CON_QB_0418</t>
  </si>
  <si>
    <t>CON_QB_0419</t>
  </si>
  <si>
    <t>CON_QB_0420</t>
  </si>
  <si>
    <t>CON_QB_0421</t>
  </si>
  <si>
    <t>CON_QB_0422</t>
  </si>
  <si>
    <t>CON_QB_0423</t>
  </si>
  <si>
    <t>CON_QB_0424</t>
  </si>
  <si>
    <t>CON_QB_0425</t>
  </si>
  <si>
    <t>CON_QB_0426</t>
  </si>
  <si>
    <t>CON_QB_0427</t>
  </si>
  <si>
    <t>CON_QB_0428</t>
  </si>
  <si>
    <t>CON_QB_0429</t>
  </si>
  <si>
    <t>CON_QB_0430</t>
  </si>
  <si>
    <t>CON_QB_0431</t>
  </si>
  <si>
    <t>CON_QB_0432</t>
  </si>
  <si>
    <t>CON_QB_0433</t>
  </si>
  <si>
    <t>CON_LB_0434</t>
  </si>
  <si>
    <t>CON_LB_0435</t>
  </si>
  <si>
    <t>CON_LB_0436</t>
  </si>
  <si>
    <t>CON_LB_0437</t>
  </si>
  <si>
    <t>CON_LB_0438</t>
  </si>
  <si>
    <t>CON_LB_0439</t>
  </si>
  <si>
    <t>CON_LB_0440</t>
  </si>
  <si>
    <t>CON_LB_0441</t>
  </si>
  <si>
    <t>CON_LB_0442</t>
  </si>
  <si>
    <t>CON_LB_0443</t>
  </si>
  <si>
    <t>CON_LB_0444</t>
  </si>
  <si>
    <t>CON_LB_0445</t>
  </si>
  <si>
    <t>CON_LB_0446</t>
  </si>
  <si>
    <t>CON_LB_0447</t>
  </si>
  <si>
    <t>CON_LB_0448</t>
  </si>
  <si>
    <t>CON_LB_0449</t>
  </si>
  <si>
    <t>CON_LB_0450</t>
  </si>
  <si>
    <t>CON_LB_0451</t>
  </si>
  <si>
    <t>CON_LB_0452</t>
  </si>
  <si>
    <t>CON_LB_0453</t>
  </si>
  <si>
    <t>CON_LB_0454</t>
  </si>
  <si>
    <t>CON_LB_0455</t>
  </si>
  <si>
    <t>CON_LB_0456</t>
  </si>
  <si>
    <t>CON_LB_0457</t>
  </si>
  <si>
    <t>CON_LB_0458</t>
  </si>
  <si>
    <t>CON_LB_0459</t>
  </si>
  <si>
    <t>CON_LB_0460</t>
  </si>
  <si>
    <t>CON_LB_0461</t>
  </si>
  <si>
    <t>CON_LB_0462</t>
  </si>
  <si>
    <t>CON_LB_0463</t>
  </si>
  <si>
    <t>CON_LB_0464</t>
  </si>
  <si>
    <t>CON_LB_0465</t>
  </si>
  <si>
    <t>CON_OL_0498</t>
  </si>
  <si>
    <t>CON_OL_0499</t>
  </si>
  <si>
    <t>CON_OL_0500</t>
  </si>
  <si>
    <t>CON_OL_0501</t>
  </si>
  <si>
    <t>CON_OL_0502</t>
  </si>
  <si>
    <t>CON_OL_0503</t>
  </si>
  <si>
    <t>CON_OL_0504</t>
  </si>
  <si>
    <t>CON_OL_0505</t>
  </si>
  <si>
    <t>CON_OL_0506</t>
  </si>
  <si>
    <t>CON_OL_0507</t>
  </si>
  <si>
    <t>CON_OL_0508</t>
  </si>
  <si>
    <t>CON_OL_0509</t>
  </si>
  <si>
    <t>CON_OL_0510</t>
  </si>
  <si>
    <t>CON_OL_0511</t>
  </si>
  <si>
    <t>CON_OL_0512</t>
  </si>
  <si>
    <t>CON_OL_0513</t>
  </si>
  <si>
    <t>CON_OL_0514</t>
  </si>
  <si>
    <t>CON_OL_0515</t>
  </si>
  <si>
    <t>CON_OL_0516</t>
  </si>
  <si>
    <t>CON_OL_0517</t>
  </si>
  <si>
    <t>CON_OL_0518</t>
  </si>
  <si>
    <t>CON_OL_0519</t>
  </si>
  <si>
    <t>CON_OL_0520</t>
  </si>
  <si>
    <t>CON_OL_0521</t>
  </si>
  <si>
    <t>CON_OL_0522</t>
  </si>
  <si>
    <t>CON_OL_0523</t>
  </si>
  <si>
    <t>CON_OL_0524</t>
  </si>
  <si>
    <t>CON_OL_0525</t>
  </si>
  <si>
    <t>CON_OL_0526</t>
  </si>
  <si>
    <t>CON_OL_0527</t>
  </si>
  <si>
    <t>CON_OL_0528</t>
  </si>
  <si>
    <t>CON_OL_0529</t>
  </si>
  <si>
    <t>CON_DL_0530</t>
  </si>
  <si>
    <t>CON_DL_0531</t>
  </si>
  <si>
    <t>CON_DL_0532</t>
  </si>
  <si>
    <t>CON_DL_0533</t>
  </si>
  <si>
    <t>CON_DL_0534</t>
  </si>
  <si>
    <t>CON_DL_0535</t>
  </si>
  <si>
    <t>CON_DL_0536</t>
  </si>
  <si>
    <t>CON_DL_0537</t>
  </si>
  <si>
    <t>CON_DL_0538</t>
  </si>
  <si>
    <t>CON_DL_0539</t>
  </si>
  <si>
    <t>CON_DL_0540</t>
  </si>
  <si>
    <t>CON_DL_0541</t>
  </si>
  <si>
    <t>CON_DL_0542</t>
  </si>
  <si>
    <t>CON_DL_0543</t>
  </si>
  <si>
    <t>CON_DL_0544</t>
  </si>
  <si>
    <t>CON_DL_0545</t>
  </si>
  <si>
    <t>CON_DL_0546</t>
  </si>
  <si>
    <t>CON_DL_0547</t>
  </si>
  <si>
    <t>CON_DL_0548</t>
  </si>
  <si>
    <t>CON_DL_0549</t>
  </si>
  <si>
    <t>CON_DL_0550</t>
  </si>
  <si>
    <t>CON_DL_0551</t>
  </si>
  <si>
    <t>CON_DL_0552</t>
  </si>
  <si>
    <t>CON_DL_0553</t>
  </si>
  <si>
    <t>CON_DL_0554</t>
  </si>
  <si>
    <t>CON_DL_0555</t>
  </si>
  <si>
    <t>CON_DL_0556</t>
  </si>
  <si>
    <t>CON_DL_0557</t>
  </si>
  <si>
    <t>CON_DL_0558</t>
  </si>
  <si>
    <t>CON_DL_0559</t>
  </si>
  <si>
    <t>CON_DL_0560</t>
  </si>
  <si>
    <t>CON_DL_0561</t>
  </si>
  <si>
    <t>CON_ST_0562</t>
  </si>
  <si>
    <t>CON_ST_0563</t>
  </si>
  <si>
    <t>CON_ST_0564</t>
  </si>
  <si>
    <t>CON_ST_0565</t>
  </si>
  <si>
    <t>CON_ST_0566</t>
  </si>
  <si>
    <t>CON_ST_0567</t>
  </si>
  <si>
    <t>CON_ST_0568</t>
  </si>
  <si>
    <t>CON_ST_0569</t>
  </si>
  <si>
    <t>CON_ST_0570</t>
  </si>
  <si>
    <t>CON_ST_0571</t>
  </si>
  <si>
    <t>CON_ST_0572</t>
  </si>
  <si>
    <t>CON_ST_0573</t>
  </si>
  <si>
    <t>CON_ST_0574</t>
  </si>
  <si>
    <t>CON_ST_0575</t>
  </si>
  <si>
    <t>CON_ST_0576</t>
  </si>
  <si>
    <t>CON_ST_0577</t>
  </si>
  <si>
    <t>CON_ST_0578</t>
  </si>
  <si>
    <t>CON_ST_0579</t>
  </si>
  <si>
    <t>CON_ST_0580</t>
  </si>
  <si>
    <t>CON_ST_0581</t>
  </si>
  <si>
    <t>CON_ST_0582</t>
  </si>
  <si>
    <t>CON_ST_0583</t>
  </si>
  <si>
    <t>CON_ST_0584</t>
  </si>
  <si>
    <t>CON_ST_0585</t>
  </si>
  <si>
    <t>CON_ST_0586</t>
  </si>
  <si>
    <t>CON_ST_0587</t>
  </si>
  <si>
    <t>CON_ST_0588</t>
  </si>
  <si>
    <t>CON_ST_0589</t>
  </si>
  <si>
    <t>CON_ST_0590</t>
  </si>
  <si>
    <t>CON_ST_0591</t>
  </si>
  <si>
    <t>CON_ST_0592</t>
  </si>
  <si>
    <t>CON_ST_0593</t>
  </si>
  <si>
    <t>CON_QB_0658</t>
  </si>
  <si>
    <t>CON_QB_0659</t>
  </si>
  <si>
    <t>CON_QB_0660</t>
  </si>
  <si>
    <t>CON_QB_0661</t>
  </si>
  <si>
    <t>CON_QB_0662</t>
  </si>
  <si>
    <t>CON_QB_0663</t>
  </si>
  <si>
    <t>CON_QB_0664</t>
  </si>
  <si>
    <t>CON_QB_0665</t>
  </si>
  <si>
    <t>CON_QB_0666</t>
  </si>
  <si>
    <t>CON_QB_0667</t>
  </si>
  <si>
    <t>CON_QB_0668</t>
  </si>
  <si>
    <t>CON_QB_0669</t>
  </si>
  <si>
    <t>CON_QB_0670</t>
  </si>
  <si>
    <t>CON_QB_0671</t>
  </si>
  <si>
    <t>CON_QB_0672</t>
  </si>
  <si>
    <t>CON_QB_0673</t>
  </si>
  <si>
    <t>CON_QB_0674</t>
  </si>
  <si>
    <t>CON_QB_0675</t>
  </si>
  <si>
    <t>CON_QB_0676</t>
  </si>
  <si>
    <t>CON_QB_0677</t>
  </si>
  <si>
    <t>CON_QB_0678</t>
  </si>
  <si>
    <t>CON_QB_0679</t>
  </si>
  <si>
    <t>CON_QB_0680</t>
  </si>
  <si>
    <t>CON_QB_0681</t>
  </si>
  <si>
    <t>CON_QB_0682</t>
  </si>
  <si>
    <t>CON_QB_0683</t>
  </si>
  <si>
    <t>CON_QB_0684</t>
  </si>
  <si>
    <t>CON_QB_0685</t>
  </si>
  <si>
    <t>CON_QB_0686</t>
  </si>
  <si>
    <t>CON_QB_0687</t>
  </si>
  <si>
    <t>CON_QB_0688</t>
  </si>
  <si>
    <t>CON_QB_0689</t>
  </si>
  <si>
    <t>CON_QB_0690</t>
  </si>
  <si>
    <t>CON_QB_0691</t>
  </si>
  <si>
    <t>CON_QB_0692</t>
  </si>
  <si>
    <t>CON_QB_0693</t>
  </si>
  <si>
    <t>CON_QB_0694</t>
  </si>
  <si>
    <t>CON_QB_0695</t>
  </si>
  <si>
    <t>CON_QB_0696</t>
  </si>
  <si>
    <t>CON_QB_0697</t>
  </si>
  <si>
    <t>CON_QB_0698</t>
  </si>
  <si>
    <t>CON_QB_0699</t>
  </si>
  <si>
    <t>CON_QB_0700</t>
  </si>
  <si>
    <t>CON_QB_0701</t>
  </si>
  <si>
    <t>CON_QB_0702</t>
  </si>
  <si>
    <t>CON_QB_0703</t>
  </si>
  <si>
    <t>CON_QB_0704</t>
  </si>
  <si>
    <t>CON_QB_0705</t>
  </si>
  <si>
    <t>CON_QB_0706</t>
  </si>
  <si>
    <t>CON_QB_0707</t>
  </si>
  <si>
    <t>CON_QB_0708</t>
  </si>
  <si>
    <t>CON_QB_0709</t>
  </si>
  <si>
    <t>CON_QB_0710</t>
  </si>
  <si>
    <t>CON_QB_0711</t>
  </si>
  <si>
    <t>CON_QB_0712</t>
  </si>
  <si>
    <t>CON_QB_0713</t>
  </si>
  <si>
    <t>CON_QB_0714</t>
  </si>
  <si>
    <t>CON_QB_0715</t>
  </si>
  <si>
    <t>CON_QB_0716</t>
  </si>
  <si>
    <t>CON_QB_0717</t>
  </si>
  <si>
    <t>CON_QB_0718</t>
  </si>
  <si>
    <t>CON_QB_0719</t>
  </si>
  <si>
    <t>CON_QB_0720</t>
  </si>
  <si>
    <t>CON_QB_0721</t>
  </si>
  <si>
    <t>CON_LB_0722</t>
  </si>
  <si>
    <t>CON_LB_0723</t>
  </si>
  <si>
    <t>CON_LB_0724</t>
  </si>
  <si>
    <t>CON_LB_0725</t>
  </si>
  <si>
    <t>CON_LB_0726</t>
  </si>
  <si>
    <t>CON_LB_0727</t>
  </si>
  <si>
    <t>CON_LB_0728</t>
  </si>
  <si>
    <t>CON_LB_0729</t>
  </si>
  <si>
    <t>CON_LB_0730</t>
  </si>
  <si>
    <t>CON_LB_0731</t>
  </si>
  <si>
    <t>CON_LB_0732</t>
  </si>
  <si>
    <t>CON_LB_0733</t>
  </si>
  <si>
    <t>CON_LB_0734</t>
  </si>
  <si>
    <t>CON_LB_0735</t>
  </si>
  <si>
    <t>CON_LB_0736</t>
  </si>
  <si>
    <t>CON_LB_0737</t>
  </si>
  <si>
    <t>CON_LB_0738</t>
  </si>
  <si>
    <t>CON_LB_0739</t>
  </si>
  <si>
    <t>CON_LB_0740</t>
  </si>
  <si>
    <t>CON_LB_0741</t>
  </si>
  <si>
    <t>CON_LB_0742</t>
  </si>
  <si>
    <t>CON_LB_0743</t>
  </si>
  <si>
    <t>CON_LB_0744</t>
  </si>
  <si>
    <t>CON_LB_0745</t>
  </si>
  <si>
    <t>CON_LB_0746</t>
  </si>
  <si>
    <t>CON_LB_0747</t>
  </si>
  <si>
    <t>CON_LB_0748</t>
  </si>
  <si>
    <t>CON_LB_0749</t>
  </si>
  <si>
    <t>CON_LB_0750</t>
  </si>
  <si>
    <t>CON_LB_0751</t>
  </si>
  <si>
    <t>CON_LB_0752</t>
  </si>
  <si>
    <t>CON_LB_0753</t>
  </si>
  <si>
    <t>CON_WR_0754</t>
  </si>
  <si>
    <t>CON_WR_0755</t>
  </si>
  <si>
    <t>CON_WR_0756</t>
  </si>
  <si>
    <t>CON_WR_0757</t>
  </si>
  <si>
    <t>CON_WR_0758</t>
  </si>
  <si>
    <t>CON_WR_0759</t>
  </si>
  <si>
    <t>CON_WR_0760</t>
  </si>
  <si>
    <t>CON_WR_0761</t>
  </si>
  <si>
    <t>CON_WR_0762</t>
  </si>
  <si>
    <t>CON_WR_0763</t>
  </si>
  <si>
    <t>CON_WR_0764</t>
  </si>
  <si>
    <t>CON_WR_0765</t>
  </si>
  <si>
    <t>CON_WR_0766</t>
  </si>
  <si>
    <t>CON_WR_0767</t>
  </si>
  <si>
    <t>CON_WR_0768</t>
  </si>
  <si>
    <t>CON_WR_0769</t>
  </si>
  <si>
    <t>CON_WR_0770</t>
  </si>
  <si>
    <t>CON_WR_0771</t>
  </si>
  <si>
    <t>CON_WR_0772</t>
  </si>
  <si>
    <t>CON_WR_0773</t>
  </si>
  <si>
    <t>CON_WR_0774</t>
  </si>
  <si>
    <t>CON_WR_0775</t>
  </si>
  <si>
    <t>CON_WR_0776</t>
  </si>
  <si>
    <t>CON_WR_0777</t>
  </si>
  <si>
    <t>CON_WR_0778</t>
  </si>
  <si>
    <t>CON_WR_0779</t>
  </si>
  <si>
    <t>CON_WR_0780</t>
  </si>
  <si>
    <t>CON_WR_0781</t>
  </si>
  <si>
    <t>CON_WR_0782</t>
  </si>
  <si>
    <t>CON_WR_0783</t>
  </si>
  <si>
    <t>CON_WR_0784</t>
  </si>
  <si>
    <t>CON_WR_0785</t>
  </si>
  <si>
    <t>CON_OL_0786</t>
  </si>
  <si>
    <t>CON_OL_0787</t>
  </si>
  <si>
    <t>CON_OL_0788</t>
  </si>
  <si>
    <t>CON_OL_0789</t>
  </si>
  <si>
    <t>CON_OL_0790</t>
  </si>
  <si>
    <t>CON_OL_0791</t>
  </si>
  <si>
    <t>CON_OL_0792</t>
  </si>
  <si>
    <t>CON_OL_0793</t>
  </si>
  <si>
    <t>CON_OL_0794</t>
  </si>
  <si>
    <t>CON_OL_0795</t>
  </si>
  <si>
    <t>CON_OL_0796</t>
  </si>
  <si>
    <t>CON_OL_0797</t>
  </si>
  <si>
    <t>CON_OL_0798</t>
  </si>
  <si>
    <t>CON_OL_0799</t>
  </si>
  <si>
    <t>CON_OL_0800</t>
  </si>
  <si>
    <t>CON_OL_0801</t>
  </si>
  <si>
    <t>CON_OL_0802</t>
  </si>
  <si>
    <t>CON_OL_0803</t>
  </si>
  <si>
    <t>CON_OL_0804</t>
  </si>
  <si>
    <t>CON_OL_0805</t>
  </si>
  <si>
    <t>CON_OL_0806</t>
  </si>
  <si>
    <t>CON_OL_0807</t>
  </si>
  <si>
    <t>CON_OL_0808</t>
  </si>
  <si>
    <t>CON_OL_0809</t>
  </si>
  <si>
    <t>CON_OL_0810</t>
  </si>
  <si>
    <t>CON_OL_0811</t>
  </si>
  <si>
    <t>CON_OL_0812</t>
  </si>
  <si>
    <t>CON_OL_0813</t>
  </si>
  <si>
    <t>CON_OL_0814</t>
  </si>
  <si>
    <t>CON_OL_0815</t>
  </si>
  <si>
    <t>CON_OL_0816</t>
  </si>
  <si>
    <t>CON_OL_0817</t>
  </si>
  <si>
    <t>CON_DL_0818</t>
  </si>
  <si>
    <t>CON_DL_0819</t>
  </si>
  <si>
    <t>CON_DL_0820</t>
  </si>
  <si>
    <t>CON_DL_0821</t>
  </si>
  <si>
    <t>CON_DL_0822</t>
  </si>
  <si>
    <t>CON_DL_0823</t>
  </si>
  <si>
    <t>CON_DL_0824</t>
  </si>
  <si>
    <t>CON_DL_0825</t>
  </si>
  <si>
    <t>CON_DL_0826</t>
  </si>
  <si>
    <t>CON_DL_0827</t>
  </si>
  <si>
    <t>CON_DL_0828</t>
  </si>
  <si>
    <t>CON_DL_0829</t>
  </si>
  <si>
    <t>CON_DL_0830</t>
  </si>
  <si>
    <t>CON_DL_0831</t>
  </si>
  <si>
    <t>CON_DL_0832</t>
  </si>
  <si>
    <t>CON_DL_0833</t>
  </si>
  <si>
    <t>CON_DL_0834</t>
  </si>
  <si>
    <t>CON_DL_0835</t>
  </si>
  <si>
    <t>CON_DL_0836</t>
  </si>
  <si>
    <t>CON_DL_0837</t>
  </si>
  <si>
    <t>CON_DL_0838</t>
  </si>
  <si>
    <t>CON_DL_0839</t>
  </si>
  <si>
    <t>CON_DL_0840</t>
  </si>
  <si>
    <t>CON_DL_0841</t>
  </si>
  <si>
    <t>CON_DL_0842</t>
  </si>
  <si>
    <t>CON_DL_0843</t>
  </si>
  <si>
    <t>CON_DL_0844</t>
  </si>
  <si>
    <t>CON_DL_0845</t>
  </si>
  <si>
    <t>CON_DL_0846</t>
  </si>
  <si>
    <t>CON_DL_0847</t>
  </si>
  <si>
    <t>CON_DL_0848</t>
  </si>
  <si>
    <t>CON_DL_0849</t>
  </si>
  <si>
    <t>CON_ST_0850</t>
  </si>
  <si>
    <t>CON_ST_0851</t>
  </si>
  <si>
    <t>CON_ST_0852</t>
  </si>
  <si>
    <t>CON_ST_0853</t>
  </si>
  <si>
    <t>CON_ST_0854</t>
  </si>
  <si>
    <t>CON_ST_0855</t>
  </si>
  <si>
    <t>CON_ST_0856</t>
  </si>
  <si>
    <t>CON_ST_0857</t>
  </si>
  <si>
    <t>CON_ST_0858</t>
  </si>
  <si>
    <t>CON_ST_0859</t>
  </si>
  <si>
    <t>CON_ST_0860</t>
  </si>
  <si>
    <t>CON_ST_0861</t>
  </si>
  <si>
    <t>CON_ST_0862</t>
  </si>
  <si>
    <t>CON_ST_0863</t>
  </si>
  <si>
    <t>CON_ST_0864</t>
  </si>
  <si>
    <t>CON_ST_0865</t>
  </si>
  <si>
    <t>CON_ST_0866</t>
  </si>
  <si>
    <t>CON_ST_0867</t>
  </si>
  <si>
    <t>CON_ST_0868</t>
  </si>
  <si>
    <t>CON_ST_0869</t>
  </si>
  <si>
    <t>CON_ST_0870</t>
  </si>
  <si>
    <t>CON_ST_0871</t>
  </si>
  <si>
    <t>CON_ST_0872</t>
  </si>
  <si>
    <t>CON_ST_0873</t>
  </si>
  <si>
    <t>CON_ST_0874</t>
  </si>
  <si>
    <t>CON_ST_0875</t>
  </si>
  <si>
    <t>CON_ST_0876</t>
  </si>
  <si>
    <t>CON_ST_0877</t>
  </si>
  <si>
    <t>CON_ST_0878</t>
  </si>
  <si>
    <t>CON_ST_0879</t>
  </si>
  <si>
    <t>CON_ST_0880</t>
  </si>
  <si>
    <t>CON_ST_0881</t>
  </si>
  <si>
    <t>CON_ST_0882</t>
  </si>
  <si>
    <t>CON_ST_0883</t>
  </si>
  <si>
    <t>CON_ST_0884</t>
  </si>
  <si>
    <t>CON_ST_0885</t>
  </si>
  <si>
    <t>CON_ST_0886</t>
  </si>
  <si>
    <t>CON_ST_0887</t>
  </si>
  <si>
    <t>CON_ST_0888</t>
  </si>
  <si>
    <t>CON_ST_0889</t>
  </si>
  <si>
    <t>CON_ST_0890</t>
  </si>
  <si>
    <t>CON_ST_0891</t>
  </si>
  <si>
    <t>CON_ST_0892</t>
  </si>
  <si>
    <t>CON_ST_0893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</si>
</sst>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3" borderId="1" xfId="0" applyFont="1" applyFill="1" applyBorder="1"/>
    <xf numFmtId="2" fontId="1" fillId="2" borderId="0" xfId="0" applyNumberFormat="1" applyFont="1" applyFill="1" applyAlignment="1">
      <alignment vertical="center"/>
    </xf>
    <xf numFmtId="2" fontId="0" fillId="0" borderId="0" xfId="0" applyNumberFormat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37">
    <dxf>
      <numFmt numFmtId="2" formatCode="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2937"/>
        </patternFill>
      </fill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gueTbl" displayName="LeagueTbl" ref="A1:E2">
  <autoFilter ref="A1:E2" xr:uid="{00000000-0009-0000-0100-000001000000}"/>
  <tableColumns count="5">
    <tableColumn id="1" xr3:uid="{00000000-0010-0000-0000-000001000000}" name="leagueId"/>
    <tableColumn id="2" xr3:uid="{00000000-0010-0000-0000-000002000000}" name="season"/>
    <tableColumn id="3" xr3:uid="{00000000-0010-0000-0000-000003000000}" name="salaryCap"/>
    <tableColumn id="4" xr3:uid="{00000000-0010-0000-0000-000004000000}" name="currency"/>
    <tableColumn id="5" xr3:uid="{00000000-0010-0000-0000-000005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ferencesTbl" displayName="ConferencesTbl" ref="A1:D3">
  <autoFilter ref="A1:D3" xr:uid="{00000000-0009-0000-0100-000002000000}"/>
  <tableColumns count="4">
    <tableColumn id="1" xr3:uid="{00000000-0010-0000-0100-000001000000}" name="conferenceId"/>
    <tableColumn id="2" xr3:uid="{00000000-0010-0000-0100-000002000000}" name="name"/>
    <tableColumn id="3" xr3:uid="{00000000-0010-0000-0100-000003000000}" name="sortOrder"/>
    <tableColumn id="4" xr3:uid="{00000000-0010-0000-0100-000004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visionsTbl" displayName="DivisionsTbl" ref="A1:E9">
  <autoFilter ref="A1:E9" xr:uid="{00000000-0009-0000-0100-000003000000}"/>
  <tableColumns count="5">
    <tableColumn id="1" xr3:uid="{00000000-0010-0000-0200-000001000000}" name="divisionId"/>
    <tableColumn id="2" xr3:uid="{00000000-0010-0000-0200-000002000000}" name="conferenceId"/>
    <tableColumn id="3" xr3:uid="{00000000-0010-0000-0200-000003000000}" name="name"/>
    <tableColumn id="4" xr3:uid="{00000000-0010-0000-0200-000004000000}" name="sortOrder"/>
    <tableColumn id="5" xr3:uid="{00000000-0010-0000-0200-000005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eamsTbl" displayName="TeamsTbl" ref="A1:J34">
  <autoFilter ref="A1:J34" xr:uid="{00000000-0009-0000-0100-000004000000}"/>
  <tableColumns count="10">
    <tableColumn id="1" xr3:uid="{00000000-0010-0000-0300-000001000000}" name="teamId"/>
    <tableColumn id="2" xr3:uid="{00000000-0010-0000-0300-000002000000}" name="abbrev"/>
    <tableColumn id="3" xr3:uid="{00000000-0010-0000-0300-000003000000}" name="name"/>
    <tableColumn id="4" xr3:uid="{00000000-0010-0000-0300-000004000000}" name="region"/>
    <tableColumn id="5" xr3:uid="{00000000-0010-0000-0300-000005000000}" name="conferenceId"/>
    <tableColumn id="6" xr3:uid="{00000000-0010-0000-0300-000006000000}" name="divisionId"/>
    <tableColumn id="7" xr3:uid="{00000000-0010-0000-0300-000007000000}" name="stadium"/>
    <tableColumn id="8" xr3:uid="{00000000-0010-0000-0300-000008000000}" name="logoKey"/>
    <tableColumn id="9" xr3:uid="{00000000-0010-0000-0300-000009000000}" name="isActive"/>
    <tableColumn id="10" xr3:uid="{00000000-0010-0000-0300-00000A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rsonnelTbl" displayName="PersonnelTbl" ref="A1:J894">
  <autoFilter ref="A1:J894" xr:uid="{00000000-0009-0000-0100-000005000000}"/>
  <tableColumns count="10">
    <tableColumn id="1" xr3:uid="{00000000-0010-0000-0400-000001000000}" name="personId"/>
    <tableColumn id="2" xr3:uid="{00000000-0010-0000-0400-000002000000}" name="fullName"/>
    <tableColumn id="3" xr3:uid="{00000000-0010-0000-0400-000003000000}" name="role"/>
    <tableColumn id="4" xr3:uid="{00000000-0010-0000-0400-000004000000}" name="teamId"/>
    <tableColumn id="5" xr3:uid="{00000000-0010-0000-0400-000005000000}" name="status"/>
    <tableColumn id="6" xr3:uid="{00000000-0010-0000-0400-000006000000}" name="age"/>
    <tableColumn id="7" xr3:uid="{00000000-0010-0000-0400-000007000000}" name="scheme"/>
    <tableColumn id="8" xr3:uid="{00000000-0010-0000-0400-000008000000}" name="reputation"/>
    <tableColumn id="9" xr3:uid="{00000000-0010-0000-0400-000009000000}" name="contractId"/>
    <tableColumn id="10" xr3:uid="{00000000-0010-0000-0400-00000A000000}" name="Column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layersTbl" displayName="PlayersTbl" ref="A1:AH1697" headerRowDxfId="36" dataDxfId="35">
  <autoFilter ref="A1:AH1697" xr:uid="{00000000-0009-0000-0100-000006000000}"/>
  <sortState xmlns:xlrd2="http://schemas.microsoft.com/office/spreadsheetml/2017/richdata2" ref="A2:AH1697">
    <sortCondition descending="1" ref="H1:H1697"/>
  </sortState>
  <tableColumns count="34">
    <tableColumn id="1" xr3:uid="{00000000-0010-0000-0500-000001000000}" name="playerId" dataDxfId="34"/>
    <tableColumn id="2" xr3:uid="{00000000-0010-0000-0500-000002000000}" name="fullName" dataDxfId="33"/>
    <tableColumn id="3" xr3:uid="{00000000-0010-0000-0500-000003000000}" name="pos" dataDxfId="32"/>
    <tableColumn id="4" xr3:uid="{00000000-0010-0000-0500-000004000000}" name="teamId" dataDxfId="31"/>
    <tableColumn id="5" xr3:uid="{00000000-0010-0000-0500-000005000000}" name="status" dataDxfId="30"/>
    <tableColumn id="6" xr3:uid="{00000000-0010-0000-0500-000006000000}" name="age" dataDxfId="29"/>
    <tableColumn id="7" xr3:uid="{00000000-0010-0000-0500-000007000000}" name="overall" dataDxfId="28"/>
    <tableColumn id="8" xr3:uid="{00000000-0010-0000-0500-000008000000}" name="potential" dataDxfId="27"/>
    <tableColumn id="9" xr3:uid="{00000000-0010-0000-0500-000009000000}" name="college" dataDxfId="26"/>
    <tableColumn id="10" xr3:uid="{00000000-0010-0000-0500-00000A000000}" name="heightIn" dataDxfId="25"/>
    <tableColumn id="11" xr3:uid="{00000000-0010-0000-0500-00000B000000}" name="weightLb" dataDxfId="24"/>
    <tableColumn id="13" xr3:uid="{00000000-0010-0000-0500-00000D000000}" name="contractId" dataDxfId="23"/>
    <tableColumn id="14" xr3:uid="{00000000-0010-0000-0500-00000E000000}" name="Character_Flags" dataDxfId="22"/>
    <tableColumn id="15" xr3:uid="{249FAC5F-5753-486D-9C0E-8093F9E19C66}" name="Leadership_Role" dataDxfId="21"/>
    <tableColumn id="16" xr3:uid="{DD9CB803-F63B-4C7B-BAE9-13978CEB5252}" name="Awareness" dataDxfId="20"/>
    <tableColumn id="17" xr3:uid="{6C6D8A81-2DAB-44CC-857D-DC83ACA62A0C}" name="Poise" dataDxfId="19"/>
    <tableColumn id="18" xr3:uid="{F27039C6-FA23-45DF-997C-C9E617234AFC}" name="Focus" dataDxfId="18"/>
    <tableColumn id="19" xr3:uid="{81DC36D8-C250-4359-AEE8-A993528D875F}" name="Leadership" dataDxfId="17"/>
    <tableColumn id="20" xr3:uid="{4C259C80-F356-41F2-865B-4A22038C4780}" name="Competitiveness" dataDxfId="16"/>
    <tableColumn id="21" xr3:uid="{F05B73C1-A4E3-421B-BA86-BF168F963217}" name="Confidence" dataDxfId="15"/>
    <tableColumn id="22" xr3:uid="{2D7E5004-98C9-4672-9825-C101D76D799B}" name="Work_Ethic" dataDxfId="14"/>
    <tableColumn id="23" xr3:uid="{EBB324F6-14EB-44AB-8507-B68A1E65C263}" name="Coachability" dataDxfId="13"/>
    <tableColumn id="24" xr3:uid="{AD161A4A-BE23-4CFD-AFFD-CF2998E18B78}" name="Football_IQ" dataDxfId="12"/>
    <tableColumn id="25" xr3:uid="{4B623890-6185-4082-ACE0-D1CB4085CC44}" name="Instincts" dataDxfId="11"/>
    <tableColumn id="26" xr3:uid="{138804EA-8E2A-4196-89F9-6DFCD100E7D7}" name="Maturity" dataDxfId="10"/>
    <tableColumn id="27" xr3:uid="{CA5E48A3-D364-4D38-BBEF-EA6BA199B21E}" name="Motor" dataDxfId="9"/>
    <tableColumn id="28" xr3:uid="{4250422C-7C7F-4D09-8966-4B7104B672E4}" name="Speed" dataDxfId="8"/>
    <tableColumn id="29" xr3:uid="{C784E1A4-5423-4148-A2EC-2837727F88B8}" name="Acceleration" dataDxfId="7"/>
    <tableColumn id="30" xr3:uid="{149FC060-ADEB-485E-811B-67C39B2A6385}" name="Agility" dataDxfId="6"/>
    <tableColumn id="31" xr3:uid="{5A9D9ECB-46AE-43D3-9E78-84462E2EEA73}" name="Strength" dataDxfId="5"/>
    <tableColumn id="32" xr3:uid="{66028983-6509-4603-BF1E-9116C5481523}" name="Jumping" dataDxfId="4"/>
    <tableColumn id="33" xr3:uid="{93CCD122-2B94-402D-B6DB-F0DBF74D07BE}" name="Stamina" dataDxfId="3"/>
    <tableColumn id="34" xr3:uid="{4107223C-42FF-4E8A-ABC0-8B92D81D517F}" name="Traits" dataDxfId="2"/>
    <tableColumn id="35" xr3:uid="{3E2C031C-B489-485E-96BD-8FDA35F271AF}" name="Archetype" dataDxfId="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tractsTbl" displayName="ContractsTbl" ref="A1:M2772">
  <autoFilter ref="A1:M2772" xr:uid="{00000000-0009-0000-0100-000007000000}"/>
  <tableColumns count="13">
    <tableColumn id="1" xr3:uid="{00000000-0010-0000-0600-000001000000}" name="contractId"/>
    <tableColumn id="2" xr3:uid="{00000000-0010-0000-0600-000002000000}" name="entityType"/>
    <tableColumn id="3" xr3:uid="{00000000-0010-0000-0600-000003000000}" name="entityId"/>
    <tableColumn id="4" xr3:uid="{00000000-0010-0000-0600-000004000000}" name="teamId"/>
    <tableColumn id="5" xr3:uid="{00000000-0010-0000-0600-000005000000}" name="startSeason"/>
    <tableColumn id="6" xr3:uid="{00000000-0010-0000-0600-000006000000}" name="endSeason"/>
    <tableColumn id="7" xr3:uid="{00000000-0010-0000-0600-000007000000}" name="salaryY1" dataDxfId="0"/>
    <tableColumn id="8" xr3:uid="{00000000-0010-0000-0600-000008000000}" name="salaryY2"/>
    <tableColumn id="9" xr3:uid="{00000000-0010-0000-0600-000009000000}" name="salaryY3"/>
    <tableColumn id="10" xr3:uid="{00000000-0010-0000-0600-00000A000000}" name="salaryY4"/>
    <tableColumn id="11" xr3:uid="{00000000-0010-0000-0600-00000B000000}" name="guaranteed"/>
    <tableColumn id="12" xr3:uid="{00000000-0010-0000-0600-00000C000000}" name="isExpired"/>
    <tableColumn id="13" xr3:uid="{00000000-0010-0000-0600-00000D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raftOrderTbl" displayName="DraftOrderTbl" ref="A1:E265">
  <autoFilter ref="A1:E265" xr:uid="{00000000-0009-0000-0100-000008000000}"/>
  <tableColumns count="5">
    <tableColumn id="1" xr3:uid="{00000000-0010-0000-0700-000001000000}" name="season"/>
    <tableColumn id="2" xr3:uid="{00000000-0010-0000-0700-000002000000}" name="round"/>
    <tableColumn id="3" xr3:uid="{00000000-0010-0000-0700-000003000000}" name="pick"/>
    <tableColumn id="4" xr3:uid="{00000000-0010-0000-0700-000004000000}" name="teamId"/>
    <tableColumn id="5" xr3:uid="{00000000-0010-0000-0700-000005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raftPicksTbl" displayName="DraftPicksTbl" ref="A1:H225">
  <autoFilter ref="A1:H225" xr:uid="{00000000-0009-0000-0100-000009000000}"/>
  <tableColumns count="8">
    <tableColumn id="1" xr3:uid="{00000000-0010-0000-0800-000001000000}" name="pickId"/>
    <tableColumn id="2" xr3:uid="{00000000-0010-0000-0800-000002000000}" name="season"/>
    <tableColumn id="3" xr3:uid="{00000000-0010-0000-0800-000003000000}" name="round"/>
    <tableColumn id="4" xr3:uid="{00000000-0010-0000-0800-000004000000}" name="originalTeamId"/>
    <tableColumn id="5" xr3:uid="{00000000-0010-0000-0800-000005000000}" name="currentTeamId"/>
    <tableColumn id="6" xr3:uid="{00000000-0010-0000-0800-000006000000}" name="isUsed"/>
    <tableColumn id="7" xr3:uid="{00000000-0010-0000-0800-000007000000}" name="playerId"/>
    <tableColumn id="8" xr3:uid="{00000000-0010-0000-0800-000008000000}" name="not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eamFinancesTbl" displayName="TeamFinancesTbl" ref="A1:G33">
  <autoFilter ref="A1:G33" xr:uid="{00000000-0009-0000-0100-00000A000000}"/>
  <tableColumns count="7">
    <tableColumn id="1" xr3:uid="{00000000-0010-0000-0900-000001000000}" name="teamId"/>
    <tableColumn id="2" xr3:uid="{00000000-0010-0000-0900-000002000000}" name="season"/>
    <tableColumn id="3" xr3:uid="{00000000-0010-0000-0900-000003000000}" name="capSpace"/>
    <tableColumn id="4" xr3:uid="{00000000-0010-0000-0900-000004000000}" name="cash"/>
    <tableColumn id="5" xr3:uid="{00000000-0010-0000-0900-000005000000}" name="revenue"/>
    <tableColumn id="6" xr3:uid="{00000000-0010-0000-0900-000006000000}" name="expenses"/>
    <tableColumn id="7" xr3:uid="{00000000-0010-0000-0900-000007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2" customWidth="1"/>
    <col min="5" max="5" width="4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2026</v>
      </c>
      <c r="C2">
        <v>250000000</v>
      </c>
      <c r="D2" t="s">
        <v>6</v>
      </c>
      <c r="E2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 activeCell="A4" sqref="A4"/>
    </sheetView>
  </sheetViews>
  <sheetFormatPr baseColWidth="10" defaultColWidth="8.83203125" defaultRowHeight="15" x14ac:dyDescent="0.2"/>
  <cols>
    <col min="1" max="1" width="14" customWidth="1"/>
    <col min="2" max="2" width="21" customWidth="1"/>
    <col min="3" max="3" width="12" customWidth="1"/>
    <col min="4" max="4" width="44" customWidth="1"/>
  </cols>
  <sheetData>
    <row r="1" spans="1:4" x14ac:dyDescent="0.2">
      <c r="A1" s="1" t="s">
        <v>8</v>
      </c>
      <c r="B1" s="1" t="s">
        <v>9</v>
      </c>
      <c r="C1" s="1" t="s">
        <v>10</v>
      </c>
      <c r="D1" s="1" t="s">
        <v>4</v>
      </c>
    </row>
    <row r="2" spans="1:4" x14ac:dyDescent="0.2">
      <c r="A2" t="s">
        <v>88</v>
      </c>
      <c r="B2" t="s">
        <v>87</v>
      </c>
      <c r="C2">
        <v>1</v>
      </c>
    </row>
    <row r="3" spans="1:4" x14ac:dyDescent="0.2">
      <c r="A3" t="s">
        <v>89</v>
      </c>
      <c r="B3" t="s">
        <v>90</v>
      </c>
      <c r="C3">
        <v>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D10" sqref="D10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5" width="12" customWidth="1"/>
  </cols>
  <sheetData>
    <row r="1" spans="1:5" x14ac:dyDescent="0.2">
      <c r="A1" s="1" t="s">
        <v>11</v>
      </c>
      <c r="B1" s="1" t="s">
        <v>8</v>
      </c>
      <c r="C1" s="1" t="s">
        <v>9</v>
      </c>
      <c r="D1" s="1" t="s">
        <v>10</v>
      </c>
      <c r="E1" s="1" t="s">
        <v>4</v>
      </c>
    </row>
    <row r="2" spans="1:5" x14ac:dyDescent="0.2">
      <c r="A2" t="s">
        <v>91</v>
      </c>
      <c r="B2" t="s">
        <v>88</v>
      </c>
      <c r="C2" t="s">
        <v>12</v>
      </c>
      <c r="D2">
        <v>1</v>
      </c>
    </row>
    <row r="3" spans="1:5" x14ac:dyDescent="0.2">
      <c r="A3" t="s">
        <v>92</v>
      </c>
      <c r="B3" t="s">
        <v>88</v>
      </c>
      <c r="C3" t="s">
        <v>13</v>
      </c>
      <c r="D3">
        <v>2</v>
      </c>
    </row>
    <row r="4" spans="1:5" x14ac:dyDescent="0.2">
      <c r="A4" t="s">
        <v>93</v>
      </c>
      <c r="B4" t="s">
        <v>88</v>
      </c>
      <c r="C4" t="s">
        <v>14</v>
      </c>
      <c r="D4">
        <v>3</v>
      </c>
    </row>
    <row r="5" spans="1:5" x14ac:dyDescent="0.2">
      <c r="A5" t="s">
        <v>94</v>
      </c>
      <c r="B5" t="s">
        <v>88</v>
      </c>
      <c r="C5" t="s">
        <v>15</v>
      </c>
      <c r="D5">
        <v>4</v>
      </c>
    </row>
    <row r="6" spans="1:5" x14ac:dyDescent="0.2">
      <c r="A6" t="s">
        <v>95</v>
      </c>
      <c r="B6" t="s">
        <v>89</v>
      </c>
      <c r="C6" t="s">
        <v>12</v>
      </c>
      <c r="D6">
        <v>1</v>
      </c>
    </row>
    <row r="7" spans="1:5" x14ac:dyDescent="0.2">
      <c r="A7" t="s">
        <v>96</v>
      </c>
      <c r="B7" t="s">
        <v>89</v>
      </c>
      <c r="C7" t="s">
        <v>13</v>
      </c>
      <c r="D7">
        <v>2</v>
      </c>
    </row>
    <row r="8" spans="1:5" x14ac:dyDescent="0.2">
      <c r="A8" t="s">
        <v>97</v>
      </c>
      <c r="B8" t="s">
        <v>89</v>
      </c>
      <c r="C8" t="s">
        <v>14</v>
      </c>
      <c r="D8">
        <v>3</v>
      </c>
    </row>
    <row r="9" spans="1:5" x14ac:dyDescent="0.2">
      <c r="A9" t="s">
        <v>98</v>
      </c>
      <c r="B9" t="s">
        <v>89</v>
      </c>
      <c r="C9" t="s">
        <v>15</v>
      </c>
      <c r="D9">
        <v>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pane ySplit="1" topLeftCell="A2" activePane="bottomLeft" state="frozen"/>
      <selection pane="bottomLeft" activeCell="C32" sqref="C32"/>
    </sheetView>
  </sheetViews>
  <sheetFormatPr baseColWidth="10" defaultColWidth="8.83203125" defaultRowHeight="15" x14ac:dyDescent="0.2"/>
  <cols>
    <col min="1" max="1" width="31" bestFit="1" customWidth="1"/>
    <col min="2" max="2" width="12" customWidth="1"/>
    <col min="3" max="3" width="27" customWidth="1"/>
    <col min="4" max="4" width="17" customWidth="1"/>
    <col min="5" max="5" width="14" customWidth="1"/>
    <col min="6" max="6" width="12" customWidth="1"/>
    <col min="7" max="7" width="24.5" bestFit="1" customWidth="1"/>
    <col min="8" max="8" width="31" bestFit="1" customWidth="1"/>
    <col min="9" max="9" width="12" customWidth="1"/>
    <col min="10" max="10" width="44" customWidth="1"/>
  </cols>
  <sheetData>
    <row r="1" spans="1:10" x14ac:dyDescent="0.2">
      <c r="A1" s="1" t="s">
        <v>16</v>
      </c>
      <c r="B1" s="1" t="s">
        <v>17</v>
      </c>
      <c r="C1" s="1" t="s">
        <v>9</v>
      </c>
      <c r="D1" s="1" t="s">
        <v>18</v>
      </c>
      <c r="E1" s="1" t="s">
        <v>8</v>
      </c>
      <c r="F1" s="1" t="s">
        <v>11</v>
      </c>
      <c r="G1" s="1" t="s">
        <v>19</v>
      </c>
      <c r="H1" s="1" t="s">
        <v>20</v>
      </c>
      <c r="I1" s="1" t="s">
        <v>21</v>
      </c>
      <c r="J1" s="1" t="s">
        <v>4</v>
      </c>
    </row>
    <row r="2" spans="1:10" ht="16" x14ac:dyDescent="0.2">
      <c r="A2" s="2" t="s">
        <v>129</v>
      </c>
      <c r="B2" s="2" t="s">
        <v>159</v>
      </c>
      <c r="C2" t="s">
        <v>99</v>
      </c>
      <c r="D2" t="s">
        <v>189</v>
      </c>
      <c r="E2" t="s">
        <v>88</v>
      </c>
      <c r="F2" t="s">
        <v>93</v>
      </c>
      <c r="G2" t="s">
        <v>221</v>
      </c>
      <c r="H2" s="2" t="s">
        <v>129</v>
      </c>
      <c r="I2" t="b">
        <v>1</v>
      </c>
    </row>
    <row r="3" spans="1:10" ht="16" x14ac:dyDescent="0.2">
      <c r="A3" s="2" t="s">
        <v>130</v>
      </c>
      <c r="B3" s="2" t="s">
        <v>160</v>
      </c>
      <c r="C3" t="s">
        <v>100</v>
      </c>
      <c r="D3" t="s">
        <v>190</v>
      </c>
      <c r="E3" t="s">
        <v>88</v>
      </c>
      <c r="F3" t="s">
        <v>93</v>
      </c>
      <c r="G3" t="s">
        <v>222</v>
      </c>
      <c r="H3" s="2" t="s">
        <v>130</v>
      </c>
      <c r="I3" t="b">
        <v>1</v>
      </c>
    </row>
    <row r="4" spans="1:10" ht="16" x14ac:dyDescent="0.2">
      <c r="A4" s="2" t="s">
        <v>131</v>
      </c>
      <c r="B4" s="2" t="s">
        <v>161</v>
      </c>
      <c r="C4" t="s">
        <v>114</v>
      </c>
      <c r="D4" t="s">
        <v>191</v>
      </c>
      <c r="E4" t="s">
        <v>89</v>
      </c>
      <c r="F4" t="s">
        <v>97</v>
      </c>
      <c r="G4" t="s">
        <v>223</v>
      </c>
      <c r="H4" s="2" t="s">
        <v>131</v>
      </c>
      <c r="I4" t="b">
        <v>1</v>
      </c>
    </row>
    <row r="5" spans="1:10" ht="16" x14ac:dyDescent="0.2">
      <c r="A5" s="2" t="s">
        <v>132</v>
      </c>
      <c r="B5" s="2" t="s">
        <v>162</v>
      </c>
      <c r="C5" t="s">
        <v>101</v>
      </c>
      <c r="D5" t="s">
        <v>192</v>
      </c>
      <c r="E5" t="s">
        <v>88</v>
      </c>
      <c r="F5" t="s">
        <v>93</v>
      </c>
      <c r="G5" t="s">
        <v>224</v>
      </c>
      <c r="H5" s="2" t="s">
        <v>132</v>
      </c>
      <c r="I5" t="b">
        <v>1</v>
      </c>
    </row>
    <row r="6" spans="1:10" ht="16" x14ac:dyDescent="0.2">
      <c r="A6" s="2" t="s">
        <v>133</v>
      </c>
      <c r="B6" s="2" t="s">
        <v>163</v>
      </c>
      <c r="C6" t="s">
        <v>115</v>
      </c>
      <c r="D6" t="s">
        <v>193</v>
      </c>
      <c r="E6" t="s">
        <v>89</v>
      </c>
      <c r="F6" t="s">
        <v>97</v>
      </c>
      <c r="G6" t="s">
        <v>225</v>
      </c>
      <c r="H6" s="2" t="s">
        <v>133</v>
      </c>
      <c r="I6" t="b">
        <v>1</v>
      </c>
    </row>
    <row r="7" spans="1:10" ht="16" x14ac:dyDescent="0.2">
      <c r="A7" s="2" t="s">
        <v>134</v>
      </c>
      <c r="B7" s="2" t="s">
        <v>164</v>
      </c>
      <c r="C7" t="s">
        <v>116</v>
      </c>
      <c r="D7" t="s">
        <v>194</v>
      </c>
      <c r="E7" t="s">
        <v>89</v>
      </c>
      <c r="F7" t="s">
        <v>95</v>
      </c>
      <c r="G7" t="s">
        <v>226</v>
      </c>
      <c r="H7" s="2" t="s">
        <v>134</v>
      </c>
      <c r="I7" t="b">
        <v>1</v>
      </c>
    </row>
    <row r="8" spans="1:10" ht="16" x14ac:dyDescent="0.2">
      <c r="A8" s="2" t="s">
        <v>135</v>
      </c>
      <c r="B8" s="2" t="s">
        <v>165</v>
      </c>
      <c r="C8" t="s">
        <v>102</v>
      </c>
      <c r="D8" t="s">
        <v>195</v>
      </c>
      <c r="E8" t="s">
        <v>88</v>
      </c>
      <c r="F8" t="s">
        <v>93</v>
      </c>
      <c r="G8" t="s">
        <v>227</v>
      </c>
      <c r="H8" s="2" t="s">
        <v>135</v>
      </c>
      <c r="I8" t="b">
        <v>1</v>
      </c>
    </row>
    <row r="9" spans="1:10" ht="16" x14ac:dyDescent="0.2">
      <c r="A9" s="2" t="s">
        <v>136</v>
      </c>
      <c r="B9" s="2" t="s">
        <v>166</v>
      </c>
      <c r="C9" t="s">
        <v>103</v>
      </c>
      <c r="D9" t="s">
        <v>196</v>
      </c>
      <c r="E9" t="s">
        <v>88</v>
      </c>
      <c r="F9" t="s">
        <v>91</v>
      </c>
      <c r="G9" t="s">
        <v>228</v>
      </c>
      <c r="H9" s="2" t="s">
        <v>136</v>
      </c>
      <c r="I9" t="b">
        <v>1</v>
      </c>
    </row>
    <row r="10" spans="1:10" ht="16" x14ac:dyDescent="0.2">
      <c r="A10" s="2" t="s">
        <v>137</v>
      </c>
      <c r="B10" s="2" t="s">
        <v>167</v>
      </c>
      <c r="C10" t="s">
        <v>117</v>
      </c>
      <c r="D10" t="s">
        <v>197</v>
      </c>
      <c r="E10" t="s">
        <v>89</v>
      </c>
      <c r="F10" t="s">
        <v>95</v>
      </c>
      <c r="G10" t="s">
        <v>229</v>
      </c>
      <c r="H10" s="2" t="s">
        <v>137</v>
      </c>
      <c r="I10" t="b">
        <v>1</v>
      </c>
    </row>
    <row r="11" spans="1:10" ht="16" x14ac:dyDescent="0.2">
      <c r="A11" s="2" t="s">
        <v>138</v>
      </c>
      <c r="B11" s="2" t="s">
        <v>168</v>
      </c>
      <c r="C11" t="s">
        <v>118</v>
      </c>
      <c r="D11" t="s">
        <v>198</v>
      </c>
      <c r="E11" t="s">
        <v>89</v>
      </c>
      <c r="F11" t="s">
        <v>98</v>
      </c>
      <c r="G11" t="s">
        <v>230</v>
      </c>
      <c r="H11" s="2" t="s">
        <v>138</v>
      </c>
      <c r="I11" t="b">
        <v>1</v>
      </c>
    </row>
    <row r="12" spans="1:10" ht="16" x14ac:dyDescent="0.2">
      <c r="A12" s="2" t="s">
        <v>139</v>
      </c>
      <c r="B12" s="2" t="s">
        <v>169</v>
      </c>
      <c r="C12" t="s">
        <v>119</v>
      </c>
      <c r="D12" t="s">
        <v>199</v>
      </c>
      <c r="E12" t="s">
        <v>89</v>
      </c>
      <c r="F12" t="s">
        <v>98</v>
      </c>
      <c r="G12" t="s">
        <v>231</v>
      </c>
      <c r="H12" s="2" t="s">
        <v>139</v>
      </c>
      <c r="I12" t="b">
        <v>1</v>
      </c>
    </row>
    <row r="13" spans="1:10" ht="16" x14ac:dyDescent="0.2">
      <c r="A13" s="2" t="s">
        <v>140</v>
      </c>
      <c r="B13" s="2" t="s">
        <v>170</v>
      </c>
      <c r="C13" t="s">
        <v>120</v>
      </c>
      <c r="D13" t="s">
        <v>200</v>
      </c>
      <c r="E13" t="s">
        <v>89</v>
      </c>
      <c r="F13" t="s">
        <v>95</v>
      </c>
      <c r="G13" t="s">
        <v>232</v>
      </c>
      <c r="H13" s="2" t="s">
        <v>140</v>
      </c>
      <c r="I13" t="b">
        <v>1</v>
      </c>
    </row>
    <row r="14" spans="1:10" ht="16" x14ac:dyDescent="0.2">
      <c r="A14" s="2" t="s">
        <v>141</v>
      </c>
      <c r="B14" s="2" t="s">
        <v>171</v>
      </c>
      <c r="C14" t="s">
        <v>121</v>
      </c>
      <c r="D14" t="s">
        <v>201</v>
      </c>
      <c r="E14" t="s">
        <v>89</v>
      </c>
      <c r="F14" t="s">
        <v>98</v>
      </c>
      <c r="G14" t="s">
        <v>233</v>
      </c>
      <c r="H14" s="2" t="s">
        <v>141</v>
      </c>
      <c r="I14" t="b">
        <v>1</v>
      </c>
    </row>
    <row r="15" spans="1:10" ht="16" x14ac:dyDescent="0.2">
      <c r="A15" s="2" t="s">
        <v>142</v>
      </c>
      <c r="B15" s="2" t="s">
        <v>172</v>
      </c>
      <c r="C15" t="s">
        <v>104</v>
      </c>
      <c r="D15" t="s">
        <v>202</v>
      </c>
      <c r="E15" t="s">
        <v>88</v>
      </c>
      <c r="F15" t="s">
        <v>91</v>
      </c>
      <c r="G15" t="s">
        <v>234</v>
      </c>
      <c r="H15" s="2" t="s">
        <v>142</v>
      </c>
      <c r="I15" t="b">
        <v>1</v>
      </c>
    </row>
    <row r="16" spans="1:10" ht="16" x14ac:dyDescent="0.2">
      <c r="A16" s="2" t="s">
        <v>143</v>
      </c>
      <c r="B16" s="2" t="s">
        <v>173</v>
      </c>
      <c r="C16" t="s">
        <v>122</v>
      </c>
      <c r="D16" t="s">
        <v>203</v>
      </c>
      <c r="E16" t="s">
        <v>89</v>
      </c>
      <c r="F16" t="s">
        <v>96</v>
      </c>
      <c r="G16" t="s">
        <v>235</v>
      </c>
      <c r="H16" s="2" t="s">
        <v>143</v>
      </c>
      <c r="I16" t="b">
        <v>1</v>
      </c>
    </row>
    <row r="17" spans="1:9" ht="16" x14ac:dyDescent="0.2">
      <c r="A17" s="2" t="s">
        <v>144</v>
      </c>
      <c r="B17" s="2" t="s">
        <v>174</v>
      </c>
      <c r="C17" t="s">
        <v>105</v>
      </c>
      <c r="D17" t="s">
        <v>204</v>
      </c>
      <c r="E17" t="s">
        <v>88</v>
      </c>
      <c r="F17" t="s">
        <v>91</v>
      </c>
      <c r="G17" t="s">
        <v>236</v>
      </c>
      <c r="H17" s="2" t="s">
        <v>144</v>
      </c>
      <c r="I17" t="b">
        <v>1</v>
      </c>
    </row>
    <row r="18" spans="1:9" ht="16" x14ac:dyDescent="0.2">
      <c r="A18" s="2" t="s">
        <v>145</v>
      </c>
      <c r="B18" s="2" t="s">
        <v>175</v>
      </c>
      <c r="C18" t="s">
        <v>106</v>
      </c>
      <c r="D18" t="s">
        <v>214</v>
      </c>
      <c r="E18" t="s">
        <v>88</v>
      </c>
      <c r="F18" t="s">
        <v>91</v>
      </c>
      <c r="G18" t="s">
        <v>237</v>
      </c>
      <c r="H18" s="2" t="s">
        <v>145</v>
      </c>
      <c r="I18" t="b">
        <v>1</v>
      </c>
    </row>
    <row r="19" spans="1:9" ht="16" x14ac:dyDescent="0.2">
      <c r="A19" s="2" t="s">
        <v>146</v>
      </c>
      <c r="B19" s="2" t="s">
        <v>176</v>
      </c>
      <c r="C19" t="s">
        <v>107</v>
      </c>
      <c r="D19" t="s">
        <v>205</v>
      </c>
      <c r="E19" t="s">
        <v>88</v>
      </c>
      <c r="F19" t="s">
        <v>92</v>
      </c>
      <c r="G19" t="s">
        <v>238</v>
      </c>
      <c r="H19" s="2" t="s">
        <v>146</v>
      </c>
      <c r="I19" t="b">
        <v>1</v>
      </c>
    </row>
    <row r="20" spans="1:9" ht="16" x14ac:dyDescent="0.2">
      <c r="A20" s="2" t="s">
        <v>147</v>
      </c>
      <c r="B20" s="2" t="s">
        <v>177</v>
      </c>
      <c r="C20" t="s">
        <v>123</v>
      </c>
      <c r="D20" t="s">
        <v>206</v>
      </c>
      <c r="E20" t="s">
        <v>89</v>
      </c>
      <c r="F20" t="s">
        <v>96</v>
      </c>
      <c r="G20" t="s">
        <v>239</v>
      </c>
      <c r="H20" s="2" t="s">
        <v>147</v>
      </c>
      <c r="I20" t="b">
        <v>1</v>
      </c>
    </row>
    <row r="21" spans="1:9" ht="16" x14ac:dyDescent="0.2">
      <c r="A21" s="2" t="s">
        <v>148</v>
      </c>
      <c r="B21" s="2" t="s">
        <v>178</v>
      </c>
      <c r="C21" t="s">
        <v>108</v>
      </c>
      <c r="D21" t="s">
        <v>207</v>
      </c>
      <c r="E21" t="s">
        <v>88</v>
      </c>
      <c r="F21" t="s">
        <v>92</v>
      </c>
      <c r="G21" t="s">
        <v>240</v>
      </c>
      <c r="H21" s="2" t="s">
        <v>148</v>
      </c>
      <c r="I21" t="b">
        <v>1</v>
      </c>
    </row>
    <row r="22" spans="1:9" ht="16" x14ac:dyDescent="0.2">
      <c r="A22" s="2" t="s">
        <v>149</v>
      </c>
      <c r="B22" s="2" t="s">
        <v>179</v>
      </c>
      <c r="C22" t="s">
        <v>109</v>
      </c>
      <c r="D22" t="s">
        <v>208</v>
      </c>
      <c r="E22" t="s">
        <v>88</v>
      </c>
      <c r="F22" t="s">
        <v>92</v>
      </c>
      <c r="G22" t="s">
        <v>241</v>
      </c>
      <c r="H22" s="2" t="s">
        <v>149</v>
      </c>
      <c r="I22" t="b">
        <v>1</v>
      </c>
    </row>
    <row r="23" spans="1:9" ht="16" x14ac:dyDescent="0.2">
      <c r="A23" s="2" t="s">
        <v>22</v>
      </c>
      <c r="B23" s="2" t="s">
        <v>23</v>
      </c>
      <c r="C23" t="s">
        <v>24</v>
      </c>
      <c r="D23" t="s">
        <v>215</v>
      </c>
      <c r="E23" t="s">
        <v>88</v>
      </c>
      <c r="F23" t="s">
        <v>92</v>
      </c>
      <c r="G23" t="s">
        <v>242</v>
      </c>
      <c r="H23" s="2" t="s">
        <v>22</v>
      </c>
      <c r="I23" t="b">
        <v>1</v>
      </c>
    </row>
    <row r="24" spans="1:9" ht="16" x14ac:dyDescent="0.2">
      <c r="A24" s="2" t="s">
        <v>25</v>
      </c>
      <c r="B24" s="2" t="s">
        <v>26</v>
      </c>
      <c r="C24" t="s">
        <v>27</v>
      </c>
      <c r="D24" t="s">
        <v>216</v>
      </c>
      <c r="E24" t="s">
        <v>89</v>
      </c>
      <c r="F24" t="s">
        <v>97</v>
      </c>
      <c r="G24" t="s">
        <v>243</v>
      </c>
      <c r="H24" s="2" t="s">
        <v>25</v>
      </c>
      <c r="I24" t="b">
        <v>1</v>
      </c>
    </row>
    <row r="25" spans="1:9" ht="16" x14ac:dyDescent="0.2">
      <c r="A25" s="2" t="s">
        <v>150</v>
      </c>
      <c r="B25" s="2" t="s">
        <v>180</v>
      </c>
      <c r="C25" t="s">
        <v>124</v>
      </c>
      <c r="D25" t="s">
        <v>209</v>
      </c>
      <c r="E25" t="s">
        <v>89</v>
      </c>
      <c r="F25" t="s">
        <v>96</v>
      </c>
      <c r="G25" t="s">
        <v>244</v>
      </c>
      <c r="H25" s="2" t="s">
        <v>150</v>
      </c>
      <c r="I25" t="b">
        <v>1</v>
      </c>
    </row>
    <row r="26" spans="1:9" ht="16" x14ac:dyDescent="0.2">
      <c r="A26" s="2" t="s">
        <v>151</v>
      </c>
      <c r="B26" s="2" t="s">
        <v>181</v>
      </c>
      <c r="C26" t="s">
        <v>125</v>
      </c>
      <c r="D26" t="s">
        <v>210</v>
      </c>
      <c r="E26" t="s">
        <v>89</v>
      </c>
      <c r="F26" t="s">
        <v>97</v>
      </c>
      <c r="G26" t="s">
        <v>245</v>
      </c>
      <c r="H26" s="2" t="s">
        <v>151</v>
      </c>
      <c r="I26" t="b">
        <v>1</v>
      </c>
    </row>
    <row r="27" spans="1:9" ht="16" x14ac:dyDescent="0.2">
      <c r="A27" s="2" t="s">
        <v>152</v>
      </c>
      <c r="B27" s="2" t="s">
        <v>182</v>
      </c>
      <c r="C27" t="s">
        <v>126</v>
      </c>
      <c r="D27" t="s">
        <v>211</v>
      </c>
      <c r="E27" t="s">
        <v>89</v>
      </c>
      <c r="F27" t="s">
        <v>98</v>
      </c>
      <c r="G27" t="s">
        <v>246</v>
      </c>
      <c r="H27" s="2" t="s">
        <v>152</v>
      </c>
      <c r="I27" t="b">
        <v>1</v>
      </c>
    </row>
    <row r="28" spans="1:9" ht="16" x14ac:dyDescent="0.2">
      <c r="A28" s="2" t="s">
        <v>153</v>
      </c>
      <c r="B28" s="2" t="s">
        <v>183</v>
      </c>
      <c r="C28" t="s">
        <v>127</v>
      </c>
      <c r="D28" t="s">
        <v>212</v>
      </c>
      <c r="E28" t="s">
        <v>89</v>
      </c>
      <c r="F28" t="s">
        <v>95</v>
      </c>
      <c r="G28" t="s">
        <v>247</v>
      </c>
      <c r="H28" s="2" t="s">
        <v>153</v>
      </c>
      <c r="I28" t="b">
        <v>1</v>
      </c>
    </row>
    <row r="29" spans="1:9" ht="16" x14ac:dyDescent="0.2">
      <c r="A29" s="2" t="s">
        <v>154</v>
      </c>
      <c r="B29" s="2" t="s">
        <v>184</v>
      </c>
      <c r="C29" t="s">
        <v>110</v>
      </c>
      <c r="D29" t="s">
        <v>217</v>
      </c>
      <c r="E29" t="s">
        <v>88</v>
      </c>
      <c r="F29" t="s">
        <v>94</v>
      </c>
      <c r="G29" t="s">
        <v>248</v>
      </c>
      <c r="H29" s="2" t="s">
        <v>154</v>
      </c>
      <c r="I29" t="b">
        <v>1</v>
      </c>
    </row>
    <row r="30" spans="1:9" ht="16" x14ac:dyDescent="0.2">
      <c r="A30" s="2" t="s">
        <v>155</v>
      </c>
      <c r="B30" s="2" t="s">
        <v>185</v>
      </c>
      <c r="C30" t="s">
        <v>111</v>
      </c>
      <c r="D30" t="s">
        <v>218</v>
      </c>
      <c r="E30" t="s">
        <v>88</v>
      </c>
      <c r="F30" t="s">
        <v>94</v>
      </c>
      <c r="G30" t="s">
        <v>249</v>
      </c>
      <c r="H30" s="2" t="s">
        <v>155</v>
      </c>
      <c r="I30" t="b">
        <v>1</v>
      </c>
    </row>
    <row r="31" spans="1:9" ht="16" x14ac:dyDescent="0.2">
      <c r="A31" s="2" t="s">
        <v>156</v>
      </c>
      <c r="B31" s="2" t="s">
        <v>186</v>
      </c>
      <c r="C31" t="s">
        <v>112</v>
      </c>
      <c r="D31" t="s">
        <v>219</v>
      </c>
      <c r="E31" t="s">
        <v>88</v>
      </c>
      <c r="F31" t="s">
        <v>94</v>
      </c>
      <c r="G31" t="s">
        <v>250</v>
      </c>
      <c r="H31" s="2" t="s">
        <v>156</v>
      </c>
      <c r="I31" t="b">
        <v>1</v>
      </c>
    </row>
    <row r="32" spans="1:9" ht="16" x14ac:dyDescent="0.2">
      <c r="A32" s="2" t="s">
        <v>157</v>
      </c>
      <c r="B32" s="2" t="s">
        <v>187</v>
      </c>
      <c r="C32" t="s">
        <v>128</v>
      </c>
      <c r="D32" t="s">
        <v>220</v>
      </c>
      <c r="E32" t="s">
        <v>89</v>
      </c>
      <c r="F32" t="s">
        <v>96</v>
      </c>
      <c r="G32" t="s">
        <v>251</v>
      </c>
      <c r="H32" s="2" t="s">
        <v>157</v>
      </c>
      <c r="I32" t="b">
        <v>1</v>
      </c>
    </row>
    <row r="33" spans="1:9" ht="16" x14ac:dyDescent="0.2">
      <c r="A33" s="2" t="s">
        <v>158</v>
      </c>
      <c r="B33" s="2" t="s">
        <v>188</v>
      </c>
      <c r="C33" t="s">
        <v>113</v>
      </c>
      <c r="D33" t="s">
        <v>213</v>
      </c>
      <c r="E33" t="s">
        <v>88</v>
      </c>
      <c r="F33" t="s">
        <v>94</v>
      </c>
      <c r="G33" t="s">
        <v>252</v>
      </c>
      <c r="H33" s="2" t="s">
        <v>158</v>
      </c>
      <c r="I33" t="b">
        <v>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94"/>
  <sheetViews>
    <sheetView zoomScaleNormal="100" workbookViewId="0">
      <pane ySplit="1" topLeftCell="A672" activePane="bottomLeft" state="frozen"/>
      <selection pane="bottomLeft" activeCell="B863" sqref="B863"/>
    </sheetView>
  </sheetViews>
  <sheetFormatPr baseColWidth="10" defaultColWidth="8.83203125" defaultRowHeight="15" x14ac:dyDescent="0.2"/>
  <cols>
    <col min="1" max="1" width="12" customWidth="1"/>
    <col min="2" max="2" width="28.33203125" bestFit="1" customWidth="1"/>
    <col min="3" max="3" width="14.83203125" bestFit="1" customWidth="1"/>
    <col min="4" max="4" width="26.6640625" bestFit="1" customWidth="1"/>
    <col min="5" max="6" width="12" customWidth="1"/>
    <col min="7" max="7" width="27.5" bestFit="1" customWidth="1"/>
    <col min="8" max="8" width="12" customWidth="1"/>
    <col min="9" max="9" width="14.83203125" bestFit="1" customWidth="1"/>
    <col min="10" max="10" width="100.5" bestFit="1" customWidth="1"/>
  </cols>
  <sheetData>
    <row r="1" spans="1:14" x14ac:dyDescent="0.2">
      <c r="A1" s="1" t="s">
        <v>28</v>
      </c>
      <c r="B1" s="1" t="s">
        <v>29</v>
      </c>
      <c r="C1" s="1" t="s">
        <v>30</v>
      </c>
      <c r="D1" s="1" t="s">
        <v>16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9923</v>
      </c>
    </row>
    <row r="2" spans="1:14" x14ac:dyDescent="0.2">
      <c r="A2" t="s">
        <v>36</v>
      </c>
      <c r="B2" t="s">
        <v>253</v>
      </c>
      <c r="C2" t="s">
        <v>37</v>
      </c>
      <c r="D2" t="s">
        <v>25</v>
      </c>
      <c r="E2" t="s">
        <v>38</v>
      </c>
      <c r="F2" s="4">
        <v>67</v>
      </c>
      <c r="H2" s="4">
        <v>52</v>
      </c>
      <c r="I2" t="s">
        <v>39</v>
      </c>
      <c r="M2" s="3"/>
      <c r="N2" s="5"/>
    </row>
    <row r="3" spans="1:14" x14ac:dyDescent="0.2">
      <c r="A3" t="s">
        <v>569</v>
      </c>
      <c r="B3" t="s">
        <v>254</v>
      </c>
      <c r="C3" t="s">
        <v>37</v>
      </c>
      <c r="D3" t="s">
        <v>133</v>
      </c>
      <c r="E3" t="s">
        <v>38</v>
      </c>
      <c r="F3" s="4">
        <v>71</v>
      </c>
      <c r="H3" s="4">
        <v>84</v>
      </c>
      <c r="I3" t="s">
        <v>871</v>
      </c>
      <c r="M3" s="2"/>
      <c r="N3" s="4"/>
    </row>
    <row r="4" spans="1:14" x14ac:dyDescent="0.2">
      <c r="A4" t="s">
        <v>570</v>
      </c>
      <c r="B4" t="s">
        <v>255</v>
      </c>
      <c r="C4" t="s">
        <v>37</v>
      </c>
      <c r="D4" t="s">
        <v>151</v>
      </c>
      <c r="E4" t="s">
        <v>38</v>
      </c>
      <c r="F4" s="4">
        <v>69</v>
      </c>
      <c r="H4" s="4">
        <v>78</v>
      </c>
      <c r="I4" t="s">
        <v>872</v>
      </c>
      <c r="M4" s="2"/>
      <c r="N4" s="4"/>
    </row>
    <row r="5" spans="1:14" x14ac:dyDescent="0.2">
      <c r="A5" t="s">
        <v>571</v>
      </c>
      <c r="B5" t="s">
        <v>256</v>
      </c>
      <c r="C5" t="s">
        <v>37</v>
      </c>
      <c r="D5" t="s">
        <v>131</v>
      </c>
      <c r="E5" t="s">
        <v>38</v>
      </c>
      <c r="F5" s="4">
        <v>63</v>
      </c>
      <c r="H5" s="4">
        <v>82</v>
      </c>
      <c r="I5" t="s">
        <v>873</v>
      </c>
      <c r="M5" s="2"/>
      <c r="N5" s="4"/>
    </row>
    <row r="6" spans="1:14" x14ac:dyDescent="0.2">
      <c r="A6" t="s">
        <v>572</v>
      </c>
      <c r="B6" t="s">
        <v>257</v>
      </c>
      <c r="C6" t="s">
        <v>37</v>
      </c>
      <c r="D6" t="s">
        <v>147</v>
      </c>
      <c r="E6" t="s">
        <v>38</v>
      </c>
      <c r="F6" s="4">
        <v>58</v>
      </c>
      <c r="H6" s="4">
        <v>55</v>
      </c>
      <c r="I6" t="s">
        <v>874</v>
      </c>
      <c r="M6" s="2"/>
      <c r="N6" s="4"/>
    </row>
    <row r="7" spans="1:14" x14ac:dyDescent="0.2">
      <c r="A7" t="s">
        <v>573</v>
      </c>
      <c r="B7" t="s">
        <v>258</v>
      </c>
      <c r="C7" t="s">
        <v>37</v>
      </c>
      <c r="D7" t="s">
        <v>150</v>
      </c>
      <c r="E7" t="s">
        <v>38</v>
      </c>
      <c r="F7" s="4">
        <v>62</v>
      </c>
      <c r="H7" s="4">
        <v>80</v>
      </c>
      <c r="I7" t="s">
        <v>875</v>
      </c>
      <c r="M7" s="2"/>
      <c r="N7" s="4"/>
    </row>
    <row r="8" spans="1:14" x14ac:dyDescent="0.2">
      <c r="A8" t="s">
        <v>574</v>
      </c>
      <c r="B8" t="s">
        <v>259</v>
      </c>
      <c r="C8" t="s">
        <v>37</v>
      </c>
      <c r="D8" t="s">
        <v>157</v>
      </c>
      <c r="E8" t="s">
        <v>38</v>
      </c>
      <c r="F8" s="4">
        <v>46</v>
      </c>
      <c r="H8" s="4">
        <v>72</v>
      </c>
      <c r="I8" t="s">
        <v>876</v>
      </c>
      <c r="M8" s="2"/>
      <c r="N8" s="4"/>
    </row>
    <row r="9" spans="1:14" x14ac:dyDescent="0.2">
      <c r="A9" t="s">
        <v>575</v>
      </c>
      <c r="B9" t="s">
        <v>260</v>
      </c>
      <c r="C9" t="s">
        <v>37</v>
      </c>
      <c r="D9" t="s">
        <v>143</v>
      </c>
      <c r="E9" t="s">
        <v>38</v>
      </c>
      <c r="F9" s="4">
        <v>64</v>
      </c>
      <c r="H9" s="4">
        <v>79</v>
      </c>
      <c r="I9" t="s">
        <v>877</v>
      </c>
      <c r="M9" s="2"/>
      <c r="N9" s="4"/>
    </row>
    <row r="10" spans="1:14" x14ac:dyDescent="0.2">
      <c r="A10" t="s">
        <v>576</v>
      </c>
      <c r="B10" t="s">
        <v>261</v>
      </c>
      <c r="C10" t="s">
        <v>37</v>
      </c>
      <c r="D10" t="s">
        <v>153</v>
      </c>
      <c r="E10" t="s">
        <v>38</v>
      </c>
      <c r="F10" s="4">
        <v>66</v>
      </c>
      <c r="H10" s="4">
        <v>60</v>
      </c>
      <c r="I10" t="s">
        <v>878</v>
      </c>
      <c r="M10" s="2"/>
      <c r="N10" s="4"/>
    </row>
    <row r="11" spans="1:14" x14ac:dyDescent="0.2">
      <c r="A11" t="s">
        <v>577</v>
      </c>
      <c r="B11" t="s">
        <v>262</v>
      </c>
      <c r="C11" t="s">
        <v>37</v>
      </c>
      <c r="D11" t="s">
        <v>137</v>
      </c>
      <c r="E11" t="s">
        <v>38</v>
      </c>
      <c r="F11" s="4">
        <v>61</v>
      </c>
      <c r="H11" s="4">
        <v>81</v>
      </c>
      <c r="I11" t="s">
        <v>879</v>
      </c>
      <c r="M11" s="2"/>
      <c r="N11" s="4"/>
    </row>
    <row r="12" spans="1:14" x14ac:dyDescent="0.2">
      <c r="A12" t="s">
        <v>578</v>
      </c>
      <c r="B12" t="s">
        <v>263</v>
      </c>
      <c r="C12" t="s">
        <v>37</v>
      </c>
      <c r="D12" t="s">
        <v>140</v>
      </c>
      <c r="E12" t="s">
        <v>38</v>
      </c>
      <c r="F12" s="4">
        <v>70</v>
      </c>
      <c r="H12" s="4">
        <v>83</v>
      </c>
      <c r="I12" t="s">
        <v>880</v>
      </c>
      <c r="M12" s="2"/>
      <c r="N12" s="4"/>
    </row>
    <row r="13" spans="1:14" x14ac:dyDescent="0.2">
      <c r="A13" t="s">
        <v>579</v>
      </c>
      <c r="B13" t="s">
        <v>264</v>
      </c>
      <c r="C13" t="s">
        <v>37</v>
      </c>
      <c r="D13" t="s">
        <v>134</v>
      </c>
      <c r="E13" t="s">
        <v>38</v>
      </c>
      <c r="F13" s="4">
        <v>68</v>
      </c>
      <c r="H13" s="4">
        <v>77</v>
      </c>
      <c r="I13" t="s">
        <v>881</v>
      </c>
      <c r="M13" s="2"/>
      <c r="N13" s="4"/>
    </row>
    <row r="14" spans="1:14" x14ac:dyDescent="0.2">
      <c r="A14" t="s">
        <v>580</v>
      </c>
      <c r="B14" t="s">
        <v>265</v>
      </c>
      <c r="C14" t="s">
        <v>37</v>
      </c>
      <c r="D14" t="s">
        <v>141</v>
      </c>
      <c r="E14" t="s">
        <v>38</v>
      </c>
      <c r="F14" s="4">
        <v>57</v>
      </c>
      <c r="H14" s="4">
        <v>73</v>
      </c>
      <c r="I14" t="s">
        <v>882</v>
      </c>
      <c r="M14" s="2"/>
      <c r="N14" s="4"/>
    </row>
    <row r="15" spans="1:14" x14ac:dyDescent="0.2">
      <c r="A15" t="s">
        <v>581</v>
      </c>
      <c r="B15" t="s">
        <v>266</v>
      </c>
      <c r="C15" t="s">
        <v>37</v>
      </c>
      <c r="D15" t="s">
        <v>138</v>
      </c>
      <c r="E15" t="s">
        <v>38</v>
      </c>
      <c r="F15" s="4">
        <v>65</v>
      </c>
      <c r="H15" s="4">
        <v>69</v>
      </c>
      <c r="I15" t="s">
        <v>883</v>
      </c>
      <c r="M15" s="2"/>
      <c r="N15" s="4"/>
    </row>
    <row r="16" spans="1:14" x14ac:dyDescent="0.2">
      <c r="A16" t="s">
        <v>582</v>
      </c>
      <c r="B16" t="s">
        <v>267</v>
      </c>
      <c r="C16" t="s">
        <v>37</v>
      </c>
      <c r="D16" t="s">
        <v>139</v>
      </c>
      <c r="E16" t="s">
        <v>38</v>
      </c>
      <c r="F16" s="4">
        <v>60</v>
      </c>
      <c r="H16" s="4">
        <v>80</v>
      </c>
      <c r="I16" t="s">
        <v>884</v>
      </c>
      <c r="M16" s="2"/>
      <c r="N16" s="4"/>
    </row>
    <row r="17" spans="1:14" x14ac:dyDescent="0.2">
      <c r="A17" t="s">
        <v>583</v>
      </c>
      <c r="B17" t="s">
        <v>268</v>
      </c>
      <c r="C17" t="s">
        <v>37</v>
      </c>
      <c r="D17" t="s">
        <v>152</v>
      </c>
      <c r="E17" t="s">
        <v>38</v>
      </c>
      <c r="F17" s="4">
        <v>54</v>
      </c>
      <c r="H17" s="4">
        <v>71</v>
      </c>
      <c r="I17" t="s">
        <v>885</v>
      </c>
      <c r="M17" s="2"/>
      <c r="N17" s="4"/>
    </row>
    <row r="18" spans="1:14" x14ac:dyDescent="0.2">
      <c r="A18" t="s">
        <v>584</v>
      </c>
      <c r="B18" t="s">
        <v>269</v>
      </c>
      <c r="C18" t="s">
        <v>37</v>
      </c>
      <c r="D18" t="s">
        <v>135</v>
      </c>
      <c r="E18" t="s">
        <v>38</v>
      </c>
      <c r="F18" s="4">
        <v>73</v>
      </c>
      <c r="H18" s="4">
        <v>86</v>
      </c>
      <c r="I18" t="s">
        <v>886</v>
      </c>
      <c r="M18" s="2"/>
      <c r="N18" s="4"/>
    </row>
    <row r="19" spans="1:14" x14ac:dyDescent="0.2">
      <c r="A19" t="s">
        <v>585</v>
      </c>
      <c r="B19" t="s">
        <v>270</v>
      </c>
      <c r="C19" t="s">
        <v>37</v>
      </c>
      <c r="D19" t="s">
        <v>129</v>
      </c>
      <c r="E19" t="s">
        <v>38</v>
      </c>
      <c r="F19" s="4">
        <v>59</v>
      </c>
      <c r="H19" s="4">
        <v>62</v>
      </c>
      <c r="I19" t="s">
        <v>887</v>
      </c>
      <c r="M19" s="2"/>
      <c r="N19" s="4"/>
    </row>
    <row r="20" spans="1:14" x14ac:dyDescent="0.2">
      <c r="A20" t="s">
        <v>586</v>
      </c>
      <c r="B20" t="s">
        <v>271</v>
      </c>
      <c r="C20" t="s">
        <v>37</v>
      </c>
      <c r="D20" t="s">
        <v>130</v>
      </c>
      <c r="E20" t="s">
        <v>38</v>
      </c>
      <c r="F20" s="4">
        <v>64</v>
      </c>
      <c r="H20" s="4">
        <v>83</v>
      </c>
      <c r="I20" t="s">
        <v>888</v>
      </c>
      <c r="M20" s="2"/>
      <c r="N20" s="4"/>
    </row>
    <row r="21" spans="1:14" x14ac:dyDescent="0.2">
      <c r="A21" t="s">
        <v>587</v>
      </c>
      <c r="B21" t="s">
        <v>272</v>
      </c>
      <c r="C21" t="s">
        <v>37</v>
      </c>
      <c r="D21" t="s">
        <v>132</v>
      </c>
      <c r="E21" t="s">
        <v>38</v>
      </c>
      <c r="F21" s="4">
        <v>72</v>
      </c>
      <c r="H21" s="4">
        <v>79</v>
      </c>
      <c r="I21" t="s">
        <v>889</v>
      </c>
      <c r="M21" s="2"/>
      <c r="N21" s="4"/>
    </row>
    <row r="22" spans="1:14" x14ac:dyDescent="0.2">
      <c r="A22" t="s">
        <v>588</v>
      </c>
      <c r="B22" t="s">
        <v>273</v>
      </c>
      <c r="C22" t="s">
        <v>37</v>
      </c>
      <c r="D22" t="s">
        <v>22</v>
      </c>
      <c r="E22" t="s">
        <v>38</v>
      </c>
      <c r="F22" s="4">
        <v>56</v>
      </c>
      <c r="H22" s="4">
        <v>54</v>
      </c>
      <c r="I22" t="s">
        <v>890</v>
      </c>
      <c r="M22" s="2"/>
      <c r="N22" s="4"/>
    </row>
    <row r="23" spans="1:14" x14ac:dyDescent="0.2">
      <c r="A23" t="s">
        <v>589</v>
      </c>
      <c r="B23" t="s">
        <v>274</v>
      </c>
      <c r="C23" t="s">
        <v>37</v>
      </c>
      <c r="D23" t="s">
        <v>149</v>
      </c>
      <c r="E23" t="s">
        <v>38</v>
      </c>
      <c r="F23" s="4">
        <v>69</v>
      </c>
      <c r="H23" s="4">
        <v>77</v>
      </c>
      <c r="I23" t="s">
        <v>891</v>
      </c>
      <c r="M23" s="2"/>
      <c r="N23" s="4"/>
    </row>
    <row r="24" spans="1:14" x14ac:dyDescent="0.2">
      <c r="A24" t="s">
        <v>590</v>
      </c>
      <c r="B24" t="s">
        <v>275</v>
      </c>
      <c r="C24" t="s">
        <v>37</v>
      </c>
      <c r="D24" t="s">
        <v>146</v>
      </c>
      <c r="E24" t="s">
        <v>38</v>
      </c>
      <c r="F24" s="4">
        <v>55</v>
      </c>
      <c r="H24" s="4">
        <v>74</v>
      </c>
      <c r="I24" t="s">
        <v>892</v>
      </c>
      <c r="M24" s="2"/>
      <c r="N24" s="4"/>
    </row>
    <row r="25" spans="1:14" x14ac:dyDescent="0.2">
      <c r="A25" t="s">
        <v>591</v>
      </c>
      <c r="B25" t="s">
        <v>276</v>
      </c>
      <c r="C25" t="s">
        <v>37</v>
      </c>
      <c r="D25" t="s">
        <v>142</v>
      </c>
      <c r="E25" t="s">
        <v>38</v>
      </c>
      <c r="F25" s="4">
        <v>66</v>
      </c>
      <c r="H25" s="4">
        <v>77</v>
      </c>
      <c r="I25" t="s">
        <v>893</v>
      </c>
      <c r="M25" s="2"/>
      <c r="N25" s="4"/>
    </row>
    <row r="26" spans="1:14" x14ac:dyDescent="0.2">
      <c r="A26" t="s">
        <v>592</v>
      </c>
      <c r="B26" t="s">
        <v>277</v>
      </c>
      <c r="C26" t="s">
        <v>37</v>
      </c>
      <c r="D26" t="s">
        <v>154</v>
      </c>
      <c r="E26" t="s">
        <v>38</v>
      </c>
      <c r="F26" s="4">
        <v>58</v>
      </c>
      <c r="H26" s="4">
        <v>66</v>
      </c>
      <c r="I26" t="s">
        <v>894</v>
      </c>
      <c r="M26" s="2"/>
      <c r="N26" s="4"/>
    </row>
    <row r="27" spans="1:14" x14ac:dyDescent="0.2">
      <c r="A27" t="s">
        <v>593</v>
      </c>
      <c r="B27" t="s">
        <v>278</v>
      </c>
      <c r="C27" t="s">
        <v>37</v>
      </c>
      <c r="D27" t="s">
        <v>148</v>
      </c>
      <c r="E27" t="s">
        <v>38</v>
      </c>
      <c r="F27" s="4">
        <v>71</v>
      </c>
      <c r="H27" s="4">
        <v>79</v>
      </c>
      <c r="I27" t="s">
        <v>895</v>
      </c>
      <c r="M27" s="2"/>
      <c r="N27" s="4"/>
    </row>
    <row r="28" spans="1:14" x14ac:dyDescent="0.2">
      <c r="A28" t="s">
        <v>594</v>
      </c>
      <c r="B28" t="s">
        <v>279</v>
      </c>
      <c r="C28" t="s">
        <v>37</v>
      </c>
      <c r="D28" t="s">
        <v>144</v>
      </c>
      <c r="E28" t="s">
        <v>38</v>
      </c>
      <c r="F28" s="4">
        <v>63</v>
      </c>
      <c r="H28" s="4">
        <v>83</v>
      </c>
      <c r="I28" t="s">
        <v>896</v>
      </c>
      <c r="M28" s="2"/>
      <c r="N28" s="4"/>
    </row>
    <row r="29" spans="1:14" x14ac:dyDescent="0.2">
      <c r="A29" t="s">
        <v>595</v>
      </c>
      <c r="B29" t="s">
        <v>280</v>
      </c>
      <c r="C29" t="s">
        <v>37</v>
      </c>
      <c r="D29" t="s">
        <v>136</v>
      </c>
      <c r="E29" t="s">
        <v>38</v>
      </c>
      <c r="F29" s="4">
        <v>60</v>
      </c>
      <c r="H29" s="4">
        <v>78</v>
      </c>
      <c r="I29" t="s">
        <v>897</v>
      </c>
      <c r="M29" s="2"/>
      <c r="N29" s="4"/>
    </row>
    <row r="30" spans="1:14" x14ac:dyDescent="0.2">
      <c r="A30" t="s">
        <v>596</v>
      </c>
      <c r="B30" t="s">
        <v>281</v>
      </c>
      <c r="C30" t="s">
        <v>37</v>
      </c>
      <c r="D30" t="s">
        <v>145</v>
      </c>
      <c r="E30" t="s">
        <v>38</v>
      </c>
      <c r="F30" s="4">
        <v>64</v>
      </c>
      <c r="H30" s="4">
        <v>82</v>
      </c>
      <c r="I30" t="s">
        <v>898</v>
      </c>
      <c r="M30" s="2"/>
      <c r="N30" s="4"/>
    </row>
    <row r="31" spans="1:14" x14ac:dyDescent="0.2">
      <c r="A31" t="s">
        <v>597</v>
      </c>
      <c r="B31" t="s">
        <v>282</v>
      </c>
      <c r="C31" t="s">
        <v>37</v>
      </c>
      <c r="D31" t="s">
        <v>158</v>
      </c>
      <c r="E31" t="s">
        <v>38</v>
      </c>
      <c r="F31" s="4">
        <v>52</v>
      </c>
      <c r="H31" s="4">
        <v>85</v>
      </c>
      <c r="I31" t="s">
        <v>899</v>
      </c>
      <c r="M31" s="2"/>
      <c r="N31" s="4"/>
    </row>
    <row r="32" spans="1:14" x14ac:dyDescent="0.2">
      <c r="A32" t="s">
        <v>598</v>
      </c>
      <c r="B32" t="s">
        <v>283</v>
      </c>
      <c r="C32" t="s">
        <v>37</v>
      </c>
      <c r="D32" t="s">
        <v>155</v>
      </c>
      <c r="E32" t="s">
        <v>38</v>
      </c>
      <c r="F32" s="4">
        <v>57</v>
      </c>
      <c r="H32" s="4">
        <v>68</v>
      </c>
      <c r="I32" t="s">
        <v>900</v>
      </c>
      <c r="M32" s="2"/>
      <c r="N32" s="4"/>
    </row>
    <row r="33" spans="1:14" x14ac:dyDescent="0.2">
      <c r="A33" t="s">
        <v>599</v>
      </c>
      <c r="B33" t="s">
        <v>284</v>
      </c>
      <c r="C33" t="s">
        <v>37</v>
      </c>
      <c r="D33" t="s">
        <v>156</v>
      </c>
      <c r="E33" t="s">
        <v>38</v>
      </c>
      <c r="F33" s="4">
        <v>61</v>
      </c>
      <c r="H33" s="4">
        <v>80</v>
      </c>
      <c r="I33" t="s">
        <v>901</v>
      </c>
      <c r="M33" s="2"/>
      <c r="N33" s="4"/>
    </row>
    <row r="34" spans="1:14" x14ac:dyDescent="0.2">
      <c r="A34" t="s">
        <v>600</v>
      </c>
      <c r="B34" t="s">
        <v>285</v>
      </c>
      <c r="C34" t="s">
        <v>41</v>
      </c>
      <c r="D34" t="s">
        <v>25</v>
      </c>
      <c r="E34" t="s">
        <v>38</v>
      </c>
      <c r="F34" s="4">
        <v>44</v>
      </c>
      <c r="H34" s="4">
        <v>70</v>
      </c>
      <c r="I34" t="s">
        <v>902</v>
      </c>
      <c r="M34" s="2"/>
      <c r="N34" s="4"/>
    </row>
    <row r="35" spans="1:14" x14ac:dyDescent="0.2">
      <c r="A35" t="s">
        <v>601</v>
      </c>
      <c r="B35" t="s">
        <v>286</v>
      </c>
      <c r="C35" t="s">
        <v>41</v>
      </c>
      <c r="D35" t="s">
        <v>133</v>
      </c>
      <c r="E35" t="s">
        <v>38</v>
      </c>
      <c r="F35" s="4">
        <v>52</v>
      </c>
      <c r="H35" s="4">
        <v>78</v>
      </c>
      <c r="I35" t="s">
        <v>903</v>
      </c>
      <c r="M35" s="2"/>
      <c r="N35" s="4"/>
    </row>
    <row r="36" spans="1:14" x14ac:dyDescent="0.2">
      <c r="A36" t="s">
        <v>602</v>
      </c>
      <c r="B36" t="s">
        <v>287</v>
      </c>
      <c r="C36" t="s">
        <v>41</v>
      </c>
      <c r="D36" t="s">
        <v>151</v>
      </c>
      <c r="E36" t="s">
        <v>38</v>
      </c>
      <c r="F36" s="4">
        <v>49</v>
      </c>
      <c r="H36" s="4">
        <v>80</v>
      </c>
      <c r="I36" t="s">
        <v>904</v>
      </c>
      <c r="M36" s="2"/>
      <c r="N36" s="4"/>
    </row>
    <row r="37" spans="1:14" x14ac:dyDescent="0.2">
      <c r="A37" t="s">
        <v>603</v>
      </c>
      <c r="B37" t="s">
        <v>288</v>
      </c>
      <c r="C37" t="s">
        <v>41</v>
      </c>
      <c r="D37" t="s">
        <v>131</v>
      </c>
      <c r="E37" t="s">
        <v>38</v>
      </c>
      <c r="F37" s="4">
        <v>53</v>
      </c>
      <c r="H37" s="4">
        <v>79</v>
      </c>
      <c r="I37" t="s">
        <v>905</v>
      </c>
      <c r="M37" s="2"/>
      <c r="N37" s="4"/>
    </row>
    <row r="38" spans="1:14" x14ac:dyDescent="0.2">
      <c r="A38" t="s">
        <v>604</v>
      </c>
      <c r="B38" t="s">
        <v>289</v>
      </c>
      <c r="C38" t="s">
        <v>41</v>
      </c>
      <c r="D38" t="s">
        <v>147</v>
      </c>
      <c r="E38" t="s">
        <v>38</v>
      </c>
      <c r="F38" s="4">
        <v>41</v>
      </c>
      <c r="H38" s="4">
        <v>74</v>
      </c>
      <c r="I38" t="s">
        <v>906</v>
      </c>
      <c r="M38" s="2"/>
      <c r="N38" s="4"/>
    </row>
    <row r="39" spans="1:14" x14ac:dyDescent="0.2">
      <c r="A39" t="s">
        <v>605</v>
      </c>
      <c r="B39" t="s">
        <v>290</v>
      </c>
      <c r="C39" t="s">
        <v>41</v>
      </c>
      <c r="D39" t="s">
        <v>150</v>
      </c>
      <c r="E39" t="s">
        <v>38</v>
      </c>
      <c r="F39" s="4">
        <v>47</v>
      </c>
      <c r="H39" s="4">
        <v>77</v>
      </c>
      <c r="I39" t="s">
        <v>907</v>
      </c>
      <c r="M39" s="2"/>
      <c r="N39" s="4"/>
    </row>
    <row r="40" spans="1:14" x14ac:dyDescent="0.2">
      <c r="A40" t="s">
        <v>606</v>
      </c>
      <c r="B40" t="s">
        <v>291</v>
      </c>
      <c r="C40" t="s">
        <v>41</v>
      </c>
      <c r="D40" t="s">
        <v>157</v>
      </c>
      <c r="E40" t="s">
        <v>38</v>
      </c>
      <c r="F40" s="4">
        <v>45</v>
      </c>
      <c r="H40" s="4">
        <v>73</v>
      </c>
      <c r="I40" t="s">
        <v>908</v>
      </c>
      <c r="M40" s="2"/>
      <c r="N40" s="4"/>
    </row>
    <row r="41" spans="1:14" x14ac:dyDescent="0.2">
      <c r="A41" t="s">
        <v>607</v>
      </c>
      <c r="B41" t="s">
        <v>292</v>
      </c>
      <c r="C41" t="s">
        <v>41</v>
      </c>
      <c r="D41" t="s">
        <v>143</v>
      </c>
      <c r="E41" t="s">
        <v>38</v>
      </c>
      <c r="F41" s="4">
        <v>43</v>
      </c>
      <c r="H41" s="4">
        <v>66</v>
      </c>
      <c r="I41" t="s">
        <v>909</v>
      </c>
      <c r="M41" s="2"/>
      <c r="N41" s="4"/>
    </row>
    <row r="42" spans="1:14" x14ac:dyDescent="0.2">
      <c r="A42" t="s">
        <v>608</v>
      </c>
      <c r="B42" t="s">
        <v>293</v>
      </c>
      <c r="C42" t="s">
        <v>41</v>
      </c>
      <c r="D42" t="s">
        <v>153</v>
      </c>
      <c r="E42" t="s">
        <v>38</v>
      </c>
      <c r="F42" s="4">
        <v>54</v>
      </c>
      <c r="H42" s="4">
        <v>77</v>
      </c>
      <c r="I42" t="s">
        <v>910</v>
      </c>
      <c r="M42" s="2"/>
      <c r="N42" s="4"/>
    </row>
    <row r="43" spans="1:14" x14ac:dyDescent="0.2">
      <c r="A43" t="s">
        <v>609</v>
      </c>
      <c r="B43" t="s">
        <v>294</v>
      </c>
      <c r="C43" t="s">
        <v>41</v>
      </c>
      <c r="D43" t="s">
        <v>137</v>
      </c>
      <c r="E43" t="s">
        <v>38</v>
      </c>
      <c r="F43" s="4">
        <v>42</v>
      </c>
      <c r="H43" s="4">
        <v>82</v>
      </c>
      <c r="I43" t="s">
        <v>911</v>
      </c>
      <c r="M43" s="2"/>
      <c r="N43" s="4"/>
    </row>
    <row r="44" spans="1:14" x14ac:dyDescent="0.2">
      <c r="A44" t="s">
        <v>610</v>
      </c>
      <c r="B44" t="s">
        <v>295</v>
      </c>
      <c r="C44" t="s">
        <v>41</v>
      </c>
      <c r="D44" t="s">
        <v>140</v>
      </c>
      <c r="E44" t="s">
        <v>38</v>
      </c>
      <c r="F44" s="4">
        <v>46</v>
      </c>
      <c r="H44" s="4">
        <v>78</v>
      </c>
      <c r="I44" t="s">
        <v>912</v>
      </c>
      <c r="M44" s="2"/>
      <c r="N44" s="4"/>
    </row>
    <row r="45" spans="1:14" x14ac:dyDescent="0.2">
      <c r="A45" t="s">
        <v>611</v>
      </c>
      <c r="B45" t="s">
        <v>296</v>
      </c>
      <c r="C45" t="s">
        <v>41</v>
      </c>
      <c r="D45" t="s">
        <v>134</v>
      </c>
      <c r="E45" t="s">
        <v>38</v>
      </c>
      <c r="F45" s="4">
        <v>48</v>
      </c>
      <c r="H45" s="4">
        <v>79</v>
      </c>
      <c r="I45" t="s">
        <v>913</v>
      </c>
      <c r="M45" s="2"/>
      <c r="N45" s="4"/>
    </row>
    <row r="46" spans="1:14" x14ac:dyDescent="0.2">
      <c r="A46" t="s">
        <v>612</v>
      </c>
      <c r="B46" t="s">
        <v>297</v>
      </c>
      <c r="C46" t="s">
        <v>41</v>
      </c>
      <c r="D46" t="s">
        <v>141</v>
      </c>
      <c r="E46" t="s">
        <v>38</v>
      </c>
      <c r="F46" s="4">
        <v>39</v>
      </c>
      <c r="H46" s="4">
        <v>76</v>
      </c>
      <c r="I46" t="s">
        <v>914</v>
      </c>
      <c r="M46" s="2"/>
      <c r="N46" s="4"/>
    </row>
    <row r="47" spans="1:14" x14ac:dyDescent="0.2">
      <c r="A47" t="s">
        <v>613</v>
      </c>
      <c r="B47" t="s">
        <v>298</v>
      </c>
      <c r="C47" t="s">
        <v>41</v>
      </c>
      <c r="D47" t="s">
        <v>138</v>
      </c>
      <c r="E47" t="s">
        <v>38</v>
      </c>
      <c r="F47" s="4">
        <v>50</v>
      </c>
      <c r="H47" s="4">
        <v>68</v>
      </c>
      <c r="I47" t="s">
        <v>915</v>
      </c>
      <c r="M47" s="2"/>
      <c r="N47" s="4"/>
    </row>
    <row r="48" spans="1:14" x14ac:dyDescent="0.2">
      <c r="A48" t="s">
        <v>614</v>
      </c>
      <c r="B48" t="s">
        <v>299</v>
      </c>
      <c r="C48" t="s">
        <v>41</v>
      </c>
      <c r="D48" t="s">
        <v>139</v>
      </c>
      <c r="E48" t="s">
        <v>38</v>
      </c>
      <c r="F48" s="4">
        <v>47</v>
      </c>
      <c r="H48" s="4">
        <v>78</v>
      </c>
      <c r="I48" t="s">
        <v>916</v>
      </c>
      <c r="M48" s="2"/>
      <c r="N48" s="4"/>
    </row>
    <row r="49" spans="1:14" x14ac:dyDescent="0.2">
      <c r="A49" t="s">
        <v>615</v>
      </c>
      <c r="B49" t="s">
        <v>300</v>
      </c>
      <c r="C49" t="s">
        <v>41</v>
      </c>
      <c r="D49" t="s">
        <v>152</v>
      </c>
      <c r="E49" t="s">
        <v>38</v>
      </c>
      <c r="F49" s="4">
        <v>40</v>
      </c>
      <c r="H49" s="4">
        <v>81</v>
      </c>
      <c r="I49" t="s">
        <v>917</v>
      </c>
      <c r="M49" s="2"/>
      <c r="N49" s="4"/>
    </row>
    <row r="50" spans="1:14" x14ac:dyDescent="0.2">
      <c r="A50" t="s">
        <v>616</v>
      </c>
      <c r="B50" t="s">
        <v>301</v>
      </c>
      <c r="C50" t="s">
        <v>41</v>
      </c>
      <c r="D50" t="s">
        <v>135</v>
      </c>
      <c r="E50" t="s">
        <v>38</v>
      </c>
      <c r="F50" s="4">
        <v>55</v>
      </c>
      <c r="H50" s="4">
        <v>80</v>
      </c>
      <c r="I50" t="s">
        <v>918</v>
      </c>
      <c r="M50" s="2"/>
      <c r="N50" s="4"/>
    </row>
    <row r="51" spans="1:14" x14ac:dyDescent="0.2">
      <c r="A51" t="s">
        <v>617</v>
      </c>
      <c r="B51" t="s">
        <v>302</v>
      </c>
      <c r="C51" t="s">
        <v>41</v>
      </c>
      <c r="D51" t="s">
        <v>129</v>
      </c>
      <c r="E51" t="s">
        <v>38</v>
      </c>
      <c r="F51" s="4">
        <v>44</v>
      </c>
      <c r="H51" s="4">
        <v>66</v>
      </c>
      <c r="I51" t="s">
        <v>919</v>
      </c>
      <c r="M51" s="2"/>
      <c r="N51" s="4"/>
    </row>
    <row r="52" spans="1:14" x14ac:dyDescent="0.2">
      <c r="A52" t="s">
        <v>618</v>
      </c>
      <c r="B52" t="s">
        <v>303</v>
      </c>
      <c r="C52" t="s">
        <v>41</v>
      </c>
      <c r="D52" t="s">
        <v>130</v>
      </c>
      <c r="E52" t="s">
        <v>38</v>
      </c>
      <c r="F52" s="4">
        <v>41</v>
      </c>
      <c r="H52" s="4">
        <v>79</v>
      </c>
      <c r="I52" t="s">
        <v>920</v>
      </c>
      <c r="M52" s="2"/>
      <c r="N52" s="4"/>
    </row>
    <row r="53" spans="1:14" x14ac:dyDescent="0.2">
      <c r="A53" t="s">
        <v>619</v>
      </c>
      <c r="B53" t="s">
        <v>304</v>
      </c>
      <c r="C53" t="s">
        <v>41</v>
      </c>
      <c r="D53" t="s">
        <v>132</v>
      </c>
      <c r="E53" t="s">
        <v>38</v>
      </c>
      <c r="F53" s="4">
        <v>46</v>
      </c>
      <c r="H53" s="4">
        <v>77</v>
      </c>
      <c r="I53" t="s">
        <v>921</v>
      </c>
      <c r="M53" s="2"/>
      <c r="N53" s="4"/>
    </row>
    <row r="54" spans="1:14" x14ac:dyDescent="0.2">
      <c r="A54" t="s">
        <v>620</v>
      </c>
      <c r="B54" t="s">
        <v>305</v>
      </c>
      <c r="C54" t="s">
        <v>41</v>
      </c>
      <c r="D54" t="s">
        <v>22</v>
      </c>
      <c r="E54" t="s">
        <v>38</v>
      </c>
      <c r="F54" s="4">
        <v>43</v>
      </c>
      <c r="H54" s="4">
        <v>69</v>
      </c>
      <c r="I54" t="s">
        <v>922</v>
      </c>
      <c r="M54" s="2"/>
      <c r="N54" s="4"/>
    </row>
    <row r="55" spans="1:14" x14ac:dyDescent="0.2">
      <c r="A55" t="s">
        <v>621</v>
      </c>
      <c r="B55" t="s">
        <v>306</v>
      </c>
      <c r="C55" t="s">
        <v>41</v>
      </c>
      <c r="D55" t="s">
        <v>149</v>
      </c>
      <c r="E55" t="s">
        <v>38</v>
      </c>
      <c r="F55" s="4">
        <v>51</v>
      </c>
      <c r="H55" s="4">
        <v>80</v>
      </c>
      <c r="I55" t="s">
        <v>923</v>
      </c>
      <c r="M55" s="2"/>
      <c r="N55" s="4"/>
    </row>
    <row r="56" spans="1:14" x14ac:dyDescent="0.2">
      <c r="A56" t="s">
        <v>622</v>
      </c>
      <c r="B56" t="s">
        <v>307</v>
      </c>
      <c r="C56" t="s">
        <v>41</v>
      </c>
      <c r="D56" t="s">
        <v>146</v>
      </c>
      <c r="E56" t="s">
        <v>38</v>
      </c>
      <c r="F56" s="4">
        <v>45</v>
      </c>
      <c r="H56" s="4">
        <v>78</v>
      </c>
      <c r="I56" t="s">
        <v>924</v>
      </c>
      <c r="M56" s="2"/>
      <c r="N56" s="4"/>
    </row>
    <row r="57" spans="1:14" x14ac:dyDescent="0.2">
      <c r="A57" t="s">
        <v>623</v>
      </c>
      <c r="B57" t="s">
        <v>308</v>
      </c>
      <c r="C57" t="s">
        <v>41</v>
      </c>
      <c r="D57" t="s">
        <v>142</v>
      </c>
      <c r="E57" t="s">
        <v>38</v>
      </c>
      <c r="F57" s="4">
        <v>54</v>
      </c>
      <c r="H57" s="4">
        <v>81</v>
      </c>
      <c r="I57" t="s">
        <v>925</v>
      </c>
      <c r="M57" s="2"/>
      <c r="N57" s="4"/>
    </row>
    <row r="58" spans="1:14" x14ac:dyDescent="0.2">
      <c r="A58" t="s">
        <v>624</v>
      </c>
      <c r="B58" t="s">
        <v>309</v>
      </c>
      <c r="C58" t="s">
        <v>41</v>
      </c>
      <c r="D58" t="s">
        <v>154</v>
      </c>
      <c r="E58" t="s">
        <v>38</v>
      </c>
      <c r="F58" s="4">
        <v>42</v>
      </c>
      <c r="H58" s="4">
        <v>72</v>
      </c>
      <c r="I58" t="s">
        <v>926</v>
      </c>
      <c r="M58" s="2"/>
      <c r="N58" s="4"/>
    </row>
    <row r="59" spans="1:14" x14ac:dyDescent="0.2">
      <c r="A59" t="s">
        <v>625</v>
      </c>
      <c r="B59" t="s">
        <v>310</v>
      </c>
      <c r="C59" t="s">
        <v>41</v>
      </c>
      <c r="D59" t="s">
        <v>148</v>
      </c>
      <c r="E59" t="s">
        <v>38</v>
      </c>
      <c r="F59" s="4">
        <v>50</v>
      </c>
      <c r="H59" s="4">
        <v>70</v>
      </c>
      <c r="I59" t="s">
        <v>927</v>
      </c>
      <c r="M59" s="2"/>
      <c r="N59" s="4"/>
    </row>
    <row r="60" spans="1:14" x14ac:dyDescent="0.2">
      <c r="A60" t="s">
        <v>626</v>
      </c>
      <c r="B60" t="s">
        <v>311</v>
      </c>
      <c r="C60" t="s">
        <v>41</v>
      </c>
      <c r="D60" t="s">
        <v>144</v>
      </c>
      <c r="E60" t="s">
        <v>38</v>
      </c>
      <c r="F60" s="4">
        <v>38</v>
      </c>
      <c r="H60" s="4">
        <v>77</v>
      </c>
      <c r="I60" t="s">
        <v>928</v>
      </c>
      <c r="M60" s="2"/>
      <c r="N60" s="4"/>
    </row>
    <row r="61" spans="1:14" x14ac:dyDescent="0.2">
      <c r="A61" t="s">
        <v>627</v>
      </c>
      <c r="B61" t="s">
        <v>312</v>
      </c>
      <c r="C61" t="s">
        <v>41</v>
      </c>
      <c r="D61" t="s">
        <v>136</v>
      </c>
      <c r="E61" t="s">
        <v>38</v>
      </c>
      <c r="F61" s="4">
        <v>52</v>
      </c>
      <c r="H61" s="4">
        <v>79</v>
      </c>
      <c r="I61" t="s">
        <v>929</v>
      </c>
      <c r="M61" s="2"/>
      <c r="N61" s="4"/>
    </row>
    <row r="62" spans="1:14" x14ac:dyDescent="0.2">
      <c r="A62" t="s">
        <v>628</v>
      </c>
      <c r="B62" t="s">
        <v>313</v>
      </c>
      <c r="C62" t="s">
        <v>41</v>
      </c>
      <c r="D62" t="s">
        <v>145</v>
      </c>
      <c r="E62" t="s">
        <v>38</v>
      </c>
      <c r="F62" s="4">
        <v>55</v>
      </c>
      <c r="H62" s="4">
        <v>78</v>
      </c>
      <c r="I62" t="s">
        <v>930</v>
      </c>
      <c r="M62" s="2"/>
      <c r="N62" s="4"/>
    </row>
    <row r="63" spans="1:14" x14ac:dyDescent="0.2">
      <c r="A63" t="s">
        <v>629</v>
      </c>
      <c r="B63" t="s">
        <v>314</v>
      </c>
      <c r="C63" t="s">
        <v>41</v>
      </c>
      <c r="D63" t="s">
        <v>158</v>
      </c>
      <c r="E63" t="s">
        <v>38</v>
      </c>
      <c r="F63" s="4">
        <v>39</v>
      </c>
      <c r="H63" s="4">
        <v>81</v>
      </c>
      <c r="I63" t="s">
        <v>931</v>
      </c>
      <c r="M63" s="2"/>
      <c r="N63" s="4"/>
    </row>
    <row r="64" spans="1:14" x14ac:dyDescent="0.2">
      <c r="A64" t="s">
        <v>630</v>
      </c>
      <c r="B64" t="s">
        <v>315</v>
      </c>
      <c r="C64" t="s">
        <v>41</v>
      </c>
      <c r="D64" t="s">
        <v>155</v>
      </c>
      <c r="E64" t="s">
        <v>38</v>
      </c>
      <c r="F64" s="4">
        <v>44</v>
      </c>
      <c r="H64" s="4">
        <v>77</v>
      </c>
      <c r="I64" t="s">
        <v>932</v>
      </c>
      <c r="M64" s="2"/>
      <c r="N64" s="4"/>
    </row>
    <row r="65" spans="1:14" x14ac:dyDescent="0.2">
      <c r="A65" t="s">
        <v>631</v>
      </c>
      <c r="B65" t="s">
        <v>316</v>
      </c>
      <c r="C65" t="s">
        <v>41</v>
      </c>
      <c r="D65" t="s">
        <v>156</v>
      </c>
      <c r="E65" t="s">
        <v>38</v>
      </c>
      <c r="F65" s="4">
        <v>48</v>
      </c>
      <c r="H65" s="4">
        <v>80</v>
      </c>
      <c r="I65" t="s">
        <v>933</v>
      </c>
      <c r="M65" s="2"/>
      <c r="N65" s="4"/>
    </row>
    <row r="66" spans="1:14" x14ac:dyDescent="0.2">
      <c r="A66" t="s">
        <v>632</v>
      </c>
      <c r="B66" t="s">
        <v>317</v>
      </c>
      <c r="C66" t="s">
        <v>41</v>
      </c>
      <c r="D66" t="s">
        <v>44</v>
      </c>
      <c r="E66" t="s">
        <v>44</v>
      </c>
      <c r="F66" s="4">
        <v>41</v>
      </c>
      <c r="H66" s="4">
        <v>64</v>
      </c>
      <c r="I66" t="s">
        <v>934</v>
      </c>
      <c r="M66" s="2"/>
      <c r="N66" s="4"/>
    </row>
    <row r="67" spans="1:14" x14ac:dyDescent="0.2">
      <c r="A67" t="s">
        <v>633</v>
      </c>
      <c r="B67" t="s">
        <v>318</v>
      </c>
      <c r="C67" t="s">
        <v>41</v>
      </c>
      <c r="D67" t="s">
        <v>44</v>
      </c>
      <c r="E67" t="s">
        <v>44</v>
      </c>
      <c r="F67" s="4">
        <v>37</v>
      </c>
      <c r="H67" s="4">
        <v>82</v>
      </c>
      <c r="I67" t="s">
        <v>935</v>
      </c>
      <c r="M67" s="2"/>
      <c r="N67" s="4"/>
    </row>
    <row r="68" spans="1:14" x14ac:dyDescent="0.2">
      <c r="A68" t="s">
        <v>634</v>
      </c>
      <c r="B68" t="s">
        <v>319</v>
      </c>
      <c r="C68" t="s">
        <v>41</v>
      </c>
      <c r="D68" t="s">
        <v>44</v>
      </c>
      <c r="E68" t="s">
        <v>44</v>
      </c>
      <c r="F68" s="4">
        <v>43</v>
      </c>
      <c r="H68" s="4">
        <v>76</v>
      </c>
      <c r="I68" t="s">
        <v>936</v>
      </c>
      <c r="M68" s="2"/>
      <c r="N68" s="4"/>
    </row>
    <row r="69" spans="1:14" x14ac:dyDescent="0.2">
      <c r="A69" t="s">
        <v>635</v>
      </c>
      <c r="B69" t="s">
        <v>320</v>
      </c>
      <c r="C69" t="s">
        <v>41</v>
      </c>
      <c r="D69" t="s">
        <v>44</v>
      </c>
      <c r="E69" t="s">
        <v>44</v>
      </c>
      <c r="F69" s="4">
        <v>46</v>
      </c>
      <c r="H69" s="4">
        <v>75</v>
      </c>
      <c r="I69" t="s">
        <v>937</v>
      </c>
      <c r="M69" s="2"/>
      <c r="N69" s="4"/>
    </row>
    <row r="70" spans="1:14" x14ac:dyDescent="0.2">
      <c r="A70" t="s">
        <v>636</v>
      </c>
      <c r="B70" t="s">
        <v>321</v>
      </c>
      <c r="C70" t="s">
        <v>41</v>
      </c>
      <c r="D70" t="s">
        <v>44</v>
      </c>
      <c r="E70" t="s">
        <v>44</v>
      </c>
      <c r="F70" s="4">
        <v>51</v>
      </c>
      <c r="H70" s="4">
        <v>76</v>
      </c>
      <c r="I70" t="s">
        <v>938</v>
      </c>
      <c r="M70" s="2"/>
      <c r="N70" s="4"/>
    </row>
    <row r="71" spans="1:14" x14ac:dyDescent="0.2">
      <c r="A71" t="s">
        <v>637</v>
      </c>
      <c r="B71" t="s">
        <v>322</v>
      </c>
      <c r="C71" t="s">
        <v>41</v>
      </c>
      <c r="D71" t="s">
        <v>44</v>
      </c>
      <c r="E71" t="s">
        <v>44</v>
      </c>
      <c r="F71" s="4">
        <v>42</v>
      </c>
      <c r="H71" s="4">
        <v>62</v>
      </c>
      <c r="I71" t="s">
        <v>939</v>
      </c>
      <c r="M71" s="2"/>
      <c r="N71" s="4"/>
    </row>
    <row r="72" spans="1:14" x14ac:dyDescent="0.2">
      <c r="A72" t="s">
        <v>638</v>
      </c>
      <c r="B72" t="s">
        <v>323</v>
      </c>
      <c r="C72" t="s">
        <v>41</v>
      </c>
      <c r="D72" t="s">
        <v>44</v>
      </c>
      <c r="E72" t="s">
        <v>44</v>
      </c>
      <c r="F72" s="4">
        <v>40</v>
      </c>
      <c r="H72" s="4">
        <v>78</v>
      </c>
      <c r="I72" t="s">
        <v>940</v>
      </c>
      <c r="M72" s="2"/>
      <c r="N72" s="4"/>
    </row>
    <row r="73" spans="1:14" x14ac:dyDescent="0.2">
      <c r="A73" t="s">
        <v>639</v>
      </c>
      <c r="B73" t="s">
        <v>324</v>
      </c>
      <c r="C73" t="s">
        <v>43</v>
      </c>
      <c r="D73" t="s">
        <v>44</v>
      </c>
      <c r="E73" t="s">
        <v>44</v>
      </c>
      <c r="F73" s="4">
        <v>59</v>
      </c>
      <c r="G73" t="s">
        <v>2893</v>
      </c>
      <c r="H73" s="4">
        <v>71</v>
      </c>
      <c r="I73" t="s">
        <v>941</v>
      </c>
      <c r="M73" s="2"/>
      <c r="N73" s="4"/>
    </row>
    <row r="74" spans="1:14" x14ac:dyDescent="0.2">
      <c r="A74" t="s">
        <v>640</v>
      </c>
      <c r="B74" t="s">
        <v>325</v>
      </c>
      <c r="C74" t="s">
        <v>41</v>
      </c>
      <c r="D74" t="s">
        <v>44</v>
      </c>
      <c r="E74" t="s">
        <v>44</v>
      </c>
      <c r="F74" s="4">
        <v>56</v>
      </c>
      <c r="H74" s="4">
        <v>77</v>
      </c>
      <c r="I74" t="s">
        <v>942</v>
      </c>
      <c r="M74" s="2"/>
      <c r="N74" s="4"/>
    </row>
    <row r="75" spans="1:14" x14ac:dyDescent="0.2">
      <c r="A75" t="s">
        <v>641</v>
      </c>
      <c r="B75" t="s">
        <v>326</v>
      </c>
      <c r="C75" t="s">
        <v>41</v>
      </c>
      <c r="D75" t="s">
        <v>44</v>
      </c>
      <c r="E75" t="s">
        <v>44</v>
      </c>
      <c r="F75" s="4">
        <v>41</v>
      </c>
      <c r="H75" s="4">
        <v>75</v>
      </c>
      <c r="I75" t="s">
        <v>943</v>
      </c>
      <c r="M75" s="2"/>
      <c r="N75" s="4"/>
    </row>
    <row r="76" spans="1:14" x14ac:dyDescent="0.2">
      <c r="A76" t="s">
        <v>642</v>
      </c>
      <c r="B76" t="s">
        <v>327</v>
      </c>
      <c r="C76" t="s">
        <v>41</v>
      </c>
      <c r="D76" t="s">
        <v>44</v>
      </c>
      <c r="E76" t="s">
        <v>44</v>
      </c>
      <c r="F76" s="4">
        <v>53</v>
      </c>
      <c r="H76" s="4">
        <v>81</v>
      </c>
      <c r="I76" t="s">
        <v>944</v>
      </c>
      <c r="M76" s="2"/>
      <c r="N76" s="4"/>
    </row>
    <row r="77" spans="1:14" x14ac:dyDescent="0.2">
      <c r="A77" t="s">
        <v>643</v>
      </c>
      <c r="B77" t="s">
        <v>328</v>
      </c>
      <c r="C77" t="s">
        <v>41</v>
      </c>
      <c r="D77" t="s">
        <v>44</v>
      </c>
      <c r="E77" t="s">
        <v>44</v>
      </c>
      <c r="F77" s="4">
        <v>55</v>
      </c>
      <c r="H77" s="4">
        <v>74</v>
      </c>
      <c r="I77" t="s">
        <v>945</v>
      </c>
      <c r="M77" s="2"/>
      <c r="N77" s="4"/>
    </row>
    <row r="78" spans="1:14" x14ac:dyDescent="0.2">
      <c r="A78" t="s">
        <v>644</v>
      </c>
      <c r="B78" t="s">
        <v>329</v>
      </c>
      <c r="C78" t="s">
        <v>41</v>
      </c>
      <c r="D78" t="s">
        <v>44</v>
      </c>
      <c r="E78" t="s">
        <v>44</v>
      </c>
      <c r="F78" s="4">
        <v>48</v>
      </c>
      <c r="H78" s="4">
        <v>80</v>
      </c>
      <c r="I78" t="s">
        <v>946</v>
      </c>
      <c r="M78" s="2"/>
      <c r="N78" s="4"/>
    </row>
    <row r="79" spans="1:14" x14ac:dyDescent="0.2">
      <c r="A79" t="s">
        <v>645</v>
      </c>
      <c r="B79" t="s">
        <v>330</v>
      </c>
      <c r="C79" t="s">
        <v>41</v>
      </c>
      <c r="D79" t="s">
        <v>44</v>
      </c>
      <c r="E79" t="s">
        <v>44</v>
      </c>
      <c r="F79" s="4">
        <v>44</v>
      </c>
      <c r="H79" s="4">
        <v>63</v>
      </c>
      <c r="I79" t="s">
        <v>947</v>
      </c>
      <c r="M79" s="2"/>
      <c r="N79" s="4"/>
    </row>
    <row r="80" spans="1:14" x14ac:dyDescent="0.2">
      <c r="A80" t="s">
        <v>646</v>
      </c>
      <c r="B80" t="s">
        <v>331</v>
      </c>
      <c r="C80" t="s">
        <v>41</v>
      </c>
      <c r="D80" t="s">
        <v>44</v>
      </c>
      <c r="E80" t="s">
        <v>44</v>
      </c>
      <c r="F80" s="4">
        <v>46</v>
      </c>
      <c r="H80" s="4">
        <v>80</v>
      </c>
      <c r="I80" t="s">
        <v>948</v>
      </c>
      <c r="M80" s="2"/>
      <c r="N80" s="4"/>
    </row>
    <row r="81" spans="1:14" x14ac:dyDescent="0.2">
      <c r="A81" t="s">
        <v>647</v>
      </c>
      <c r="B81" t="s">
        <v>332</v>
      </c>
      <c r="C81" t="s">
        <v>43</v>
      </c>
      <c r="D81" t="s">
        <v>44</v>
      </c>
      <c r="E81" t="s">
        <v>44</v>
      </c>
      <c r="F81" s="4">
        <v>57</v>
      </c>
      <c r="G81" t="s">
        <v>2893</v>
      </c>
      <c r="H81" s="4">
        <v>74</v>
      </c>
      <c r="I81" t="s">
        <v>949</v>
      </c>
      <c r="M81" s="2"/>
      <c r="N81" s="4"/>
    </row>
    <row r="82" spans="1:14" x14ac:dyDescent="0.2">
      <c r="A82" t="s">
        <v>648</v>
      </c>
      <c r="B82" t="s">
        <v>333</v>
      </c>
      <c r="C82" t="s">
        <v>43</v>
      </c>
      <c r="D82" t="s">
        <v>133</v>
      </c>
      <c r="E82" t="s">
        <v>38</v>
      </c>
      <c r="F82" s="4">
        <v>46</v>
      </c>
      <c r="G82" t="s">
        <v>2893</v>
      </c>
      <c r="H82" s="4">
        <v>80</v>
      </c>
      <c r="I82" t="s">
        <v>950</v>
      </c>
      <c r="M82" s="2"/>
      <c r="N82" s="4"/>
    </row>
    <row r="83" spans="1:14" x14ac:dyDescent="0.2">
      <c r="A83" t="s">
        <v>649</v>
      </c>
      <c r="B83" t="s">
        <v>334</v>
      </c>
      <c r="C83" t="s">
        <v>43</v>
      </c>
      <c r="D83" t="s">
        <v>151</v>
      </c>
      <c r="E83" t="s">
        <v>38</v>
      </c>
      <c r="F83" s="4">
        <v>50</v>
      </c>
      <c r="G83" t="s">
        <v>2893</v>
      </c>
      <c r="H83" s="4">
        <v>79</v>
      </c>
      <c r="I83" t="s">
        <v>951</v>
      </c>
      <c r="M83" s="2"/>
      <c r="N83" s="4"/>
    </row>
    <row r="84" spans="1:14" x14ac:dyDescent="0.2">
      <c r="A84" t="s">
        <v>650</v>
      </c>
      <c r="B84" t="s">
        <v>335</v>
      </c>
      <c r="C84" t="s">
        <v>43</v>
      </c>
      <c r="D84" t="s">
        <v>131</v>
      </c>
      <c r="E84" t="s">
        <v>38</v>
      </c>
      <c r="F84" s="4">
        <v>60</v>
      </c>
      <c r="G84" t="s">
        <v>2893</v>
      </c>
      <c r="H84" s="4">
        <v>74</v>
      </c>
      <c r="I84" t="s">
        <v>952</v>
      </c>
      <c r="M84" s="2"/>
      <c r="N84" s="4"/>
    </row>
    <row r="85" spans="1:14" x14ac:dyDescent="0.2">
      <c r="A85" t="s">
        <v>651</v>
      </c>
      <c r="B85" t="s">
        <v>336</v>
      </c>
      <c r="C85" t="s">
        <v>43</v>
      </c>
      <c r="D85" t="s">
        <v>147</v>
      </c>
      <c r="E85" t="s">
        <v>38</v>
      </c>
      <c r="F85" s="4">
        <v>44</v>
      </c>
      <c r="G85" t="s">
        <v>2893</v>
      </c>
      <c r="H85" s="4">
        <v>80</v>
      </c>
      <c r="I85" t="s">
        <v>953</v>
      </c>
      <c r="M85" s="2"/>
      <c r="N85" s="4"/>
    </row>
    <row r="86" spans="1:14" x14ac:dyDescent="0.2">
      <c r="A86" t="s">
        <v>652</v>
      </c>
      <c r="B86" t="s">
        <v>337</v>
      </c>
      <c r="C86" t="s">
        <v>43</v>
      </c>
      <c r="D86" t="s">
        <v>150</v>
      </c>
      <c r="E86" t="s">
        <v>38</v>
      </c>
      <c r="F86" s="4">
        <v>56</v>
      </c>
      <c r="G86" t="s">
        <v>2893</v>
      </c>
      <c r="H86" s="4">
        <v>78</v>
      </c>
      <c r="I86" t="s">
        <v>954</v>
      </c>
      <c r="M86" s="2"/>
      <c r="N86" s="4"/>
    </row>
    <row r="87" spans="1:14" x14ac:dyDescent="0.2">
      <c r="A87" t="s">
        <v>653</v>
      </c>
      <c r="B87" t="s">
        <v>338</v>
      </c>
      <c r="C87" t="s">
        <v>43</v>
      </c>
      <c r="D87" t="s">
        <v>157</v>
      </c>
      <c r="E87" t="s">
        <v>38</v>
      </c>
      <c r="F87" s="4">
        <v>58</v>
      </c>
      <c r="G87" t="s">
        <v>2893</v>
      </c>
      <c r="H87" s="4">
        <v>75</v>
      </c>
      <c r="I87" t="s">
        <v>955</v>
      </c>
      <c r="M87" s="2"/>
      <c r="N87" s="4"/>
    </row>
    <row r="88" spans="1:14" x14ac:dyDescent="0.2">
      <c r="A88" t="s">
        <v>654</v>
      </c>
      <c r="B88" t="s">
        <v>339</v>
      </c>
      <c r="C88" t="s">
        <v>43</v>
      </c>
      <c r="D88" t="s">
        <v>143</v>
      </c>
      <c r="E88" t="s">
        <v>38</v>
      </c>
      <c r="F88" s="4">
        <v>45</v>
      </c>
      <c r="G88" t="s">
        <v>2893</v>
      </c>
      <c r="H88" s="4">
        <v>78</v>
      </c>
      <c r="I88" t="s">
        <v>956</v>
      </c>
      <c r="M88" s="2"/>
      <c r="N88" s="4"/>
    </row>
    <row r="89" spans="1:14" x14ac:dyDescent="0.2">
      <c r="A89" t="s">
        <v>655</v>
      </c>
      <c r="B89" t="s">
        <v>340</v>
      </c>
      <c r="C89" t="s">
        <v>43</v>
      </c>
      <c r="D89" t="s">
        <v>153</v>
      </c>
      <c r="E89" t="s">
        <v>38</v>
      </c>
      <c r="F89" s="4">
        <v>62</v>
      </c>
      <c r="G89" t="s">
        <v>2893</v>
      </c>
      <c r="H89" s="4">
        <v>74</v>
      </c>
      <c r="I89" t="s">
        <v>957</v>
      </c>
      <c r="M89" s="2"/>
      <c r="N89" s="4"/>
    </row>
    <row r="90" spans="1:14" x14ac:dyDescent="0.2">
      <c r="A90" t="s">
        <v>656</v>
      </c>
      <c r="B90" t="s">
        <v>341</v>
      </c>
      <c r="C90" t="s">
        <v>43</v>
      </c>
      <c r="D90" t="s">
        <v>137</v>
      </c>
      <c r="E90" t="s">
        <v>38</v>
      </c>
      <c r="F90" s="4">
        <v>52</v>
      </c>
      <c r="G90" t="s">
        <v>567</v>
      </c>
      <c r="H90" s="4">
        <v>80</v>
      </c>
      <c r="I90" t="s">
        <v>958</v>
      </c>
      <c r="M90" s="2"/>
      <c r="N90" s="4"/>
    </row>
    <row r="91" spans="1:14" x14ac:dyDescent="0.2">
      <c r="A91" t="s">
        <v>657</v>
      </c>
      <c r="B91" t="s">
        <v>342</v>
      </c>
      <c r="C91" t="s">
        <v>43</v>
      </c>
      <c r="D91" t="s">
        <v>140</v>
      </c>
      <c r="E91" t="s">
        <v>38</v>
      </c>
      <c r="F91" s="4">
        <v>55</v>
      </c>
      <c r="G91" t="s">
        <v>2893</v>
      </c>
      <c r="H91" s="4">
        <v>78</v>
      </c>
      <c r="I91" t="s">
        <v>959</v>
      </c>
      <c r="M91" s="2"/>
      <c r="N91" s="4"/>
    </row>
    <row r="92" spans="1:14" x14ac:dyDescent="0.2">
      <c r="A92" t="s">
        <v>658</v>
      </c>
      <c r="B92" t="s">
        <v>343</v>
      </c>
      <c r="C92" t="s">
        <v>43</v>
      </c>
      <c r="D92" t="s">
        <v>134</v>
      </c>
      <c r="E92" t="s">
        <v>38</v>
      </c>
      <c r="F92" s="4">
        <v>59</v>
      </c>
      <c r="G92" t="s">
        <v>2893</v>
      </c>
      <c r="H92" s="4">
        <v>75</v>
      </c>
      <c r="I92" t="s">
        <v>960</v>
      </c>
      <c r="M92" s="2"/>
      <c r="N92" s="4"/>
    </row>
    <row r="93" spans="1:14" x14ac:dyDescent="0.2">
      <c r="A93" t="s">
        <v>659</v>
      </c>
      <c r="B93" t="s">
        <v>344</v>
      </c>
      <c r="C93" t="s">
        <v>43</v>
      </c>
      <c r="D93" t="s">
        <v>141</v>
      </c>
      <c r="E93" t="s">
        <v>38</v>
      </c>
      <c r="F93" s="4">
        <v>43</v>
      </c>
      <c r="G93" t="s">
        <v>2893</v>
      </c>
      <c r="H93" s="4">
        <v>82</v>
      </c>
      <c r="I93" t="s">
        <v>961</v>
      </c>
      <c r="M93" s="2"/>
      <c r="N93" s="4"/>
    </row>
    <row r="94" spans="1:14" x14ac:dyDescent="0.2">
      <c r="A94" t="s">
        <v>660</v>
      </c>
      <c r="B94" t="s">
        <v>345</v>
      </c>
      <c r="C94" t="s">
        <v>43</v>
      </c>
      <c r="D94" t="s">
        <v>138</v>
      </c>
      <c r="E94" t="s">
        <v>38</v>
      </c>
      <c r="F94" s="4">
        <v>47</v>
      </c>
      <c r="G94" t="s">
        <v>2893</v>
      </c>
      <c r="H94" s="4">
        <v>78</v>
      </c>
      <c r="I94" t="s">
        <v>962</v>
      </c>
      <c r="M94" s="2"/>
      <c r="N94" s="4"/>
    </row>
    <row r="95" spans="1:14" x14ac:dyDescent="0.2">
      <c r="A95" t="s">
        <v>661</v>
      </c>
      <c r="B95" t="s">
        <v>346</v>
      </c>
      <c r="C95" t="s">
        <v>43</v>
      </c>
      <c r="D95" t="s">
        <v>139</v>
      </c>
      <c r="E95" t="s">
        <v>38</v>
      </c>
      <c r="F95" s="4">
        <v>49</v>
      </c>
      <c r="G95" t="s">
        <v>2893</v>
      </c>
      <c r="H95" s="4">
        <v>79</v>
      </c>
      <c r="I95" t="s">
        <v>963</v>
      </c>
      <c r="M95" s="2"/>
      <c r="N95" s="4"/>
    </row>
    <row r="96" spans="1:14" x14ac:dyDescent="0.2">
      <c r="A96" t="s">
        <v>662</v>
      </c>
      <c r="B96" t="s">
        <v>347</v>
      </c>
      <c r="C96" t="s">
        <v>43</v>
      </c>
      <c r="D96" t="s">
        <v>152</v>
      </c>
      <c r="E96" t="s">
        <v>38</v>
      </c>
      <c r="F96" s="4">
        <v>32</v>
      </c>
      <c r="G96" t="s">
        <v>2894</v>
      </c>
      <c r="H96" s="4">
        <v>84</v>
      </c>
      <c r="I96" t="s">
        <v>964</v>
      </c>
      <c r="M96" s="2"/>
      <c r="N96" s="4"/>
    </row>
    <row r="97" spans="1:14" x14ac:dyDescent="0.2">
      <c r="A97" t="s">
        <v>663</v>
      </c>
      <c r="B97" t="s">
        <v>348</v>
      </c>
      <c r="C97" t="s">
        <v>43</v>
      </c>
      <c r="D97" t="s">
        <v>135</v>
      </c>
      <c r="E97" t="s">
        <v>38</v>
      </c>
      <c r="F97" s="4">
        <v>40</v>
      </c>
      <c r="G97" t="s">
        <v>2893</v>
      </c>
      <c r="H97" s="4">
        <v>79</v>
      </c>
      <c r="I97" t="s">
        <v>965</v>
      </c>
      <c r="M97" s="2"/>
      <c r="N97" s="4"/>
    </row>
    <row r="98" spans="1:14" x14ac:dyDescent="0.2">
      <c r="A98" t="s">
        <v>664</v>
      </c>
      <c r="B98" t="s">
        <v>349</v>
      </c>
      <c r="C98" t="s">
        <v>43</v>
      </c>
      <c r="D98" t="s">
        <v>129</v>
      </c>
      <c r="E98" t="s">
        <v>38</v>
      </c>
      <c r="F98" s="4">
        <v>46</v>
      </c>
      <c r="G98" t="s">
        <v>2893</v>
      </c>
      <c r="H98" s="4">
        <v>78</v>
      </c>
      <c r="I98" t="s">
        <v>966</v>
      </c>
      <c r="M98" s="2"/>
      <c r="N98" s="4"/>
    </row>
    <row r="99" spans="1:14" x14ac:dyDescent="0.2">
      <c r="A99" t="s">
        <v>665</v>
      </c>
      <c r="B99" t="s">
        <v>350</v>
      </c>
      <c r="C99" t="s">
        <v>43</v>
      </c>
      <c r="D99" t="s">
        <v>130</v>
      </c>
      <c r="E99" t="s">
        <v>38</v>
      </c>
      <c r="F99" s="4">
        <v>54</v>
      </c>
      <c r="G99" t="s">
        <v>567</v>
      </c>
      <c r="H99" s="4">
        <v>79</v>
      </c>
      <c r="I99" t="s">
        <v>967</v>
      </c>
      <c r="M99" s="2"/>
      <c r="N99" s="4"/>
    </row>
    <row r="100" spans="1:14" x14ac:dyDescent="0.2">
      <c r="A100" t="s">
        <v>666</v>
      </c>
      <c r="B100" t="s">
        <v>351</v>
      </c>
      <c r="C100" t="s">
        <v>43</v>
      </c>
      <c r="D100" t="s">
        <v>132</v>
      </c>
      <c r="E100" t="s">
        <v>38</v>
      </c>
      <c r="F100" s="4">
        <v>57</v>
      </c>
      <c r="G100" t="s">
        <v>2893</v>
      </c>
      <c r="H100" s="4">
        <v>80</v>
      </c>
      <c r="I100" t="s">
        <v>968</v>
      </c>
      <c r="M100" s="2"/>
      <c r="N100" s="4"/>
    </row>
    <row r="101" spans="1:14" x14ac:dyDescent="0.2">
      <c r="A101" t="s">
        <v>667</v>
      </c>
      <c r="B101" t="s">
        <v>352</v>
      </c>
      <c r="C101" t="s">
        <v>43</v>
      </c>
      <c r="D101" t="s">
        <v>22</v>
      </c>
      <c r="E101" t="s">
        <v>38</v>
      </c>
      <c r="F101" s="4">
        <v>45</v>
      </c>
      <c r="G101" t="s">
        <v>2895</v>
      </c>
      <c r="H101" s="4">
        <v>78</v>
      </c>
      <c r="I101" t="s">
        <v>969</v>
      </c>
      <c r="M101" s="2"/>
      <c r="N101" s="4"/>
    </row>
    <row r="102" spans="1:14" x14ac:dyDescent="0.2">
      <c r="A102" t="s">
        <v>40</v>
      </c>
      <c r="B102" t="s">
        <v>353</v>
      </c>
      <c r="C102" t="s">
        <v>43</v>
      </c>
      <c r="D102" t="s">
        <v>149</v>
      </c>
      <c r="E102" t="s">
        <v>38</v>
      </c>
      <c r="F102" s="4">
        <v>61</v>
      </c>
      <c r="G102" t="s">
        <v>2893</v>
      </c>
      <c r="H102" s="4">
        <v>75</v>
      </c>
      <c r="I102" t="s">
        <v>970</v>
      </c>
      <c r="M102" s="2"/>
      <c r="N102" s="4"/>
    </row>
    <row r="103" spans="1:14" x14ac:dyDescent="0.2">
      <c r="A103" t="s">
        <v>668</v>
      </c>
      <c r="B103" t="s">
        <v>354</v>
      </c>
      <c r="C103" t="s">
        <v>43</v>
      </c>
      <c r="D103" t="s">
        <v>146</v>
      </c>
      <c r="E103" t="s">
        <v>38</v>
      </c>
      <c r="F103" s="4">
        <v>44</v>
      </c>
      <c r="G103" t="s">
        <v>2893</v>
      </c>
      <c r="H103" s="4">
        <v>81</v>
      </c>
      <c r="I103" t="s">
        <v>971</v>
      </c>
      <c r="M103" s="2"/>
      <c r="N103" s="4"/>
    </row>
    <row r="104" spans="1:14" x14ac:dyDescent="0.2">
      <c r="A104" t="s">
        <v>669</v>
      </c>
      <c r="B104" t="s">
        <v>355</v>
      </c>
      <c r="C104" t="s">
        <v>43</v>
      </c>
      <c r="D104" t="s">
        <v>142</v>
      </c>
      <c r="E104" t="s">
        <v>38</v>
      </c>
      <c r="F104" s="4">
        <v>50</v>
      </c>
      <c r="G104" t="s">
        <v>2893</v>
      </c>
      <c r="H104" s="4">
        <v>79</v>
      </c>
      <c r="I104" t="s">
        <v>972</v>
      </c>
      <c r="M104" s="2"/>
      <c r="N104" s="4"/>
    </row>
    <row r="105" spans="1:14" x14ac:dyDescent="0.2">
      <c r="A105" t="s">
        <v>670</v>
      </c>
      <c r="B105" t="s">
        <v>356</v>
      </c>
      <c r="C105" t="s">
        <v>43</v>
      </c>
      <c r="D105" t="s">
        <v>154</v>
      </c>
      <c r="E105" t="s">
        <v>38</v>
      </c>
      <c r="F105" s="4">
        <v>47</v>
      </c>
      <c r="G105" t="s">
        <v>2893</v>
      </c>
      <c r="H105" s="4">
        <v>78</v>
      </c>
      <c r="I105" t="s">
        <v>973</v>
      </c>
      <c r="M105" s="2"/>
      <c r="N105" s="4"/>
    </row>
    <row r="106" spans="1:14" x14ac:dyDescent="0.2">
      <c r="A106" t="s">
        <v>671</v>
      </c>
      <c r="B106" t="s">
        <v>357</v>
      </c>
      <c r="C106" t="s">
        <v>43</v>
      </c>
      <c r="D106" t="s">
        <v>148</v>
      </c>
      <c r="E106" t="s">
        <v>38</v>
      </c>
      <c r="F106" s="4">
        <v>58</v>
      </c>
      <c r="G106" t="s">
        <v>2893</v>
      </c>
      <c r="H106" s="4">
        <v>75</v>
      </c>
      <c r="I106" t="s">
        <v>974</v>
      </c>
      <c r="M106" s="2"/>
      <c r="N106" s="4"/>
    </row>
    <row r="107" spans="1:14" x14ac:dyDescent="0.2">
      <c r="A107" t="s">
        <v>672</v>
      </c>
      <c r="B107" t="s">
        <v>358</v>
      </c>
      <c r="C107" t="s">
        <v>43</v>
      </c>
      <c r="D107" t="s">
        <v>144</v>
      </c>
      <c r="E107" t="s">
        <v>38</v>
      </c>
      <c r="F107" s="4">
        <v>42</v>
      </c>
      <c r="G107" t="s">
        <v>2893</v>
      </c>
      <c r="H107" s="4">
        <v>80</v>
      </c>
      <c r="I107" t="s">
        <v>975</v>
      </c>
      <c r="M107" s="2"/>
      <c r="N107" s="4"/>
    </row>
    <row r="108" spans="1:14" x14ac:dyDescent="0.2">
      <c r="A108" t="s">
        <v>673</v>
      </c>
      <c r="B108" t="s">
        <v>359</v>
      </c>
      <c r="C108" t="s">
        <v>43</v>
      </c>
      <c r="D108" t="s">
        <v>136</v>
      </c>
      <c r="E108" t="s">
        <v>38</v>
      </c>
      <c r="F108" s="4">
        <v>56</v>
      </c>
      <c r="G108" t="s">
        <v>2893</v>
      </c>
      <c r="H108" s="4">
        <v>78</v>
      </c>
      <c r="I108" t="s">
        <v>976</v>
      </c>
      <c r="M108" s="2"/>
      <c r="N108" s="4"/>
    </row>
    <row r="109" spans="1:14" x14ac:dyDescent="0.2">
      <c r="A109" t="s">
        <v>674</v>
      </c>
      <c r="B109" t="s">
        <v>360</v>
      </c>
      <c r="C109" t="s">
        <v>43</v>
      </c>
      <c r="D109" t="s">
        <v>145</v>
      </c>
      <c r="E109" t="s">
        <v>38</v>
      </c>
      <c r="F109" s="4">
        <v>60</v>
      </c>
      <c r="G109" t="s">
        <v>2893</v>
      </c>
      <c r="H109" s="4">
        <v>74</v>
      </c>
      <c r="I109" t="s">
        <v>977</v>
      </c>
      <c r="M109" s="2"/>
      <c r="N109" s="4"/>
    </row>
    <row r="110" spans="1:14" x14ac:dyDescent="0.2">
      <c r="A110" t="s">
        <v>675</v>
      </c>
      <c r="B110" t="s">
        <v>361</v>
      </c>
      <c r="C110" t="s">
        <v>43</v>
      </c>
      <c r="D110" t="s">
        <v>158</v>
      </c>
      <c r="E110" t="s">
        <v>38</v>
      </c>
      <c r="F110" s="4">
        <v>48</v>
      </c>
      <c r="G110" t="s">
        <v>567</v>
      </c>
      <c r="H110" s="4">
        <v>80</v>
      </c>
      <c r="I110" t="s">
        <v>978</v>
      </c>
      <c r="M110" s="2"/>
      <c r="N110" s="4"/>
    </row>
    <row r="111" spans="1:14" x14ac:dyDescent="0.2">
      <c r="A111" t="s">
        <v>676</v>
      </c>
      <c r="B111" t="s">
        <v>362</v>
      </c>
      <c r="C111" t="s">
        <v>43</v>
      </c>
      <c r="D111" t="s">
        <v>155</v>
      </c>
      <c r="E111" t="s">
        <v>38</v>
      </c>
      <c r="F111" s="4">
        <v>44</v>
      </c>
      <c r="G111" t="s">
        <v>2893</v>
      </c>
      <c r="H111" s="4">
        <v>82</v>
      </c>
      <c r="I111" t="s">
        <v>979</v>
      </c>
      <c r="M111" s="2"/>
      <c r="N111" s="4"/>
    </row>
    <row r="112" spans="1:14" x14ac:dyDescent="0.2">
      <c r="A112" t="s">
        <v>677</v>
      </c>
      <c r="B112" t="s">
        <v>363</v>
      </c>
      <c r="C112" t="s">
        <v>43</v>
      </c>
      <c r="D112" t="s">
        <v>156</v>
      </c>
      <c r="E112" t="s">
        <v>38</v>
      </c>
      <c r="F112" s="4">
        <v>55</v>
      </c>
      <c r="G112" t="s">
        <v>2893</v>
      </c>
      <c r="H112" s="4">
        <v>78</v>
      </c>
      <c r="I112" t="s">
        <v>980</v>
      </c>
      <c r="M112" s="2"/>
      <c r="N112" s="4"/>
    </row>
    <row r="113" spans="1:14" x14ac:dyDescent="0.2">
      <c r="A113" t="s">
        <v>678</v>
      </c>
      <c r="B113" t="s">
        <v>364</v>
      </c>
      <c r="C113" t="s">
        <v>365</v>
      </c>
      <c r="D113" t="s">
        <v>25</v>
      </c>
      <c r="E113" t="s">
        <v>38</v>
      </c>
      <c r="F113" s="4">
        <v>41</v>
      </c>
      <c r="G113" t="s">
        <v>2896</v>
      </c>
      <c r="H113" s="4">
        <v>78</v>
      </c>
      <c r="I113" t="s">
        <v>981</v>
      </c>
      <c r="M113" s="2"/>
      <c r="N113" s="4"/>
    </row>
    <row r="114" spans="1:14" x14ac:dyDescent="0.2">
      <c r="A114" t="s">
        <v>679</v>
      </c>
      <c r="B114" t="s">
        <v>366</v>
      </c>
      <c r="C114" t="s">
        <v>43</v>
      </c>
      <c r="D114" t="s">
        <v>44</v>
      </c>
      <c r="E114" t="s">
        <v>44</v>
      </c>
      <c r="F114" s="4">
        <v>43</v>
      </c>
      <c r="G114" t="s">
        <v>2893</v>
      </c>
      <c r="H114" s="4">
        <v>80</v>
      </c>
      <c r="I114" t="s">
        <v>982</v>
      </c>
      <c r="M114" s="2"/>
      <c r="N114" s="4"/>
    </row>
    <row r="115" spans="1:14" x14ac:dyDescent="0.2">
      <c r="A115" t="s">
        <v>680</v>
      </c>
      <c r="B115" t="s">
        <v>367</v>
      </c>
      <c r="C115" t="s">
        <v>43</v>
      </c>
      <c r="D115" t="s">
        <v>44</v>
      </c>
      <c r="E115" t="s">
        <v>44</v>
      </c>
      <c r="F115" s="4">
        <v>45</v>
      </c>
      <c r="G115" t="s">
        <v>2893</v>
      </c>
      <c r="H115" s="4">
        <v>82</v>
      </c>
      <c r="I115" t="s">
        <v>983</v>
      </c>
      <c r="M115" s="2"/>
      <c r="N115" s="4"/>
    </row>
    <row r="116" spans="1:14" x14ac:dyDescent="0.2">
      <c r="A116" t="s">
        <v>681</v>
      </c>
      <c r="B116" t="s">
        <v>368</v>
      </c>
      <c r="C116" t="s">
        <v>43</v>
      </c>
      <c r="D116" t="s">
        <v>44</v>
      </c>
      <c r="E116" t="s">
        <v>44</v>
      </c>
      <c r="F116" s="4">
        <v>41</v>
      </c>
      <c r="G116" t="s">
        <v>2893</v>
      </c>
      <c r="H116" s="4">
        <v>81</v>
      </c>
      <c r="I116" t="s">
        <v>984</v>
      </c>
      <c r="M116" s="2"/>
      <c r="N116" s="4"/>
    </row>
    <row r="117" spans="1:14" x14ac:dyDescent="0.2">
      <c r="A117" t="s">
        <v>682</v>
      </c>
      <c r="B117" t="s">
        <v>369</v>
      </c>
      <c r="C117" t="s">
        <v>43</v>
      </c>
      <c r="D117" t="s">
        <v>44</v>
      </c>
      <c r="E117" t="s">
        <v>44</v>
      </c>
      <c r="F117" s="4">
        <v>52</v>
      </c>
      <c r="G117" t="s">
        <v>2893</v>
      </c>
      <c r="H117" s="4">
        <v>77</v>
      </c>
      <c r="I117" t="s">
        <v>985</v>
      </c>
      <c r="M117" s="2"/>
      <c r="N117" s="4"/>
    </row>
    <row r="118" spans="1:14" x14ac:dyDescent="0.2">
      <c r="A118" t="s">
        <v>683</v>
      </c>
      <c r="B118" t="s">
        <v>370</v>
      </c>
      <c r="C118" t="s">
        <v>43</v>
      </c>
      <c r="D118" t="s">
        <v>44</v>
      </c>
      <c r="E118" t="s">
        <v>44</v>
      </c>
      <c r="F118" s="4">
        <v>44</v>
      </c>
      <c r="G118" t="s">
        <v>567</v>
      </c>
      <c r="H118" s="4">
        <v>80</v>
      </c>
      <c r="I118" t="s">
        <v>986</v>
      </c>
      <c r="M118" s="2"/>
      <c r="N118" s="4"/>
    </row>
    <row r="119" spans="1:14" x14ac:dyDescent="0.2">
      <c r="A119" t="s">
        <v>684</v>
      </c>
      <c r="B119" t="s">
        <v>371</v>
      </c>
      <c r="C119" t="s">
        <v>43</v>
      </c>
      <c r="D119" t="s">
        <v>44</v>
      </c>
      <c r="E119" t="s">
        <v>44</v>
      </c>
      <c r="F119" s="4">
        <v>55</v>
      </c>
      <c r="G119" t="s">
        <v>2893</v>
      </c>
      <c r="H119" s="4">
        <v>78</v>
      </c>
      <c r="I119" t="s">
        <v>987</v>
      </c>
      <c r="M119" s="2"/>
      <c r="N119" s="4"/>
    </row>
    <row r="120" spans="1:14" x14ac:dyDescent="0.2">
      <c r="A120" t="s">
        <v>685</v>
      </c>
      <c r="B120" t="s">
        <v>372</v>
      </c>
      <c r="C120" t="s">
        <v>43</v>
      </c>
      <c r="D120" t="s">
        <v>44</v>
      </c>
      <c r="E120" t="s">
        <v>44</v>
      </c>
      <c r="F120" s="4">
        <v>63</v>
      </c>
      <c r="G120" t="s">
        <v>2893</v>
      </c>
      <c r="H120" s="4">
        <v>76</v>
      </c>
      <c r="I120" t="s">
        <v>988</v>
      </c>
      <c r="M120" s="2"/>
      <c r="N120" s="4"/>
    </row>
    <row r="121" spans="1:14" x14ac:dyDescent="0.2">
      <c r="A121" t="s">
        <v>686</v>
      </c>
      <c r="B121" t="s">
        <v>373</v>
      </c>
      <c r="C121" t="s">
        <v>365</v>
      </c>
      <c r="D121" t="s">
        <v>44</v>
      </c>
      <c r="E121" t="s">
        <v>44</v>
      </c>
      <c r="F121" s="4">
        <v>39</v>
      </c>
      <c r="G121" t="s">
        <v>2897</v>
      </c>
      <c r="H121" s="4">
        <v>79</v>
      </c>
      <c r="I121" t="s">
        <v>989</v>
      </c>
      <c r="M121" s="2"/>
      <c r="N121" s="4"/>
    </row>
    <row r="122" spans="1:14" x14ac:dyDescent="0.2">
      <c r="A122" t="s">
        <v>687</v>
      </c>
      <c r="B122" t="s">
        <v>374</v>
      </c>
      <c r="C122" t="s">
        <v>43</v>
      </c>
      <c r="D122" t="s">
        <v>44</v>
      </c>
      <c r="E122" t="s">
        <v>44</v>
      </c>
      <c r="F122" s="4">
        <v>46</v>
      </c>
      <c r="G122" t="s">
        <v>2893</v>
      </c>
      <c r="H122" s="4">
        <v>82</v>
      </c>
      <c r="I122" t="s">
        <v>990</v>
      </c>
      <c r="M122" s="2"/>
      <c r="N122" s="4"/>
    </row>
    <row r="123" spans="1:14" x14ac:dyDescent="0.2">
      <c r="A123" t="s">
        <v>688</v>
      </c>
      <c r="B123" t="s">
        <v>375</v>
      </c>
      <c r="C123" t="s">
        <v>43</v>
      </c>
      <c r="D123" t="s">
        <v>44</v>
      </c>
      <c r="E123" t="s">
        <v>44</v>
      </c>
      <c r="F123" s="4">
        <v>42</v>
      </c>
      <c r="G123" t="s">
        <v>2893</v>
      </c>
      <c r="H123" s="4">
        <v>80</v>
      </c>
      <c r="I123" t="s">
        <v>991</v>
      </c>
      <c r="M123" s="2"/>
      <c r="N123" s="4"/>
    </row>
    <row r="124" spans="1:14" x14ac:dyDescent="0.2">
      <c r="A124" t="s">
        <v>689</v>
      </c>
      <c r="B124" t="s">
        <v>376</v>
      </c>
      <c r="C124" t="s">
        <v>43</v>
      </c>
      <c r="D124" t="s">
        <v>44</v>
      </c>
      <c r="E124" t="s">
        <v>44</v>
      </c>
      <c r="F124" s="4">
        <v>57</v>
      </c>
      <c r="G124" t="s">
        <v>2893</v>
      </c>
      <c r="H124" s="4">
        <v>75</v>
      </c>
      <c r="I124" t="s">
        <v>992</v>
      </c>
      <c r="M124" s="2"/>
      <c r="N124" s="4"/>
    </row>
    <row r="125" spans="1:14" x14ac:dyDescent="0.2">
      <c r="A125" t="s">
        <v>690</v>
      </c>
      <c r="B125" t="s">
        <v>377</v>
      </c>
      <c r="C125" t="s">
        <v>43</v>
      </c>
      <c r="D125" t="s">
        <v>44</v>
      </c>
      <c r="E125" t="s">
        <v>44</v>
      </c>
      <c r="F125" s="4">
        <v>44</v>
      </c>
      <c r="G125" t="s">
        <v>2893</v>
      </c>
      <c r="H125" s="4">
        <v>81</v>
      </c>
      <c r="I125" t="s">
        <v>993</v>
      </c>
      <c r="M125" s="2"/>
      <c r="N125" s="4"/>
    </row>
    <row r="126" spans="1:14" x14ac:dyDescent="0.2">
      <c r="A126" t="s">
        <v>691</v>
      </c>
      <c r="B126" t="s">
        <v>378</v>
      </c>
      <c r="C126" t="s">
        <v>43</v>
      </c>
      <c r="D126" t="s">
        <v>44</v>
      </c>
      <c r="E126" t="s">
        <v>44</v>
      </c>
      <c r="F126" s="4">
        <v>45</v>
      </c>
      <c r="G126" t="s">
        <v>2893</v>
      </c>
      <c r="H126" s="4">
        <v>78</v>
      </c>
      <c r="I126" t="s">
        <v>994</v>
      </c>
      <c r="M126" s="2"/>
      <c r="N126" s="4"/>
    </row>
    <row r="127" spans="1:14" x14ac:dyDescent="0.2">
      <c r="A127" t="s">
        <v>692</v>
      </c>
      <c r="B127" t="s">
        <v>379</v>
      </c>
      <c r="C127" t="s">
        <v>43</v>
      </c>
      <c r="D127" t="s">
        <v>44</v>
      </c>
      <c r="E127" t="s">
        <v>44</v>
      </c>
      <c r="F127" s="4">
        <v>49</v>
      </c>
      <c r="G127" t="s">
        <v>567</v>
      </c>
      <c r="H127" s="4">
        <v>80</v>
      </c>
      <c r="I127" t="s">
        <v>995</v>
      </c>
      <c r="M127" s="2"/>
      <c r="N127" s="4"/>
    </row>
    <row r="128" spans="1:14" x14ac:dyDescent="0.2">
      <c r="A128" t="s">
        <v>693</v>
      </c>
      <c r="B128" t="s">
        <v>380</v>
      </c>
      <c r="C128" t="s">
        <v>43</v>
      </c>
      <c r="D128" t="s">
        <v>44</v>
      </c>
      <c r="E128" t="s">
        <v>44</v>
      </c>
      <c r="F128" s="4">
        <v>56</v>
      </c>
      <c r="G128" t="s">
        <v>2893</v>
      </c>
      <c r="H128" s="4">
        <v>78</v>
      </c>
      <c r="I128" t="s">
        <v>996</v>
      </c>
      <c r="M128" s="2"/>
      <c r="N128" s="4"/>
    </row>
    <row r="129" spans="1:14" x14ac:dyDescent="0.2">
      <c r="A129" t="s">
        <v>694</v>
      </c>
      <c r="B129" t="s">
        <v>381</v>
      </c>
      <c r="C129" t="s">
        <v>365</v>
      </c>
      <c r="D129" t="s">
        <v>44</v>
      </c>
      <c r="E129" t="s">
        <v>44</v>
      </c>
      <c r="F129" s="4">
        <v>47</v>
      </c>
      <c r="G129" t="s">
        <v>2898</v>
      </c>
      <c r="H129" s="4">
        <v>80</v>
      </c>
      <c r="I129" t="s">
        <v>997</v>
      </c>
      <c r="M129" s="2"/>
      <c r="N129" s="4"/>
    </row>
    <row r="130" spans="1:14" x14ac:dyDescent="0.2">
      <c r="A130" t="s">
        <v>695</v>
      </c>
      <c r="B130" t="s">
        <v>382</v>
      </c>
      <c r="C130" t="s">
        <v>365</v>
      </c>
      <c r="D130" t="s">
        <v>133</v>
      </c>
      <c r="E130" t="s">
        <v>38</v>
      </c>
      <c r="F130" s="4">
        <v>44</v>
      </c>
      <c r="G130" t="s">
        <v>2898</v>
      </c>
      <c r="H130" s="4">
        <v>80</v>
      </c>
      <c r="I130" t="s">
        <v>998</v>
      </c>
      <c r="M130" s="2"/>
      <c r="N130" s="4"/>
    </row>
    <row r="131" spans="1:14" x14ac:dyDescent="0.2">
      <c r="A131" t="s">
        <v>696</v>
      </c>
      <c r="B131" t="s">
        <v>383</v>
      </c>
      <c r="C131" t="s">
        <v>365</v>
      </c>
      <c r="D131" t="s">
        <v>151</v>
      </c>
      <c r="E131" t="s">
        <v>38</v>
      </c>
      <c r="F131" s="4">
        <v>46</v>
      </c>
      <c r="G131" t="s">
        <v>2893</v>
      </c>
      <c r="H131" s="4">
        <v>77</v>
      </c>
      <c r="I131" t="s">
        <v>999</v>
      </c>
      <c r="M131" s="2"/>
      <c r="N131" s="4"/>
    </row>
    <row r="132" spans="1:14" x14ac:dyDescent="0.2">
      <c r="A132" t="s">
        <v>697</v>
      </c>
      <c r="B132" t="s">
        <v>384</v>
      </c>
      <c r="C132" t="s">
        <v>365</v>
      </c>
      <c r="D132" t="s">
        <v>131</v>
      </c>
      <c r="E132" t="s">
        <v>38</v>
      </c>
      <c r="F132" s="4">
        <v>52</v>
      </c>
      <c r="G132" t="s">
        <v>2899</v>
      </c>
      <c r="H132" s="4">
        <v>76</v>
      </c>
      <c r="I132" t="s">
        <v>1000</v>
      </c>
      <c r="M132" s="2"/>
      <c r="N132" s="4"/>
    </row>
    <row r="133" spans="1:14" x14ac:dyDescent="0.2">
      <c r="A133" t="s">
        <v>698</v>
      </c>
      <c r="B133" t="s">
        <v>385</v>
      </c>
      <c r="C133" t="s">
        <v>365</v>
      </c>
      <c r="D133" t="s">
        <v>147</v>
      </c>
      <c r="E133" t="s">
        <v>38</v>
      </c>
      <c r="F133" s="4">
        <v>41</v>
      </c>
      <c r="G133" t="s">
        <v>2900</v>
      </c>
      <c r="H133" s="4">
        <v>78</v>
      </c>
      <c r="I133" t="s">
        <v>1001</v>
      </c>
      <c r="M133" s="2"/>
      <c r="N133" s="4"/>
    </row>
    <row r="134" spans="1:14" x14ac:dyDescent="0.2">
      <c r="A134" t="s">
        <v>699</v>
      </c>
      <c r="B134" t="s">
        <v>386</v>
      </c>
      <c r="C134" t="s">
        <v>365</v>
      </c>
      <c r="D134" t="s">
        <v>150</v>
      </c>
      <c r="E134" t="s">
        <v>38</v>
      </c>
      <c r="F134" s="4">
        <v>40</v>
      </c>
      <c r="G134" t="s">
        <v>2901</v>
      </c>
      <c r="H134" s="4">
        <v>78</v>
      </c>
      <c r="I134" t="s">
        <v>1002</v>
      </c>
      <c r="M134" s="2"/>
      <c r="N134" s="4"/>
    </row>
    <row r="135" spans="1:14" x14ac:dyDescent="0.2">
      <c r="A135" t="s">
        <v>700</v>
      </c>
      <c r="B135" t="s">
        <v>387</v>
      </c>
      <c r="C135" t="s">
        <v>365</v>
      </c>
      <c r="D135" t="s">
        <v>157</v>
      </c>
      <c r="E135" t="s">
        <v>38</v>
      </c>
      <c r="F135" s="4">
        <v>49</v>
      </c>
      <c r="G135" t="s">
        <v>2893</v>
      </c>
      <c r="H135" s="4">
        <v>77</v>
      </c>
      <c r="I135" t="s">
        <v>1003</v>
      </c>
      <c r="M135" s="2"/>
      <c r="N135" s="4"/>
    </row>
    <row r="136" spans="1:14" x14ac:dyDescent="0.2">
      <c r="A136" t="s">
        <v>701</v>
      </c>
      <c r="B136" t="s">
        <v>388</v>
      </c>
      <c r="C136" t="s">
        <v>365</v>
      </c>
      <c r="D136" t="s">
        <v>143</v>
      </c>
      <c r="E136" t="s">
        <v>38</v>
      </c>
      <c r="F136" s="4">
        <v>42</v>
      </c>
      <c r="G136" t="s">
        <v>2896</v>
      </c>
      <c r="H136" s="4">
        <v>76</v>
      </c>
      <c r="I136" t="s">
        <v>1004</v>
      </c>
      <c r="M136" s="2"/>
      <c r="N136" s="4"/>
    </row>
    <row r="137" spans="1:14" x14ac:dyDescent="0.2">
      <c r="A137" t="s">
        <v>702</v>
      </c>
      <c r="B137" t="s">
        <v>389</v>
      </c>
      <c r="C137" t="s">
        <v>365</v>
      </c>
      <c r="D137" t="s">
        <v>153</v>
      </c>
      <c r="E137" t="s">
        <v>38</v>
      </c>
      <c r="F137" s="4">
        <v>48</v>
      </c>
      <c r="G137" t="s">
        <v>2893</v>
      </c>
      <c r="H137" s="4">
        <v>77</v>
      </c>
      <c r="I137" t="s">
        <v>1005</v>
      </c>
      <c r="M137" s="2"/>
      <c r="N137" s="4"/>
    </row>
    <row r="138" spans="1:14" x14ac:dyDescent="0.2">
      <c r="A138" t="s">
        <v>703</v>
      </c>
      <c r="B138" t="s">
        <v>390</v>
      </c>
      <c r="C138" t="s">
        <v>365</v>
      </c>
      <c r="D138" t="s">
        <v>137</v>
      </c>
      <c r="E138" t="s">
        <v>38</v>
      </c>
      <c r="F138" s="4">
        <v>45</v>
      </c>
      <c r="G138" t="s">
        <v>2898</v>
      </c>
      <c r="H138" s="4">
        <v>80</v>
      </c>
      <c r="I138" t="s">
        <v>1006</v>
      </c>
      <c r="M138" s="2"/>
      <c r="N138" s="4"/>
    </row>
    <row r="139" spans="1:14" x14ac:dyDescent="0.2">
      <c r="A139" t="s">
        <v>704</v>
      </c>
      <c r="B139" t="s">
        <v>391</v>
      </c>
      <c r="C139" t="s">
        <v>365</v>
      </c>
      <c r="D139" t="s">
        <v>140</v>
      </c>
      <c r="E139" t="s">
        <v>38</v>
      </c>
      <c r="F139" s="4">
        <v>38</v>
      </c>
      <c r="G139" t="s">
        <v>2895</v>
      </c>
      <c r="H139" s="4">
        <v>79</v>
      </c>
      <c r="I139" t="s">
        <v>1007</v>
      </c>
      <c r="M139" s="2"/>
      <c r="N139" s="4"/>
    </row>
    <row r="140" spans="1:14" x14ac:dyDescent="0.2">
      <c r="A140" t="s">
        <v>705</v>
      </c>
      <c r="B140" t="s">
        <v>392</v>
      </c>
      <c r="C140" t="s">
        <v>365</v>
      </c>
      <c r="D140" t="s">
        <v>134</v>
      </c>
      <c r="E140" t="s">
        <v>38</v>
      </c>
      <c r="F140" s="4">
        <v>50</v>
      </c>
      <c r="G140" t="s">
        <v>2899</v>
      </c>
      <c r="H140" s="4">
        <v>76</v>
      </c>
      <c r="I140" t="s">
        <v>1008</v>
      </c>
      <c r="M140" s="2"/>
      <c r="N140" s="4"/>
    </row>
    <row r="141" spans="1:14" x14ac:dyDescent="0.2">
      <c r="A141" t="s">
        <v>706</v>
      </c>
      <c r="B141" t="s">
        <v>393</v>
      </c>
      <c r="C141" t="s">
        <v>365</v>
      </c>
      <c r="D141" t="s">
        <v>141</v>
      </c>
      <c r="E141" t="s">
        <v>38</v>
      </c>
      <c r="F141" s="4">
        <v>37</v>
      </c>
      <c r="G141" t="s">
        <v>2897</v>
      </c>
      <c r="H141" s="4">
        <v>79</v>
      </c>
      <c r="I141" t="s">
        <v>1009</v>
      </c>
      <c r="M141" s="2"/>
      <c r="N141" s="4"/>
    </row>
    <row r="142" spans="1:14" x14ac:dyDescent="0.2">
      <c r="A142" t="s">
        <v>707</v>
      </c>
      <c r="B142" t="s">
        <v>394</v>
      </c>
      <c r="C142" t="s">
        <v>365</v>
      </c>
      <c r="D142" t="s">
        <v>138</v>
      </c>
      <c r="E142" t="s">
        <v>38</v>
      </c>
      <c r="F142" s="4">
        <v>43</v>
      </c>
      <c r="G142" t="s">
        <v>2896</v>
      </c>
      <c r="H142" s="4">
        <v>76</v>
      </c>
      <c r="I142" t="s">
        <v>1010</v>
      </c>
      <c r="M142" s="2"/>
      <c r="N142" s="4"/>
    </row>
    <row r="143" spans="1:14" x14ac:dyDescent="0.2">
      <c r="A143" t="s">
        <v>708</v>
      </c>
      <c r="B143" t="s">
        <v>395</v>
      </c>
      <c r="C143" t="s">
        <v>365</v>
      </c>
      <c r="D143" t="s">
        <v>139</v>
      </c>
      <c r="E143" t="s">
        <v>38</v>
      </c>
      <c r="F143" s="4">
        <v>54</v>
      </c>
      <c r="G143" t="s">
        <v>567</v>
      </c>
      <c r="H143" s="4">
        <v>79</v>
      </c>
      <c r="I143" t="s">
        <v>1011</v>
      </c>
      <c r="M143" s="2"/>
      <c r="N143" s="4"/>
    </row>
    <row r="144" spans="1:14" x14ac:dyDescent="0.2">
      <c r="A144" t="s">
        <v>709</v>
      </c>
      <c r="B144" t="s">
        <v>396</v>
      </c>
      <c r="C144" t="s">
        <v>365</v>
      </c>
      <c r="D144" t="s">
        <v>152</v>
      </c>
      <c r="E144" t="s">
        <v>38</v>
      </c>
      <c r="F144" s="4">
        <v>39</v>
      </c>
      <c r="G144" t="s">
        <v>2897</v>
      </c>
      <c r="H144" s="4">
        <v>79</v>
      </c>
      <c r="I144" t="s">
        <v>1012</v>
      </c>
      <c r="M144" s="2"/>
      <c r="N144" s="4"/>
    </row>
    <row r="145" spans="1:14" x14ac:dyDescent="0.2">
      <c r="A145" t="s">
        <v>710</v>
      </c>
      <c r="B145" t="s">
        <v>397</v>
      </c>
      <c r="C145" t="s">
        <v>365</v>
      </c>
      <c r="D145" t="s">
        <v>135</v>
      </c>
      <c r="E145" t="s">
        <v>38</v>
      </c>
      <c r="F145" s="4">
        <v>47</v>
      </c>
      <c r="G145" t="s">
        <v>2898</v>
      </c>
      <c r="H145" s="4">
        <v>80</v>
      </c>
      <c r="I145" t="s">
        <v>1013</v>
      </c>
      <c r="M145" s="2"/>
      <c r="N145" s="4"/>
    </row>
    <row r="146" spans="1:14" x14ac:dyDescent="0.2">
      <c r="A146" t="s">
        <v>711</v>
      </c>
      <c r="B146" t="s">
        <v>398</v>
      </c>
      <c r="C146" t="s">
        <v>365</v>
      </c>
      <c r="D146" t="s">
        <v>129</v>
      </c>
      <c r="E146" t="s">
        <v>38</v>
      </c>
      <c r="F146" s="4">
        <v>41</v>
      </c>
      <c r="G146" t="s">
        <v>2896</v>
      </c>
      <c r="H146" s="4">
        <v>76</v>
      </c>
      <c r="I146" t="s">
        <v>1014</v>
      </c>
      <c r="M146" s="2"/>
      <c r="N146" s="4"/>
    </row>
    <row r="147" spans="1:14" x14ac:dyDescent="0.2">
      <c r="A147" t="s">
        <v>712</v>
      </c>
      <c r="B147" t="s">
        <v>399</v>
      </c>
      <c r="C147" t="s">
        <v>365</v>
      </c>
      <c r="D147" t="s">
        <v>130</v>
      </c>
      <c r="E147" t="s">
        <v>38</v>
      </c>
      <c r="F147" s="4">
        <v>45</v>
      </c>
      <c r="G147" t="s">
        <v>2898</v>
      </c>
      <c r="H147" s="4">
        <v>80</v>
      </c>
      <c r="I147" t="s">
        <v>1015</v>
      </c>
      <c r="M147" s="2"/>
      <c r="N147" s="4"/>
    </row>
    <row r="148" spans="1:14" x14ac:dyDescent="0.2">
      <c r="A148" t="s">
        <v>713</v>
      </c>
      <c r="B148" t="s">
        <v>400</v>
      </c>
      <c r="C148" t="s">
        <v>365</v>
      </c>
      <c r="D148" t="s">
        <v>132</v>
      </c>
      <c r="E148" t="s">
        <v>38</v>
      </c>
      <c r="F148" s="4">
        <v>40</v>
      </c>
      <c r="G148" t="s">
        <v>2901</v>
      </c>
      <c r="H148" s="4">
        <v>78</v>
      </c>
      <c r="I148" t="s">
        <v>1016</v>
      </c>
      <c r="M148" s="2"/>
      <c r="N148" s="4"/>
    </row>
    <row r="149" spans="1:14" x14ac:dyDescent="0.2">
      <c r="A149" t="s">
        <v>714</v>
      </c>
      <c r="B149" t="s">
        <v>401</v>
      </c>
      <c r="C149" t="s">
        <v>365</v>
      </c>
      <c r="D149" t="s">
        <v>22</v>
      </c>
      <c r="E149" t="s">
        <v>38</v>
      </c>
      <c r="F149" s="4">
        <v>44</v>
      </c>
      <c r="G149" t="s">
        <v>2900</v>
      </c>
      <c r="H149" s="4">
        <v>77</v>
      </c>
      <c r="I149" t="s">
        <v>1017</v>
      </c>
      <c r="M149" s="2"/>
      <c r="N149" s="4"/>
    </row>
    <row r="150" spans="1:14" x14ac:dyDescent="0.2">
      <c r="A150" t="s">
        <v>715</v>
      </c>
      <c r="B150" t="s">
        <v>402</v>
      </c>
      <c r="C150" t="s">
        <v>365</v>
      </c>
      <c r="D150" t="s">
        <v>149</v>
      </c>
      <c r="E150" t="s">
        <v>38</v>
      </c>
      <c r="F150" s="4">
        <v>52</v>
      </c>
      <c r="G150" t="s">
        <v>2899</v>
      </c>
      <c r="H150" s="4">
        <v>76</v>
      </c>
      <c r="I150" t="s">
        <v>1018</v>
      </c>
      <c r="M150" s="2"/>
      <c r="N150" s="4"/>
    </row>
    <row r="151" spans="1:14" x14ac:dyDescent="0.2">
      <c r="A151" t="s">
        <v>716</v>
      </c>
      <c r="B151" t="s">
        <v>403</v>
      </c>
      <c r="C151" t="s">
        <v>365</v>
      </c>
      <c r="D151" t="s">
        <v>146</v>
      </c>
      <c r="E151" t="s">
        <v>38</v>
      </c>
      <c r="F151" s="4">
        <v>39</v>
      </c>
      <c r="G151" t="s">
        <v>2897</v>
      </c>
      <c r="H151" s="4">
        <v>79</v>
      </c>
      <c r="I151" t="s">
        <v>1019</v>
      </c>
      <c r="M151" s="2"/>
      <c r="N151" s="4"/>
    </row>
    <row r="152" spans="1:14" x14ac:dyDescent="0.2">
      <c r="A152" t="s">
        <v>717</v>
      </c>
      <c r="B152" t="s">
        <v>404</v>
      </c>
      <c r="C152" t="s">
        <v>365</v>
      </c>
      <c r="D152" t="s">
        <v>142</v>
      </c>
      <c r="E152" t="s">
        <v>38</v>
      </c>
      <c r="F152" s="4">
        <v>55</v>
      </c>
      <c r="G152" t="s">
        <v>567</v>
      </c>
      <c r="H152" s="4">
        <v>79</v>
      </c>
      <c r="I152" t="s">
        <v>1020</v>
      </c>
      <c r="M152" s="2"/>
      <c r="N152" s="4"/>
    </row>
    <row r="153" spans="1:14" x14ac:dyDescent="0.2">
      <c r="A153" t="s">
        <v>718</v>
      </c>
      <c r="B153" t="s">
        <v>405</v>
      </c>
      <c r="C153" t="s">
        <v>365</v>
      </c>
      <c r="D153" t="s">
        <v>154</v>
      </c>
      <c r="E153" t="s">
        <v>38</v>
      </c>
      <c r="F153" s="4">
        <v>41</v>
      </c>
      <c r="G153" t="s">
        <v>2896</v>
      </c>
      <c r="H153" s="4">
        <v>76</v>
      </c>
      <c r="I153" t="s">
        <v>1021</v>
      </c>
      <c r="M153" s="2"/>
      <c r="N153" s="4"/>
    </row>
    <row r="154" spans="1:14" x14ac:dyDescent="0.2">
      <c r="A154" t="s">
        <v>719</v>
      </c>
      <c r="B154" t="s">
        <v>406</v>
      </c>
      <c r="C154" t="s">
        <v>365</v>
      </c>
      <c r="D154" t="s">
        <v>148</v>
      </c>
      <c r="E154" t="s">
        <v>38</v>
      </c>
      <c r="F154" s="4">
        <v>53</v>
      </c>
      <c r="G154" t="s">
        <v>2899</v>
      </c>
      <c r="H154" s="4">
        <v>76</v>
      </c>
      <c r="I154" t="s">
        <v>1022</v>
      </c>
      <c r="M154" s="2"/>
      <c r="N154" s="4"/>
    </row>
    <row r="155" spans="1:14" x14ac:dyDescent="0.2">
      <c r="A155" t="s">
        <v>720</v>
      </c>
      <c r="B155" t="s">
        <v>407</v>
      </c>
      <c r="C155" t="s">
        <v>365</v>
      </c>
      <c r="D155" t="s">
        <v>144</v>
      </c>
      <c r="E155" t="s">
        <v>38</v>
      </c>
      <c r="F155" s="4">
        <v>46</v>
      </c>
      <c r="G155" t="s">
        <v>2898</v>
      </c>
      <c r="H155" s="4">
        <v>80</v>
      </c>
      <c r="I155" t="s">
        <v>1023</v>
      </c>
      <c r="M155" s="2"/>
      <c r="N155" s="4"/>
    </row>
    <row r="156" spans="1:14" x14ac:dyDescent="0.2">
      <c r="A156" t="s">
        <v>721</v>
      </c>
      <c r="B156" t="s">
        <v>408</v>
      </c>
      <c r="C156" t="s">
        <v>365</v>
      </c>
      <c r="D156" t="s">
        <v>136</v>
      </c>
      <c r="E156" t="s">
        <v>38</v>
      </c>
      <c r="F156" s="4">
        <v>50</v>
      </c>
      <c r="G156" t="s">
        <v>2898</v>
      </c>
      <c r="H156" s="4">
        <v>80</v>
      </c>
      <c r="I156" t="s">
        <v>1024</v>
      </c>
      <c r="M156" s="2"/>
      <c r="N156" s="4"/>
    </row>
    <row r="157" spans="1:14" x14ac:dyDescent="0.2">
      <c r="A157" t="s">
        <v>722</v>
      </c>
      <c r="B157" t="s">
        <v>409</v>
      </c>
      <c r="C157" t="s">
        <v>365</v>
      </c>
      <c r="D157" t="s">
        <v>145</v>
      </c>
      <c r="E157" t="s">
        <v>38</v>
      </c>
      <c r="F157" s="4">
        <v>56</v>
      </c>
      <c r="G157" t="s">
        <v>2893</v>
      </c>
      <c r="H157" s="4">
        <v>77</v>
      </c>
      <c r="I157" t="s">
        <v>1025</v>
      </c>
      <c r="M157" s="2"/>
      <c r="N157" s="4"/>
    </row>
    <row r="158" spans="1:14" x14ac:dyDescent="0.2">
      <c r="A158" t="s">
        <v>723</v>
      </c>
      <c r="B158" t="s">
        <v>410</v>
      </c>
      <c r="C158" t="s">
        <v>365</v>
      </c>
      <c r="D158" t="s">
        <v>158</v>
      </c>
      <c r="E158" t="s">
        <v>38</v>
      </c>
      <c r="F158" s="4">
        <v>42</v>
      </c>
      <c r="G158" t="s">
        <v>2898</v>
      </c>
      <c r="H158" s="4">
        <v>80</v>
      </c>
      <c r="I158" t="s">
        <v>1026</v>
      </c>
      <c r="M158" s="2"/>
      <c r="N158" s="4"/>
    </row>
    <row r="159" spans="1:14" x14ac:dyDescent="0.2">
      <c r="A159" t="s">
        <v>724</v>
      </c>
      <c r="B159" t="s">
        <v>411</v>
      </c>
      <c r="C159" t="s">
        <v>365</v>
      </c>
      <c r="D159" t="s">
        <v>155</v>
      </c>
      <c r="E159" t="s">
        <v>38</v>
      </c>
      <c r="F159" s="4">
        <v>38</v>
      </c>
      <c r="G159" t="s">
        <v>2897</v>
      </c>
      <c r="H159" s="4">
        <v>79</v>
      </c>
      <c r="I159" t="s">
        <v>1027</v>
      </c>
      <c r="M159" s="2"/>
      <c r="N159" s="4"/>
    </row>
    <row r="160" spans="1:14" x14ac:dyDescent="0.2">
      <c r="A160" t="s">
        <v>725</v>
      </c>
      <c r="B160" t="s">
        <v>412</v>
      </c>
      <c r="C160" t="s">
        <v>365</v>
      </c>
      <c r="D160" t="s">
        <v>156</v>
      </c>
      <c r="E160" t="s">
        <v>38</v>
      </c>
      <c r="F160" s="4">
        <v>44</v>
      </c>
      <c r="G160" t="s">
        <v>2898</v>
      </c>
      <c r="H160" s="4">
        <v>80</v>
      </c>
      <c r="I160" t="s">
        <v>1028</v>
      </c>
      <c r="M160" s="2"/>
      <c r="N160" s="4"/>
    </row>
    <row r="161" spans="1:14" x14ac:dyDescent="0.2">
      <c r="A161" t="s">
        <v>726</v>
      </c>
      <c r="B161" t="s">
        <v>413</v>
      </c>
      <c r="C161" t="s">
        <v>414</v>
      </c>
      <c r="D161" t="s">
        <v>25</v>
      </c>
      <c r="E161" t="s">
        <v>38</v>
      </c>
      <c r="F161" s="4">
        <v>51</v>
      </c>
      <c r="G161" t="s">
        <v>2902</v>
      </c>
      <c r="H161" s="4">
        <v>78</v>
      </c>
      <c r="I161" t="s">
        <v>1029</v>
      </c>
      <c r="M161" s="2"/>
      <c r="N161" s="4"/>
    </row>
    <row r="162" spans="1:14" x14ac:dyDescent="0.2">
      <c r="A162" t="s">
        <v>727</v>
      </c>
      <c r="B162" t="s">
        <v>415</v>
      </c>
      <c r="C162" t="s">
        <v>365</v>
      </c>
      <c r="D162" t="s">
        <v>44</v>
      </c>
      <c r="E162" t="s">
        <v>44</v>
      </c>
      <c r="F162" s="4">
        <v>43</v>
      </c>
      <c r="G162" t="s">
        <v>2898</v>
      </c>
      <c r="H162" s="4">
        <v>80</v>
      </c>
      <c r="I162" t="s">
        <v>1030</v>
      </c>
      <c r="M162" s="2"/>
      <c r="N162" s="4"/>
    </row>
    <row r="163" spans="1:14" x14ac:dyDescent="0.2">
      <c r="A163" t="s">
        <v>728</v>
      </c>
      <c r="B163" t="s">
        <v>416</v>
      </c>
      <c r="C163" t="s">
        <v>365</v>
      </c>
      <c r="D163" t="s">
        <v>44</v>
      </c>
      <c r="E163" t="s">
        <v>44</v>
      </c>
      <c r="F163" s="4">
        <v>45</v>
      </c>
      <c r="G163" t="s">
        <v>2898</v>
      </c>
      <c r="H163" s="4">
        <v>80</v>
      </c>
      <c r="I163" t="s">
        <v>1031</v>
      </c>
      <c r="M163" s="2"/>
      <c r="N163" s="4"/>
    </row>
    <row r="164" spans="1:14" x14ac:dyDescent="0.2">
      <c r="A164" t="s">
        <v>729</v>
      </c>
      <c r="B164" t="s">
        <v>417</v>
      </c>
      <c r="C164" t="s">
        <v>365</v>
      </c>
      <c r="D164" t="s">
        <v>44</v>
      </c>
      <c r="E164" t="s">
        <v>44</v>
      </c>
      <c r="F164" s="4">
        <v>39</v>
      </c>
      <c r="G164" t="s">
        <v>2901</v>
      </c>
      <c r="H164" s="4">
        <v>78</v>
      </c>
      <c r="I164" t="s">
        <v>1032</v>
      </c>
      <c r="M164" s="2"/>
      <c r="N164" s="4"/>
    </row>
    <row r="165" spans="1:14" x14ac:dyDescent="0.2">
      <c r="A165" t="s">
        <v>730</v>
      </c>
      <c r="B165" t="s">
        <v>418</v>
      </c>
      <c r="C165" t="s">
        <v>365</v>
      </c>
      <c r="D165" t="s">
        <v>44</v>
      </c>
      <c r="E165" t="s">
        <v>44</v>
      </c>
      <c r="F165" s="4">
        <v>50</v>
      </c>
      <c r="G165" t="s">
        <v>2899</v>
      </c>
      <c r="H165" s="4">
        <v>76</v>
      </c>
      <c r="I165" t="s">
        <v>1033</v>
      </c>
      <c r="M165" s="2"/>
      <c r="N165" s="4"/>
    </row>
    <row r="166" spans="1:14" x14ac:dyDescent="0.2">
      <c r="A166" t="s">
        <v>731</v>
      </c>
      <c r="B166" t="s">
        <v>419</v>
      </c>
      <c r="C166" t="s">
        <v>365</v>
      </c>
      <c r="D166" t="s">
        <v>44</v>
      </c>
      <c r="E166" t="s">
        <v>44</v>
      </c>
      <c r="F166" s="4">
        <v>37</v>
      </c>
      <c r="G166" t="s">
        <v>2896</v>
      </c>
      <c r="H166" s="4">
        <v>76</v>
      </c>
      <c r="I166" t="s">
        <v>1034</v>
      </c>
      <c r="M166" s="2"/>
      <c r="N166" s="4"/>
    </row>
    <row r="167" spans="1:14" x14ac:dyDescent="0.2">
      <c r="A167" t="s">
        <v>732</v>
      </c>
      <c r="B167" t="s">
        <v>420</v>
      </c>
      <c r="C167" t="s">
        <v>365</v>
      </c>
      <c r="D167" t="s">
        <v>44</v>
      </c>
      <c r="E167" t="s">
        <v>44</v>
      </c>
      <c r="F167" s="4">
        <v>54</v>
      </c>
      <c r="G167" t="s">
        <v>2893</v>
      </c>
      <c r="H167" s="4">
        <v>77</v>
      </c>
      <c r="I167" t="s">
        <v>1035</v>
      </c>
      <c r="M167" s="2"/>
      <c r="N167" s="4"/>
    </row>
    <row r="168" spans="1:14" x14ac:dyDescent="0.2">
      <c r="A168" t="s">
        <v>733</v>
      </c>
      <c r="B168" t="s">
        <v>421</v>
      </c>
      <c r="C168" t="s">
        <v>365</v>
      </c>
      <c r="D168" t="s">
        <v>44</v>
      </c>
      <c r="E168" t="s">
        <v>44</v>
      </c>
      <c r="F168" s="4">
        <v>41</v>
      </c>
      <c r="G168" t="s">
        <v>2898</v>
      </c>
      <c r="H168" s="4">
        <v>80</v>
      </c>
      <c r="I168" t="s">
        <v>1036</v>
      </c>
      <c r="M168" s="2"/>
      <c r="N168" s="4"/>
    </row>
    <row r="169" spans="1:14" x14ac:dyDescent="0.2">
      <c r="A169" t="s">
        <v>734</v>
      </c>
      <c r="B169" t="s">
        <v>422</v>
      </c>
      <c r="C169" t="s">
        <v>414</v>
      </c>
      <c r="D169" t="s">
        <v>44</v>
      </c>
      <c r="E169" t="s">
        <v>44</v>
      </c>
      <c r="F169" s="4">
        <v>52</v>
      </c>
      <c r="G169" t="s">
        <v>2903</v>
      </c>
      <c r="H169" s="4">
        <v>79</v>
      </c>
      <c r="I169" t="s">
        <v>1037</v>
      </c>
      <c r="M169" s="2"/>
      <c r="N169" s="4"/>
    </row>
    <row r="170" spans="1:14" x14ac:dyDescent="0.2">
      <c r="A170" t="s">
        <v>735</v>
      </c>
      <c r="B170" t="s">
        <v>423</v>
      </c>
      <c r="C170" t="s">
        <v>365</v>
      </c>
      <c r="D170" t="s">
        <v>44</v>
      </c>
      <c r="E170" t="s">
        <v>44</v>
      </c>
      <c r="F170" s="4">
        <v>40</v>
      </c>
      <c r="G170" t="s">
        <v>2897</v>
      </c>
      <c r="H170" s="4">
        <v>79</v>
      </c>
      <c r="I170" t="s">
        <v>1038</v>
      </c>
      <c r="M170" s="2"/>
      <c r="N170" s="4"/>
    </row>
    <row r="171" spans="1:14" x14ac:dyDescent="0.2">
      <c r="A171" t="s">
        <v>736</v>
      </c>
      <c r="B171" t="s">
        <v>424</v>
      </c>
      <c r="C171" t="s">
        <v>365</v>
      </c>
      <c r="D171" t="s">
        <v>44</v>
      </c>
      <c r="E171" t="s">
        <v>44</v>
      </c>
      <c r="F171" s="4">
        <v>42</v>
      </c>
      <c r="G171" t="s">
        <v>2896</v>
      </c>
      <c r="H171" s="4">
        <v>76</v>
      </c>
      <c r="I171" t="s">
        <v>1039</v>
      </c>
      <c r="M171" s="2"/>
      <c r="N171" s="4"/>
    </row>
    <row r="172" spans="1:14" x14ac:dyDescent="0.2">
      <c r="A172" t="s">
        <v>737</v>
      </c>
      <c r="B172" t="s">
        <v>425</v>
      </c>
      <c r="C172" t="s">
        <v>365</v>
      </c>
      <c r="D172" t="s">
        <v>44</v>
      </c>
      <c r="E172" t="s">
        <v>44</v>
      </c>
      <c r="F172" s="4">
        <v>49</v>
      </c>
      <c r="G172" t="s">
        <v>2898</v>
      </c>
      <c r="H172" s="4">
        <v>80</v>
      </c>
      <c r="I172" t="s">
        <v>1040</v>
      </c>
      <c r="M172" s="2"/>
      <c r="N172" s="4"/>
    </row>
    <row r="173" spans="1:14" x14ac:dyDescent="0.2">
      <c r="A173" t="s">
        <v>738</v>
      </c>
      <c r="B173" t="s">
        <v>426</v>
      </c>
      <c r="C173" t="s">
        <v>365</v>
      </c>
      <c r="D173" t="s">
        <v>44</v>
      </c>
      <c r="E173" t="s">
        <v>44</v>
      </c>
      <c r="F173" s="4">
        <v>38</v>
      </c>
      <c r="G173" t="s">
        <v>2901</v>
      </c>
      <c r="H173" s="4">
        <v>78</v>
      </c>
      <c r="I173" t="s">
        <v>1041</v>
      </c>
      <c r="M173" s="2"/>
      <c r="N173" s="4"/>
    </row>
    <row r="174" spans="1:14" x14ac:dyDescent="0.2">
      <c r="A174" t="s">
        <v>739</v>
      </c>
      <c r="B174" t="s">
        <v>427</v>
      </c>
      <c r="C174" t="s">
        <v>365</v>
      </c>
      <c r="D174" t="s">
        <v>44</v>
      </c>
      <c r="E174" t="s">
        <v>44</v>
      </c>
      <c r="F174" s="4">
        <v>51</v>
      </c>
      <c r="G174" t="s">
        <v>2899</v>
      </c>
      <c r="H174" s="4">
        <v>76</v>
      </c>
      <c r="I174" t="s">
        <v>1042</v>
      </c>
      <c r="M174" s="2"/>
      <c r="N174" s="4"/>
    </row>
    <row r="175" spans="1:14" x14ac:dyDescent="0.2">
      <c r="A175" t="s">
        <v>740</v>
      </c>
      <c r="B175" t="s">
        <v>428</v>
      </c>
      <c r="C175" t="s">
        <v>365</v>
      </c>
      <c r="D175" t="s">
        <v>44</v>
      </c>
      <c r="E175" t="s">
        <v>44</v>
      </c>
      <c r="F175" s="4">
        <v>44</v>
      </c>
      <c r="G175" t="s">
        <v>2898</v>
      </c>
      <c r="H175" s="4">
        <v>80</v>
      </c>
      <c r="I175" t="s">
        <v>1043</v>
      </c>
      <c r="M175" s="2"/>
      <c r="N175" s="4"/>
    </row>
    <row r="176" spans="1:14" x14ac:dyDescent="0.2">
      <c r="A176" t="s">
        <v>741</v>
      </c>
      <c r="B176" t="s">
        <v>429</v>
      </c>
      <c r="C176" t="s">
        <v>365</v>
      </c>
      <c r="D176" t="s">
        <v>44</v>
      </c>
      <c r="E176" t="s">
        <v>44</v>
      </c>
      <c r="F176" s="4">
        <v>53</v>
      </c>
      <c r="G176" t="s">
        <v>2893</v>
      </c>
      <c r="H176" s="4">
        <v>77</v>
      </c>
      <c r="I176" t="s">
        <v>1044</v>
      </c>
      <c r="M176" s="2"/>
      <c r="N176" s="4"/>
    </row>
    <row r="177" spans="1:14" x14ac:dyDescent="0.2">
      <c r="A177" t="s">
        <v>742</v>
      </c>
      <c r="B177" t="s">
        <v>430</v>
      </c>
      <c r="C177" t="s">
        <v>414</v>
      </c>
      <c r="D177" t="s">
        <v>44</v>
      </c>
      <c r="E177" t="s">
        <v>44</v>
      </c>
      <c r="F177" s="4">
        <v>58</v>
      </c>
      <c r="G177" t="s">
        <v>2903</v>
      </c>
      <c r="H177" s="4">
        <v>79</v>
      </c>
      <c r="I177" t="s">
        <v>1045</v>
      </c>
      <c r="M177" s="2"/>
      <c r="N177" s="4"/>
    </row>
    <row r="178" spans="1:14" x14ac:dyDescent="0.2">
      <c r="A178" t="s">
        <v>743</v>
      </c>
      <c r="B178" t="s">
        <v>431</v>
      </c>
      <c r="C178" t="s">
        <v>560</v>
      </c>
      <c r="D178" t="s">
        <v>44</v>
      </c>
      <c r="E178" t="s">
        <v>44</v>
      </c>
      <c r="F178" s="4">
        <v>57</v>
      </c>
      <c r="G178" t="s">
        <v>2904</v>
      </c>
      <c r="H178" s="4">
        <v>80</v>
      </c>
      <c r="I178" t="s">
        <v>1046</v>
      </c>
      <c r="M178" s="2"/>
      <c r="N178" s="4"/>
    </row>
    <row r="179" spans="1:14" x14ac:dyDescent="0.2">
      <c r="A179" t="s">
        <v>744</v>
      </c>
      <c r="B179" t="s">
        <v>432</v>
      </c>
      <c r="C179" t="s">
        <v>561</v>
      </c>
      <c r="D179" t="s">
        <v>44</v>
      </c>
      <c r="E179" t="s">
        <v>44</v>
      </c>
      <c r="F179" s="4">
        <v>39</v>
      </c>
      <c r="G179" t="s">
        <v>2897</v>
      </c>
      <c r="H179" s="4">
        <v>78</v>
      </c>
      <c r="I179" t="s">
        <v>1047</v>
      </c>
      <c r="M179" s="2"/>
      <c r="N179" s="4"/>
    </row>
    <row r="180" spans="1:14" x14ac:dyDescent="0.2">
      <c r="A180" t="s">
        <v>745</v>
      </c>
      <c r="B180" t="s">
        <v>433</v>
      </c>
      <c r="C180" t="s">
        <v>562</v>
      </c>
      <c r="D180" t="s">
        <v>44</v>
      </c>
      <c r="E180" t="s">
        <v>44</v>
      </c>
      <c r="F180" s="4">
        <v>55</v>
      </c>
      <c r="G180" t="s">
        <v>2905</v>
      </c>
      <c r="H180" s="4">
        <v>79</v>
      </c>
      <c r="I180" t="s">
        <v>1048</v>
      </c>
      <c r="M180" s="2"/>
      <c r="N180" s="4"/>
    </row>
    <row r="181" spans="1:14" x14ac:dyDescent="0.2">
      <c r="A181" t="s">
        <v>746</v>
      </c>
      <c r="B181" t="s">
        <v>434</v>
      </c>
      <c r="C181" t="s">
        <v>563</v>
      </c>
      <c r="D181" t="s">
        <v>44</v>
      </c>
      <c r="E181" t="s">
        <v>44</v>
      </c>
      <c r="F181" s="4">
        <v>44</v>
      </c>
      <c r="G181" t="s">
        <v>2906</v>
      </c>
      <c r="H181" s="4">
        <v>82</v>
      </c>
      <c r="I181" t="s">
        <v>1049</v>
      </c>
      <c r="M181" s="2"/>
      <c r="N181" s="4"/>
    </row>
    <row r="182" spans="1:14" x14ac:dyDescent="0.2">
      <c r="A182" t="s">
        <v>747</v>
      </c>
      <c r="B182" t="s">
        <v>435</v>
      </c>
      <c r="C182" t="s">
        <v>561</v>
      </c>
      <c r="D182" t="s">
        <v>44</v>
      </c>
      <c r="E182" t="s">
        <v>44</v>
      </c>
      <c r="F182" s="4">
        <v>36</v>
      </c>
      <c r="G182" t="s">
        <v>2895</v>
      </c>
      <c r="H182" s="4">
        <v>80</v>
      </c>
      <c r="I182" t="s">
        <v>1050</v>
      </c>
      <c r="M182" s="2"/>
      <c r="N182" s="4"/>
    </row>
    <row r="183" spans="1:14" x14ac:dyDescent="0.2">
      <c r="A183" t="s">
        <v>748</v>
      </c>
      <c r="B183" t="s">
        <v>436</v>
      </c>
      <c r="C183" t="s">
        <v>564</v>
      </c>
      <c r="D183" t="s">
        <v>44</v>
      </c>
      <c r="E183" t="s">
        <v>44</v>
      </c>
      <c r="F183" s="4">
        <v>50</v>
      </c>
      <c r="G183" t="s">
        <v>2907</v>
      </c>
      <c r="H183" s="4">
        <v>78</v>
      </c>
      <c r="I183" t="s">
        <v>1051</v>
      </c>
      <c r="M183" s="2"/>
      <c r="N183" s="4"/>
    </row>
    <row r="184" spans="1:14" x14ac:dyDescent="0.2">
      <c r="A184" t="s">
        <v>749</v>
      </c>
      <c r="B184" t="s">
        <v>437</v>
      </c>
      <c r="C184" t="s">
        <v>565</v>
      </c>
      <c r="D184" t="s">
        <v>44</v>
      </c>
      <c r="E184" t="s">
        <v>44</v>
      </c>
      <c r="F184" s="4">
        <v>48</v>
      </c>
      <c r="G184" t="s">
        <v>2908</v>
      </c>
      <c r="H184" s="4">
        <v>81</v>
      </c>
      <c r="I184" t="s">
        <v>1052</v>
      </c>
      <c r="M184" s="2"/>
      <c r="N184" s="4"/>
    </row>
    <row r="185" spans="1:14" x14ac:dyDescent="0.2">
      <c r="A185" t="s">
        <v>750</v>
      </c>
      <c r="B185" t="s">
        <v>438</v>
      </c>
      <c r="C185" t="s">
        <v>566</v>
      </c>
      <c r="D185" t="s">
        <v>44</v>
      </c>
      <c r="E185" t="s">
        <v>44</v>
      </c>
      <c r="F185" s="4">
        <v>52</v>
      </c>
      <c r="G185" t="s">
        <v>2898</v>
      </c>
      <c r="H185" s="4">
        <v>81</v>
      </c>
      <c r="I185" t="s">
        <v>1053</v>
      </c>
      <c r="M185" s="2"/>
      <c r="N185" s="4"/>
    </row>
    <row r="186" spans="1:14" x14ac:dyDescent="0.2">
      <c r="A186" t="s">
        <v>751</v>
      </c>
      <c r="B186" t="s">
        <v>439</v>
      </c>
      <c r="C186" t="s">
        <v>562</v>
      </c>
      <c r="D186" t="s">
        <v>44</v>
      </c>
      <c r="E186" t="s">
        <v>44</v>
      </c>
      <c r="F186" s="4">
        <v>46</v>
      </c>
      <c r="G186" t="s">
        <v>2902</v>
      </c>
      <c r="H186" s="4">
        <v>79</v>
      </c>
      <c r="I186" t="s">
        <v>1054</v>
      </c>
      <c r="M186" s="2"/>
      <c r="N186" s="4"/>
    </row>
    <row r="187" spans="1:14" x14ac:dyDescent="0.2">
      <c r="A187" t="s">
        <v>752</v>
      </c>
      <c r="B187" t="s">
        <v>440</v>
      </c>
      <c r="C187" t="s">
        <v>560</v>
      </c>
      <c r="D187" t="s">
        <v>44</v>
      </c>
      <c r="E187" t="s">
        <v>44</v>
      </c>
      <c r="F187" s="4">
        <v>61</v>
      </c>
      <c r="G187" t="s">
        <v>2899</v>
      </c>
      <c r="H187" s="4">
        <v>78</v>
      </c>
      <c r="I187" t="s">
        <v>1055</v>
      </c>
      <c r="M187" s="2"/>
      <c r="N187" s="4"/>
    </row>
    <row r="188" spans="1:14" x14ac:dyDescent="0.2">
      <c r="A188" t="s">
        <v>753</v>
      </c>
      <c r="B188" t="s">
        <v>441</v>
      </c>
      <c r="C188" t="s">
        <v>561</v>
      </c>
      <c r="D188" t="s">
        <v>44</v>
      </c>
      <c r="E188" t="s">
        <v>44</v>
      </c>
      <c r="F188" s="4">
        <v>43</v>
      </c>
      <c r="G188" t="s">
        <v>2898</v>
      </c>
      <c r="H188" s="4">
        <v>80</v>
      </c>
      <c r="I188" t="s">
        <v>1056</v>
      </c>
      <c r="M188" s="2"/>
      <c r="N188" s="4"/>
    </row>
    <row r="189" spans="1:14" x14ac:dyDescent="0.2">
      <c r="A189" t="s">
        <v>754</v>
      </c>
      <c r="B189" t="s">
        <v>442</v>
      </c>
      <c r="C189" t="s">
        <v>561</v>
      </c>
      <c r="D189" t="s">
        <v>44</v>
      </c>
      <c r="E189" t="s">
        <v>44</v>
      </c>
      <c r="F189" s="4">
        <v>41</v>
      </c>
      <c r="G189" t="s">
        <v>2899</v>
      </c>
      <c r="H189" s="4">
        <v>78</v>
      </c>
      <c r="I189" t="s">
        <v>1057</v>
      </c>
      <c r="M189" s="2"/>
      <c r="N189" s="4"/>
    </row>
    <row r="190" spans="1:14" x14ac:dyDescent="0.2">
      <c r="A190" t="s">
        <v>755</v>
      </c>
      <c r="B190" t="s">
        <v>443</v>
      </c>
      <c r="C190" t="s">
        <v>563</v>
      </c>
      <c r="D190" t="s">
        <v>44</v>
      </c>
      <c r="E190" t="s">
        <v>44</v>
      </c>
      <c r="F190" s="4">
        <v>40</v>
      </c>
      <c r="G190" t="s">
        <v>2906</v>
      </c>
      <c r="H190" s="4">
        <v>81</v>
      </c>
      <c r="I190" t="s">
        <v>1058</v>
      </c>
      <c r="M190" s="2"/>
      <c r="N190" s="4"/>
    </row>
    <row r="191" spans="1:14" x14ac:dyDescent="0.2">
      <c r="A191" t="s">
        <v>756</v>
      </c>
      <c r="B191" t="s">
        <v>444</v>
      </c>
      <c r="C191" t="s">
        <v>565</v>
      </c>
      <c r="D191" t="s">
        <v>44</v>
      </c>
      <c r="E191" t="s">
        <v>44</v>
      </c>
      <c r="F191" s="4">
        <v>56</v>
      </c>
      <c r="G191" t="s">
        <v>568</v>
      </c>
      <c r="H191" s="4">
        <v>80</v>
      </c>
      <c r="I191" t="s">
        <v>1059</v>
      </c>
      <c r="M191" s="2"/>
      <c r="N191" s="4"/>
    </row>
    <row r="192" spans="1:14" x14ac:dyDescent="0.2">
      <c r="A192" t="s">
        <v>757</v>
      </c>
      <c r="B192" t="s">
        <v>445</v>
      </c>
      <c r="C192" t="s">
        <v>564</v>
      </c>
      <c r="D192" t="s">
        <v>44</v>
      </c>
      <c r="E192" t="s">
        <v>44</v>
      </c>
      <c r="F192" s="4">
        <v>53</v>
      </c>
      <c r="G192" t="s">
        <v>2907</v>
      </c>
      <c r="H192" s="4">
        <v>80</v>
      </c>
      <c r="I192" t="s">
        <v>1060</v>
      </c>
      <c r="M192" s="2"/>
      <c r="N192" s="4"/>
    </row>
    <row r="193" spans="1:14" x14ac:dyDescent="0.2">
      <c r="A193" t="s">
        <v>758</v>
      </c>
      <c r="B193" t="s">
        <v>446</v>
      </c>
      <c r="C193" t="s">
        <v>566</v>
      </c>
      <c r="D193" t="s">
        <v>44</v>
      </c>
      <c r="E193" t="s">
        <v>44</v>
      </c>
      <c r="F193" s="4">
        <v>45</v>
      </c>
      <c r="G193" t="s">
        <v>2898</v>
      </c>
      <c r="H193" s="4">
        <v>82</v>
      </c>
      <c r="I193" t="s">
        <v>1061</v>
      </c>
      <c r="M193" s="2"/>
      <c r="N193" s="4"/>
    </row>
    <row r="194" spans="1:14" x14ac:dyDescent="0.2">
      <c r="A194" t="s">
        <v>759</v>
      </c>
      <c r="B194" t="s">
        <v>447</v>
      </c>
      <c r="C194" t="s">
        <v>561</v>
      </c>
      <c r="D194" t="s">
        <v>44</v>
      </c>
      <c r="E194" t="s">
        <v>44</v>
      </c>
      <c r="F194" s="4">
        <v>38</v>
      </c>
      <c r="G194" t="s">
        <v>2895</v>
      </c>
      <c r="H194" s="4">
        <v>80</v>
      </c>
      <c r="I194" t="s">
        <v>1062</v>
      </c>
      <c r="M194" s="2"/>
      <c r="N194" s="4"/>
    </row>
    <row r="195" spans="1:14" x14ac:dyDescent="0.2">
      <c r="A195" t="s">
        <v>760</v>
      </c>
      <c r="B195" t="s">
        <v>448</v>
      </c>
      <c r="C195" t="s">
        <v>561</v>
      </c>
      <c r="D195" t="s">
        <v>44</v>
      </c>
      <c r="E195" t="s">
        <v>44</v>
      </c>
      <c r="F195" s="4">
        <v>44</v>
      </c>
      <c r="G195" t="s">
        <v>2893</v>
      </c>
      <c r="H195" s="4">
        <v>79</v>
      </c>
      <c r="I195" t="s">
        <v>1063</v>
      </c>
      <c r="M195" s="2"/>
      <c r="N195" s="4"/>
    </row>
    <row r="196" spans="1:14" x14ac:dyDescent="0.2">
      <c r="A196" t="s">
        <v>761</v>
      </c>
      <c r="B196" t="s">
        <v>449</v>
      </c>
      <c r="C196" t="s">
        <v>563</v>
      </c>
      <c r="D196" t="s">
        <v>44</v>
      </c>
      <c r="E196" t="s">
        <v>44</v>
      </c>
      <c r="F196" s="4">
        <v>49</v>
      </c>
      <c r="G196" t="s">
        <v>2907</v>
      </c>
      <c r="H196" s="4">
        <v>79</v>
      </c>
      <c r="I196" t="s">
        <v>1064</v>
      </c>
      <c r="M196" s="2"/>
      <c r="N196" s="4"/>
    </row>
    <row r="197" spans="1:14" x14ac:dyDescent="0.2">
      <c r="A197" t="s">
        <v>762</v>
      </c>
      <c r="B197" t="s">
        <v>450</v>
      </c>
      <c r="C197" t="s">
        <v>560</v>
      </c>
      <c r="D197" t="s">
        <v>44</v>
      </c>
      <c r="E197" t="s">
        <v>44</v>
      </c>
      <c r="F197" s="4">
        <v>55</v>
      </c>
      <c r="G197" t="s">
        <v>2893</v>
      </c>
      <c r="H197" s="4">
        <v>79</v>
      </c>
      <c r="I197" t="s">
        <v>1065</v>
      </c>
      <c r="M197" s="2"/>
      <c r="N197" s="4"/>
    </row>
    <row r="198" spans="1:14" x14ac:dyDescent="0.2">
      <c r="A198" t="s">
        <v>763</v>
      </c>
      <c r="B198" t="s">
        <v>451</v>
      </c>
      <c r="C198" t="s">
        <v>562</v>
      </c>
      <c r="D198" t="s">
        <v>44</v>
      </c>
      <c r="E198" t="s">
        <v>44</v>
      </c>
      <c r="F198" s="4">
        <v>47</v>
      </c>
      <c r="G198" t="s">
        <v>2905</v>
      </c>
      <c r="H198" s="4">
        <v>79</v>
      </c>
      <c r="I198" t="s">
        <v>1066</v>
      </c>
      <c r="M198" s="2"/>
      <c r="N198" s="4"/>
    </row>
    <row r="199" spans="1:14" x14ac:dyDescent="0.2">
      <c r="A199" t="s">
        <v>764</v>
      </c>
      <c r="B199" t="s">
        <v>452</v>
      </c>
      <c r="C199" t="s">
        <v>564</v>
      </c>
      <c r="D199" t="s">
        <v>44</v>
      </c>
      <c r="E199" t="s">
        <v>44</v>
      </c>
      <c r="F199" s="4">
        <v>42</v>
      </c>
      <c r="G199" t="s">
        <v>2902</v>
      </c>
      <c r="H199" s="4">
        <v>81</v>
      </c>
      <c r="I199" t="s">
        <v>1067</v>
      </c>
      <c r="M199" s="2"/>
      <c r="N199" s="4"/>
    </row>
    <row r="200" spans="1:14" x14ac:dyDescent="0.2">
      <c r="A200" t="s">
        <v>765</v>
      </c>
      <c r="B200" t="s">
        <v>453</v>
      </c>
      <c r="C200" t="s">
        <v>563</v>
      </c>
      <c r="D200" t="s">
        <v>44</v>
      </c>
      <c r="E200" t="s">
        <v>44</v>
      </c>
      <c r="F200" s="4">
        <v>46</v>
      </c>
      <c r="G200" t="s">
        <v>2906</v>
      </c>
      <c r="H200" s="4">
        <v>82</v>
      </c>
      <c r="I200" t="s">
        <v>1068</v>
      </c>
      <c r="M200" s="2"/>
      <c r="N200" s="4"/>
    </row>
    <row r="201" spans="1:14" x14ac:dyDescent="0.2">
      <c r="A201" t="s">
        <v>766</v>
      </c>
      <c r="B201" t="s">
        <v>454</v>
      </c>
      <c r="C201" t="s">
        <v>565</v>
      </c>
      <c r="D201" t="s">
        <v>44</v>
      </c>
      <c r="E201" t="s">
        <v>44</v>
      </c>
      <c r="F201" s="4">
        <v>41</v>
      </c>
      <c r="G201" t="s">
        <v>2909</v>
      </c>
      <c r="H201" s="4">
        <v>82</v>
      </c>
      <c r="I201" t="s">
        <v>1069</v>
      </c>
      <c r="M201" s="2"/>
      <c r="N201" s="4"/>
    </row>
    <row r="202" spans="1:14" x14ac:dyDescent="0.2">
      <c r="A202" t="s">
        <v>42</v>
      </c>
      <c r="B202" t="s">
        <v>455</v>
      </c>
      <c r="C202" t="s">
        <v>566</v>
      </c>
      <c r="D202" t="s">
        <v>44</v>
      </c>
      <c r="E202" t="s">
        <v>44</v>
      </c>
      <c r="F202" s="4">
        <v>40</v>
      </c>
      <c r="G202" t="s">
        <v>2893</v>
      </c>
      <c r="H202" s="4">
        <v>79</v>
      </c>
      <c r="I202" t="s">
        <v>1070</v>
      </c>
      <c r="M202" s="2"/>
      <c r="N202" s="4"/>
    </row>
    <row r="203" spans="1:14" x14ac:dyDescent="0.2">
      <c r="A203" t="s">
        <v>767</v>
      </c>
      <c r="B203" t="s">
        <v>456</v>
      </c>
      <c r="C203" t="s">
        <v>561</v>
      </c>
      <c r="D203" t="s">
        <v>44</v>
      </c>
      <c r="E203" t="s">
        <v>44</v>
      </c>
      <c r="F203" s="4">
        <v>37</v>
      </c>
      <c r="G203" t="s">
        <v>2898</v>
      </c>
      <c r="H203" s="4">
        <v>80</v>
      </c>
      <c r="I203" t="s">
        <v>1071</v>
      </c>
      <c r="M203" s="2"/>
      <c r="N203" s="4"/>
    </row>
    <row r="204" spans="1:14" x14ac:dyDescent="0.2">
      <c r="A204" t="s">
        <v>768</v>
      </c>
      <c r="B204" t="s">
        <v>457</v>
      </c>
      <c r="C204" t="s">
        <v>561</v>
      </c>
      <c r="D204" t="s">
        <v>44</v>
      </c>
      <c r="E204" t="s">
        <v>44</v>
      </c>
      <c r="F204" s="4">
        <v>39</v>
      </c>
      <c r="G204" t="s">
        <v>2895</v>
      </c>
      <c r="H204" s="4">
        <v>80</v>
      </c>
      <c r="I204" t="s">
        <v>1072</v>
      </c>
      <c r="M204" s="2"/>
      <c r="N204" s="4"/>
    </row>
    <row r="205" spans="1:14" x14ac:dyDescent="0.2">
      <c r="A205" t="s">
        <v>769</v>
      </c>
      <c r="B205" t="s">
        <v>458</v>
      </c>
      <c r="C205" t="s">
        <v>560</v>
      </c>
      <c r="D205" t="s">
        <v>44</v>
      </c>
      <c r="E205" t="s">
        <v>44</v>
      </c>
      <c r="F205" s="4">
        <v>58</v>
      </c>
      <c r="G205" t="s">
        <v>2899</v>
      </c>
      <c r="H205" s="4">
        <v>78</v>
      </c>
      <c r="I205" t="s">
        <v>1073</v>
      </c>
      <c r="M205" s="2"/>
      <c r="N205" s="4"/>
    </row>
    <row r="206" spans="1:14" x14ac:dyDescent="0.2">
      <c r="A206" t="s">
        <v>770</v>
      </c>
      <c r="B206" t="s">
        <v>459</v>
      </c>
      <c r="C206" t="s">
        <v>562</v>
      </c>
      <c r="D206" t="s">
        <v>44</v>
      </c>
      <c r="E206" t="s">
        <v>44</v>
      </c>
      <c r="F206" s="4">
        <v>45</v>
      </c>
      <c r="G206" t="s">
        <v>2905</v>
      </c>
      <c r="H206" s="4">
        <v>79</v>
      </c>
      <c r="I206" t="s">
        <v>1074</v>
      </c>
      <c r="M206" s="2"/>
      <c r="N206" s="4"/>
    </row>
    <row r="207" spans="1:14" x14ac:dyDescent="0.2">
      <c r="A207" t="s">
        <v>771</v>
      </c>
      <c r="B207" t="s">
        <v>460</v>
      </c>
      <c r="C207" t="s">
        <v>563</v>
      </c>
      <c r="D207" t="s">
        <v>44</v>
      </c>
      <c r="E207" t="s">
        <v>44</v>
      </c>
      <c r="F207" s="4">
        <v>43</v>
      </c>
      <c r="G207" t="s">
        <v>2906</v>
      </c>
      <c r="H207" s="4">
        <v>81</v>
      </c>
      <c r="I207" t="s">
        <v>1075</v>
      </c>
      <c r="M207" s="2"/>
      <c r="N207" s="4"/>
    </row>
    <row r="208" spans="1:14" x14ac:dyDescent="0.2">
      <c r="A208" t="s">
        <v>772</v>
      </c>
      <c r="B208" t="s">
        <v>461</v>
      </c>
      <c r="C208" t="s">
        <v>566</v>
      </c>
      <c r="D208" t="s">
        <v>44</v>
      </c>
      <c r="E208" t="s">
        <v>44</v>
      </c>
      <c r="F208" s="4">
        <v>41</v>
      </c>
      <c r="G208" t="s">
        <v>2898</v>
      </c>
      <c r="H208" s="4">
        <v>81</v>
      </c>
      <c r="I208" t="s">
        <v>1076</v>
      </c>
      <c r="M208" s="2"/>
      <c r="N208" s="4"/>
    </row>
    <row r="209" spans="1:14" x14ac:dyDescent="0.2">
      <c r="A209" t="s">
        <v>773</v>
      </c>
      <c r="B209" t="s">
        <v>462</v>
      </c>
      <c r="C209" t="s">
        <v>565</v>
      </c>
      <c r="D209" t="s">
        <v>44</v>
      </c>
      <c r="E209" t="s">
        <v>44</v>
      </c>
      <c r="F209" s="4">
        <v>50</v>
      </c>
      <c r="G209" t="s">
        <v>2908</v>
      </c>
      <c r="H209" s="4">
        <v>81</v>
      </c>
      <c r="I209" t="s">
        <v>1077</v>
      </c>
      <c r="M209" s="2"/>
      <c r="N209" s="4"/>
    </row>
    <row r="210" spans="1:14" x14ac:dyDescent="0.2">
      <c r="A210" t="s">
        <v>774</v>
      </c>
      <c r="B210" t="s">
        <v>463</v>
      </c>
      <c r="C210" t="s">
        <v>564</v>
      </c>
      <c r="D210" t="s">
        <v>44</v>
      </c>
      <c r="E210" t="s">
        <v>44</v>
      </c>
      <c r="F210" s="4">
        <v>52</v>
      </c>
      <c r="G210" t="s">
        <v>2907</v>
      </c>
      <c r="H210" s="4">
        <v>80</v>
      </c>
      <c r="I210" t="s">
        <v>1078</v>
      </c>
      <c r="M210" s="2"/>
      <c r="N210" s="4"/>
    </row>
    <row r="211" spans="1:14" x14ac:dyDescent="0.2">
      <c r="A211" t="s">
        <v>775</v>
      </c>
      <c r="B211" t="s">
        <v>464</v>
      </c>
      <c r="C211" t="s">
        <v>561</v>
      </c>
      <c r="D211" t="s">
        <v>44</v>
      </c>
      <c r="E211" t="s">
        <v>44</v>
      </c>
      <c r="F211" s="4">
        <v>40</v>
      </c>
      <c r="G211" t="s">
        <v>2895</v>
      </c>
      <c r="H211" s="4">
        <v>80</v>
      </c>
      <c r="I211" t="s">
        <v>1079</v>
      </c>
      <c r="M211" s="2"/>
      <c r="N211" s="4"/>
    </row>
    <row r="212" spans="1:14" x14ac:dyDescent="0.2">
      <c r="A212" t="s">
        <v>776</v>
      </c>
      <c r="B212" t="s">
        <v>465</v>
      </c>
      <c r="C212" t="s">
        <v>561</v>
      </c>
      <c r="D212" t="s">
        <v>44</v>
      </c>
      <c r="E212" t="s">
        <v>44</v>
      </c>
      <c r="F212" s="4">
        <v>36</v>
      </c>
      <c r="G212" t="s">
        <v>2897</v>
      </c>
      <c r="H212" s="4">
        <v>78</v>
      </c>
      <c r="I212" t="s">
        <v>1080</v>
      </c>
      <c r="M212" s="2"/>
      <c r="N212" s="4"/>
    </row>
    <row r="213" spans="1:14" x14ac:dyDescent="0.2">
      <c r="A213" t="s">
        <v>777</v>
      </c>
      <c r="B213" t="s">
        <v>466</v>
      </c>
      <c r="C213" t="s">
        <v>414</v>
      </c>
      <c r="D213" t="s">
        <v>133</v>
      </c>
      <c r="E213" t="s">
        <v>38</v>
      </c>
      <c r="F213" s="4">
        <v>47</v>
      </c>
      <c r="G213" t="s">
        <v>2906</v>
      </c>
      <c r="H213" s="4">
        <v>81</v>
      </c>
      <c r="I213" t="s">
        <v>1081</v>
      </c>
      <c r="M213" s="2"/>
      <c r="N213" s="4"/>
    </row>
    <row r="214" spans="1:14" x14ac:dyDescent="0.2">
      <c r="A214" t="s">
        <v>778</v>
      </c>
      <c r="B214" t="s">
        <v>467</v>
      </c>
      <c r="C214" t="s">
        <v>414</v>
      </c>
      <c r="D214" t="s">
        <v>151</v>
      </c>
      <c r="E214" t="s">
        <v>38</v>
      </c>
      <c r="F214" s="4">
        <v>52</v>
      </c>
      <c r="G214" t="s">
        <v>2905</v>
      </c>
      <c r="H214" s="4">
        <v>79</v>
      </c>
      <c r="I214" t="s">
        <v>1082</v>
      </c>
      <c r="M214" s="2"/>
      <c r="N214" s="4"/>
    </row>
    <row r="215" spans="1:14" x14ac:dyDescent="0.2">
      <c r="A215" t="s">
        <v>779</v>
      </c>
      <c r="B215" t="s">
        <v>468</v>
      </c>
      <c r="C215" t="s">
        <v>414</v>
      </c>
      <c r="D215" t="s">
        <v>131</v>
      </c>
      <c r="E215" t="s">
        <v>38</v>
      </c>
      <c r="F215" s="4">
        <v>56</v>
      </c>
      <c r="G215" t="s">
        <v>2910</v>
      </c>
      <c r="H215" s="4">
        <v>80</v>
      </c>
      <c r="I215" t="s">
        <v>1083</v>
      </c>
      <c r="M215" s="2"/>
      <c r="N215" s="4"/>
    </row>
    <row r="216" spans="1:14" x14ac:dyDescent="0.2">
      <c r="A216" t="s">
        <v>780</v>
      </c>
      <c r="B216" t="s">
        <v>469</v>
      </c>
      <c r="C216" t="s">
        <v>414</v>
      </c>
      <c r="D216" t="s">
        <v>147</v>
      </c>
      <c r="E216" t="s">
        <v>38</v>
      </c>
      <c r="F216" s="4">
        <v>49</v>
      </c>
      <c r="G216" t="s">
        <v>2902</v>
      </c>
      <c r="H216" s="4">
        <v>77</v>
      </c>
      <c r="I216" t="s">
        <v>1084</v>
      </c>
      <c r="M216" s="2"/>
      <c r="N216" s="4"/>
    </row>
    <row r="217" spans="1:14" x14ac:dyDescent="0.2">
      <c r="A217" t="s">
        <v>781</v>
      </c>
      <c r="B217" t="s">
        <v>470</v>
      </c>
      <c r="C217" t="s">
        <v>414</v>
      </c>
      <c r="D217" t="s">
        <v>150</v>
      </c>
      <c r="E217" t="s">
        <v>38</v>
      </c>
      <c r="F217" s="4">
        <v>51</v>
      </c>
      <c r="G217" t="s">
        <v>2907</v>
      </c>
      <c r="H217" s="4">
        <v>79</v>
      </c>
      <c r="I217" t="s">
        <v>1085</v>
      </c>
      <c r="M217" s="2"/>
      <c r="N217" s="4"/>
    </row>
    <row r="218" spans="1:14" x14ac:dyDescent="0.2">
      <c r="A218" t="s">
        <v>782</v>
      </c>
      <c r="B218" t="s">
        <v>471</v>
      </c>
      <c r="C218" t="s">
        <v>414</v>
      </c>
      <c r="D218" t="s">
        <v>157</v>
      </c>
      <c r="E218" t="s">
        <v>38</v>
      </c>
      <c r="F218" s="4">
        <v>58</v>
      </c>
      <c r="G218" t="s">
        <v>2905</v>
      </c>
      <c r="H218" s="4">
        <v>79</v>
      </c>
      <c r="I218" t="s">
        <v>1086</v>
      </c>
      <c r="M218" s="2"/>
      <c r="N218" s="4"/>
    </row>
    <row r="219" spans="1:14" x14ac:dyDescent="0.2">
      <c r="A219" t="s">
        <v>783</v>
      </c>
      <c r="B219" t="s">
        <v>472</v>
      </c>
      <c r="C219" t="s">
        <v>414</v>
      </c>
      <c r="D219" t="s">
        <v>143</v>
      </c>
      <c r="E219" t="s">
        <v>38</v>
      </c>
      <c r="F219" s="4">
        <v>46</v>
      </c>
      <c r="G219" t="s">
        <v>2902</v>
      </c>
      <c r="H219" s="4">
        <v>78</v>
      </c>
      <c r="I219" t="s">
        <v>1087</v>
      </c>
      <c r="M219" s="2"/>
      <c r="N219" s="4"/>
    </row>
    <row r="220" spans="1:14" x14ac:dyDescent="0.2">
      <c r="A220" t="s">
        <v>784</v>
      </c>
      <c r="B220" t="s">
        <v>473</v>
      </c>
      <c r="C220" t="s">
        <v>414</v>
      </c>
      <c r="D220" t="s">
        <v>153</v>
      </c>
      <c r="E220" t="s">
        <v>38</v>
      </c>
      <c r="F220" s="4">
        <v>55</v>
      </c>
      <c r="G220" t="s">
        <v>2910</v>
      </c>
      <c r="H220" s="4">
        <v>80</v>
      </c>
      <c r="I220" t="s">
        <v>1088</v>
      </c>
      <c r="M220" s="2"/>
      <c r="N220" s="4"/>
    </row>
    <row r="221" spans="1:14" x14ac:dyDescent="0.2">
      <c r="A221" t="s">
        <v>785</v>
      </c>
      <c r="B221" t="s">
        <v>474</v>
      </c>
      <c r="C221" t="s">
        <v>414</v>
      </c>
      <c r="D221" t="s">
        <v>137</v>
      </c>
      <c r="E221" t="s">
        <v>38</v>
      </c>
      <c r="F221" s="4">
        <v>48</v>
      </c>
      <c r="G221" t="s">
        <v>2907</v>
      </c>
      <c r="H221" s="4">
        <v>79</v>
      </c>
      <c r="I221" t="s">
        <v>1089</v>
      </c>
      <c r="M221" s="2"/>
      <c r="N221" s="4"/>
    </row>
    <row r="222" spans="1:14" x14ac:dyDescent="0.2">
      <c r="A222" t="s">
        <v>786</v>
      </c>
      <c r="B222" t="s">
        <v>475</v>
      </c>
      <c r="C222" t="s">
        <v>414</v>
      </c>
      <c r="D222" t="s">
        <v>140</v>
      </c>
      <c r="E222" t="s">
        <v>38</v>
      </c>
      <c r="F222" s="4">
        <v>44</v>
      </c>
      <c r="G222" t="s">
        <v>2911</v>
      </c>
      <c r="H222" s="4">
        <v>82</v>
      </c>
      <c r="I222" t="s">
        <v>1090</v>
      </c>
      <c r="M222" s="2"/>
      <c r="N222" s="4"/>
    </row>
    <row r="223" spans="1:14" x14ac:dyDescent="0.2">
      <c r="A223" t="s">
        <v>787</v>
      </c>
      <c r="B223" t="s">
        <v>476</v>
      </c>
      <c r="C223" t="s">
        <v>414</v>
      </c>
      <c r="D223" t="s">
        <v>134</v>
      </c>
      <c r="E223" t="s">
        <v>38</v>
      </c>
      <c r="F223" s="4">
        <v>60</v>
      </c>
      <c r="G223" t="s">
        <v>2903</v>
      </c>
      <c r="H223" s="4">
        <v>79</v>
      </c>
      <c r="I223" t="s">
        <v>1091</v>
      </c>
      <c r="M223" s="2"/>
      <c r="N223" s="4"/>
    </row>
    <row r="224" spans="1:14" x14ac:dyDescent="0.2">
      <c r="A224" t="s">
        <v>788</v>
      </c>
      <c r="B224" t="s">
        <v>477</v>
      </c>
      <c r="C224" t="s">
        <v>414</v>
      </c>
      <c r="D224" t="s">
        <v>141</v>
      </c>
      <c r="E224" t="s">
        <v>38</v>
      </c>
      <c r="F224" s="4">
        <v>53</v>
      </c>
      <c r="G224" t="s">
        <v>2905</v>
      </c>
      <c r="H224" s="4">
        <v>79</v>
      </c>
      <c r="I224" t="s">
        <v>1092</v>
      </c>
      <c r="M224" s="2"/>
      <c r="N224" s="4"/>
    </row>
    <row r="225" spans="1:14" x14ac:dyDescent="0.2">
      <c r="A225" t="s">
        <v>789</v>
      </c>
      <c r="B225" t="s">
        <v>478</v>
      </c>
      <c r="C225" t="s">
        <v>414</v>
      </c>
      <c r="D225" t="s">
        <v>138</v>
      </c>
      <c r="E225" t="s">
        <v>38</v>
      </c>
      <c r="F225" s="4">
        <v>51</v>
      </c>
      <c r="G225" t="s">
        <v>2902</v>
      </c>
      <c r="H225" s="4">
        <v>78</v>
      </c>
      <c r="I225" t="s">
        <v>1093</v>
      </c>
      <c r="M225" s="2"/>
      <c r="N225" s="4"/>
    </row>
    <row r="226" spans="1:14" x14ac:dyDescent="0.2">
      <c r="A226" t="s">
        <v>790</v>
      </c>
      <c r="B226" t="s">
        <v>479</v>
      </c>
      <c r="C226" t="s">
        <v>414</v>
      </c>
      <c r="D226" t="s">
        <v>139</v>
      </c>
      <c r="E226" t="s">
        <v>38</v>
      </c>
      <c r="F226" s="4">
        <v>54</v>
      </c>
      <c r="G226" t="s">
        <v>2911</v>
      </c>
      <c r="H226" s="4">
        <v>82</v>
      </c>
      <c r="I226" t="s">
        <v>1094</v>
      </c>
      <c r="M226" s="2"/>
      <c r="N226" s="4"/>
    </row>
    <row r="227" spans="1:14" x14ac:dyDescent="0.2">
      <c r="A227" t="s">
        <v>791</v>
      </c>
      <c r="B227" t="s">
        <v>480</v>
      </c>
      <c r="C227" t="s">
        <v>414</v>
      </c>
      <c r="D227" t="s">
        <v>152</v>
      </c>
      <c r="E227" t="s">
        <v>38</v>
      </c>
      <c r="F227" s="4">
        <v>57</v>
      </c>
      <c r="G227" t="s">
        <v>2905</v>
      </c>
      <c r="H227" s="4">
        <v>79</v>
      </c>
      <c r="I227" t="s">
        <v>1095</v>
      </c>
      <c r="M227" s="2"/>
      <c r="N227" s="4"/>
    </row>
    <row r="228" spans="1:14" x14ac:dyDescent="0.2">
      <c r="A228" t="s">
        <v>792</v>
      </c>
      <c r="B228" t="s">
        <v>481</v>
      </c>
      <c r="C228" t="s">
        <v>414</v>
      </c>
      <c r="D228" t="s">
        <v>135</v>
      </c>
      <c r="E228" t="s">
        <v>38</v>
      </c>
      <c r="F228" s="4">
        <v>52</v>
      </c>
      <c r="G228" t="s">
        <v>2906</v>
      </c>
      <c r="H228" s="4">
        <v>81</v>
      </c>
      <c r="I228" t="s">
        <v>1096</v>
      </c>
      <c r="M228" s="2"/>
      <c r="N228" s="4"/>
    </row>
    <row r="229" spans="1:14" x14ac:dyDescent="0.2">
      <c r="A229" t="s">
        <v>793</v>
      </c>
      <c r="B229" t="s">
        <v>482</v>
      </c>
      <c r="C229" t="s">
        <v>414</v>
      </c>
      <c r="D229" t="s">
        <v>129</v>
      </c>
      <c r="E229" t="s">
        <v>38</v>
      </c>
      <c r="F229" s="4">
        <v>50</v>
      </c>
      <c r="G229" t="s">
        <v>2902</v>
      </c>
      <c r="H229" s="4">
        <v>78</v>
      </c>
      <c r="I229" t="s">
        <v>1097</v>
      </c>
      <c r="M229" s="2"/>
      <c r="N229" s="4"/>
    </row>
    <row r="230" spans="1:14" x14ac:dyDescent="0.2">
      <c r="A230" t="s">
        <v>794</v>
      </c>
      <c r="B230" t="s">
        <v>483</v>
      </c>
      <c r="C230" t="s">
        <v>414</v>
      </c>
      <c r="D230" t="s">
        <v>130</v>
      </c>
      <c r="E230" t="s">
        <v>38</v>
      </c>
      <c r="F230" s="4">
        <v>59</v>
      </c>
      <c r="G230" t="s">
        <v>2905</v>
      </c>
      <c r="H230" s="4">
        <v>79</v>
      </c>
      <c r="I230" t="s">
        <v>1098</v>
      </c>
      <c r="M230" s="2"/>
      <c r="N230" s="4"/>
    </row>
    <row r="231" spans="1:14" x14ac:dyDescent="0.2">
      <c r="A231" t="s">
        <v>795</v>
      </c>
      <c r="B231" t="s">
        <v>484</v>
      </c>
      <c r="C231" t="s">
        <v>414</v>
      </c>
      <c r="D231" t="s">
        <v>132</v>
      </c>
      <c r="E231" t="s">
        <v>38</v>
      </c>
      <c r="F231" s="4">
        <v>47</v>
      </c>
      <c r="G231" t="s">
        <v>2907</v>
      </c>
      <c r="H231" s="4">
        <v>79</v>
      </c>
      <c r="I231" t="s">
        <v>1099</v>
      </c>
      <c r="M231" s="2"/>
      <c r="N231" s="4"/>
    </row>
    <row r="232" spans="1:14" x14ac:dyDescent="0.2">
      <c r="A232" t="s">
        <v>796</v>
      </c>
      <c r="B232" t="s">
        <v>485</v>
      </c>
      <c r="C232" t="s">
        <v>414</v>
      </c>
      <c r="D232" t="s">
        <v>22</v>
      </c>
      <c r="E232" t="s">
        <v>38</v>
      </c>
      <c r="F232" s="4">
        <v>55</v>
      </c>
      <c r="G232" t="s">
        <v>2902</v>
      </c>
      <c r="H232" s="4">
        <v>77</v>
      </c>
      <c r="I232" t="s">
        <v>1100</v>
      </c>
      <c r="M232" s="2"/>
      <c r="N232" s="4"/>
    </row>
    <row r="233" spans="1:14" x14ac:dyDescent="0.2">
      <c r="A233" t="s">
        <v>797</v>
      </c>
      <c r="B233" t="s">
        <v>486</v>
      </c>
      <c r="C233" t="s">
        <v>414</v>
      </c>
      <c r="D233" t="s">
        <v>149</v>
      </c>
      <c r="E233" t="s">
        <v>38</v>
      </c>
      <c r="F233" s="4">
        <v>58</v>
      </c>
      <c r="G233" t="s">
        <v>2903</v>
      </c>
      <c r="H233" s="4">
        <v>79</v>
      </c>
      <c r="I233" t="s">
        <v>1101</v>
      </c>
      <c r="M233" s="2"/>
      <c r="N233" s="4"/>
    </row>
    <row r="234" spans="1:14" x14ac:dyDescent="0.2">
      <c r="A234" t="s">
        <v>798</v>
      </c>
      <c r="B234" t="s">
        <v>487</v>
      </c>
      <c r="C234" t="s">
        <v>414</v>
      </c>
      <c r="D234" t="s">
        <v>146</v>
      </c>
      <c r="E234" t="s">
        <v>38</v>
      </c>
      <c r="F234" s="4">
        <v>54</v>
      </c>
      <c r="G234" t="s">
        <v>2912</v>
      </c>
      <c r="H234" s="4">
        <v>78</v>
      </c>
      <c r="I234" t="s">
        <v>1102</v>
      </c>
      <c r="M234" s="2"/>
      <c r="N234" s="4"/>
    </row>
    <row r="235" spans="1:14" x14ac:dyDescent="0.2">
      <c r="A235" t="s">
        <v>799</v>
      </c>
      <c r="B235" t="s">
        <v>488</v>
      </c>
      <c r="C235" t="s">
        <v>414</v>
      </c>
      <c r="D235" t="s">
        <v>142</v>
      </c>
      <c r="E235" t="s">
        <v>38</v>
      </c>
      <c r="F235" s="4">
        <v>49</v>
      </c>
      <c r="G235" t="s">
        <v>2903</v>
      </c>
      <c r="H235" s="4">
        <v>79</v>
      </c>
      <c r="I235" t="s">
        <v>1103</v>
      </c>
      <c r="M235" s="2"/>
      <c r="N235" s="4"/>
    </row>
    <row r="236" spans="1:14" x14ac:dyDescent="0.2">
      <c r="A236" t="s">
        <v>800</v>
      </c>
      <c r="B236" t="s">
        <v>489</v>
      </c>
      <c r="C236" t="s">
        <v>414</v>
      </c>
      <c r="D236" t="s">
        <v>154</v>
      </c>
      <c r="E236" t="s">
        <v>38</v>
      </c>
      <c r="F236" s="4">
        <v>52</v>
      </c>
      <c r="G236" t="s">
        <v>2902</v>
      </c>
      <c r="H236" s="4">
        <v>78</v>
      </c>
      <c r="I236" t="s">
        <v>1104</v>
      </c>
      <c r="M236" s="2"/>
      <c r="N236" s="4"/>
    </row>
    <row r="237" spans="1:14" x14ac:dyDescent="0.2">
      <c r="A237" t="s">
        <v>801</v>
      </c>
      <c r="B237" t="s">
        <v>490</v>
      </c>
      <c r="C237" t="s">
        <v>414</v>
      </c>
      <c r="D237" t="s">
        <v>148</v>
      </c>
      <c r="E237" t="s">
        <v>38</v>
      </c>
      <c r="F237" s="4">
        <v>57</v>
      </c>
      <c r="G237" t="s">
        <v>2905</v>
      </c>
      <c r="H237" s="4">
        <v>79</v>
      </c>
      <c r="I237" t="s">
        <v>1105</v>
      </c>
      <c r="M237" s="2"/>
      <c r="N237" s="4"/>
    </row>
    <row r="238" spans="1:14" x14ac:dyDescent="0.2">
      <c r="A238" t="s">
        <v>802</v>
      </c>
      <c r="B238" t="s">
        <v>491</v>
      </c>
      <c r="C238" t="s">
        <v>414</v>
      </c>
      <c r="D238" t="s">
        <v>144</v>
      </c>
      <c r="E238" t="s">
        <v>38</v>
      </c>
      <c r="F238" s="4">
        <v>56</v>
      </c>
      <c r="G238" t="s">
        <v>2911</v>
      </c>
      <c r="H238" s="4">
        <v>82</v>
      </c>
      <c r="I238" t="s">
        <v>1106</v>
      </c>
      <c r="M238" s="2"/>
      <c r="N238" s="4"/>
    </row>
    <row r="239" spans="1:14" x14ac:dyDescent="0.2">
      <c r="A239" t="s">
        <v>803</v>
      </c>
      <c r="B239" t="s">
        <v>492</v>
      </c>
      <c r="C239" t="s">
        <v>414</v>
      </c>
      <c r="D239" t="s">
        <v>136</v>
      </c>
      <c r="E239" t="s">
        <v>38</v>
      </c>
      <c r="F239" s="4">
        <v>60</v>
      </c>
      <c r="G239" t="s">
        <v>2911</v>
      </c>
      <c r="H239" s="4">
        <v>82</v>
      </c>
      <c r="I239" t="s">
        <v>1107</v>
      </c>
      <c r="M239" s="2"/>
      <c r="N239" s="4"/>
    </row>
    <row r="240" spans="1:14" x14ac:dyDescent="0.2">
      <c r="A240" t="s">
        <v>804</v>
      </c>
      <c r="B240" t="s">
        <v>493</v>
      </c>
      <c r="C240" t="s">
        <v>414</v>
      </c>
      <c r="D240" t="s">
        <v>145</v>
      </c>
      <c r="E240" t="s">
        <v>38</v>
      </c>
      <c r="F240" s="4">
        <v>50</v>
      </c>
      <c r="G240" t="s">
        <v>2910</v>
      </c>
      <c r="H240" s="4">
        <v>80</v>
      </c>
      <c r="I240" t="s">
        <v>1108</v>
      </c>
      <c r="M240" s="2"/>
      <c r="N240" s="4"/>
    </row>
    <row r="241" spans="1:14" x14ac:dyDescent="0.2">
      <c r="A241" t="s">
        <v>805</v>
      </c>
      <c r="B241" t="s">
        <v>494</v>
      </c>
      <c r="C241" t="s">
        <v>414</v>
      </c>
      <c r="D241" t="s">
        <v>158</v>
      </c>
      <c r="E241" t="s">
        <v>38</v>
      </c>
      <c r="F241" s="4">
        <v>55</v>
      </c>
      <c r="G241" t="s">
        <v>2911</v>
      </c>
      <c r="H241" s="4">
        <v>82</v>
      </c>
      <c r="I241" t="s">
        <v>1109</v>
      </c>
      <c r="M241" s="2"/>
      <c r="N241" s="4"/>
    </row>
    <row r="242" spans="1:14" x14ac:dyDescent="0.2">
      <c r="A242" t="s">
        <v>806</v>
      </c>
      <c r="B242" t="s">
        <v>495</v>
      </c>
      <c r="C242" t="s">
        <v>414</v>
      </c>
      <c r="D242" t="s">
        <v>155</v>
      </c>
      <c r="E242" t="s">
        <v>38</v>
      </c>
      <c r="F242" s="4">
        <v>48</v>
      </c>
      <c r="G242" t="s">
        <v>2906</v>
      </c>
      <c r="H242" s="4">
        <v>81</v>
      </c>
      <c r="I242" t="s">
        <v>1110</v>
      </c>
      <c r="M242" s="2"/>
      <c r="N242" s="4"/>
    </row>
    <row r="243" spans="1:14" x14ac:dyDescent="0.2">
      <c r="A243" t="s">
        <v>807</v>
      </c>
      <c r="B243" t="s">
        <v>496</v>
      </c>
      <c r="C243" t="s">
        <v>414</v>
      </c>
      <c r="D243" t="s">
        <v>156</v>
      </c>
      <c r="E243" t="s">
        <v>38</v>
      </c>
      <c r="F243" s="4">
        <v>54</v>
      </c>
      <c r="G243" t="s">
        <v>2907</v>
      </c>
      <c r="H243" s="4">
        <v>79</v>
      </c>
      <c r="I243" t="s">
        <v>1111</v>
      </c>
      <c r="M243" s="2"/>
      <c r="N243" s="4"/>
    </row>
    <row r="244" spans="1:14" x14ac:dyDescent="0.2">
      <c r="A244" t="s">
        <v>808</v>
      </c>
      <c r="B244" t="s">
        <v>497</v>
      </c>
      <c r="C244" t="s">
        <v>41</v>
      </c>
      <c r="D244" t="s">
        <v>44</v>
      </c>
      <c r="E244" t="s">
        <v>44</v>
      </c>
      <c r="F244" s="4">
        <v>39</v>
      </c>
      <c r="H244" s="4">
        <v>85</v>
      </c>
      <c r="I244" t="s">
        <v>1112</v>
      </c>
      <c r="M244" s="2"/>
      <c r="N244" s="4"/>
    </row>
    <row r="245" spans="1:14" x14ac:dyDescent="0.2">
      <c r="A245" t="s">
        <v>809</v>
      </c>
      <c r="B245" t="s">
        <v>498</v>
      </c>
      <c r="C245" t="s">
        <v>414</v>
      </c>
      <c r="D245" t="s">
        <v>44</v>
      </c>
      <c r="E245" t="s">
        <v>44</v>
      </c>
      <c r="F245" s="4">
        <v>44</v>
      </c>
      <c r="G245" t="s">
        <v>2906</v>
      </c>
      <c r="H245" s="4">
        <v>82</v>
      </c>
      <c r="I245" t="s">
        <v>1113</v>
      </c>
      <c r="M245" s="2"/>
      <c r="N245" s="4"/>
    </row>
    <row r="246" spans="1:14" x14ac:dyDescent="0.2">
      <c r="A246" t="s">
        <v>810</v>
      </c>
      <c r="B246" t="s">
        <v>499</v>
      </c>
      <c r="C246" t="s">
        <v>414</v>
      </c>
      <c r="D246" t="s">
        <v>44</v>
      </c>
      <c r="E246" t="s">
        <v>44</v>
      </c>
      <c r="F246" s="4">
        <v>46</v>
      </c>
      <c r="G246" t="s">
        <v>2902</v>
      </c>
      <c r="H246" s="4">
        <v>78</v>
      </c>
      <c r="I246" t="s">
        <v>1114</v>
      </c>
      <c r="M246" s="2"/>
      <c r="N246" s="4"/>
    </row>
    <row r="247" spans="1:14" x14ac:dyDescent="0.2">
      <c r="A247" t="s">
        <v>811</v>
      </c>
      <c r="B247" t="s">
        <v>500</v>
      </c>
      <c r="C247" t="s">
        <v>414</v>
      </c>
      <c r="D247" t="s">
        <v>44</v>
      </c>
      <c r="E247" t="s">
        <v>44</v>
      </c>
      <c r="F247" s="4">
        <v>49</v>
      </c>
      <c r="G247" t="s">
        <v>2907</v>
      </c>
      <c r="H247" s="4">
        <v>79</v>
      </c>
      <c r="I247" t="s">
        <v>1115</v>
      </c>
      <c r="M247" s="2"/>
      <c r="N247" s="4"/>
    </row>
    <row r="248" spans="1:14" x14ac:dyDescent="0.2">
      <c r="A248" t="s">
        <v>812</v>
      </c>
      <c r="B248" t="s">
        <v>501</v>
      </c>
      <c r="C248" t="s">
        <v>414</v>
      </c>
      <c r="D248" t="s">
        <v>44</v>
      </c>
      <c r="E248" t="s">
        <v>44</v>
      </c>
      <c r="F248" s="4">
        <v>45</v>
      </c>
      <c r="G248" t="s">
        <v>2902</v>
      </c>
      <c r="H248" s="4">
        <v>77</v>
      </c>
      <c r="I248" t="s">
        <v>1116</v>
      </c>
      <c r="M248" s="2"/>
      <c r="N248" s="4"/>
    </row>
    <row r="249" spans="1:14" x14ac:dyDescent="0.2">
      <c r="A249" t="s">
        <v>813</v>
      </c>
      <c r="B249" t="s">
        <v>502</v>
      </c>
      <c r="C249" t="s">
        <v>414</v>
      </c>
      <c r="D249" t="s">
        <v>44</v>
      </c>
      <c r="E249" t="s">
        <v>44</v>
      </c>
      <c r="F249" s="4">
        <v>53</v>
      </c>
      <c r="G249" t="s">
        <v>2910</v>
      </c>
      <c r="H249" s="4">
        <v>80</v>
      </c>
      <c r="I249" t="s">
        <v>1117</v>
      </c>
      <c r="M249" s="2"/>
      <c r="N249" s="4"/>
    </row>
    <row r="250" spans="1:14" x14ac:dyDescent="0.2">
      <c r="A250" t="s">
        <v>814</v>
      </c>
      <c r="B250" t="s">
        <v>503</v>
      </c>
      <c r="C250" t="s">
        <v>414</v>
      </c>
      <c r="D250" t="s">
        <v>44</v>
      </c>
      <c r="E250" t="s">
        <v>44</v>
      </c>
      <c r="F250" s="4">
        <v>50</v>
      </c>
      <c r="G250" t="s">
        <v>2911</v>
      </c>
      <c r="H250" s="4">
        <v>82</v>
      </c>
      <c r="I250" t="s">
        <v>1118</v>
      </c>
      <c r="M250" s="2"/>
      <c r="N250" s="4"/>
    </row>
    <row r="251" spans="1:14" x14ac:dyDescent="0.2">
      <c r="A251" t="s">
        <v>815</v>
      </c>
      <c r="B251" t="s">
        <v>504</v>
      </c>
      <c r="C251" t="s">
        <v>414</v>
      </c>
      <c r="D251" t="s">
        <v>44</v>
      </c>
      <c r="E251" t="s">
        <v>44</v>
      </c>
      <c r="F251" s="4">
        <v>47</v>
      </c>
      <c r="G251" t="s">
        <v>2902</v>
      </c>
      <c r="H251" s="4">
        <v>77</v>
      </c>
      <c r="I251" t="s">
        <v>1119</v>
      </c>
      <c r="M251" s="2"/>
      <c r="N251" s="4"/>
    </row>
    <row r="252" spans="1:14" x14ac:dyDescent="0.2">
      <c r="A252" t="s">
        <v>816</v>
      </c>
      <c r="B252" t="s">
        <v>505</v>
      </c>
      <c r="C252" t="s">
        <v>41</v>
      </c>
      <c r="D252" t="s">
        <v>44</v>
      </c>
      <c r="E252" t="s">
        <v>44</v>
      </c>
      <c r="F252" s="4">
        <v>52</v>
      </c>
      <c r="H252" s="4">
        <v>84</v>
      </c>
      <c r="I252" t="s">
        <v>1120</v>
      </c>
      <c r="M252" s="2"/>
      <c r="N252" s="4"/>
    </row>
    <row r="253" spans="1:14" x14ac:dyDescent="0.2">
      <c r="A253" t="s">
        <v>817</v>
      </c>
      <c r="B253" t="s">
        <v>506</v>
      </c>
      <c r="C253" t="s">
        <v>414</v>
      </c>
      <c r="D253" t="s">
        <v>44</v>
      </c>
      <c r="E253" t="s">
        <v>44</v>
      </c>
      <c r="F253" s="4">
        <v>51</v>
      </c>
      <c r="G253" t="s">
        <v>2911</v>
      </c>
      <c r="H253" s="4">
        <v>82</v>
      </c>
      <c r="I253" t="s">
        <v>1121</v>
      </c>
      <c r="M253" s="2"/>
      <c r="N253" s="4"/>
    </row>
    <row r="254" spans="1:14" x14ac:dyDescent="0.2">
      <c r="A254" t="s">
        <v>818</v>
      </c>
      <c r="B254" t="s">
        <v>507</v>
      </c>
      <c r="C254" t="s">
        <v>414</v>
      </c>
      <c r="D254" t="s">
        <v>44</v>
      </c>
      <c r="E254" t="s">
        <v>44</v>
      </c>
      <c r="F254" s="4">
        <v>45</v>
      </c>
      <c r="G254" t="s">
        <v>2902</v>
      </c>
      <c r="H254" s="4">
        <v>78</v>
      </c>
      <c r="I254" t="s">
        <v>1122</v>
      </c>
      <c r="M254" s="2"/>
      <c r="N254" s="4"/>
    </row>
    <row r="255" spans="1:14" x14ac:dyDescent="0.2">
      <c r="A255" t="s">
        <v>819</v>
      </c>
      <c r="B255" t="s">
        <v>508</v>
      </c>
      <c r="C255" t="s">
        <v>414</v>
      </c>
      <c r="D255" t="s">
        <v>44</v>
      </c>
      <c r="E255" t="s">
        <v>44</v>
      </c>
      <c r="F255" s="4">
        <v>48</v>
      </c>
      <c r="G255" t="s">
        <v>2907</v>
      </c>
      <c r="H255" s="4">
        <v>79</v>
      </c>
      <c r="I255" t="s">
        <v>1123</v>
      </c>
      <c r="M255" s="2"/>
      <c r="N255" s="4"/>
    </row>
    <row r="256" spans="1:14" x14ac:dyDescent="0.2">
      <c r="A256" t="s">
        <v>820</v>
      </c>
      <c r="B256" t="s">
        <v>509</v>
      </c>
      <c r="C256" t="s">
        <v>414</v>
      </c>
      <c r="D256" t="s">
        <v>44</v>
      </c>
      <c r="E256" t="s">
        <v>44</v>
      </c>
      <c r="F256" s="4">
        <v>46</v>
      </c>
      <c r="G256" t="s">
        <v>2906</v>
      </c>
      <c r="H256" s="4">
        <v>82</v>
      </c>
      <c r="I256" t="s">
        <v>1124</v>
      </c>
      <c r="M256" s="2"/>
      <c r="N256" s="4"/>
    </row>
    <row r="257" spans="1:14" x14ac:dyDescent="0.2">
      <c r="A257" t="s">
        <v>821</v>
      </c>
      <c r="B257" t="s">
        <v>510</v>
      </c>
      <c r="C257" t="s">
        <v>414</v>
      </c>
      <c r="D257" t="s">
        <v>44</v>
      </c>
      <c r="E257" t="s">
        <v>44</v>
      </c>
      <c r="F257" s="4">
        <v>54</v>
      </c>
      <c r="G257" t="s">
        <v>2910</v>
      </c>
      <c r="H257" s="4">
        <v>80</v>
      </c>
      <c r="I257" t="s">
        <v>1125</v>
      </c>
      <c r="M257" s="2"/>
      <c r="N257" s="4"/>
    </row>
    <row r="258" spans="1:14" x14ac:dyDescent="0.2">
      <c r="A258" t="s">
        <v>822</v>
      </c>
      <c r="B258" t="s">
        <v>511</v>
      </c>
      <c r="C258" t="s">
        <v>414</v>
      </c>
      <c r="D258" t="s">
        <v>44</v>
      </c>
      <c r="E258" t="s">
        <v>44</v>
      </c>
      <c r="F258" s="4">
        <v>47</v>
      </c>
      <c r="G258" t="s">
        <v>2902</v>
      </c>
      <c r="H258" s="4">
        <v>77</v>
      </c>
      <c r="I258" t="s">
        <v>1126</v>
      </c>
      <c r="M258" s="2"/>
      <c r="N258" s="4"/>
    </row>
    <row r="259" spans="1:14" x14ac:dyDescent="0.2">
      <c r="A259" t="s">
        <v>823</v>
      </c>
      <c r="B259" t="s">
        <v>512</v>
      </c>
      <c r="C259" t="s">
        <v>414</v>
      </c>
      <c r="D259" t="s">
        <v>44</v>
      </c>
      <c r="E259" t="s">
        <v>44</v>
      </c>
      <c r="F259" s="4">
        <v>46</v>
      </c>
      <c r="G259" t="s">
        <v>2902</v>
      </c>
      <c r="H259" s="4">
        <v>77</v>
      </c>
      <c r="I259" t="s">
        <v>1127</v>
      </c>
      <c r="M259" s="2"/>
      <c r="N259" s="4"/>
    </row>
    <row r="260" spans="1:14" x14ac:dyDescent="0.2">
      <c r="A260" t="s">
        <v>824</v>
      </c>
      <c r="B260" t="s">
        <v>513</v>
      </c>
      <c r="C260" t="s">
        <v>560</v>
      </c>
      <c r="D260" t="s">
        <v>44</v>
      </c>
      <c r="E260" t="s">
        <v>44</v>
      </c>
      <c r="F260" s="4">
        <v>52</v>
      </c>
      <c r="G260" t="s">
        <v>2904</v>
      </c>
      <c r="H260" s="4">
        <v>80</v>
      </c>
      <c r="I260" t="s">
        <v>1128</v>
      </c>
      <c r="M260" s="2"/>
      <c r="N260" s="4"/>
    </row>
    <row r="261" spans="1:14" x14ac:dyDescent="0.2">
      <c r="A261" t="s">
        <v>825</v>
      </c>
      <c r="B261" t="s">
        <v>514</v>
      </c>
      <c r="C261" t="s">
        <v>563</v>
      </c>
      <c r="D261" t="s">
        <v>44</v>
      </c>
      <c r="E261" t="s">
        <v>44</v>
      </c>
      <c r="F261" s="4">
        <v>44</v>
      </c>
      <c r="G261" t="s">
        <v>2907</v>
      </c>
      <c r="H261" s="4">
        <v>79</v>
      </c>
      <c r="I261" t="s">
        <v>1129</v>
      </c>
      <c r="M261" s="2"/>
      <c r="N261" s="4"/>
    </row>
    <row r="262" spans="1:14" x14ac:dyDescent="0.2">
      <c r="A262" t="s">
        <v>826</v>
      </c>
      <c r="B262" t="s">
        <v>515</v>
      </c>
      <c r="C262" t="s">
        <v>562</v>
      </c>
      <c r="D262" t="s">
        <v>44</v>
      </c>
      <c r="E262" t="s">
        <v>44</v>
      </c>
      <c r="F262" s="4">
        <v>47</v>
      </c>
      <c r="G262" t="s">
        <v>2905</v>
      </c>
      <c r="H262" s="4">
        <v>79</v>
      </c>
      <c r="I262" t="s">
        <v>1130</v>
      </c>
      <c r="M262" s="2"/>
      <c r="N262" s="4"/>
    </row>
    <row r="263" spans="1:14" x14ac:dyDescent="0.2">
      <c r="A263" t="s">
        <v>827</v>
      </c>
      <c r="B263" t="s">
        <v>516</v>
      </c>
      <c r="C263" t="s">
        <v>566</v>
      </c>
      <c r="D263" t="s">
        <v>44</v>
      </c>
      <c r="E263" t="s">
        <v>44</v>
      </c>
      <c r="F263" s="4">
        <v>43</v>
      </c>
      <c r="G263" t="s">
        <v>2898</v>
      </c>
      <c r="H263" s="4">
        <v>82</v>
      </c>
      <c r="I263" t="s">
        <v>1131</v>
      </c>
      <c r="M263" s="2"/>
      <c r="N263" s="4"/>
    </row>
    <row r="264" spans="1:14" x14ac:dyDescent="0.2">
      <c r="A264" t="s">
        <v>828</v>
      </c>
      <c r="B264" t="s">
        <v>517</v>
      </c>
      <c r="C264" t="s">
        <v>565</v>
      </c>
      <c r="D264" t="s">
        <v>44</v>
      </c>
      <c r="E264" t="s">
        <v>44</v>
      </c>
      <c r="F264" s="4">
        <v>49</v>
      </c>
      <c r="G264" t="s">
        <v>568</v>
      </c>
      <c r="H264" s="4">
        <v>80</v>
      </c>
      <c r="I264" t="s">
        <v>1132</v>
      </c>
      <c r="M264" s="2"/>
      <c r="N264" s="4"/>
    </row>
    <row r="265" spans="1:14" x14ac:dyDescent="0.2">
      <c r="A265" t="s">
        <v>829</v>
      </c>
      <c r="B265" t="s">
        <v>518</v>
      </c>
      <c r="C265" t="s">
        <v>561</v>
      </c>
      <c r="D265" t="s">
        <v>44</v>
      </c>
      <c r="E265" t="s">
        <v>44</v>
      </c>
      <c r="F265" s="4">
        <v>41</v>
      </c>
      <c r="G265" t="s">
        <v>2899</v>
      </c>
      <c r="H265" s="4">
        <v>78</v>
      </c>
      <c r="I265" t="s">
        <v>1133</v>
      </c>
      <c r="M265" s="2"/>
      <c r="N265" s="4"/>
    </row>
    <row r="266" spans="1:14" x14ac:dyDescent="0.2">
      <c r="A266" t="s">
        <v>830</v>
      </c>
      <c r="B266" t="s">
        <v>519</v>
      </c>
      <c r="C266" t="s">
        <v>561</v>
      </c>
      <c r="D266" t="s">
        <v>44</v>
      </c>
      <c r="E266" t="s">
        <v>44</v>
      </c>
      <c r="F266" s="4">
        <v>42</v>
      </c>
      <c r="G266" t="s">
        <v>2893</v>
      </c>
      <c r="H266" s="4">
        <v>79</v>
      </c>
      <c r="I266" t="s">
        <v>1134</v>
      </c>
      <c r="M266" s="2"/>
      <c r="N266" s="4"/>
    </row>
    <row r="267" spans="1:14" x14ac:dyDescent="0.2">
      <c r="A267" t="s">
        <v>831</v>
      </c>
      <c r="B267" t="s">
        <v>520</v>
      </c>
      <c r="C267" t="s">
        <v>564</v>
      </c>
      <c r="D267" t="s">
        <v>44</v>
      </c>
      <c r="E267" t="s">
        <v>44</v>
      </c>
      <c r="F267" s="4">
        <v>50</v>
      </c>
      <c r="G267" t="s">
        <v>2907</v>
      </c>
      <c r="H267" s="4">
        <v>78</v>
      </c>
      <c r="I267" t="s">
        <v>1135</v>
      </c>
      <c r="M267" s="2"/>
      <c r="N267" s="4"/>
    </row>
    <row r="268" spans="1:14" x14ac:dyDescent="0.2">
      <c r="A268" t="s">
        <v>832</v>
      </c>
      <c r="B268" t="s">
        <v>521</v>
      </c>
      <c r="C268" t="s">
        <v>560</v>
      </c>
      <c r="D268" t="s">
        <v>44</v>
      </c>
      <c r="E268" t="s">
        <v>44</v>
      </c>
      <c r="F268" s="4">
        <v>55</v>
      </c>
      <c r="G268" t="s">
        <v>2893</v>
      </c>
      <c r="H268" s="4">
        <v>79</v>
      </c>
      <c r="I268" t="s">
        <v>1136</v>
      </c>
      <c r="M268" s="2"/>
      <c r="N268" s="4"/>
    </row>
    <row r="269" spans="1:14" x14ac:dyDescent="0.2">
      <c r="A269" t="s">
        <v>833</v>
      </c>
      <c r="B269" t="s">
        <v>522</v>
      </c>
      <c r="C269" t="s">
        <v>562</v>
      </c>
      <c r="D269" t="s">
        <v>44</v>
      </c>
      <c r="E269" t="s">
        <v>44</v>
      </c>
      <c r="F269" s="4">
        <v>45</v>
      </c>
      <c r="G269" t="s">
        <v>2902</v>
      </c>
      <c r="H269" s="4">
        <v>79</v>
      </c>
      <c r="I269" t="s">
        <v>1137</v>
      </c>
      <c r="M269" s="2"/>
      <c r="N269" s="4"/>
    </row>
    <row r="270" spans="1:14" x14ac:dyDescent="0.2">
      <c r="A270" t="s">
        <v>834</v>
      </c>
      <c r="B270" t="s">
        <v>523</v>
      </c>
      <c r="C270" t="s">
        <v>563</v>
      </c>
      <c r="D270" t="s">
        <v>44</v>
      </c>
      <c r="E270" t="s">
        <v>44</v>
      </c>
      <c r="F270" s="4">
        <v>40</v>
      </c>
      <c r="G270" t="s">
        <v>2906</v>
      </c>
      <c r="H270" s="4">
        <v>82</v>
      </c>
      <c r="I270" t="s">
        <v>1138</v>
      </c>
      <c r="M270" s="2"/>
      <c r="N270" s="4"/>
    </row>
    <row r="271" spans="1:14" x14ac:dyDescent="0.2">
      <c r="A271" t="s">
        <v>835</v>
      </c>
      <c r="B271" t="s">
        <v>524</v>
      </c>
      <c r="C271" t="s">
        <v>565</v>
      </c>
      <c r="D271" t="s">
        <v>44</v>
      </c>
      <c r="E271" t="s">
        <v>44</v>
      </c>
      <c r="F271" s="4">
        <v>41</v>
      </c>
      <c r="G271" t="s">
        <v>2909</v>
      </c>
      <c r="H271" s="4">
        <v>82</v>
      </c>
      <c r="I271" t="s">
        <v>1139</v>
      </c>
      <c r="M271" s="2"/>
      <c r="N271" s="4"/>
    </row>
    <row r="272" spans="1:14" x14ac:dyDescent="0.2">
      <c r="A272" t="s">
        <v>836</v>
      </c>
      <c r="B272" t="s">
        <v>525</v>
      </c>
      <c r="C272" t="s">
        <v>566</v>
      </c>
      <c r="D272" t="s">
        <v>44</v>
      </c>
      <c r="E272" t="s">
        <v>44</v>
      </c>
      <c r="F272" s="4">
        <v>38</v>
      </c>
      <c r="G272" t="s">
        <v>2893</v>
      </c>
      <c r="H272" s="4">
        <v>79</v>
      </c>
      <c r="I272" t="s">
        <v>1140</v>
      </c>
      <c r="M272" s="2"/>
      <c r="N272" s="4"/>
    </row>
    <row r="273" spans="1:14" x14ac:dyDescent="0.2">
      <c r="A273" t="s">
        <v>837</v>
      </c>
      <c r="B273" t="s">
        <v>526</v>
      </c>
      <c r="C273" t="s">
        <v>564</v>
      </c>
      <c r="D273" t="s">
        <v>44</v>
      </c>
      <c r="E273" t="s">
        <v>44</v>
      </c>
      <c r="F273" s="4">
        <v>44</v>
      </c>
      <c r="G273" t="s">
        <v>2902</v>
      </c>
      <c r="H273" s="4">
        <v>81</v>
      </c>
      <c r="I273" t="s">
        <v>1141</v>
      </c>
      <c r="M273" s="2"/>
      <c r="N273" s="4"/>
    </row>
    <row r="274" spans="1:14" x14ac:dyDescent="0.2">
      <c r="A274" t="s">
        <v>838</v>
      </c>
      <c r="B274" t="s">
        <v>527</v>
      </c>
      <c r="C274" t="s">
        <v>561</v>
      </c>
      <c r="D274" t="s">
        <v>44</v>
      </c>
      <c r="E274" t="s">
        <v>44</v>
      </c>
      <c r="F274" s="4">
        <v>39</v>
      </c>
      <c r="G274" t="s">
        <v>2898</v>
      </c>
      <c r="H274" s="4">
        <v>80</v>
      </c>
      <c r="I274" t="s">
        <v>1142</v>
      </c>
      <c r="M274" s="2"/>
      <c r="N274" s="4"/>
    </row>
    <row r="275" spans="1:14" x14ac:dyDescent="0.2">
      <c r="A275" t="s">
        <v>839</v>
      </c>
      <c r="B275" t="s">
        <v>528</v>
      </c>
      <c r="C275" t="s">
        <v>561</v>
      </c>
      <c r="D275" t="s">
        <v>44</v>
      </c>
      <c r="E275" t="s">
        <v>44</v>
      </c>
      <c r="F275" s="4">
        <v>36</v>
      </c>
      <c r="G275" t="s">
        <v>2895</v>
      </c>
      <c r="H275" s="4">
        <v>80</v>
      </c>
      <c r="I275" t="s">
        <v>1143</v>
      </c>
      <c r="M275" s="2"/>
      <c r="N275" s="4"/>
    </row>
    <row r="276" spans="1:14" x14ac:dyDescent="0.2">
      <c r="A276" t="s">
        <v>840</v>
      </c>
      <c r="B276" t="s">
        <v>529</v>
      </c>
      <c r="C276" t="s">
        <v>560</v>
      </c>
      <c r="D276" t="s">
        <v>44</v>
      </c>
      <c r="E276" t="s">
        <v>44</v>
      </c>
      <c r="F276" s="4">
        <v>58</v>
      </c>
      <c r="G276" t="s">
        <v>2899</v>
      </c>
      <c r="H276" s="4">
        <v>78</v>
      </c>
      <c r="I276" t="s">
        <v>1144</v>
      </c>
      <c r="M276" s="2"/>
      <c r="N276" s="4"/>
    </row>
    <row r="277" spans="1:14" x14ac:dyDescent="0.2">
      <c r="A277" t="s">
        <v>841</v>
      </c>
      <c r="B277" t="s">
        <v>530</v>
      </c>
      <c r="C277" t="s">
        <v>562</v>
      </c>
      <c r="D277" t="s">
        <v>44</v>
      </c>
      <c r="E277" t="s">
        <v>44</v>
      </c>
      <c r="F277" s="4">
        <v>54</v>
      </c>
      <c r="G277" t="s">
        <v>2905</v>
      </c>
      <c r="H277" s="4">
        <v>79</v>
      </c>
      <c r="I277" t="s">
        <v>1145</v>
      </c>
      <c r="M277" s="2"/>
      <c r="N277" s="4"/>
    </row>
    <row r="278" spans="1:14" x14ac:dyDescent="0.2">
      <c r="A278" t="s">
        <v>842</v>
      </c>
      <c r="B278" t="s">
        <v>531</v>
      </c>
      <c r="C278" t="s">
        <v>563</v>
      </c>
      <c r="D278" t="s">
        <v>44</v>
      </c>
      <c r="E278" t="s">
        <v>44</v>
      </c>
      <c r="F278" s="4">
        <v>43</v>
      </c>
      <c r="G278" t="s">
        <v>2906</v>
      </c>
      <c r="H278" s="4">
        <v>81</v>
      </c>
      <c r="I278" t="s">
        <v>1146</v>
      </c>
      <c r="M278" s="2"/>
      <c r="N278" s="4"/>
    </row>
    <row r="279" spans="1:14" x14ac:dyDescent="0.2">
      <c r="A279" t="s">
        <v>843</v>
      </c>
      <c r="B279" t="s">
        <v>532</v>
      </c>
      <c r="C279" t="s">
        <v>566</v>
      </c>
      <c r="D279" t="s">
        <v>44</v>
      </c>
      <c r="E279" t="s">
        <v>44</v>
      </c>
      <c r="F279" s="4">
        <v>41</v>
      </c>
      <c r="G279" t="s">
        <v>2898</v>
      </c>
      <c r="H279" s="4">
        <v>81</v>
      </c>
      <c r="I279" t="s">
        <v>1147</v>
      </c>
      <c r="M279" s="2"/>
      <c r="N279" s="4"/>
    </row>
    <row r="280" spans="1:14" x14ac:dyDescent="0.2">
      <c r="A280" t="s">
        <v>844</v>
      </c>
      <c r="B280" t="s">
        <v>533</v>
      </c>
      <c r="C280" t="s">
        <v>565</v>
      </c>
      <c r="D280" t="s">
        <v>44</v>
      </c>
      <c r="E280" t="s">
        <v>44</v>
      </c>
      <c r="F280" s="4">
        <v>48</v>
      </c>
      <c r="G280" t="s">
        <v>2908</v>
      </c>
      <c r="H280" s="4">
        <v>81</v>
      </c>
      <c r="I280" t="s">
        <v>1148</v>
      </c>
      <c r="M280" s="2"/>
      <c r="N280" s="4"/>
    </row>
    <row r="281" spans="1:14" x14ac:dyDescent="0.2">
      <c r="A281" t="s">
        <v>845</v>
      </c>
      <c r="B281" t="s">
        <v>534</v>
      </c>
      <c r="C281" t="s">
        <v>43</v>
      </c>
      <c r="D281" t="s">
        <v>44</v>
      </c>
      <c r="E281" t="s">
        <v>44</v>
      </c>
      <c r="F281" s="4">
        <v>63</v>
      </c>
      <c r="G281" t="s">
        <v>8560</v>
      </c>
      <c r="H281" s="4">
        <v>99</v>
      </c>
      <c r="I281" t="s">
        <v>1149</v>
      </c>
      <c r="M281" s="2"/>
      <c r="N281" s="4"/>
    </row>
    <row r="282" spans="1:14" x14ac:dyDescent="0.2">
      <c r="A282" t="s">
        <v>846</v>
      </c>
      <c r="B282" t="s">
        <v>535</v>
      </c>
      <c r="C282" t="s">
        <v>414</v>
      </c>
      <c r="D282" t="s">
        <v>44</v>
      </c>
      <c r="E282" t="s">
        <v>44</v>
      </c>
      <c r="F282" s="4">
        <v>61</v>
      </c>
      <c r="G282" t="s">
        <v>2905</v>
      </c>
      <c r="H282" s="4">
        <v>96</v>
      </c>
      <c r="I282" t="s">
        <v>1150</v>
      </c>
      <c r="M282" s="2"/>
      <c r="N282" s="4"/>
    </row>
    <row r="283" spans="1:14" x14ac:dyDescent="0.2">
      <c r="A283" t="s">
        <v>847</v>
      </c>
      <c r="B283" t="s">
        <v>536</v>
      </c>
      <c r="C283" t="s">
        <v>365</v>
      </c>
      <c r="D283" t="s">
        <v>44</v>
      </c>
      <c r="E283" t="s">
        <v>44</v>
      </c>
      <c r="F283" s="4">
        <v>57</v>
      </c>
      <c r="G283" t="s">
        <v>2893</v>
      </c>
      <c r="H283" s="4">
        <v>97</v>
      </c>
      <c r="I283" t="s">
        <v>1151</v>
      </c>
      <c r="M283" s="2"/>
      <c r="N283" s="4"/>
    </row>
    <row r="284" spans="1:14" x14ac:dyDescent="0.2">
      <c r="A284" t="s">
        <v>848</v>
      </c>
      <c r="B284" t="s">
        <v>537</v>
      </c>
      <c r="C284" t="s">
        <v>561</v>
      </c>
      <c r="D284" t="s">
        <v>44</v>
      </c>
      <c r="E284" t="s">
        <v>44</v>
      </c>
      <c r="F284" s="4">
        <v>49</v>
      </c>
      <c r="G284" t="s">
        <v>8561</v>
      </c>
      <c r="H284" s="4">
        <v>78</v>
      </c>
      <c r="I284" t="s">
        <v>1152</v>
      </c>
      <c r="M284" s="2"/>
      <c r="N284" s="4"/>
    </row>
    <row r="285" spans="1:14" x14ac:dyDescent="0.2">
      <c r="A285" t="s">
        <v>849</v>
      </c>
      <c r="B285" t="s">
        <v>538</v>
      </c>
      <c r="C285" t="s">
        <v>565</v>
      </c>
      <c r="D285" t="s">
        <v>44</v>
      </c>
      <c r="E285" t="s">
        <v>44</v>
      </c>
      <c r="F285" s="4">
        <v>68</v>
      </c>
      <c r="G285" t="s">
        <v>8562</v>
      </c>
      <c r="H285" s="4">
        <v>93</v>
      </c>
      <c r="I285" t="s">
        <v>1153</v>
      </c>
      <c r="M285" s="2"/>
      <c r="N285" s="4"/>
    </row>
    <row r="286" spans="1:14" x14ac:dyDescent="0.2">
      <c r="A286" t="s">
        <v>850</v>
      </c>
      <c r="B286" t="s">
        <v>539</v>
      </c>
      <c r="C286" t="s">
        <v>560</v>
      </c>
      <c r="D286" t="s">
        <v>44</v>
      </c>
      <c r="E286" t="s">
        <v>44</v>
      </c>
      <c r="F286" s="4">
        <v>72</v>
      </c>
      <c r="G286" t="s">
        <v>2899</v>
      </c>
      <c r="H286" s="4">
        <v>95</v>
      </c>
      <c r="I286" t="s">
        <v>1154</v>
      </c>
      <c r="M286" s="2"/>
      <c r="N286" s="4"/>
    </row>
    <row r="287" spans="1:14" x14ac:dyDescent="0.2">
      <c r="A287" t="s">
        <v>851</v>
      </c>
      <c r="B287" t="s">
        <v>540</v>
      </c>
      <c r="C287" t="s">
        <v>562</v>
      </c>
      <c r="D287" t="s">
        <v>44</v>
      </c>
      <c r="E287" t="s">
        <v>44</v>
      </c>
      <c r="F287" s="4">
        <v>76</v>
      </c>
      <c r="G287" t="s">
        <v>2905</v>
      </c>
      <c r="H287" s="4">
        <v>92</v>
      </c>
      <c r="I287" t="s">
        <v>1155</v>
      </c>
      <c r="M287" s="2"/>
      <c r="N287" s="4"/>
    </row>
    <row r="288" spans="1:14" x14ac:dyDescent="0.2">
      <c r="A288" t="s">
        <v>852</v>
      </c>
      <c r="B288" t="s">
        <v>541</v>
      </c>
      <c r="C288" t="s">
        <v>564</v>
      </c>
      <c r="D288" t="s">
        <v>44</v>
      </c>
      <c r="E288" t="s">
        <v>44</v>
      </c>
      <c r="F288" s="4">
        <v>58</v>
      </c>
      <c r="G288" t="s">
        <v>2902</v>
      </c>
      <c r="H288" s="4">
        <v>86</v>
      </c>
      <c r="I288" t="s">
        <v>1156</v>
      </c>
      <c r="M288" s="2"/>
      <c r="N288" s="4"/>
    </row>
    <row r="289" spans="1:14" x14ac:dyDescent="0.2">
      <c r="A289" t="s">
        <v>853</v>
      </c>
      <c r="B289" t="s">
        <v>542</v>
      </c>
      <c r="C289" t="s">
        <v>563</v>
      </c>
      <c r="D289" t="s">
        <v>44</v>
      </c>
      <c r="E289" t="s">
        <v>44</v>
      </c>
      <c r="F289" s="4">
        <v>52</v>
      </c>
      <c r="G289" t="s">
        <v>2911</v>
      </c>
      <c r="H289" s="4">
        <v>90</v>
      </c>
      <c r="I289" t="s">
        <v>1157</v>
      </c>
      <c r="M289" s="2"/>
      <c r="N289" s="4"/>
    </row>
    <row r="290" spans="1:14" x14ac:dyDescent="0.2">
      <c r="A290" t="s">
        <v>854</v>
      </c>
      <c r="B290" t="s">
        <v>543</v>
      </c>
      <c r="C290" t="s">
        <v>566</v>
      </c>
      <c r="D290" t="s">
        <v>44</v>
      </c>
      <c r="E290" t="s">
        <v>44</v>
      </c>
      <c r="F290" s="4">
        <v>45</v>
      </c>
      <c r="G290" t="s">
        <v>2901</v>
      </c>
      <c r="H290" s="4">
        <v>88</v>
      </c>
      <c r="I290" t="s">
        <v>1158</v>
      </c>
      <c r="M290" s="2"/>
      <c r="N290" s="4"/>
    </row>
    <row r="291" spans="1:14" x14ac:dyDescent="0.2">
      <c r="A291" t="s">
        <v>855</v>
      </c>
      <c r="B291" t="s">
        <v>544</v>
      </c>
      <c r="C291" t="s">
        <v>560</v>
      </c>
      <c r="D291" t="s">
        <v>44</v>
      </c>
      <c r="E291" t="s">
        <v>44</v>
      </c>
      <c r="F291" s="4">
        <v>57</v>
      </c>
      <c r="G291" t="s">
        <v>2904</v>
      </c>
      <c r="H291" s="4">
        <v>80</v>
      </c>
      <c r="I291" t="s">
        <v>1159</v>
      </c>
      <c r="M291" s="2"/>
      <c r="N291" s="4"/>
    </row>
    <row r="292" spans="1:14" x14ac:dyDescent="0.2">
      <c r="A292" t="s">
        <v>856</v>
      </c>
      <c r="B292" t="s">
        <v>545</v>
      </c>
      <c r="C292" t="s">
        <v>365</v>
      </c>
      <c r="D292" t="s">
        <v>44</v>
      </c>
      <c r="E292" t="s">
        <v>44</v>
      </c>
      <c r="F292" s="4">
        <v>60</v>
      </c>
      <c r="G292" t="s">
        <v>8563</v>
      </c>
      <c r="H292" s="4">
        <v>82</v>
      </c>
      <c r="I292" t="s">
        <v>1160</v>
      </c>
      <c r="M292" s="2"/>
      <c r="N292" s="4"/>
    </row>
    <row r="293" spans="1:14" x14ac:dyDescent="0.2">
      <c r="A293" t="s">
        <v>857</v>
      </c>
      <c r="B293" t="s">
        <v>546</v>
      </c>
      <c r="C293" t="s">
        <v>563</v>
      </c>
      <c r="D293" t="s">
        <v>44</v>
      </c>
      <c r="E293" t="s">
        <v>44</v>
      </c>
      <c r="F293" s="4">
        <v>44</v>
      </c>
      <c r="G293" t="s">
        <v>8564</v>
      </c>
      <c r="H293" s="4">
        <v>87</v>
      </c>
      <c r="I293" t="s">
        <v>1161</v>
      </c>
      <c r="M293" s="2"/>
      <c r="N293" s="4"/>
    </row>
    <row r="294" spans="1:14" x14ac:dyDescent="0.2">
      <c r="A294" t="s">
        <v>858</v>
      </c>
      <c r="B294" t="s">
        <v>547</v>
      </c>
      <c r="C294" t="s">
        <v>561</v>
      </c>
      <c r="D294" t="s">
        <v>44</v>
      </c>
      <c r="E294" t="s">
        <v>44</v>
      </c>
      <c r="F294" s="4">
        <v>55</v>
      </c>
      <c r="G294" t="s">
        <v>2893</v>
      </c>
      <c r="H294" s="4">
        <v>79</v>
      </c>
      <c r="I294" t="s">
        <v>1162</v>
      </c>
      <c r="M294" s="2"/>
      <c r="N294" s="4"/>
    </row>
    <row r="295" spans="1:14" x14ac:dyDescent="0.2">
      <c r="A295" t="s">
        <v>859</v>
      </c>
      <c r="B295" t="s">
        <v>548</v>
      </c>
      <c r="C295" t="s">
        <v>565</v>
      </c>
      <c r="D295" t="s">
        <v>44</v>
      </c>
      <c r="E295" t="s">
        <v>44</v>
      </c>
      <c r="F295" s="4">
        <v>50</v>
      </c>
      <c r="G295" t="s">
        <v>2908</v>
      </c>
      <c r="H295" s="4">
        <v>83</v>
      </c>
      <c r="I295" t="s">
        <v>1163</v>
      </c>
      <c r="M295" s="2"/>
      <c r="N295" s="4"/>
    </row>
    <row r="296" spans="1:14" x14ac:dyDescent="0.2">
      <c r="A296" t="s">
        <v>860</v>
      </c>
      <c r="B296" t="s">
        <v>549</v>
      </c>
      <c r="C296" t="s">
        <v>562</v>
      </c>
      <c r="D296" t="s">
        <v>44</v>
      </c>
      <c r="E296" t="s">
        <v>44</v>
      </c>
      <c r="F296" s="4">
        <v>63</v>
      </c>
      <c r="G296" t="s">
        <v>2912</v>
      </c>
      <c r="H296" s="4">
        <v>81</v>
      </c>
      <c r="I296" t="s">
        <v>1164</v>
      </c>
      <c r="M296" s="2"/>
      <c r="N296" s="4"/>
    </row>
    <row r="297" spans="1:14" x14ac:dyDescent="0.2">
      <c r="A297" t="s">
        <v>861</v>
      </c>
      <c r="B297" t="s">
        <v>550</v>
      </c>
      <c r="C297" t="s">
        <v>566</v>
      </c>
      <c r="D297" t="s">
        <v>44</v>
      </c>
      <c r="E297" t="s">
        <v>44</v>
      </c>
      <c r="F297" s="4">
        <v>41</v>
      </c>
      <c r="G297" t="s">
        <v>8561</v>
      </c>
      <c r="H297" s="4">
        <v>77</v>
      </c>
      <c r="I297" t="s">
        <v>1165</v>
      </c>
      <c r="M297" s="2"/>
      <c r="N297" s="4"/>
    </row>
    <row r="298" spans="1:14" x14ac:dyDescent="0.2">
      <c r="A298" t="s">
        <v>862</v>
      </c>
      <c r="B298" t="s">
        <v>551</v>
      </c>
      <c r="C298" t="s">
        <v>561</v>
      </c>
      <c r="D298" t="s">
        <v>44</v>
      </c>
      <c r="E298" t="s">
        <v>44</v>
      </c>
      <c r="F298" s="4">
        <v>39</v>
      </c>
      <c r="G298" t="s">
        <v>2896</v>
      </c>
      <c r="H298" s="4">
        <v>74</v>
      </c>
      <c r="I298" t="s">
        <v>1166</v>
      </c>
      <c r="M298" s="2"/>
      <c r="N298" s="4"/>
    </row>
    <row r="299" spans="1:14" x14ac:dyDescent="0.2">
      <c r="A299" t="s">
        <v>863</v>
      </c>
      <c r="B299" t="s">
        <v>552</v>
      </c>
      <c r="C299" t="s">
        <v>414</v>
      </c>
      <c r="D299" t="s">
        <v>44</v>
      </c>
      <c r="E299" t="s">
        <v>44</v>
      </c>
      <c r="F299" s="4">
        <v>47</v>
      </c>
      <c r="G299" t="s">
        <v>2907</v>
      </c>
      <c r="H299" s="4">
        <v>85</v>
      </c>
      <c r="I299" t="s">
        <v>1167</v>
      </c>
      <c r="M299" s="2"/>
      <c r="N299" s="4"/>
    </row>
    <row r="300" spans="1:14" x14ac:dyDescent="0.2">
      <c r="A300" t="s">
        <v>864</v>
      </c>
      <c r="B300" t="s">
        <v>553</v>
      </c>
      <c r="C300" t="s">
        <v>564</v>
      </c>
      <c r="D300" t="s">
        <v>44</v>
      </c>
      <c r="E300" t="s">
        <v>44</v>
      </c>
      <c r="F300" s="4">
        <v>46</v>
      </c>
      <c r="G300" t="s">
        <v>8565</v>
      </c>
      <c r="H300" s="4">
        <v>76</v>
      </c>
      <c r="I300" t="s">
        <v>1168</v>
      </c>
      <c r="M300" s="2"/>
      <c r="N300" s="4"/>
    </row>
    <row r="301" spans="1:14" x14ac:dyDescent="0.2">
      <c r="A301" t="s">
        <v>865</v>
      </c>
      <c r="B301" t="s">
        <v>554</v>
      </c>
      <c r="C301" t="s">
        <v>414</v>
      </c>
      <c r="D301" t="s">
        <v>44</v>
      </c>
      <c r="E301" t="s">
        <v>44</v>
      </c>
      <c r="F301" s="4">
        <v>84</v>
      </c>
      <c r="G301" t="s">
        <v>2912</v>
      </c>
      <c r="H301" s="4">
        <v>98</v>
      </c>
      <c r="I301" t="s">
        <v>1169</v>
      </c>
      <c r="M301" s="2"/>
      <c r="N301" s="4"/>
    </row>
    <row r="302" spans="1:14" x14ac:dyDescent="0.2">
      <c r="A302" t="s">
        <v>866</v>
      </c>
      <c r="B302" t="s">
        <v>555</v>
      </c>
      <c r="C302" t="s">
        <v>365</v>
      </c>
      <c r="D302" t="s">
        <v>44</v>
      </c>
      <c r="E302" t="s">
        <v>44</v>
      </c>
      <c r="F302" s="4">
        <v>46</v>
      </c>
      <c r="G302" t="s">
        <v>2894</v>
      </c>
      <c r="H302" s="4">
        <v>96</v>
      </c>
      <c r="I302" t="s">
        <v>1170</v>
      </c>
      <c r="M302" s="2"/>
      <c r="N302" s="4"/>
    </row>
    <row r="303" spans="1:14" x14ac:dyDescent="0.2">
      <c r="A303" t="s">
        <v>867</v>
      </c>
      <c r="B303" t="s">
        <v>556</v>
      </c>
      <c r="C303" t="s">
        <v>43</v>
      </c>
      <c r="D303" t="s">
        <v>44</v>
      </c>
      <c r="E303" t="s">
        <v>44</v>
      </c>
      <c r="F303" s="4">
        <v>74</v>
      </c>
      <c r="G303" t="s">
        <v>2903</v>
      </c>
      <c r="H303" s="4">
        <v>95</v>
      </c>
      <c r="I303" t="s">
        <v>1171</v>
      </c>
      <c r="M303" s="2"/>
      <c r="N303" s="4"/>
    </row>
    <row r="304" spans="1:14" x14ac:dyDescent="0.2">
      <c r="A304" t="s">
        <v>868</v>
      </c>
      <c r="B304" t="s">
        <v>557</v>
      </c>
      <c r="C304" t="s">
        <v>564</v>
      </c>
      <c r="D304" t="s">
        <v>44</v>
      </c>
      <c r="E304" t="s">
        <v>44</v>
      </c>
      <c r="F304" s="4">
        <v>53</v>
      </c>
      <c r="G304" t="s">
        <v>2910</v>
      </c>
      <c r="H304" s="4">
        <v>92</v>
      </c>
      <c r="I304" t="s">
        <v>1172</v>
      </c>
      <c r="M304" s="2"/>
      <c r="N304" s="4"/>
    </row>
    <row r="305" spans="1:14" x14ac:dyDescent="0.2">
      <c r="A305" t="s">
        <v>869</v>
      </c>
      <c r="B305" t="s">
        <v>558</v>
      </c>
      <c r="C305" t="s">
        <v>566</v>
      </c>
      <c r="D305" t="s">
        <v>44</v>
      </c>
      <c r="E305" t="s">
        <v>44</v>
      </c>
      <c r="F305" s="4">
        <v>48</v>
      </c>
      <c r="G305" t="s">
        <v>2898</v>
      </c>
      <c r="H305" s="4">
        <v>97</v>
      </c>
      <c r="I305" t="s">
        <v>1173</v>
      </c>
      <c r="M305" s="2"/>
      <c r="N305" s="4"/>
    </row>
    <row r="306" spans="1:14" x14ac:dyDescent="0.2">
      <c r="A306" t="s">
        <v>870</v>
      </c>
      <c r="B306" t="s">
        <v>559</v>
      </c>
      <c r="C306" t="s">
        <v>43</v>
      </c>
      <c r="D306" t="s">
        <v>25</v>
      </c>
      <c r="E306" t="s">
        <v>38</v>
      </c>
      <c r="F306" s="4">
        <v>72</v>
      </c>
      <c r="G306" t="s">
        <v>2893</v>
      </c>
      <c r="H306" s="4">
        <v>94</v>
      </c>
      <c r="I306" t="s">
        <v>1174</v>
      </c>
      <c r="M306" s="2"/>
      <c r="N306" s="4"/>
    </row>
    <row r="307" spans="1:14" x14ac:dyDescent="0.2">
      <c r="A307" t="s">
        <v>9153</v>
      </c>
      <c r="B307" t="s">
        <v>8566</v>
      </c>
      <c r="C307" t="s">
        <v>563</v>
      </c>
      <c r="D307" s="8" t="s">
        <v>44</v>
      </c>
      <c r="E307" s="8" t="s">
        <v>44</v>
      </c>
      <c r="F307">
        <v>54</v>
      </c>
      <c r="G307" t="s">
        <v>9869</v>
      </c>
      <c r="H307">
        <v>75</v>
      </c>
      <c r="I307" t="s">
        <v>9741</v>
      </c>
      <c r="M307" s="2"/>
      <c r="N307" s="4"/>
    </row>
    <row r="308" spans="1:14" x14ac:dyDescent="0.2">
      <c r="A308" t="s">
        <v>9154</v>
      </c>
      <c r="B308" t="s">
        <v>8567</v>
      </c>
      <c r="C308" t="s">
        <v>563</v>
      </c>
      <c r="D308" t="s">
        <v>44</v>
      </c>
      <c r="E308" t="s">
        <v>44</v>
      </c>
      <c r="F308">
        <v>53</v>
      </c>
      <c r="G308" t="s">
        <v>9870</v>
      </c>
      <c r="H308">
        <v>79</v>
      </c>
      <c r="I308" t="s">
        <v>9742</v>
      </c>
    </row>
    <row r="309" spans="1:14" x14ac:dyDescent="0.2">
      <c r="A309" t="s">
        <v>9155</v>
      </c>
      <c r="B309" t="s">
        <v>8568</v>
      </c>
      <c r="C309" t="s">
        <v>563</v>
      </c>
      <c r="D309" t="s">
        <v>44</v>
      </c>
      <c r="E309" t="s">
        <v>44</v>
      </c>
      <c r="F309" s="5">
        <v>53</v>
      </c>
      <c r="G309" t="s">
        <v>9871</v>
      </c>
      <c r="H309">
        <v>72</v>
      </c>
      <c r="I309" t="s">
        <v>9743</v>
      </c>
    </row>
    <row r="310" spans="1:14" x14ac:dyDescent="0.2">
      <c r="A310" t="s">
        <v>9156</v>
      </c>
      <c r="B310" t="s">
        <v>8569</v>
      </c>
      <c r="C310" t="s">
        <v>563</v>
      </c>
      <c r="D310" t="s">
        <v>44</v>
      </c>
      <c r="E310" t="s">
        <v>44</v>
      </c>
      <c r="F310" s="4">
        <v>43</v>
      </c>
      <c r="G310" t="s">
        <v>9872</v>
      </c>
      <c r="H310">
        <v>91</v>
      </c>
      <c r="I310" t="s">
        <v>9744</v>
      </c>
    </row>
    <row r="311" spans="1:14" x14ac:dyDescent="0.2">
      <c r="A311" t="s">
        <v>9157</v>
      </c>
      <c r="B311" t="s">
        <v>8570</v>
      </c>
      <c r="C311" t="s">
        <v>563</v>
      </c>
      <c r="D311" t="s">
        <v>44</v>
      </c>
      <c r="E311" t="s">
        <v>44</v>
      </c>
      <c r="F311" s="4">
        <v>48</v>
      </c>
      <c r="G311" t="s">
        <v>9873</v>
      </c>
      <c r="H311">
        <v>68</v>
      </c>
      <c r="I311" t="s">
        <v>9745</v>
      </c>
    </row>
    <row r="312" spans="1:14" x14ac:dyDescent="0.2">
      <c r="A312" t="s">
        <v>9158</v>
      </c>
      <c r="B312" t="s">
        <v>8571</v>
      </c>
      <c r="C312" t="s">
        <v>563</v>
      </c>
      <c r="D312" t="s">
        <v>44</v>
      </c>
      <c r="E312" t="s">
        <v>44</v>
      </c>
      <c r="F312" s="4">
        <v>53</v>
      </c>
      <c r="G312" t="s">
        <v>9874</v>
      </c>
      <c r="H312">
        <v>78</v>
      </c>
      <c r="I312" t="s">
        <v>9746</v>
      </c>
    </row>
    <row r="313" spans="1:14" x14ac:dyDescent="0.2">
      <c r="A313" t="s">
        <v>9159</v>
      </c>
      <c r="B313" t="s">
        <v>8572</v>
      </c>
      <c r="C313" t="s">
        <v>563</v>
      </c>
      <c r="D313" t="s">
        <v>44</v>
      </c>
      <c r="E313" t="s">
        <v>44</v>
      </c>
      <c r="F313" s="4">
        <v>51</v>
      </c>
      <c r="G313" t="s">
        <v>9869</v>
      </c>
      <c r="H313">
        <v>62</v>
      </c>
      <c r="I313" t="s">
        <v>9747</v>
      </c>
    </row>
    <row r="314" spans="1:14" x14ac:dyDescent="0.2">
      <c r="A314" t="s">
        <v>9160</v>
      </c>
      <c r="B314" t="s">
        <v>8573</v>
      </c>
      <c r="C314" t="s">
        <v>563</v>
      </c>
      <c r="D314" t="s">
        <v>44</v>
      </c>
      <c r="E314" t="s">
        <v>44</v>
      </c>
      <c r="F314" s="4">
        <v>51</v>
      </c>
      <c r="G314" t="s">
        <v>9870</v>
      </c>
      <c r="H314">
        <v>58</v>
      </c>
      <c r="I314" t="s">
        <v>9748</v>
      </c>
    </row>
    <row r="315" spans="1:14" x14ac:dyDescent="0.2">
      <c r="A315" t="s">
        <v>9161</v>
      </c>
      <c r="B315" t="s">
        <v>8574</v>
      </c>
      <c r="C315" t="s">
        <v>563</v>
      </c>
      <c r="D315" t="s">
        <v>44</v>
      </c>
      <c r="E315" t="s">
        <v>44</v>
      </c>
      <c r="F315" s="4">
        <v>46</v>
      </c>
      <c r="G315" t="s">
        <v>9871</v>
      </c>
      <c r="H315">
        <v>71</v>
      </c>
      <c r="I315" t="s">
        <v>9749</v>
      </c>
    </row>
    <row r="316" spans="1:14" x14ac:dyDescent="0.2">
      <c r="A316" t="s">
        <v>9162</v>
      </c>
      <c r="B316" t="s">
        <v>8575</v>
      </c>
      <c r="C316" t="s">
        <v>563</v>
      </c>
      <c r="D316" t="s">
        <v>44</v>
      </c>
      <c r="E316" t="s">
        <v>44</v>
      </c>
      <c r="F316" s="4">
        <v>46</v>
      </c>
      <c r="G316" t="s">
        <v>9872</v>
      </c>
      <c r="H316">
        <v>86</v>
      </c>
      <c r="I316" t="s">
        <v>9750</v>
      </c>
    </row>
    <row r="317" spans="1:14" x14ac:dyDescent="0.2">
      <c r="A317" t="s">
        <v>9163</v>
      </c>
      <c r="B317" t="s">
        <v>8576</v>
      </c>
      <c r="C317" t="s">
        <v>563</v>
      </c>
      <c r="D317" t="s">
        <v>44</v>
      </c>
      <c r="E317" t="s">
        <v>44</v>
      </c>
      <c r="F317" s="4">
        <v>57</v>
      </c>
      <c r="G317" t="s">
        <v>9873</v>
      </c>
      <c r="H317">
        <v>89</v>
      </c>
      <c r="I317" t="s">
        <v>9751</v>
      </c>
    </row>
    <row r="318" spans="1:14" x14ac:dyDescent="0.2">
      <c r="A318" t="s">
        <v>9164</v>
      </c>
      <c r="B318" t="s">
        <v>8577</v>
      </c>
      <c r="C318" t="s">
        <v>563</v>
      </c>
      <c r="D318" t="s">
        <v>44</v>
      </c>
      <c r="E318" t="s">
        <v>44</v>
      </c>
      <c r="F318" s="4">
        <v>41</v>
      </c>
      <c r="G318" t="s">
        <v>9874</v>
      </c>
      <c r="H318">
        <v>47</v>
      </c>
      <c r="I318" t="s">
        <v>9752</v>
      </c>
    </row>
    <row r="319" spans="1:14" x14ac:dyDescent="0.2">
      <c r="A319" t="s">
        <v>9165</v>
      </c>
      <c r="B319" t="s">
        <v>8578</v>
      </c>
      <c r="C319" t="s">
        <v>563</v>
      </c>
      <c r="D319" t="s">
        <v>44</v>
      </c>
      <c r="E319" t="s">
        <v>44</v>
      </c>
      <c r="F319" s="4">
        <v>58</v>
      </c>
      <c r="G319" t="s">
        <v>9869</v>
      </c>
      <c r="H319">
        <v>67</v>
      </c>
      <c r="I319" t="s">
        <v>9753</v>
      </c>
    </row>
    <row r="320" spans="1:14" x14ac:dyDescent="0.2">
      <c r="A320" t="s">
        <v>9166</v>
      </c>
      <c r="B320" t="s">
        <v>8579</v>
      </c>
      <c r="C320" t="s">
        <v>563</v>
      </c>
      <c r="D320" t="s">
        <v>44</v>
      </c>
      <c r="E320" t="s">
        <v>44</v>
      </c>
      <c r="F320" s="4">
        <v>41</v>
      </c>
      <c r="G320" t="s">
        <v>9870</v>
      </c>
      <c r="H320">
        <v>41</v>
      </c>
      <c r="I320" t="s">
        <v>9754</v>
      </c>
    </row>
    <row r="321" spans="1:9" x14ac:dyDescent="0.2">
      <c r="A321" t="s">
        <v>9167</v>
      </c>
      <c r="B321" t="s">
        <v>8580</v>
      </c>
      <c r="C321" t="s">
        <v>563</v>
      </c>
      <c r="D321" t="s">
        <v>44</v>
      </c>
      <c r="E321" t="s">
        <v>44</v>
      </c>
      <c r="F321" s="4">
        <v>43</v>
      </c>
      <c r="G321" t="s">
        <v>9871</v>
      </c>
      <c r="H321">
        <v>72</v>
      </c>
      <c r="I321" t="s">
        <v>9755</v>
      </c>
    </row>
    <row r="322" spans="1:9" x14ac:dyDescent="0.2">
      <c r="A322" t="s">
        <v>9168</v>
      </c>
      <c r="B322" t="s">
        <v>8581</v>
      </c>
      <c r="C322" t="s">
        <v>563</v>
      </c>
      <c r="D322" t="s">
        <v>44</v>
      </c>
      <c r="E322" t="s">
        <v>44</v>
      </c>
      <c r="F322" s="4">
        <v>51</v>
      </c>
      <c r="G322" t="s">
        <v>9872</v>
      </c>
      <c r="H322">
        <v>92</v>
      </c>
      <c r="I322" t="s">
        <v>9756</v>
      </c>
    </row>
    <row r="323" spans="1:9" x14ac:dyDescent="0.2">
      <c r="A323" t="s">
        <v>9169</v>
      </c>
      <c r="B323" t="s">
        <v>8582</v>
      </c>
      <c r="C323" t="s">
        <v>563</v>
      </c>
      <c r="D323" t="s">
        <v>44</v>
      </c>
      <c r="E323" t="s">
        <v>44</v>
      </c>
      <c r="F323" s="4">
        <v>55</v>
      </c>
      <c r="G323" t="s">
        <v>9873</v>
      </c>
      <c r="H323">
        <v>55</v>
      </c>
      <c r="I323" t="s">
        <v>9757</v>
      </c>
    </row>
    <row r="324" spans="1:9" x14ac:dyDescent="0.2">
      <c r="A324" t="s">
        <v>9170</v>
      </c>
      <c r="B324" t="s">
        <v>8583</v>
      </c>
      <c r="C324" t="s">
        <v>563</v>
      </c>
      <c r="D324" t="s">
        <v>44</v>
      </c>
      <c r="E324" t="s">
        <v>44</v>
      </c>
      <c r="F324" s="4">
        <v>45</v>
      </c>
      <c r="G324" t="s">
        <v>9874</v>
      </c>
      <c r="H324">
        <v>43</v>
      </c>
      <c r="I324" t="s">
        <v>9758</v>
      </c>
    </row>
    <row r="325" spans="1:9" x14ac:dyDescent="0.2">
      <c r="A325" t="s">
        <v>9171</v>
      </c>
      <c r="B325" t="s">
        <v>8584</v>
      </c>
      <c r="C325" t="s">
        <v>563</v>
      </c>
      <c r="D325" t="s">
        <v>44</v>
      </c>
      <c r="E325" t="s">
        <v>44</v>
      </c>
      <c r="F325" s="4">
        <v>43</v>
      </c>
      <c r="G325" t="s">
        <v>9869</v>
      </c>
      <c r="H325">
        <v>44</v>
      </c>
      <c r="I325" t="s">
        <v>9759</v>
      </c>
    </row>
    <row r="326" spans="1:9" x14ac:dyDescent="0.2">
      <c r="A326" t="s">
        <v>9172</v>
      </c>
      <c r="B326" t="s">
        <v>8585</v>
      </c>
      <c r="C326" t="s">
        <v>563</v>
      </c>
      <c r="D326" t="s">
        <v>44</v>
      </c>
      <c r="E326" t="s">
        <v>44</v>
      </c>
      <c r="F326" s="4">
        <v>50</v>
      </c>
      <c r="G326" t="s">
        <v>9870</v>
      </c>
      <c r="H326">
        <v>99</v>
      </c>
      <c r="I326" t="s">
        <v>9760</v>
      </c>
    </row>
    <row r="327" spans="1:9" x14ac:dyDescent="0.2">
      <c r="A327" t="s">
        <v>9173</v>
      </c>
      <c r="B327" t="s">
        <v>8586</v>
      </c>
      <c r="C327" t="s">
        <v>563</v>
      </c>
      <c r="D327" t="s">
        <v>44</v>
      </c>
      <c r="E327" t="s">
        <v>44</v>
      </c>
      <c r="F327" s="4">
        <v>55</v>
      </c>
      <c r="G327" t="s">
        <v>9871</v>
      </c>
      <c r="H327">
        <v>91</v>
      </c>
      <c r="I327" t="s">
        <v>9761</v>
      </c>
    </row>
    <row r="328" spans="1:9" x14ac:dyDescent="0.2">
      <c r="A328" t="s">
        <v>9174</v>
      </c>
      <c r="B328" t="s">
        <v>8587</v>
      </c>
      <c r="C328" t="s">
        <v>563</v>
      </c>
      <c r="D328" t="s">
        <v>44</v>
      </c>
      <c r="E328" t="s">
        <v>44</v>
      </c>
      <c r="F328" s="4">
        <v>51</v>
      </c>
      <c r="G328" t="s">
        <v>9872</v>
      </c>
      <c r="H328">
        <v>63</v>
      </c>
      <c r="I328" t="s">
        <v>9762</v>
      </c>
    </row>
    <row r="329" spans="1:9" x14ac:dyDescent="0.2">
      <c r="A329" t="s">
        <v>9175</v>
      </c>
      <c r="B329" t="s">
        <v>8588</v>
      </c>
      <c r="C329" t="s">
        <v>563</v>
      </c>
      <c r="D329" t="s">
        <v>44</v>
      </c>
      <c r="E329" t="s">
        <v>44</v>
      </c>
      <c r="F329" s="4">
        <v>54</v>
      </c>
      <c r="G329" t="s">
        <v>9873</v>
      </c>
      <c r="H329">
        <v>83</v>
      </c>
      <c r="I329" t="s">
        <v>9763</v>
      </c>
    </row>
    <row r="330" spans="1:9" x14ac:dyDescent="0.2">
      <c r="A330" t="s">
        <v>9176</v>
      </c>
      <c r="B330" t="s">
        <v>8589</v>
      </c>
      <c r="C330" t="s">
        <v>563</v>
      </c>
      <c r="D330" t="s">
        <v>44</v>
      </c>
      <c r="E330" t="s">
        <v>44</v>
      </c>
      <c r="F330" s="4">
        <v>50</v>
      </c>
      <c r="G330" t="s">
        <v>9874</v>
      </c>
      <c r="H330">
        <v>80</v>
      </c>
      <c r="I330" t="s">
        <v>9764</v>
      </c>
    </row>
    <row r="331" spans="1:9" x14ac:dyDescent="0.2">
      <c r="A331" t="s">
        <v>9177</v>
      </c>
      <c r="B331" t="s">
        <v>8590</v>
      </c>
      <c r="C331" t="s">
        <v>563</v>
      </c>
      <c r="D331" t="s">
        <v>44</v>
      </c>
      <c r="E331" t="s">
        <v>44</v>
      </c>
      <c r="F331" s="4">
        <v>53</v>
      </c>
      <c r="G331" t="s">
        <v>9869</v>
      </c>
      <c r="H331">
        <v>72</v>
      </c>
      <c r="I331" t="s">
        <v>9765</v>
      </c>
    </row>
    <row r="332" spans="1:9" x14ac:dyDescent="0.2">
      <c r="A332" t="s">
        <v>9178</v>
      </c>
      <c r="B332" t="s">
        <v>8591</v>
      </c>
      <c r="C332" t="s">
        <v>563</v>
      </c>
      <c r="D332" t="s">
        <v>44</v>
      </c>
      <c r="E332" t="s">
        <v>44</v>
      </c>
      <c r="F332" s="4">
        <v>47</v>
      </c>
      <c r="G332" t="s">
        <v>9870</v>
      </c>
      <c r="H332">
        <v>94</v>
      </c>
      <c r="I332" t="s">
        <v>9766</v>
      </c>
    </row>
    <row r="333" spans="1:9" x14ac:dyDescent="0.2">
      <c r="A333" t="s">
        <v>9179</v>
      </c>
      <c r="B333" t="s">
        <v>8592</v>
      </c>
      <c r="C333" t="s">
        <v>563</v>
      </c>
      <c r="D333" t="s">
        <v>44</v>
      </c>
      <c r="E333" t="s">
        <v>44</v>
      </c>
      <c r="F333" s="4">
        <v>54</v>
      </c>
      <c r="G333" t="s">
        <v>9871</v>
      </c>
      <c r="H333">
        <v>92</v>
      </c>
      <c r="I333" t="s">
        <v>9767</v>
      </c>
    </row>
    <row r="334" spans="1:9" x14ac:dyDescent="0.2">
      <c r="A334" t="s">
        <v>9180</v>
      </c>
      <c r="B334" t="s">
        <v>8593</v>
      </c>
      <c r="C334" t="s">
        <v>563</v>
      </c>
      <c r="D334" t="s">
        <v>44</v>
      </c>
      <c r="E334" t="s">
        <v>44</v>
      </c>
      <c r="F334" s="4">
        <v>54</v>
      </c>
      <c r="G334" t="s">
        <v>9872</v>
      </c>
      <c r="H334">
        <v>96</v>
      </c>
      <c r="I334" t="s">
        <v>9768</v>
      </c>
    </row>
    <row r="335" spans="1:9" x14ac:dyDescent="0.2">
      <c r="A335" t="s">
        <v>9181</v>
      </c>
      <c r="B335" t="s">
        <v>8594</v>
      </c>
      <c r="C335" t="s">
        <v>563</v>
      </c>
      <c r="D335" t="s">
        <v>44</v>
      </c>
      <c r="E335" t="s">
        <v>44</v>
      </c>
      <c r="F335">
        <v>54</v>
      </c>
      <c r="G335" t="s">
        <v>9873</v>
      </c>
      <c r="H335">
        <v>65</v>
      </c>
      <c r="I335" t="s">
        <v>9769</v>
      </c>
    </row>
    <row r="336" spans="1:9" x14ac:dyDescent="0.2">
      <c r="A336" t="s">
        <v>9182</v>
      </c>
      <c r="B336" t="s">
        <v>8595</v>
      </c>
      <c r="C336" t="s">
        <v>563</v>
      </c>
      <c r="D336" t="s">
        <v>44</v>
      </c>
      <c r="E336" t="s">
        <v>44</v>
      </c>
      <c r="F336">
        <v>54</v>
      </c>
      <c r="G336" t="s">
        <v>9874</v>
      </c>
      <c r="H336">
        <v>49</v>
      </c>
      <c r="I336" t="s">
        <v>9770</v>
      </c>
    </row>
    <row r="337" spans="1:9" x14ac:dyDescent="0.2">
      <c r="A337" t="s">
        <v>9183</v>
      </c>
      <c r="B337" t="s">
        <v>8596</v>
      </c>
      <c r="C337" t="s">
        <v>563</v>
      </c>
      <c r="D337" t="s">
        <v>44</v>
      </c>
      <c r="E337" t="s">
        <v>44</v>
      </c>
      <c r="F337">
        <v>40</v>
      </c>
      <c r="G337" t="s">
        <v>9869</v>
      </c>
      <c r="H337">
        <v>96</v>
      </c>
      <c r="I337" t="s">
        <v>9771</v>
      </c>
    </row>
    <row r="338" spans="1:9" x14ac:dyDescent="0.2">
      <c r="A338" t="s">
        <v>9184</v>
      </c>
      <c r="B338" t="s">
        <v>8597</v>
      </c>
      <c r="C338" t="s">
        <v>563</v>
      </c>
      <c r="D338" t="s">
        <v>44</v>
      </c>
      <c r="E338" t="s">
        <v>44</v>
      </c>
      <c r="F338">
        <v>41</v>
      </c>
      <c r="G338" t="s">
        <v>9870</v>
      </c>
      <c r="H338">
        <v>92</v>
      </c>
      <c r="I338" t="s">
        <v>9772</v>
      </c>
    </row>
    <row r="339" spans="1:9" x14ac:dyDescent="0.2">
      <c r="A339" t="s">
        <v>9185</v>
      </c>
      <c r="B339" t="s">
        <v>8598</v>
      </c>
      <c r="C339" t="s">
        <v>563</v>
      </c>
      <c r="D339" t="s">
        <v>44</v>
      </c>
      <c r="E339" t="s">
        <v>44</v>
      </c>
      <c r="F339">
        <v>50</v>
      </c>
      <c r="G339" t="s">
        <v>9871</v>
      </c>
      <c r="H339">
        <v>77</v>
      </c>
      <c r="I339" t="s">
        <v>9773</v>
      </c>
    </row>
    <row r="340" spans="1:9" x14ac:dyDescent="0.2">
      <c r="A340" t="s">
        <v>9186</v>
      </c>
      <c r="B340" t="s">
        <v>8599</v>
      </c>
      <c r="C340" t="s">
        <v>563</v>
      </c>
      <c r="D340" t="s">
        <v>44</v>
      </c>
      <c r="E340" t="s">
        <v>44</v>
      </c>
      <c r="F340">
        <v>58</v>
      </c>
      <c r="G340" t="s">
        <v>9872</v>
      </c>
      <c r="H340">
        <v>100</v>
      </c>
      <c r="I340" t="s">
        <v>9774</v>
      </c>
    </row>
    <row r="341" spans="1:9" x14ac:dyDescent="0.2">
      <c r="A341" t="s">
        <v>9187</v>
      </c>
      <c r="B341" t="s">
        <v>8600</v>
      </c>
      <c r="C341" t="s">
        <v>563</v>
      </c>
      <c r="D341" t="s">
        <v>44</v>
      </c>
      <c r="E341" t="s">
        <v>44</v>
      </c>
      <c r="F341">
        <v>54</v>
      </c>
      <c r="G341" t="s">
        <v>9873</v>
      </c>
      <c r="H341">
        <v>72</v>
      </c>
      <c r="I341" t="s">
        <v>9775</v>
      </c>
    </row>
    <row r="342" spans="1:9" x14ac:dyDescent="0.2">
      <c r="A342" t="s">
        <v>9188</v>
      </c>
      <c r="B342" t="s">
        <v>8601</v>
      </c>
      <c r="C342" t="s">
        <v>563</v>
      </c>
      <c r="D342" t="s">
        <v>44</v>
      </c>
      <c r="E342" t="s">
        <v>44</v>
      </c>
      <c r="F342">
        <v>59</v>
      </c>
      <c r="G342" t="s">
        <v>9874</v>
      </c>
      <c r="H342">
        <v>61</v>
      </c>
      <c r="I342" t="s">
        <v>9776</v>
      </c>
    </row>
    <row r="343" spans="1:9" x14ac:dyDescent="0.2">
      <c r="A343" t="s">
        <v>9189</v>
      </c>
      <c r="B343" t="s">
        <v>8602</v>
      </c>
      <c r="C343" t="s">
        <v>563</v>
      </c>
      <c r="D343" t="s">
        <v>44</v>
      </c>
      <c r="E343" t="s">
        <v>44</v>
      </c>
      <c r="F343">
        <v>50</v>
      </c>
      <c r="G343" t="s">
        <v>9869</v>
      </c>
      <c r="H343">
        <v>58</v>
      </c>
      <c r="I343" t="s">
        <v>9777</v>
      </c>
    </row>
    <row r="344" spans="1:9" x14ac:dyDescent="0.2">
      <c r="A344" t="s">
        <v>9190</v>
      </c>
      <c r="B344" t="s">
        <v>8603</v>
      </c>
      <c r="C344" t="s">
        <v>563</v>
      </c>
      <c r="D344" t="s">
        <v>44</v>
      </c>
      <c r="E344" t="s">
        <v>44</v>
      </c>
      <c r="F344">
        <v>42</v>
      </c>
      <c r="G344" t="s">
        <v>9870</v>
      </c>
      <c r="H344">
        <v>89</v>
      </c>
      <c r="I344" t="s">
        <v>9778</v>
      </c>
    </row>
    <row r="345" spans="1:9" x14ac:dyDescent="0.2">
      <c r="A345" t="s">
        <v>9191</v>
      </c>
      <c r="B345" t="s">
        <v>8604</v>
      </c>
      <c r="C345" t="s">
        <v>563</v>
      </c>
      <c r="D345" t="s">
        <v>44</v>
      </c>
      <c r="E345" t="s">
        <v>44</v>
      </c>
      <c r="F345">
        <v>52</v>
      </c>
      <c r="G345" t="s">
        <v>9871</v>
      </c>
      <c r="H345">
        <v>86</v>
      </c>
      <c r="I345" t="s">
        <v>9779</v>
      </c>
    </row>
    <row r="346" spans="1:9" x14ac:dyDescent="0.2">
      <c r="A346" t="s">
        <v>9192</v>
      </c>
      <c r="B346" t="s">
        <v>8605</v>
      </c>
      <c r="C346" t="s">
        <v>563</v>
      </c>
      <c r="D346" t="s">
        <v>44</v>
      </c>
      <c r="E346" t="s">
        <v>44</v>
      </c>
      <c r="F346">
        <v>57</v>
      </c>
      <c r="G346" t="s">
        <v>9872</v>
      </c>
      <c r="H346">
        <v>40</v>
      </c>
      <c r="I346" t="s">
        <v>9780</v>
      </c>
    </row>
    <row r="347" spans="1:9" x14ac:dyDescent="0.2">
      <c r="A347" t="s">
        <v>9193</v>
      </c>
      <c r="B347" t="s">
        <v>8606</v>
      </c>
      <c r="C347" t="s">
        <v>563</v>
      </c>
      <c r="D347" t="s">
        <v>44</v>
      </c>
      <c r="E347" t="s">
        <v>44</v>
      </c>
      <c r="F347">
        <v>46</v>
      </c>
      <c r="G347" t="s">
        <v>9873</v>
      </c>
      <c r="H347">
        <v>81</v>
      </c>
      <c r="I347" t="s">
        <v>9781</v>
      </c>
    </row>
    <row r="348" spans="1:9" x14ac:dyDescent="0.2">
      <c r="A348" t="s">
        <v>9194</v>
      </c>
      <c r="B348" t="s">
        <v>8607</v>
      </c>
      <c r="C348" t="s">
        <v>563</v>
      </c>
      <c r="D348" t="s">
        <v>44</v>
      </c>
      <c r="E348" t="s">
        <v>44</v>
      </c>
      <c r="F348">
        <v>49</v>
      </c>
      <c r="G348" t="s">
        <v>9874</v>
      </c>
      <c r="H348">
        <v>42</v>
      </c>
      <c r="I348" t="s">
        <v>9782</v>
      </c>
    </row>
    <row r="349" spans="1:9" x14ac:dyDescent="0.2">
      <c r="A349" t="s">
        <v>9195</v>
      </c>
      <c r="B349" t="s">
        <v>8608</v>
      </c>
      <c r="C349" t="s">
        <v>563</v>
      </c>
      <c r="D349" t="s">
        <v>44</v>
      </c>
      <c r="E349" t="s">
        <v>44</v>
      </c>
      <c r="F349">
        <v>46</v>
      </c>
      <c r="G349" t="s">
        <v>9869</v>
      </c>
      <c r="H349">
        <v>81</v>
      </c>
      <c r="I349" t="s">
        <v>9783</v>
      </c>
    </row>
    <row r="350" spans="1:9" x14ac:dyDescent="0.2">
      <c r="A350" t="s">
        <v>9196</v>
      </c>
      <c r="B350" t="s">
        <v>8609</v>
      </c>
      <c r="C350" t="s">
        <v>563</v>
      </c>
      <c r="D350" t="s">
        <v>44</v>
      </c>
      <c r="E350" t="s">
        <v>44</v>
      </c>
      <c r="F350">
        <v>56</v>
      </c>
      <c r="G350" t="s">
        <v>9870</v>
      </c>
      <c r="H350">
        <v>43</v>
      </c>
      <c r="I350" t="s">
        <v>9784</v>
      </c>
    </row>
    <row r="351" spans="1:9" x14ac:dyDescent="0.2">
      <c r="A351" t="s">
        <v>9197</v>
      </c>
      <c r="B351" t="s">
        <v>8610</v>
      </c>
      <c r="C351" t="s">
        <v>563</v>
      </c>
      <c r="D351" t="s">
        <v>44</v>
      </c>
      <c r="E351" t="s">
        <v>44</v>
      </c>
      <c r="F351">
        <v>43</v>
      </c>
      <c r="G351" t="s">
        <v>9871</v>
      </c>
      <c r="H351">
        <v>69</v>
      </c>
      <c r="I351" t="s">
        <v>9785</v>
      </c>
    </row>
    <row r="352" spans="1:9" x14ac:dyDescent="0.2">
      <c r="A352" t="s">
        <v>9198</v>
      </c>
      <c r="B352" t="s">
        <v>8611</v>
      </c>
      <c r="C352" t="s">
        <v>563</v>
      </c>
      <c r="D352" t="s">
        <v>44</v>
      </c>
      <c r="E352" t="s">
        <v>44</v>
      </c>
      <c r="F352">
        <v>59</v>
      </c>
      <c r="G352" t="s">
        <v>9872</v>
      </c>
      <c r="H352">
        <v>87</v>
      </c>
      <c r="I352" t="s">
        <v>9786</v>
      </c>
    </row>
    <row r="353" spans="1:9" x14ac:dyDescent="0.2">
      <c r="A353" t="s">
        <v>9199</v>
      </c>
      <c r="B353" t="s">
        <v>8612</v>
      </c>
      <c r="C353" t="s">
        <v>563</v>
      </c>
      <c r="D353" t="s">
        <v>44</v>
      </c>
      <c r="E353" t="s">
        <v>44</v>
      </c>
      <c r="F353">
        <v>49</v>
      </c>
      <c r="G353" t="s">
        <v>9873</v>
      </c>
      <c r="H353">
        <v>69</v>
      </c>
      <c r="I353" t="s">
        <v>9787</v>
      </c>
    </row>
    <row r="354" spans="1:9" x14ac:dyDescent="0.2">
      <c r="A354" t="s">
        <v>9200</v>
      </c>
      <c r="B354" t="s">
        <v>8613</v>
      </c>
      <c r="C354" t="s">
        <v>563</v>
      </c>
      <c r="D354" t="s">
        <v>44</v>
      </c>
      <c r="E354" t="s">
        <v>44</v>
      </c>
      <c r="F354">
        <v>40</v>
      </c>
      <c r="G354" t="s">
        <v>9874</v>
      </c>
      <c r="H354">
        <v>98</v>
      </c>
      <c r="I354" t="s">
        <v>9788</v>
      </c>
    </row>
    <row r="355" spans="1:9" x14ac:dyDescent="0.2">
      <c r="A355" t="s">
        <v>9201</v>
      </c>
      <c r="B355" t="s">
        <v>8614</v>
      </c>
      <c r="C355" t="s">
        <v>563</v>
      </c>
      <c r="D355" t="s">
        <v>44</v>
      </c>
      <c r="E355" t="s">
        <v>44</v>
      </c>
      <c r="F355">
        <v>40</v>
      </c>
      <c r="G355" t="s">
        <v>9869</v>
      </c>
      <c r="H355">
        <v>68</v>
      </c>
      <c r="I355" t="s">
        <v>9789</v>
      </c>
    </row>
    <row r="356" spans="1:9" x14ac:dyDescent="0.2">
      <c r="A356" t="s">
        <v>9202</v>
      </c>
      <c r="B356" t="s">
        <v>8615</v>
      </c>
      <c r="C356" t="s">
        <v>563</v>
      </c>
      <c r="D356" t="s">
        <v>44</v>
      </c>
      <c r="E356" t="s">
        <v>44</v>
      </c>
      <c r="F356">
        <v>51</v>
      </c>
      <c r="G356" t="s">
        <v>9870</v>
      </c>
      <c r="H356">
        <v>64</v>
      </c>
      <c r="I356" t="s">
        <v>9790</v>
      </c>
    </row>
    <row r="357" spans="1:9" x14ac:dyDescent="0.2">
      <c r="A357" t="s">
        <v>9203</v>
      </c>
      <c r="B357" t="s">
        <v>8616</v>
      </c>
      <c r="C357" t="s">
        <v>563</v>
      </c>
      <c r="D357" t="s">
        <v>44</v>
      </c>
      <c r="E357" t="s">
        <v>44</v>
      </c>
      <c r="F357">
        <v>57</v>
      </c>
      <c r="G357" t="s">
        <v>9871</v>
      </c>
      <c r="H357">
        <v>63</v>
      </c>
      <c r="I357" t="s">
        <v>9791</v>
      </c>
    </row>
    <row r="358" spans="1:9" x14ac:dyDescent="0.2">
      <c r="A358" t="s">
        <v>9204</v>
      </c>
      <c r="B358" t="s">
        <v>8617</v>
      </c>
      <c r="C358" t="s">
        <v>563</v>
      </c>
      <c r="D358" t="s">
        <v>44</v>
      </c>
      <c r="E358" t="s">
        <v>44</v>
      </c>
      <c r="F358">
        <v>52</v>
      </c>
      <c r="G358" t="s">
        <v>9872</v>
      </c>
      <c r="H358">
        <v>68</v>
      </c>
      <c r="I358" t="s">
        <v>9792</v>
      </c>
    </row>
    <row r="359" spans="1:9" x14ac:dyDescent="0.2">
      <c r="A359" t="s">
        <v>9205</v>
      </c>
      <c r="B359" t="s">
        <v>8618</v>
      </c>
      <c r="C359" t="s">
        <v>563</v>
      </c>
      <c r="D359" t="s">
        <v>44</v>
      </c>
      <c r="E359" t="s">
        <v>44</v>
      </c>
      <c r="F359">
        <v>54</v>
      </c>
      <c r="G359" t="s">
        <v>9873</v>
      </c>
      <c r="H359">
        <v>98</v>
      </c>
      <c r="I359" t="s">
        <v>9793</v>
      </c>
    </row>
    <row r="360" spans="1:9" x14ac:dyDescent="0.2">
      <c r="A360" t="s">
        <v>9206</v>
      </c>
      <c r="B360" t="s">
        <v>8619</v>
      </c>
      <c r="C360" t="s">
        <v>563</v>
      </c>
      <c r="D360" t="s">
        <v>44</v>
      </c>
      <c r="E360" t="s">
        <v>44</v>
      </c>
      <c r="F360">
        <v>46</v>
      </c>
      <c r="G360" t="s">
        <v>9874</v>
      </c>
      <c r="H360">
        <v>46</v>
      </c>
      <c r="I360" t="s">
        <v>9794</v>
      </c>
    </row>
    <row r="361" spans="1:9" x14ac:dyDescent="0.2">
      <c r="A361" t="s">
        <v>9207</v>
      </c>
      <c r="B361" t="s">
        <v>8620</v>
      </c>
      <c r="C361" t="s">
        <v>563</v>
      </c>
      <c r="D361" t="s">
        <v>44</v>
      </c>
      <c r="E361" t="s">
        <v>44</v>
      </c>
      <c r="F361">
        <v>45</v>
      </c>
      <c r="G361" t="s">
        <v>9869</v>
      </c>
      <c r="H361">
        <v>51</v>
      </c>
      <c r="I361" t="s">
        <v>9795</v>
      </c>
    </row>
    <row r="362" spans="1:9" x14ac:dyDescent="0.2">
      <c r="A362" t="s">
        <v>9208</v>
      </c>
      <c r="B362" t="s">
        <v>8621</v>
      </c>
      <c r="C362" t="s">
        <v>563</v>
      </c>
      <c r="D362" t="s">
        <v>44</v>
      </c>
      <c r="E362" t="s">
        <v>44</v>
      </c>
      <c r="F362">
        <v>60</v>
      </c>
      <c r="G362" t="s">
        <v>9870</v>
      </c>
      <c r="H362">
        <v>59</v>
      </c>
      <c r="I362" t="s">
        <v>9796</v>
      </c>
    </row>
    <row r="363" spans="1:9" x14ac:dyDescent="0.2">
      <c r="A363" t="s">
        <v>9209</v>
      </c>
      <c r="B363" t="s">
        <v>8622</v>
      </c>
      <c r="C363" t="s">
        <v>563</v>
      </c>
      <c r="D363" t="s">
        <v>44</v>
      </c>
      <c r="E363" t="s">
        <v>44</v>
      </c>
      <c r="F363">
        <v>60</v>
      </c>
      <c r="G363" t="s">
        <v>9871</v>
      </c>
      <c r="H363">
        <v>45</v>
      </c>
      <c r="I363" t="s">
        <v>9797</v>
      </c>
    </row>
    <row r="364" spans="1:9" x14ac:dyDescent="0.2">
      <c r="A364" t="s">
        <v>9210</v>
      </c>
      <c r="B364" t="s">
        <v>8623</v>
      </c>
      <c r="C364" t="s">
        <v>563</v>
      </c>
      <c r="D364" t="s">
        <v>44</v>
      </c>
      <c r="E364" t="s">
        <v>44</v>
      </c>
      <c r="F364">
        <v>46</v>
      </c>
      <c r="G364" t="s">
        <v>9872</v>
      </c>
      <c r="H364">
        <v>44</v>
      </c>
      <c r="I364" t="s">
        <v>9798</v>
      </c>
    </row>
    <row r="365" spans="1:9" x14ac:dyDescent="0.2">
      <c r="A365" t="s">
        <v>9211</v>
      </c>
      <c r="B365" t="s">
        <v>8624</v>
      </c>
      <c r="C365" t="s">
        <v>563</v>
      </c>
      <c r="D365" t="s">
        <v>44</v>
      </c>
      <c r="E365" t="s">
        <v>44</v>
      </c>
      <c r="F365">
        <v>42</v>
      </c>
      <c r="G365" t="s">
        <v>9873</v>
      </c>
      <c r="H365">
        <v>77</v>
      </c>
      <c r="I365" t="s">
        <v>9799</v>
      </c>
    </row>
    <row r="366" spans="1:9" x14ac:dyDescent="0.2">
      <c r="A366" t="s">
        <v>9212</v>
      </c>
      <c r="B366" t="s">
        <v>8625</v>
      </c>
      <c r="C366" t="s">
        <v>563</v>
      </c>
      <c r="D366" t="s">
        <v>44</v>
      </c>
      <c r="E366" t="s">
        <v>44</v>
      </c>
      <c r="F366">
        <v>51</v>
      </c>
      <c r="G366" t="s">
        <v>9874</v>
      </c>
      <c r="H366">
        <v>67</v>
      </c>
      <c r="I366" t="s">
        <v>9800</v>
      </c>
    </row>
    <row r="367" spans="1:9" x14ac:dyDescent="0.2">
      <c r="A367" t="s">
        <v>9213</v>
      </c>
      <c r="B367" t="s">
        <v>8626</v>
      </c>
      <c r="C367" t="s">
        <v>563</v>
      </c>
      <c r="D367" t="s">
        <v>44</v>
      </c>
      <c r="E367" t="s">
        <v>44</v>
      </c>
      <c r="F367">
        <v>49</v>
      </c>
      <c r="G367" t="s">
        <v>9869</v>
      </c>
      <c r="H367">
        <v>53</v>
      </c>
      <c r="I367" t="s">
        <v>9801</v>
      </c>
    </row>
    <row r="368" spans="1:9" x14ac:dyDescent="0.2">
      <c r="A368" t="s">
        <v>9214</v>
      </c>
      <c r="B368" t="s">
        <v>8627</v>
      </c>
      <c r="C368" t="s">
        <v>563</v>
      </c>
      <c r="D368" t="s">
        <v>44</v>
      </c>
      <c r="E368" t="s">
        <v>44</v>
      </c>
      <c r="F368">
        <v>41</v>
      </c>
      <c r="G368" t="s">
        <v>9870</v>
      </c>
      <c r="H368">
        <v>89</v>
      </c>
      <c r="I368" t="s">
        <v>9802</v>
      </c>
    </row>
    <row r="369" spans="1:9" x14ac:dyDescent="0.2">
      <c r="A369" t="s">
        <v>9215</v>
      </c>
      <c r="B369" t="s">
        <v>8628</v>
      </c>
      <c r="C369" t="s">
        <v>563</v>
      </c>
      <c r="D369" t="s">
        <v>44</v>
      </c>
      <c r="E369" t="s">
        <v>44</v>
      </c>
      <c r="F369">
        <v>51</v>
      </c>
      <c r="G369" t="s">
        <v>9871</v>
      </c>
      <c r="H369">
        <v>86</v>
      </c>
      <c r="I369" t="s">
        <v>9803</v>
      </c>
    </row>
    <row r="370" spans="1:9" x14ac:dyDescent="0.2">
      <c r="A370" t="s">
        <v>9216</v>
      </c>
      <c r="B370" t="s">
        <v>8629</v>
      </c>
      <c r="C370" t="s">
        <v>563</v>
      </c>
      <c r="D370" t="s">
        <v>44</v>
      </c>
      <c r="E370" t="s">
        <v>44</v>
      </c>
      <c r="F370">
        <v>54</v>
      </c>
      <c r="G370" t="s">
        <v>9872</v>
      </c>
      <c r="H370">
        <v>73</v>
      </c>
      <c r="I370" t="s">
        <v>9804</v>
      </c>
    </row>
    <row r="371" spans="1:9" x14ac:dyDescent="0.2">
      <c r="A371" t="s">
        <v>9217</v>
      </c>
      <c r="B371" t="s">
        <v>8630</v>
      </c>
      <c r="C371" t="s">
        <v>566</v>
      </c>
      <c r="D371" t="s">
        <v>44</v>
      </c>
      <c r="E371" t="s">
        <v>44</v>
      </c>
      <c r="F371">
        <v>47</v>
      </c>
      <c r="G371" t="s">
        <v>9910</v>
      </c>
      <c r="H371">
        <v>94</v>
      </c>
      <c r="I371" t="str">
        <f>"CON_QB_"&amp;RIGHT(A371,4)</f>
        <v>CON_QB_0370</v>
      </c>
    </row>
    <row r="372" spans="1:9" x14ac:dyDescent="0.2">
      <c r="A372" t="s">
        <v>9218</v>
      </c>
      <c r="B372" t="s">
        <v>8631</v>
      </c>
      <c r="C372" t="s">
        <v>566</v>
      </c>
      <c r="D372" t="s">
        <v>44</v>
      </c>
      <c r="E372" t="s">
        <v>44</v>
      </c>
      <c r="F372">
        <v>44</v>
      </c>
      <c r="G372" t="s">
        <v>9911</v>
      </c>
      <c r="H372">
        <v>49</v>
      </c>
      <c r="I372" t="str">
        <f>"CON_"&amp;LEFT(C372,FIND("_",C372&amp;"_")-1)&amp;"_"&amp;RIGHT(A372,4)</f>
        <v>CON_QB_0371</v>
      </c>
    </row>
    <row r="373" spans="1:9" x14ac:dyDescent="0.2">
      <c r="A373" t="s">
        <v>9219</v>
      </c>
      <c r="B373" t="s">
        <v>8632</v>
      </c>
      <c r="C373" t="s">
        <v>566</v>
      </c>
      <c r="D373" t="s">
        <v>44</v>
      </c>
      <c r="E373" t="s">
        <v>44</v>
      </c>
      <c r="F373">
        <v>43</v>
      </c>
      <c r="G373" t="s">
        <v>9912</v>
      </c>
      <c r="H373">
        <v>95</v>
      </c>
      <c r="I373" t="str">
        <f t="shared" ref="I373:I436" si="0">"CON_"&amp;LEFT(C373,FIND("_",C373&amp;"_")-1)&amp;"_"&amp;RIGHT(A373,4)</f>
        <v>CON_QB_0372</v>
      </c>
    </row>
    <row r="374" spans="1:9" x14ac:dyDescent="0.2">
      <c r="A374" t="s">
        <v>9220</v>
      </c>
      <c r="B374" t="s">
        <v>8633</v>
      </c>
      <c r="C374" t="s">
        <v>566</v>
      </c>
      <c r="D374" t="s">
        <v>44</v>
      </c>
      <c r="E374" t="s">
        <v>44</v>
      </c>
      <c r="F374">
        <v>57</v>
      </c>
      <c r="G374" t="s">
        <v>9913</v>
      </c>
      <c r="H374">
        <v>95</v>
      </c>
      <c r="I374" t="str">
        <f t="shared" si="0"/>
        <v>CON_QB_0373</v>
      </c>
    </row>
    <row r="375" spans="1:9" x14ac:dyDescent="0.2">
      <c r="A375" t="s">
        <v>9221</v>
      </c>
      <c r="B375" t="s">
        <v>8634</v>
      </c>
      <c r="C375" t="s">
        <v>566</v>
      </c>
      <c r="D375" t="s">
        <v>44</v>
      </c>
      <c r="E375" t="s">
        <v>44</v>
      </c>
      <c r="F375">
        <v>60</v>
      </c>
      <c r="G375" t="s">
        <v>9914</v>
      </c>
      <c r="H375">
        <v>46</v>
      </c>
      <c r="I375" t="str">
        <f t="shared" si="0"/>
        <v>CON_QB_0374</v>
      </c>
    </row>
    <row r="376" spans="1:9" x14ac:dyDescent="0.2">
      <c r="A376" t="s">
        <v>9222</v>
      </c>
      <c r="B376" t="s">
        <v>8635</v>
      </c>
      <c r="C376" t="s">
        <v>566</v>
      </c>
      <c r="D376" t="s">
        <v>44</v>
      </c>
      <c r="E376" t="s">
        <v>44</v>
      </c>
      <c r="F376">
        <v>47</v>
      </c>
      <c r="G376" t="s">
        <v>9915</v>
      </c>
      <c r="H376">
        <v>65</v>
      </c>
      <c r="I376" t="str">
        <f t="shared" si="0"/>
        <v>CON_QB_0375</v>
      </c>
    </row>
    <row r="377" spans="1:9" x14ac:dyDescent="0.2">
      <c r="A377" t="s">
        <v>9223</v>
      </c>
      <c r="B377" t="s">
        <v>8636</v>
      </c>
      <c r="C377" t="s">
        <v>566</v>
      </c>
      <c r="D377" t="s">
        <v>44</v>
      </c>
      <c r="E377" t="s">
        <v>44</v>
      </c>
      <c r="F377">
        <v>42</v>
      </c>
      <c r="G377" t="s">
        <v>567</v>
      </c>
      <c r="H377">
        <v>70</v>
      </c>
      <c r="I377" t="str">
        <f t="shared" si="0"/>
        <v>CON_QB_0376</v>
      </c>
    </row>
    <row r="378" spans="1:9" x14ac:dyDescent="0.2">
      <c r="A378" t="s">
        <v>9224</v>
      </c>
      <c r="B378" t="s">
        <v>8637</v>
      </c>
      <c r="C378" t="s">
        <v>566</v>
      </c>
      <c r="D378" t="s">
        <v>44</v>
      </c>
      <c r="E378" t="s">
        <v>44</v>
      </c>
      <c r="F378">
        <v>58</v>
      </c>
      <c r="G378" t="s">
        <v>9910</v>
      </c>
      <c r="H378">
        <v>56</v>
      </c>
      <c r="I378" t="str">
        <f t="shared" si="0"/>
        <v>CON_QB_0377</v>
      </c>
    </row>
    <row r="379" spans="1:9" x14ac:dyDescent="0.2">
      <c r="A379" t="s">
        <v>9225</v>
      </c>
      <c r="B379" t="s">
        <v>8638</v>
      </c>
      <c r="C379" t="s">
        <v>566</v>
      </c>
      <c r="D379" t="s">
        <v>44</v>
      </c>
      <c r="E379" t="s">
        <v>44</v>
      </c>
      <c r="F379">
        <v>43</v>
      </c>
      <c r="G379" t="s">
        <v>9911</v>
      </c>
      <c r="H379">
        <v>51</v>
      </c>
      <c r="I379" t="str">
        <f t="shared" si="0"/>
        <v>CON_QB_0378</v>
      </c>
    </row>
    <row r="380" spans="1:9" x14ac:dyDescent="0.2">
      <c r="A380" t="s">
        <v>9226</v>
      </c>
      <c r="B380" t="s">
        <v>8639</v>
      </c>
      <c r="C380" t="s">
        <v>566</v>
      </c>
      <c r="D380" t="s">
        <v>44</v>
      </c>
      <c r="E380" t="s">
        <v>44</v>
      </c>
      <c r="F380">
        <v>51</v>
      </c>
      <c r="G380" t="s">
        <v>9912</v>
      </c>
      <c r="H380">
        <v>45</v>
      </c>
      <c r="I380" t="str">
        <f t="shared" si="0"/>
        <v>CON_QB_0379</v>
      </c>
    </row>
    <row r="381" spans="1:9" x14ac:dyDescent="0.2">
      <c r="A381" t="s">
        <v>9227</v>
      </c>
      <c r="B381" t="s">
        <v>8640</v>
      </c>
      <c r="C381" t="s">
        <v>566</v>
      </c>
      <c r="D381" t="s">
        <v>44</v>
      </c>
      <c r="E381" t="s">
        <v>44</v>
      </c>
      <c r="F381">
        <v>52</v>
      </c>
      <c r="G381" t="s">
        <v>9913</v>
      </c>
      <c r="H381">
        <v>55</v>
      </c>
      <c r="I381" t="str">
        <f t="shared" si="0"/>
        <v>CON_QB_0380</v>
      </c>
    </row>
    <row r="382" spans="1:9" x14ac:dyDescent="0.2">
      <c r="A382" t="s">
        <v>9228</v>
      </c>
      <c r="B382" t="s">
        <v>8641</v>
      </c>
      <c r="C382" t="s">
        <v>566</v>
      </c>
      <c r="D382" t="s">
        <v>44</v>
      </c>
      <c r="E382" t="s">
        <v>44</v>
      </c>
      <c r="F382">
        <v>51</v>
      </c>
      <c r="G382" t="s">
        <v>9914</v>
      </c>
      <c r="H382">
        <v>82</v>
      </c>
      <c r="I382" t="str">
        <f t="shared" si="0"/>
        <v>CON_QB_0381</v>
      </c>
    </row>
    <row r="383" spans="1:9" x14ac:dyDescent="0.2">
      <c r="A383" t="s">
        <v>9229</v>
      </c>
      <c r="B383" t="s">
        <v>8642</v>
      </c>
      <c r="C383" t="s">
        <v>566</v>
      </c>
      <c r="D383" t="s">
        <v>44</v>
      </c>
      <c r="E383" t="s">
        <v>44</v>
      </c>
      <c r="F383">
        <v>43</v>
      </c>
      <c r="G383" t="s">
        <v>9915</v>
      </c>
      <c r="H383">
        <v>47</v>
      </c>
      <c r="I383" t="str">
        <f t="shared" si="0"/>
        <v>CON_QB_0382</v>
      </c>
    </row>
    <row r="384" spans="1:9" x14ac:dyDescent="0.2">
      <c r="A384" t="s">
        <v>9230</v>
      </c>
      <c r="B384" t="s">
        <v>8643</v>
      </c>
      <c r="C384" t="s">
        <v>566</v>
      </c>
      <c r="D384" t="s">
        <v>44</v>
      </c>
      <c r="E384" t="s">
        <v>44</v>
      </c>
      <c r="F384">
        <v>46</v>
      </c>
      <c r="G384" t="s">
        <v>567</v>
      </c>
      <c r="H384">
        <v>80</v>
      </c>
      <c r="I384" t="str">
        <f t="shared" si="0"/>
        <v>CON_QB_0383</v>
      </c>
    </row>
    <row r="385" spans="1:9" x14ac:dyDescent="0.2">
      <c r="A385" t="s">
        <v>9231</v>
      </c>
      <c r="B385" t="s">
        <v>8644</v>
      </c>
      <c r="C385" t="s">
        <v>566</v>
      </c>
      <c r="D385" t="s">
        <v>44</v>
      </c>
      <c r="E385" t="s">
        <v>44</v>
      </c>
      <c r="F385">
        <v>41</v>
      </c>
      <c r="G385" t="s">
        <v>9910</v>
      </c>
      <c r="H385">
        <v>40</v>
      </c>
      <c r="I385" t="str">
        <f t="shared" si="0"/>
        <v>CON_QB_0384</v>
      </c>
    </row>
    <row r="386" spans="1:9" x14ac:dyDescent="0.2">
      <c r="A386" t="s">
        <v>9232</v>
      </c>
      <c r="B386" t="s">
        <v>8645</v>
      </c>
      <c r="C386" t="s">
        <v>566</v>
      </c>
      <c r="D386" t="s">
        <v>44</v>
      </c>
      <c r="E386" t="s">
        <v>44</v>
      </c>
      <c r="F386">
        <v>41</v>
      </c>
      <c r="G386" t="s">
        <v>9911</v>
      </c>
      <c r="H386">
        <v>87</v>
      </c>
      <c r="I386" t="str">
        <f t="shared" si="0"/>
        <v>CON_QB_0385</v>
      </c>
    </row>
    <row r="387" spans="1:9" x14ac:dyDescent="0.2">
      <c r="A387" t="s">
        <v>9233</v>
      </c>
      <c r="B387" t="s">
        <v>8646</v>
      </c>
      <c r="C387" t="s">
        <v>566</v>
      </c>
      <c r="D387" t="s">
        <v>44</v>
      </c>
      <c r="E387" t="s">
        <v>44</v>
      </c>
      <c r="F387">
        <v>55</v>
      </c>
      <c r="G387" t="s">
        <v>9912</v>
      </c>
      <c r="H387">
        <v>56</v>
      </c>
      <c r="I387" t="str">
        <f t="shared" si="0"/>
        <v>CON_QB_0386</v>
      </c>
    </row>
    <row r="388" spans="1:9" x14ac:dyDescent="0.2">
      <c r="A388" t="s">
        <v>9234</v>
      </c>
      <c r="B388" t="s">
        <v>8647</v>
      </c>
      <c r="C388" t="s">
        <v>566</v>
      </c>
      <c r="D388" t="s">
        <v>44</v>
      </c>
      <c r="E388" t="s">
        <v>44</v>
      </c>
      <c r="F388">
        <v>41</v>
      </c>
      <c r="G388" t="s">
        <v>9913</v>
      </c>
      <c r="H388">
        <v>61</v>
      </c>
      <c r="I388" t="str">
        <f t="shared" si="0"/>
        <v>CON_QB_0387</v>
      </c>
    </row>
    <row r="389" spans="1:9" x14ac:dyDescent="0.2">
      <c r="A389" t="s">
        <v>9235</v>
      </c>
      <c r="B389" t="s">
        <v>8648</v>
      </c>
      <c r="C389" t="s">
        <v>566</v>
      </c>
      <c r="D389" t="s">
        <v>44</v>
      </c>
      <c r="E389" t="s">
        <v>44</v>
      </c>
      <c r="F389">
        <v>47</v>
      </c>
      <c r="G389" t="s">
        <v>9914</v>
      </c>
      <c r="H389">
        <v>87</v>
      </c>
      <c r="I389" t="str">
        <f t="shared" si="0"/>
        <v>CON_QB_0388</v>
      </c>
    </row>
    <row r="390" spans="1:9" x14ac:dyDescent="0.2">
      <c r="A390" t="s">
        <v>9236</v>
      </c>
      <c r="B390" t="s">
        <v>8649</v>
      </c>
      <c r="C390" t="s">
        <v>566</v>
      </c>
      <c r="D390" t="s">
        <v>44</v>
      </c>
      <c r="E390" t="s">
        <v>44</v>
      </c>
      <c r="F390">
        <v>48</v>
      </c>
      <c r="G390" t="s">
        <v>9915</v>
      </c>
      <c r="H390">
        <v>60</v>
      </c>
      <c r="I390" t="str">
        <f t="shared" si="0"/>
        <v>CON_QB_0389</v>
      </c>
    </row>
    <row r="391" spans="1:9" x14ac:dyDescent="0.2">
      <c r="A391" t="s">
        <v>9237</v>
      </c>
      <c r="B391" t="s">
        <v>8650</v>
      </c>
      <c r="C391" t="s">
        <v>566</v>
      </c>
      <c r="D391" t="s">
        <v>44</v>
      </c>
      <c r="E391" t="s">
        <v>44</v>
      </c>
      <c r="F391">
        <v>56</v>
      </c>
      <c r="G391" t="s">
        <v>567</v>
      </c>
      <c r="H391">
        <v>64</v>
      </c>
      <c r="I391" t="str">
        <f t="shared" si="0"/>
        <v>CON_QB_0390</v>
      </c>
    </row>
    <row r="392" spans="1:9" x14ac:dyDescent="0.2">
      <c r="A392" t="s">
        <v>9238</v>
      </c>
      <c r="B392" t="s">
        <v>8651</v>
      </c>
      <c r="C392" t="s">
        <v>566</v>
      </c>
      <c r="D392" t="s">
        <v>44</v>
      </c>
      <c r="E392" t="s">
        <v>44</v>
      </c>
      <c r="F392">
        <v>40</v>
      </c>
      <c r="G392" t="s">
        <v>9910</v>
      </c>
      <c r="H392">
        <v>67</v>
      </c>
      <c r="I392" t="str">
        <f t="shared" si="0"/>
        <v>CON_QB_0391</v>
      </c>
    </row>
    <row r="393" spans="1:9" x14ac:dyDescent="0.2">
      <c r="A393" t="s">
        <v>9239</v>
      </c>
      <c r="B393" t="s">
        <v>8652</v>
      </c>
      <c r="C393" t="s">
        <v>566</v>
      </c>
      <c r="D393" t="s">
        <v>44</v>
      </c>
      <c r="E393" t="s">
        <v>44</v>
      </c>
      <c r="F393">
        <v>54</v>
      </c>
      <c r="G393" t="s">
        <v>9911</v>
      </c>
      <c r="H393">
        <v>62</v>
      </c>
      <c r="I393" t="str">
        <f t="shared" si="0"/>
        <v>CON_QB_0392</v>
      </c>
    </row>
    <row r="394" spans="1:9" x14ac:dyDescent="0.2">
      <c r="A394" t="s">
        <v>9240</v>
      </c>
      <c r="B394" t="s">
        <v>8653</v>
      </c>
      <c r="C394" t="s">
        <v>566</v>
      </c>
      <c r="D394" t="s">
        <v>44</v>
      </c>
      <c r="E394" t="s">
        <v>44</v>
      </c>
      <c r="F394">
        <v>58</v>
      </c>
      <c r="G394" t="s">
        <v>9912</v>
      </c>
      <c r="H394">
        <v>65</v>
      </c>
      <c r="I394" t="str">
        <f t="shared" si="0"/>
        <v>CON_QB_0393</v>
      </c>
    </row>
    <row r="395" spans="1:9" x14ac:dyDescent="0.2">
      <c r="A395" t="s">
        <v>9241</v>
      </c>
      <c r="B395" t="s">
        <v>8654</v>
      </c>
      <c r="C395" t="s">
        <v>566</v>
      </c>
      <c r="D395" t="s">
        <v>44</v>
      </c>
      <c r="E395" t="s">
        <v>44</v>
      </c>
      <c r="F395">
        <v>44</v>
      </c>
      <c r="G395" t="s">
        <v>9913</v>
      </c>
      <c r="H395">
        <v>78</v>
      </c>
      <c r="I395" t="str">
        <f t="shared" si="0"/>
        <v>CON_QB_0394</v>
      </c>
    </row>
    <row r="396" spans="1:9" x14ac:dyDescent="0.2">
      <c r="A396" t="s">
        <v>9242</v>
      </c>
      <c r="B396" t="s">
        <v>8655</v>
      </c>
      <c r="C396" t="s">
        <v>566</v>
      </c>
      <c r="D396" t="s">
        <v>44</v>
      </c>
      <c r="E396" t="s">
        <v>44</v>
      </c>
      <c r="F396">
        <v>59</v>
      </c>
      <c r="G396" t="s">
        <v>9914</v>
      </c>
      <c r="H396">
        <v>67</v>
      </c>
      <c r="I396" t="str">
        <f t="shared" si="0"/>
        <v>CON_QB_0395</v>
      </c>
    </row>
    <row r="397" spans="1:9" x14ac:dyDescent="0.2">
      <c r="A397" t="s">
        <v>9243</v>
      </c>
      <c r="B397" t="s">
        <v>8656</v>
      </c>
      <c r="C397" t="s">
        <v>566</v>
      </c>
      <c r="D397" t="s">
        <v>44</v>
      </c>
      <c r="E397" t="s">
        <v>44</v>
      </c>
      <c r="F397">
        <v>60</v>
      </c>
      <c r="G397" t="s">
        <v>9915</v>
      </c>
      <c r="H397">
        <v>98</v>
      </c>
      <c r="I397" t="str">
        <f t="shared" si="0"/>
        <v>CON_QB_0396</v>
      </c>
    </row>
    <row r="398" spans="1:9" x14ac:dyDescent="0.2">
      <c r="A398" t="s">
        <v>9244</v>
      </c>
      <c r="B398" t="s">
        <v>8657</v>
      </c>
      <c r="C398" t="s">
        <v>566</v>
      </c>
      <c r="D398" t="s">
        <v>44</v>
      </c>
      <c r="E398" t="s">
        <v>44</v>
      </c>
      <c r="F398">
        <v>54</v>
      </c>
      <c r="G398" t="s">
        <v>567</v>
      </c>
      <c r="H398">
        <v>42</v>
      </c>
      <c r="I398" t="str">
        <f t="shared" si="0"/>
        <v>CON_QB_0397</v>
      </c>
    </row>
    <row r="399" spans="1:9" x14ac:dyDescent="0.2">
      <c r="A399" t="s">
        <v>9245</v>
      </c>
      <c r="B399" t="s">
        <v>8658</v>
      </c>
      <c r="C399" t="s">
        <v>566</v>
      </c>
      <c r="D399" t="s">
        <v>44</v>
      </c>
      <c r="E399" t="s">
        <v>44</v>
      </c>
      <c r="F399">
        <v>51</v>
      </c>
      <c r="G399" t="s">
        <v>9910</v>
      </c>
      <c r="H399">
        <v>55</v>
      </c>
      <c r="I399" t="str">
        <f t="shared" si="0"/>
        <v>CON_QB_0398</v>
      </c>
    </row>
    <row r="400" spans="1:9" x14ac:dyDescent="0.2">
      <c r="A400" t="s">
        <v>9246</v>
      </c>
      <c r="B400" t="s">
        <v>8659</v>
      </c>
      <c r="C400" t="s">
        <v>566</v>
      </c>
      <c r="D400" t="s">
        <v>44</v>
      </c>
      <c r="E400" t="s">
        <v>44</v>
      </c>
      <c r="F400">
        <v>40</v>
      </c>
      <c r="G400" t="s">
        <v>9911</v>
      </c>
      <c r="H400">
        <v>54</v>
      </c>
      <c r="I400" t="str">
        <f t="shared" si="0"/>
        <v>CON_QB_0399</v>
      </c>
    </row>
    <row r="401" spans="1:9" x14ac:dyDescent="0.2">
      <c r="A401" t="s">
        <v>9247</v>
      </c>
      <c r="B401" t="s">
        <v>8660</v>
      </c>
      <c r="C401" t="s">
        <v>566</v>
      </c>
      <c r="D401" t="s">
        <v>44</v>
      </c>
      <c r="E401" t="s">
        <v>44</v>
      </c>
      <c r="F401">
        <v>40</v>
      </c>
      <c r="G401" t="s">
        <v>9912</v>
      </c>
      <c r="H401">
        <v>62</v>
      </c>
      <c r="I401" t="str">
        <f t="shared" si="0"/>
        <v>CON_QB_0400</v>
      </c>
    </row>
    <row r="402" spans="1:9" x14ac:dyDescent="0.2">
      <c r="A402" t="s">
        <v>9248</v>
      </c>
      <c r="B402" t="s">
        <v>8661</v>
      </c>
      <c r="C402" t="s">
        <v>566</v>
      </c>
      <c r="D402" t="s">
        <v>44</v>
      </c>
      <c r="E402" t="s">
        <v>44</v>
      </c>
      <c r="F402">
        <v>59</v>
      </c>
      <c r="G402" t="s">
        <v>9913</v>
      </c>
      <c r="H402">
        <v>93</v>
      </c>
      <c r="I402" t="str">
        <f t="shared" si="0"/>
        <v>CON_QB_0401</v>
      </c>
    </row>
    <row r="403" spans="1:9" x14ac:dyDescent="0.2">
      <c r="A403" t="s">
        <v>9249</v>
      </c>
      <c r="B403" t="s">
        <v>8662</v>
      </c>
      <c r="C403" t="s">
        <v>566</v>
      </c>
      <c r="D403" t="s">
        <v>44</v>
      </c>
      <c r="E403" t="s">
        <v>44</v>
      </c>
      <c r="F403">
        <v>51</v>
      </c>
      <c r="G403" t="s">
        <v>9916</v>
      </c>
      <c r="H403">
        <v>80</v>
      </c>
      <c r="I403" t="str">
        <f t="shared" si="0"/>
        <v>CON_QB_0402</v>
      </c>
    </row>
    <row r="404" spans="1:9" x14ac:dyDescent="0.2">
      <c r="A404" t="s">
        <v>9250</v>
      </c>
      <c r="B404" t="s">
        <v>8663</v>
      </c>
      <c r="C404" t="s">
        <v>566</v>
      </c>
      <c r="D404" t="s">
        <v>44</v>
      </c>
      <c r="E404" t="s">
        <v>44</v>
      </c>
      <c r="F404">
        <v>43</v>
      </c>
      <c r="G404" t="s">
        <v>9910</v>
      </c>
      <c r="H404">
        <v>53</v>
      </c>
      <c r="I404" t="str">
        <f t="shared" si="0"/>
        <v>CON_QB_0403</v>
      </c>
    </row>
    <row r="405" spans="1:9" x14ac:dyDescent="0.2">
      <c r="A405" t="s">
        <v>9251</v>
      </c>
      <c r="B405" t="s">
        <v>8664</v>
      </c>
      <c r="C405" t="s">
        <v>566</v>
      </c>
      <c r="D405" t="s">
        <v>44</v>
      </c>
      <c r="E405" t="s">
        <v>44</v>
      </c>
      <c r="F405">
        <v>45</v>
      </c>
      <c r="G405" t="s">
        <v>9915</v>
      </c>
      <c r="H405">
        <v>57</v>
      </c>
      <c r="I405" t="str">
        <f t="shared" si="0"/>
        <v>CON_QB_0404</v>
      </c>
    </row>
    <row r="406" spans="1:9" x14ac:dyDescent="0.2">
      <c r="A406" t="s">
        <v>9252</v>
      </c>
      <c r="B406" t="s">
        <v>8665</v>
      </c>
      <c r="C406" t="s">
        <v>566</v>
      </c>
      <c r="D406" t="s">
        <v>44</v>
      </c>
      <c r="E406" t="s">
        <v>44</v>
      </c>
      <c r="F406">
        <v>45</v>
      </c>
      <c r="G406" t="s">
        <v>567</v>
      </c>
      <c r="H406">
        <v>59</v>
      </c>
      <c r="I406" t="str">
        <f t="shared" si="0"/>
        <v>CON_QB_0405</v>
      </c>
    </row>
    <row r="407" spans="1:9" x14ac:dyDescent="0.2">
      <c r="A407" t="s">
        <v>9253</v>
      </c>
      <c r="B407" t="s">
        <v>8666</v>
      </c>
      <c r="C407" t="s">
        <v>566</v>
      </c>
      <c r="D407" t="s">
        <v>44</v>
      </c>
      <c r="E407" t="s">
        <v>44</v>
      </c>
      <c r="F407">
        <v>53</v>
      </c>
      <c r="G407" t="s">
        <v>9917</v>
      </c>
      <c r="H407">
        <v>72</v>
      </c>
      <c r="I407" t="str">
        <f t="shared" si="0"/>
        <v>CON_QB_0406</v>
      </c>
    </row>
    <row r="408" spans="1:9" x14ac:dyDescent="0.2">
      <c r="A408" t="s">
        <v>9254</v>
      </c>
      <c r="B408" t="s">
        <v>8667</v>
      </c>
      <c r="C408" t="s">
        <v>566</v>
      </c>
      <c r="D408" t="s">
        <v>44</v>
      </c>
      <c r="E408" t="s">
        <v>44</v>
      </c>
      <c r="F408">
        <v>56</v>
      </c>
      <c r="G408" t="s">
        <v>9914</v>
      </c>
      <c r="H408">
        <v>72</v>
      </c>
      <c r="I408" t="str">
        <f t="shared" si="0"/>
        <v>CON_QB_0407</v>
      </c>
    </row>
    <row r="409" spans="1:9" x14ac:dyDescent="0.2">
      <c r="A409" t="s">
        <v>9255</v>
      </c>
      <c r="B409" t="s">
        <v>8668</v>
      </c>
      <c r="C409" t="s">
        <v>566</v>
      </c>
      <c r="D409" t="s">
        <v>44</v>
      </c>
      <c r="E409" t="s">
        <v>44</v>
      </c>
      <c r="F409">
        <v>45</v>
      </c>
      <c r="G409" t="s">
        <v>9916</v>
      </c>
      <c r="H409">
        <v>72</v>
      </c>
      <c r="I409" t="str">
        <f t="shared" si="0"/>
        <v>CON_QB_0408</v>
      </c>
    </row>
    <row r="410" spans="1:9" x14ac:dyDescent="0.2">
      <c r="A410" t="s">
        <v>9256</v>
      </c>
      <c r="B410" t="s">
        <v>8669</v>
      </c>
      <c r="C410" t="s">
        <v>566</v>
      </c>
      <c r="D410" t="s">
        <v>44</v>
      </c>
      <c r="E410" t="s">
        <v>44</v>
      </c>
      <c r="F410">
        <v>54</v>
      </c>
      <c r="G410" t="s">
        <v>9910</v>
      </c>
      <c r="H410">
        <v>76</v>
      </c>
      <c r="I410" t="str">
        <f t="shared" si="0"/>
        <v>CON_QB_0409</v>
      </c>
    </row>
    <row r="411" spans="1:9" x14ac:dyDescent="0.2">
      <c r="A411" t="s">
        <v>9257</v>
      </c>
      <c r="B411" t="s">
        <v>8670</v>
      </c>
      <c r="C411" t="s">
        <v>566</v>
      </c>
      <c r="D411" t="s">
        <v>44</v>
      </c>
      <c r="E411" t="s">
        <v>44</v>
      </c>
      <c r="F411">
        <v>53</v>
      </c>
      <c r="G411" t="s">
        <v>9915</v>
      </c>
      <c r="H411">
        <v>74</v>
      </c>
      <c r="I411" t="str">
        <f t="shared" si="0"/>
        <v>CON_QB_0410</v>
      </c>
    </row>
    <row r="412" spans="1:9" x14ac:dyDescent="0.2">
      <c r="A412" t="s">
        <v>9258</v>
      </c>
      <c r="B412" t="s">
        <v>8671</v>
      </c>
      <c r="C412" t="s">
        <v>566</v>
      </c>
      <c r="D412" t="s">
        <v>44</v>
      </c>
      <c r="E412" t="s">
        <v>44</v>
      </c>
      <c r="F412">
        <v>49</v>
      </c>
      <c r="G412" t="s">
        <v>567</v>
      </c>
      <c r="H412">
        <v>71</v>
      </c>
      <c r="I412" t="str">
        <f t="shared" si="0"/>
        <v>CON_QB_0411</v>
      </c>
    </row>
    <row r="413" spans="1:9" x14ac:dyDescent="0.2">
      <c r="A413" t="s">
        <v>9259</v>
      </c>
      <c r="B413" t="s">
        <v>8672</v>
      </c>
      <c r="C413" t="s">
        <v>566</v>
      </c>
      <c r="D413" t="s">
        <v>44</v>
      </c>
      <c r="E413" t="s">
        <v>44</v>
      </c>
      <c r="F413">
        <v>41</v>
      </c>
      <c r="G413" t="s">
        <v>9917</v>
      </c>
      <c r="H413">
        <v>63</v>
      </c>
      <c r="I413" t="str">
        <f t="shared" si="0"/>
        <v>CON_QB_0412</v>
      </c>
    </row>
    <row r="414" spans="1:9" x14ac:dyDescent="0.2">
      <c r="A414" t="s">
        <v>9260</v>
      </c>
      <c r="B414" t="s">
        <v>8673</v>
      </c>
      <c r="C414" t="s">
        <v>566</v>
      </c>
      <c r="D414" t="s">
        <v>44</v>
      </c>
      <c r="E414" t="s">
        <v>44</v>
      </c>
      <c r="F414">
        <v>58</v>
      </c>
      <c r="G414" t="s">
        <v>9914</v>
      </c>
      <c r="H414">
        <v>81</v>
      </c>
      <c r="I414" t="str">
        <f t="shared" si="0"/>
        <v>CON_QB_0413</v>
      </c>
    </row>
    <row r="415" spans="1:9" x14ac:dyDescent="0.2">
      <c r="A415" t="s">
        <v>9261</v>
      </c>
      <c r="B415" t="s">
        <v>8674</v>
      </c>
      <c r="C415" t="s">
        <v>566</v>
      </c>
      <c r="D415" t="s">
        <v>44</v>
      </c>
      <c r="E415" t="s">
        <v>44</v>
      </c>
      <c r="F415">
        <v>42</v>
      </c>
      <c r="G415" t="s">
        <v>9916</v>
      </c>
      <c r="H415">
        <v>61</v>
      </c>
      <c r="I415" t="str">
        <f t="shared" si="0"/>
        <v>CON_QB_0414</v>
      </c>
    </row>
    <row r="416" spans="1:9" x14ac:dyDescent="0.2">
      <c r="A416" t="s">
        <v>9262</v>
      </c>
      <c r="B416" t="s">
        <v>8675</v>
      </c>
      <c r="C416" t="s">
        <v>566</v>
      </c>
      <c r="D416" t="s">
        <v>44</v>
      </c>
      <c r="E416" t="s">
        <v>44</v>
      </c>
      <c r="F416">
        <v>41</v>
      </c>
      <c r="G416" t="s">
        <v>9910</v>
      </c>
      <c r="H416">
        <v>91</v>
      </c>
      <c r="I416" t="str">
        <f t="shared" si="0"/>
        <v>CON_QB_0415</v>
      </c>
    </row>
    <row r="417" spans="1:9" x14ac:dyDescent="0.2">
      <c r="A417" t="s">
        <v>9263</v>
      </c>
      <c r="B417" t="s">
        <v>8676</v>
      </c>
      <c r="C417" t="s">
        <v>566</v>
      </c>
      <c r="D417" t="s">
        <v>44</v>
      </c>
      <c r="E417" t="s">
        <v>44</v>
      </c>
      <c r="F417">
        <v>41</v>
      </c>
      <c r="G417" t="s">
        <v>9915</v>
      </c>
      <c r="H417">
        <v>67</v>
      </c>
      <c r="I417" t="str">
        <f t="shared" si="0"/>
        <v>CON_QB_0416</v>
      </c>
    </row>
    <row r="418" spans="1:9" x14ac:dyDescent="0.2">
      <c r="A418" t="s">
        <v>9264</v>
      </c>
      <c r="B418" t="s">
        <v>8677</v>
      </c>
      <c r="C418" t="s">
        <v>566</v>
      </c>
      <c r="D418" t="s">
        <v>44</v>
      </c>
      <c r="E418" t="s">
        <v>44</v>
      </c>
      <c r="F418">
        <v>44</v>
      </c>
      <c r="G418" t="s">
        <v>567</v>
      </c>
      <c r="H418">
        <v>42</v>
      </c>
      <c r="I418" t="str">
        <f t="shared" si="0"/>
        <v>CON_QB_0417</v>
      </c>
    </row>
    <row r="419" spans="1:9" x14ac:dyDescent="0.2">
      <c r="A419" t="s">
        <v>9265</v>
      </c>
      <c r="B419" t="s">
        <v>8678</v>
      </c>
      <c r="C419" t="s">
        <v>566</v>
      </c>
      <c r="D419" t="s">
        <v>44</v>
      </c>
      <c r="E419" t="s">
        <v>44</v>
      </c>
      <c r="F419">
        <v>45</v>
      </c>
      <c r="G419" t="s">
        <v>9917</v>
      </c>
      <c r="H419">
        <v>78</v>
      </c>
      <c r="I419" t="str">
        <f t="shared" si="0"/>
        <v>CON_QB_0418</v>
      </c>
    </row>
    <row r="420" spans="1:9" x14ac:dyDescent="0.2">
      <c r="A420" t="s">
        <v>9266</v>
      </c>
      <c r="B420" t="s">
        <v>8679</v>
      </c>
      <c r="C420" t="s">
        <v>566</v>
      </c>
      <c r="D420" t="s">
        <v>44</v>
      </c>
      <c r="E420" t="s">
        <v>44</v>
      </c>
      <c r="F420">
        <v>51</v>
      </c>
      <c r="G420" t="s">
        <v>9914</v>
      </c>
      <c r="H420">
        <v>52</v>
      </c>
      <c r="I420" t="str">
        <f t="shared" si="0"/>
        <v>CON_QB_0419</v>
      </c>
    </row>
    <row r="421" spans="1:9" x14ac:dyDescent="0.2">
      <c r="A421" t="s">
        <v>9267</v>
      </c>
      <c r="B421" t="s">
        <v>8680</v>
      </c>
      <c r="C421" t="s">
        <v>566</v>
      </c>
      <c r="D421" t="s">
        <v>44</v>
      </c>
      <c r="E421" t="s">
        <v>44</v>
      </c>
      <c r="F421">
        <v>46</v>
      </c>
      <c r="G421" t="s">
        <v>9916</v>
      </c>
      <c r="H421">
        <v>91</v>
      </c>
      <c r="I421" t="str">
        <f t="shared" si="0"/>
        <v>CON_QB_0420</v>
      </c>
    </row>
    <row r="422" spans="1:9" x14ac:dyDescent="0.2">
      <c r="A422" t="s">
        <v>9268</v>
      </c>
      <c r="B422" t="s">
        <v>8681</v>
      </c>
      <c r="C422" t="s">
        <v>566</v>
      </c>
      <c r="D422" t="s">
        <v>44</v>
      </c>
      <c r="E422" t="s">
        <v>44</v>
      </c>
      <c r="F422">
        <v>46</v>
      </c>
      <c r="G422" t="s">
        <v>9910</v>
      </c>
      <c r="H422">
        <v>70</v>
      </c>
      <c r="I422" t="str">
        <f t="shared" si="0"/>
        <v>CON_QB_0421</v>
      </c>
    </row>
    <row r="423" spans="1:9" x14ac:dyDescent="0.2">
      <c r="A423" t="s">
        <v>9269</v>
      </c>
      <c r="B423" t="s">
        <v>8682</v>
      </c>
      <c r="C423" t="s">
        <v>566</v>
      </c>
      <c r="D423" t="s">
        <v>44</v>
      </c>
      <c r="E423" t="s">
        <v>44</v>
      </c>
      <c r="F423">
        <v>55</v>
      </c>
      <c r="G423" t="s">
        <v>9915</v>
      </c>
      <c r="H423">
        <v>51</v>
      </c>
      <c r="I423" t="str">
        <f t="shared" si="0"/>
        <v>CON_QB_0422</v>
      </c>
    </row>
    <row r="424" spans="1:9" x14ac:dyDescent="0.2">
      <c r="A424" t="s">
        <v>9270</v>
      </c>
      <c r="B424" t="s">
        <v>8683</v>
      </c>
      <c r="C424" t="s">
        <v>566</v>
      </c>
      <c r="D424" t="s">
        <v>44</v>
      </c>
      <c r="E424" t="s">
        <v>44</v>
      </c>
      <c r="F424">
        <v>60</v>
      </c>
      <c r="G424" t="s">
        <v>567</v>
      </c>
      <c r="H424">
        <v>99</v>
      </c>
      <c r="I424" t="str">
        <f t="shared" si="0"/>
        <v>CON_QB_0423</v>
      </c>
    </row>
    <row r="425" spans="1:9" x14ac:dyDescent="0.2">
      <c r="A425" t="s">
        <v>9271</v>
      </c>
      <c r="B425" t="s">
        <v>8684</v>
      </c>
      <c r="C425" t="s">
        <v>566</v>
      </c>
      <c r="D425" t="s">
        <v>44</v>
      </c>
      <c r="E425" t="s">
        <v>44</v>
      </c>
      <c r="F425">
        <v>44</v>
      </c>
      <c r="G425" t="s">
        <v>9917</v>
      </c>
      <c r="H425">
        <v>90</v>
      </c>
      <c r="I425" t="str">
        <f t="shared" si="0"/>
        <v>CON_QB_0424</v>
      </c>
    </row>
    <row r="426" spans="1:9" x14ac:dyDescent="0.2">
      <c r="A426" t="s">
        <v>9272</v>
      </c>
      <c r="B426" t="s">
        <v>8685</v>
      </c>
      <c r="C426" t="s">
        <v>566</v>
      </c>
      <c r="D426" t="s">
        <v>44</v>
      </c>
      <c r="E426" t="s">
        <v>44</v>
      </c>
      <c r="F426">
        <v>47</v>
      </c>
      <c r="G426" t="s">
        <v>9914</v>
      </c>
      <c r="H426">
        <v>80</v>
      </c>
      <c r="I426" t="str">
        <f t="shared" si="0"/>
        <v>CON_QB_0425</v>
      </c>
    </row>
    <row r="427" spans="1:9" x14ac:dyDescent="0.2">
      <c r="A427" t="s">
        <v>9273</v>
      </c>
      <c r="B427" t="s">
        <v>8686</v>
      </c>
      <c r="C427" t="s">
        <v>566</v>
      </c>
      <c r="D427" t="s">
        <v>44</v>
      </c>
      <c r="E427" t="s">
        <v>44</v>
      </c>
      <c r="F427">
        <v>55</v>
      </c>
      <c r="G427" t="s">
        <v>9916</v>
      </c>
      <c r="H427">
        <v>76</v>
      </c>
      <c r="I427" t="str">
        <f t="shared" si="0"/>
        <v>CON_QB_0426</v>
      </c>
    </row>
    <row r="428" spans="1:9" x14ac:dyDescent="0.2">
      <c r="A428" t="s">
        <v>9274</v>
      </c>
      <c r="B428" t="s">
        <v>8687</v>
      </c>
      <c r="C428" t="s">
        <v>566</v>
      </c>
      <c r="D428" t="s">
        <v>44</v>
      </c>
      <c r="E428" t="s">
        <v>44</v>
      </c>
      <c r="F428">
        <v>54</v>
      </c>
      <c r="G428" t="s">
        <v>9910</v>
      </c>
      <c r="H428">
        <v>83</v>
      </c>
      <c r="I428" t="str">
        <f t="shared" si="0"/>
        <v>CON_QB_0427</v>
      </c>
    </row>
    <row r="429" spans="1:9" x14ac:dyDescent="0.2">
      <c r="A429" t="s">
        <v>9275</v>
      </c>
      <c r="B429" t="s">
        <v>8688</v>
      </c>
      <c r="C429" t="s">
        <v>566</v>
      </c>
      <c r="D429" t="s">
        <v>44</v>
      </c>
      <c r="E429" t="s">
        <v>44</v>
      </c>
      <c r="F429">
        <v>43</v>
      </c>
      <c r="G429" t="s">
        <v>9915</v>
      </c>
      <c r="H429">
        <v>91</v>
      </c>
      <c r="I429" t="str">
        <f t="shared" si="0"/>
        <v>CON_QB_0428</v>
      </c>
    </row>
    <row r="430" spans="1:9" x14ac:dyDescent="0.2">
      <c r="A430" t="s">
        <v>9276</v>
      </c>
      <c r="B430" t="s">
        <v>8689</v>
      </c>
      <c r="C430" t="s">
        <v>566</v>
      </c>
      <c r="D430" t="s">
        <v>44</v>
      </c>
      <c r="E430" t="s">
        <v>44</v>
      </c>
      <c r="F430">
        <v>57</v>
      </c>
      <c r="G430" t="s">
        <v>567</v>
      </c>
      <c r="H430">
        <v>72</v>
      </c>
      <c r="I430" t="str">
        <f t="shared" si="0"/>
        <v>CON_QB_0429</v>
      </c>
    </row>
    <row r="431" spans="1:9" x14ac:dyDescent="0.2">
      <c r="A431" t="s">
        <v>9277</v>
      </c>
      <c r="B431" t="s">
        <v>8690</v>
      </c>
      <c r="C431" t="s">
        <v>566</v>
      </c>
      <c r="D431" t="s">
        <v>44</v>
      </c>
      <c r="E431" t="s">
        <v>44</v>
      </c>
      <c r="F431">
        <v>50</v>
      </c>
      <c r="G431" t="s">
        <v>9917</v>
      </c>
      <c r="H431">
        <v>74</v>
      </c>
      <c r="I431" t="str">
        <f t="shared" si="0"/>
        <v>CON_QB_0430</v>
      </c>
    </row>
    <row r="432" spans="1:9" x14ac:dyDescent="0.2">
      <c r="A432" t="s">
        <v>9278</v>
      </c>
      <c r="B432" t="s">
        <v>8691</v>
      </c>
      <c r="C432" t="s">
        <v>566</v>
      </c>
      <c r="D432" t="s">
        <v>44</v>
      </c>
      <c r="E432" t="s">
        <v>44</v>
      </c>
      <c r="F432">
        <v>48</v>
      </c>
      <c r="G432" t="s">
        <v>9914</v>
      </c>
      <c r="H432">
        <v>72</v>
      </c>
      <c r="I432" t="str">
        <f t="shared" si="0"/>
        <v>CON_QB_0431</v>
      </c>
    </row>
    <row r="433" spans="1:9" x14ac:dyDescent="0.2">
      <c r="A433" t="s">
        <v>9279</v>
      </c>
      <c r="B433" t="s">
        <v>8692</v>
      </c>
      <c r="C433" t="s">
        <v>566</v>
      </c>
      <c r="D433" t="s">
        <v>44</v>
      </c>
      <c r="E433" t="s">
        <v>44</v>
      </c>
      <c r="F433">
        <v>48</v>
      </c>
      <c r="G433" t="s">
        <v>9916</v>
      </c>
      <c r="H433">
        <v>79</v>
      </c>
      <c r="I433" t="str">
        <f t="shared" si="0"/>
        <v>CON_QB_0432</v>
      </c>
    </row>
    <row r="434" spans="1:9" x14ac:dyDescent="0.2">
      <c r="A434" t="s">
        <v>9280</v>
      </c>
      <c r="B434" t="s">
        <v>8693</v>
      </c>
      <c r="C434" t="s">
        <v>566</v>
      </c>
      <c r="D434" t="s">
        <v>44</v>
      </c>
      <c r="E434" t="s">
        <v>44</v>
      </c>
      <c r="F434">
        <v>51</v>
      </c>
      <c r="G434" t="s">
        <v>9910</v>
      </c>
      <c r="H434">
        <v>50</v>
      </c>
      <c r="I434" t="str">
        <f t="shared" si="0"/>
        <v>CON_QB_0433</v>
      </c>
    </row>
    <row r="435" spans="1:9" x14ac:dyDescent="0.2">
      <c r="A435" t="s">
        <v>9281</v>
      </c>
      <c r="B435" t="s">
        <v>8694</v>
      </c>
      <c r="C435" t="s">
        <v>564</v>
      </c>
      <c r="D435" t="s">
        <v>44</v>
      </c>
      <c r="E435" t="s">
        <v>44</v>
      </c>
      <c r="F435">
        <v>54</v>
      </c>
      <c r="G435" t="s">
        <v>9870</v>
      </c>
      <c r="H435">
        <v>75</v>
      </c>
      <c r="I435" t="str">
        <f t="shared" si="0"/>
        <v>CON_LB_0434</v>
      </c>
    </row>
    <row r="436" spans="1:9" x14ac:dyDescent="0.2">
      <c r="A436" t="s">
        <v>9282</v>
      </c>
      <c r="B436" t="s">
        <v>8695</v>
      </c>
      <c r="C436" t="s">
        <v>564</v>
      </c>
      <c r="D436" t="s">
        <v>44</v>
      </c>
      <c r="E436" t="s">
        <v>44</v>
      </c>
      <c r="F436">
        <v>40</v>
      </c>
      <c r="G436" t="s">
        <v>9871</v>
      </c>
      <c r="H436">
        <v>65</v>
      </c>
      <c r="I436" t="str">
        <f t="shared" si="0"/>
        <v>CON_LB_0435</v>
      </c>
    </row>
    <row r="437" spans="1:9" x14ac:dyDescent="0.2">
      <c r="A437" t="s">
        <v>9283</v>
      </c>
      <c r="B437" t="s">
        <v>8696</v>
      </c>
      <c r="C437" t="s">
        <v>564</v>
      </c>
      <c r="D437" t="s">
        <v>44</v>
      </c>
      <c r="E437" t="s">
        <v>44</v>
      </c>
      <c r="F437">
        <v>51</v>
      </c>
      <c r="G437" t="s">
        <v>9872</v>
      </c>
      <c r="H437">
        <v>51</v>
      </c>
      <c r="I437" t="str">
        <f t="shared" ref="I437:I500" si="1">"CON_"&amp;LEFT(C437,FIND("_",C437&amp;"_")-1)&amp;"_"&amp;RIGHT(A437,4)</f>
        <v>CON_LB_0436</v>
      </c>
    </row>
    <row r="438" spans="1:9" x14ac:dyDescent="0.2">
      <c r="A438" t="s">
        <v>9284</v>
      </c>
      <c r="B438" t="s">
        <v>8697</v>
      </c>
      <c r="C438" t="s">
        <v>564</v>
      </c>
      <c r="D438" t="s">
        <v>44</v>
      </c>
      <c r="E438" t="s">
        <v>44</v>
      </c>
      <c r="F438">
        <v>69</v>
      </c>
      <c r="G438" t="s">
        <v>9873</v>
      </c>
      <c r="H438">
        <v>66</v>
      </c>
      <c r="I438" t="str">
        <f t="shared" si="1"/>
        <v>CON_LB_0437</v>
      </c>
    </row>
    <row r="439" spans="1:9" x14ac:dyDescent="0.2">
      <c r="A439" t="s">
        <v>9285</v>
      </c>
      <c r="B439" t="s">
        <v>8698</v>
      </c>
      <c r="C439" t="s">
        <v>564</v>
      </c>
      <c r="D439" t="s">
        <v>44</v>
      </c>
      <c r="E439" t="s">
        <v>44</v>
      </c>
      <c r="F439">
        <v>60</v>
      </c>
      <c r="G439" t="s">
        <v>9874</v>
      </c>
      <c r="H439">
        <v>94</v>
      </c>
      <c r="I439" t="str">
        <f t="shared" si="1"/>
        <v>CON_LB_0438</v>
      </c>
    </row>
    <row r="440" spans="1:9" x14ac:dyDescent="0.2">
      <c r="A440" t="s">
        <v>9286</v>
      </c>
      <c r="B440" t="s">
        <v>8699</v>
      </c>
      <c r="C440" t="s">
        <v>564</v>
      </c>
      <c r="D440" t="s">
        <v>44</v>
      </c>
      <c r="E440" t="s">
        <v>44</v>
      </c>
      <c r="F440">
        <v>42</v>
      </c>
      <c r="G440" t="s">
        <v>9869</v>
      </c>
      <c r="H440">
        <v>51</v>
      </c>
      <c r="I440" t="str">
        <f t="shared" si="1"/>
        <v>CON_LB_0439</v>
      </c>
    </row>
    <row r="441" spans="1:9" x14ac:dyDescent="0.2">
      <c r="A441" t="s">
        <v>9287</v>
      </c>
      <c r="B441" t="s">
        <v>8700</v>
      </c>
      <c r="C441" t="s">
        <v>564</v>
      </c>
      <c r="D441" t="s">
        <v>44</v>
      </c>
      <c r="E441" t="s">
        <v>44</v>
      </c>
      <c r="F441">
        <v>64</v>
      </c>
      <c r="G441" t="s">
        <v>9870</v>
      </c>
      <c r="H441">
        <v>79</v>
      </c>
      <c r="I441" t="str">
        <f t="shared" si="1"/>
        <v>CON_LB_0440</v>
      </c>
    </row>
    <row r="442" spans="1:9" x14ac:dyDescent="0.2">
      <c r="A442" t="s">
        <v>9288</v>
      </c>
      <c r="B442" t="s">
        <v>8701</v>
      </c>
      <c r="C442" t="s">
        <v>564</v>
      </c>
      <c r="D442" t="s">
        <v>44</v>
      </c>
      <c r="E442" t="s">
        <v>44</v>
      </c>
      <c r="F442">
        <v>66</v>
      </c>
      <c r="G442" t="s">
        <v>9871</v>
      </c>
      <c r="H442">
        <v>76</v>
      </c>
      <c r="I442" t="str">
        <f t="shared" si="1"/>
        <v>CON_LB_0441</v>
      </c>
    </row>
    <row r="443" spans="1:9" x14ac:dyDescent="0.2">
      <c r="A443" t="s">
        <v>9289</v>
      </c>
      <c r="B443" t="s">
        <v>8702</v>
      </c>
      <c r="C443" t="s">
        <v>564</v>
      </c>
      <c r="D443" t="s">
        <v>44</v>
      </c>
      <c r="E443" t="s">
        <v>44</v>
      </c>
      <c r="F443">
        <v>49</v>
      </c>
      <c r="G443" t="s">
        <v>9872</v>
      </c>
      <c r="H443">
        <v>52</v>
      </c>
      <c r="I443" t="str">
        <f t="shared" si="1"/>
        <v>CON_LB_0442</v>
      </c>
    </row>
    <row r="444" spans="1:9" x14ac:dyDescent="0.2">
      <c r="A444" t="s">
        <v>9290</v>
      </c>
      <c r="B444" t="s">
        <v>8703</v>
      </c>
      <c r="C444" t="s">
        <v>564</v>
      </c>
      <c r="D444" t="s">
        <v>44</v>
      </c>
      <c r="E444" t="s">
        <v>44</v>
      </c>
      <c r="F444">
        <v>49</v>
      </c>
      <c r="G444" t="s">
        <v>9873</v>
      </c>
      <c r="H444">
        <v>76</v>
      </c>
      <c r="I444" t="str">
        <f t="shared" si="1"/>
        <v>CON_LB_0443</v>
      </c>
    </row>
    <row r="445" spans="1:9" x14ac:dyDescent="0.2">
      <c r="A445" t="s">
        <v>9291</v>
      </c>
      <c r="B445" t="s">
        <v>8704</v>
      </c>
      <c r="C445" t="s">
        <v>564</v>
      </c>
      <c r="D445" t="s">
        <v>44</v>
      </c>
      <c r="E445" t="s">
        <v>44</v>
      </c>
      <c r="F445">
        <v>66</v>
      </c>
      <c r="G445" t="s">
        <v>9874</v>
      </c>
      <c r="H445">
        <v>77</v>
      </c>
      <c r="I445" t="str">
        <f t="shared" si="1"/>
        <v>CON_LB_0444</v>
      </c>
    </row>
    <row r="446" spans="1:9" x14ac:dyDescent="0.2">
      <c r="A446" t="s">
        <v>9292</v>
      </c>
      <c r="B446" t="s">
        <v>8705</v>
      </c>
      <c r="C446" t="s">
        <v>564</v>
      </c>
      <c r="D446" t="s">
        <v>44</v>
      </c>
      <c r="E446" t="s">
        <v>44</v>
      </c>
      <c r="F446">
        <v>63</v>
      </c>
      <c r="G446" t="s">
        <v>9869</v>
      </c>
      <c r="H446">
        <v>64</v>
      </c>
      <c r="I446" t="str">
        <f t="shared" si="1"/>
        <v>CON_LB_0445</v>
      </c>
    </row>
    <row r="447" spans="1:9" x14ac:dyDescent="0.2">
      <c r="A447" t="s">
        <v>9293</v>
      </c>
      <c r="B447" t="s">
        <v>8706</v>
      </c>
      <c r="C447" t="s">
        <v>564</v>
      </c>
      <c r="D447" t="s">
        <v>44</v>
      </c>
      <c r="E447" t="s">
        <v>44</v>
      </c>
      <c r="F447">
        <v>51</v>
      </c>
      <c r="G447" t="s">
        <v>9870</v>
      </c>
      <c r="H447">
        <v>58</v>
      </c>
      <c r="I447" t="str">
        <f t="shared" si="1"/>
        <v>CON_LB_0446</v>
      </c>
    </row>
    <row r="448" spans="1:9" x14ac:dyDescent="0.2">
      <c r="A448" t="s">
        <v>9294</v>
      </c>
      <c r="B448" t="s">
        <v>8707</v>
      </c>
      <c r="C448" t="s">
        <v>564</v>
      </c>
      <c r="D448" t="s">
        <v>44</v>
      </c>
      <c r="E448" t="s">
        <v>44</v>
      </c>
      <c r="F448">
        <v>65</v>
      </c>
      <c r="G448" t="s">
        <v>9871</v>
      </c>
      <c r="H448">
        <v>98</v>
      </c>
      <c r="I448" t="str">
        <f t="shared" si="1"/>
        <v>CON_LB_0447</v>
      </c>
    </row>
    <row r="449" spans="1:9" x14ac:dyDescent="0.2">
      <c r="A449" t="s">
        <v>9295</v>
      </c>
      <c r="B449" t="s">
        <v>8708</v>
      </c>
      <c r="C449" t="s">
        <v>564</v>
      </c>
      <c r="D449" t="s">
        <v>44</v>
      </c>
      <c r="E449" t="s">
        <v>44</v>
      </c>
      <c r="F449">
        <v>44</v>
      </c>
      <c r="G449" t="s">
        <v>9872</v>
      </c>
      <c r="H449">
        <v>77</v>
      </c>
      <c r="I449" t="str">
        <f t="shared" si="1"/>
        <v>CON_LB_0448</v>
      </c>
    </row>
    <row r="450" spans="1:9" x14ac:dyDescent="0.2">
      <c r="A450" t="s">
        <v>9296</v>
      </c>
      <c r="B450" t="s">
        <v>8709</v>
      </c>
      <c r="C450" t="s">
        <v>564</v>
      </c>
      <c r="D450" t="s">
        <v>44</v>
      </c>
      <c r="E450" t="s">
        <v>44</v>
      </c>
      <c r="F450">
        <v>53</v>
      </c>
      <c r="G450" t="s">
        <v>9870</v>
      </c>
      <c r="H450">
        <v>92</v>
      </c>
      <c r="I450" t="str">
        <f t="shared" si="1"/>
        <v>CON_LB_0449</v>
      </c>
    </row>
    <row r="451" spans="1:9" x14ac:dyDescent="0.2">
      <c r="A451" t="s">
        <v>9297</v>
      </c>
      <c r="B451" t="s">
        <v>8710</v>
      </c>
      <c r="C451" t="s">
        <v>564</v>
      </c>
      <c r="D451" t="s">
        <v>44</v>
      </c>
      <c r="E451" t="s">
        <v>44</v>
      </c>
      <c r="F451">
        <v>64</v>
      </c>
      <c r="G451" t="s">
        <v>9871</v>
      </c>
      <c r="H451">
        <v>63</v>
      </c>
      <c r="I451" t="str">
        <f t="shared" si="1"/>
        <v>CON_LB_0450</v>
      </c>
    </row>
    <row r="452" spans="1:9" x14ac:dyDescent="0.2">
      <c r="A452" t="s">
        <v>9298</v>
      </c>
      <c r="B452" t="s">
        <v>8711</v>
      </c>
      <c r="C452" t="s">
        <v>564</v>
      </c>
      <c r="D452" t="s">
        <v>44</v>
      </c>
      <c r="E452" t="s">
        <v>44</v>
      </c>
      <c r="F452">
        <v>47</v>
      </c>
      <c r="G452" t="s">
        <v>9872</v>
      </c>
      <c r="H452">
        <v>59</v>
      </c>
      <c r="I452" t="str">
        <f t="shared" si="1"/>
        <v>CON_LB_0451</v>
      </c>
    </row>
    <row r="453" spans="1:9" x14ac:dyDescent="0.2">
      <c r="A453" t="s">
        <v>9299</v>
      </c>
      <c r="B453" t="s">
        <v>8712</v>
      </c>
      <c r="C453" t="s">
        <v>564</v>
      </c>
      <c r="D453" t="s">
        <v>44</v>
      </c>
      <c r="E453" t="s">
        <v>44</v>
      </c>
      <c r="F453">
        <v>44</v>
      </c>
      <c r="G453" t="s">
        <v>9873</v>
      </c>
      <c r="H453">
        <v>85</v>
      </c>
      <c r="I453" t="str">
        <f t="shared" si="1"/>
        <v>CON_LB_0452</v>
      </c>
    </row>
    <row r="454" spans="1:9" x14ac:dyDescent="0.2">
      <c r="A454" t="s">
        <v>9300</v>
      </c>
      <c r="B454" t="s">
        <v>8713</v>
      </c>
      <c r="C454" t="s">
        <v>564</v>
      </c>
      <c r="D454" t="s">
        <v>44</v>
      </c>
      <c r="E454" t="s">
        <v>44</v>
      </c>
      <c r="F454">
        <v>45</v>
      </c>
      <c r="G454" t="s">
        <v>9874</v>
      </c>
      <c r="H454">
        <v>74</v>
      </c>
      <c r="I454" t="str">
        <f t="shared" si="1"/>
        <v>CON_LB_0453</v>
      </c>
    </row>
    <row r="455" spans="1:9" x14ac:dyDescent="0.2">
      <c r="A455" t="s">
        <v>9301</v>
      </c>
      <c r="B455" t="s">
        <v>8714</v>
      </c>
      <c r="C455" t="s">
        <v>564</v>
      </c>
      <c r="D455" t="s">
        <v>44</v>
      </c>
      <c r="E455" t="s">
        <v>44</v>
      </c>
      <c r="F455">
        <v>54</v>
      </c>
      <c r="G455" t="s">
        <v>9869</v>
      </c>
      <c r="H455">
        <v>95</v>
      </c>
      <c r="I455" t="str">
        <f t="shared" si="1"/>
        <v>CON_LB_0454</v>
      </c>
    </row>
    <row r="456" spans="1:9" x14ac:dyDescent="0.2">
      <c r="A456" t="s">
        <v>9302</v>
      </c>
      <c r="B456" t="s">
        <v>8715</v>
      </c>
      <c r="C456" t="s">
        <v>564</v>
      </c>
      <c r="D456" t="s">
        <v>44</v>
      </c>
      <c r="E456" t="s">
        <v>44</v>
      </c>
      <c r="F456">
        <v>58</v>
      </c>
      <c r="G456" t="s">
        <v>9870</v>
      </c>
      <c r="H456">
        <v>73</v>
      </c>
      <c r="I456" t="str">
        <f t="shared" si="1"/>
        <v>CON_LB_0455</v>
      </c>
    </row>
    <row r="457" spans="1:9" x14ac:dyDescent="0.2">
      <c r="A457" t="s">
        <v>9303</v>
      </c>
      <c r="B457" t="s">
        <v>8716</v>
      </c>
      <c r="C457" t="s">
        <v>564</v>
      </c>
      <c r="D457" t="s">
        <v>44</v>
      </c>
      <c r="E457" t="s">
        <v>44</v>
      </c>
      <c r="F457">
        <v>56</v>
      </c>
      <c r="G457" t="s">
        <v>9871</v>
      </c>
      <c r="H457">
        <v>91</v>
      </c>
      <c r="I457" t="str">
        <f t="shared" si="1"/>
        <v>CON_LB_0456</v>
      </c>
    </row>
    <row r="458" spans="1:9" x14ac:dyDescent="0.2">
      <c r="A458" t="s">
        <v>9304</v>
      </c>
      <c r="B458" t="s">
        <v>8717</v>
      </c>
      <c r="C458" t="s">
        <v>564</v>
      </c>
      <c r="D458" t="s">
        <v>44</v>
      </c>
      <c r="E458" t="s">
        <v>44</v>
      </c>
      <c r="F458">
        <v>52</v>
      </c>
      <c r="G458" t="s">
        <v>9872</v>
      </c>
      <c r="H458">
        <v>63</v>
      </c>
      <c r="I458" t="str">
        <f t="shared" si="1"/>
        <v>CON_LB_0457</v>
      </c>
    </row>
    <row r="459" spans="1:9" x14ac:dyDescent="0.2">
      <c r="A459" t="s">
        <v>9305</v>
      </c>
      <c r="B459" t="s">
        <v>8718</v>
      </c>
      <c r="C459" t="s">
        <v>564</v>
      </c>
      <c r="D459" t="s">
        <v>44</v>
      </c>
      <c r="E459" t="s">
        <v>44</v>
      </c>
      <c r="F459">
        <v>61</v>
      </c>
      <c r="G459" t="s">
        <v>9873</v>
      </c>
      <c r="H459">
        <v>100</v>
      </c>
      <c r="I459" t="str">
        <f t="shared" si="1"/>
        <v>CON_LB_0458</v>
      </c>
    </row>
    <row r="460" spans="1:9" x14ac:dyDescent="0.2">
      <c r="A460" t="s">
        <v>9306</v>
      </c>
      <c r="B460" t="s">
        <v>8719</v>
      </c>
      <c r="C460" t="s">
        <v>564</v>
      </c>
      <c r="D460" t="s">
        <v>44</v>
      </c>
      <c r="E460" t="s">
        <v>44</v>
      </c>
      <c r="F460">
        <v>42</v>
      </c>
      <c r="G460" t="s">
        <v>9874</v>
      </c>
      <c r="H460">
        <v>96</v>
      </c>
      <c r="I460" t="str">
        <f t="shared" si="1"/>
        <v>CON_LB_0459</v>
      </c>
    </row>
    <row r="461" spans="1:9" x14ac:dyDescent="0.2">
      <c r="A461" t="s">
        <v>9307</v>
      </c>
      <c r="B461" t="s">
        <v>8720</v>
      </c>
      <c r="C461" t="s">
        <v>564</v>
      </c>
      <c r="D461" t="s">
        <v>44</v>
      </c>
      <c r="E461" t="s">
        <v>44</v>
      </c>
      <c r="F461">
        <v>60</v>
      </c>
      <c r="G461" t="s">
        <v>9869</v>
      </c>
      <c r="H461">
        <v>73</v>
      </c>
      <c r="I461" t="str">
        <f t="shared" si="1"/>
        <v>CON_LB_0460</v>
      </c>
    </row>
    <row r="462" spans="1:9" x14ac:dyDescent="0.2">
      <c r="A462" t="s">
        <v>9308</v>
      </c>
      <c r="B462" t="s">
        <v>8721</v>
      </c>
      <c r="C462" t="s">
        <v>564</v>
      </c>
      <c r="D462" t="s">
        <v>44</v>
      </c>
      <c r="E462" t="s">
        <v>44</v>
      </c>
      <c r="F462">
        <v>59</v>
      </c>
      <c r="G462" t="s">
        <v>9870</v>
      </c>
      <c r="H462">
        <v>98</v>
      </c>
      <c r="I462" t="str">
        <f t="shared" si="1"/>
        <v>CON_LB_0461</v>
      </c>
    </row>
    <row r="463" spans="1:9" x14ac:dyDescent="0.2">
      <c r="A463" t="s">
        <v>9309</v>
      </c>
      <c r="B463" t="s">
        <v>8722</v>
      </c>
      <c r="C463" t="s">
        <v>564</v>
      </c>
      <c r="D463" t="s">
        <v>44</v>
      </c>
      <c r="E463" t="s">
        <v>44</v>
      </c>
      <c r="F463">
        <v>62</v>
      </c>
      <c r="G463" t="s">
        <v>9871</v>
      </c>
      <c r="H463">
        <v>50</v>
      </c>
      <c r="I463" t="str">
        <f t="shared" si="1"/>
        <v>CON_LB_0462</v>
      </c>
    </row>
    <row r="464" spans="1:9" x14ac:dyDescent="0.2">
      <c r="A464" t="s">
        <v>9310</v>
      </c>
      <c r="B464" t="s">
        <v>8723</v>
      </c>
      <c r="C464" t="s">
        <v>564</v>
      </c>
      <c r="D464" t="s">
        <v>44</v>
      </c>
      <c r="E464" t="s">
        <v>44</v>
      </c>
      <c r="F464">
        <v>47</v>
      </c>
      <c r="G464" t="s">
        <v>9872</v>
      </c>
      <c r="H464">
        <v>88</v>
      </c>
      <c r="I464" t="str">
        <f t="shared" si="1"/>
        <v>CON_LB_0463</v>
      </c>
    </row>
    <row r="465" spans="1:9" x14ac:dyDescent="0.2">
      <c r="A465" t="s">
        <v>9311</v>
      </c>
      <c r="B465" t="s">
        <v>8724</v>
      </c>
      <c r="C465" t="s">
        <v>564</v>
      </c>
      <c r="D465" t="s">
        <v>44</v>
      </c>
      <c r="E465" t="s">
        <v>44</v>
      </c>
      <c r="F465">
        <v>51</v>
      </c>
      <c r="G465" t="s">
        <v>9870</v>
      </c>
      <c r="H465">
        <v>53</v>
      </c>
      <c r="I465" t="str">
        <f t="shared" si="1"/>
        <v>CON_LB_0464</v>
      </c>
    </row>
    <row r="466" spans="1:9" x14ac:dyDescent="0.2">
      <c r="A466" t="s">
        <v>9312</v>
      </c>
      <c r="B466" t="s">
        <v>8725</v>
      </c>
      <c r="C466" t="s">
        <v>564</v>
      </c>
      <c r="D466" t="s">
        <v>44</v>
      </c>
      <c r="E466" t="s">
        <v>44</v>
      </c>
      <c r="F466">
        <v>41</v>
      </c>
      <c r="G466" t="s">
        <v>9871</v>
      </c>
      <c r="H466">
        <v>82</v>
      </c>
      <c r="I466" t="str">
        <f t="shared" si="1"/>
        <v>CON_LB_0465</v>
      </c>
    </row>
    <row r="467" spans="1:9" x14ac:dyDescent="0.2">
      <c r="A467" t="s">
        <v>9313</v>
      </c>
      <c r="B467" t="s">
        <v>8726</v>
      </c>
      <c r="C467" t="s">
        <v>561</v>
      </c>
      <c r="D467" t="s">
        <v>44</v>
      </c>
      <c r="E467" t="s">
        <v>44</v>
      </c>
      <c r="F467">
        <v>52</v>
      </c>
      <c r="G467" t="s">
        <v>567</v>
      </c>
      <c r="H467">
        <v>60</v>
      </c>
      <c r="I467" t="s">
        <v>9875</v>
      </c>
    </row>
    <row r="468" spans="1:9" x14ac:dyDescent="0.2">
      <c r="A468" t="s">
        <v>9314</v>
      </c>
      <c r="B468" t="s">
        <v>8727</v>
      </c>
      <c r="C468" t="s">
        <v>561</v>
      </c>
      <c r="D468" t="s">
        <v>44</v>
      </c>
      <c r="E468" t="s">
        <v>44</v>
      </c>
      <c r="F468">
        <v>70</v>
      </c>
      <c r="G468" t="s">
        <v>9917</v>
      </c>
      <c r="H468">
        <v>81</v>
      </c>
      <c r="I468" t="s">
        <v>9876</v>
      </c>
    </row>
    <row r="469" spans="1:9" x14ac:dyDescent="0.2">
      <c r="A469" t="s">
        <v>9315</v>
      </c>
      <c r="B469" t="s">
        <v>8728</v>
      </c>
      <c r="C469" t="s">
        <v>561</v>
      </c>
      <c r="D469" t="s">
        <v>44</v>
      </c>
      <c r="E469" t="s">
        <v>44</v>
      </c>
      <c r="F469">
        <v>53</v>
      </c>
      <c r="G469" t="s">
        <v>9914</v>
      </c>
      <c r="H469">
        <v>77</v>
      </c>
      <c r="I469" t="s">
        <v>9877</v>
      </c>
    </row>
    <row r="470" spans="1:9" x14ac:dyDescent="0.2">
      <c r="A470" t="s">
        <v>9316</v>
      </c>
      <c r="B470" t="s">
        <v>8729</v>
      </c>
      <c r="C470" t="s">
        <v>561</v>
      </c>
      <c r="D470" t="s">
        <v>44</v>
      </c>
      <c r="E470" t="s">
        <v>44</v>
      </c>
      <c r="F470">
        <v>70</v>
      </c>
      <c r="G470" t="s">
        <v>9916</v>
      </c>
      <c r="H470">
        <v>80</v>
      </c>
      <c r="I470" t="s">
        <v>9878</v>
      </c>
    </row>
    <row r="471" spans="1:9" x14ac:dyDescent="0.2">
      <c r="A471" t="s">
        <v>9317</v>
      </c>
      <c r="B471" t="s">
        <v>8730</v>
      </c>
      <c r="C471" t="s">
        <v>561</v>
      </c>
      <c r="D471" t="s">
        <v>44</v>
      </c>
      <c r="E471" t="s">
        <v>44</v>
      </c>
      <c r="F471">
        <v>44</v>
      </c>
      <c r="G471" t="s">
        <v>9910</v>
      </c>
      <c r="H471">
        <v>88</v>
      </c>
      <c r="I471" t="s">
        <v>9879</v>
      </c>
    </row>
    <row r="472" spans="1:9" x14ac:dyDescent="0.2">
      <c r="A472" t="s">
        <v>9318</v>
      </c>
      <c r="B472" t="s">
        <v>8731</v>
      </c>
      <c r="C472" t="s">
        <v>561</v>
      </c>
      <c r="D472" t="s">
        <v>44</v>
      </c>
      <c r="E472" t="s">
        <v>44</v>
      </c>
      <c r="F472">
        <v>50</v>
      </c>
      <c r="G472" t="s">
        <v>9915</v>
      </c>
      <c r="H472">
        <v>61</v>
      </c>
      <c r="I472" t="s">
        <v>9880</v>
      </c>
    </row>
    <row r="473" spans="1:9" x14ac:dyDescent="0.2">
      <c r="A473" t="s">
        <v>9319</v>
      </c>
      <c r="B473" t="s">
        <v>8732</v>
      </c>
      <c r="C473" t="s">
        <v>561</v>
      </c>
      <c r="D473" t="s">
        <v>44</v>
      </c>
      <c r="E473" t="s">
        <v>44</v>
      </c>
      <c r="F473">
        <v>50</v>
      </c>
      <c r="G473" t="s">
        <v>567</v>
      </c>
      <c r="H473">
        <v>74</v>
      </c>
      <c r="I473" t="s">
        <v>9881</v>
      </c>
    </row>
    <row r="474" spans="1:9" x14ac:dyDescent="0.2">
      <c r="A474" t="s">
        <v>9320</v>
      </c>
      <c r="B474" t="s">
        <v>8733</v>
      </c>
      <c r="C474" t="s">
        <v>561</v>
      </c>
      <c r="D474" t="s">
        <v>44</v>
      </c>
      <c r="E474" t="s">
        <v>44</v>
      </c>
      <c r="F474">
        <v>40</v>
      </c>
      <c r="G474" t="s">
        <v>9917</v>
      </c>
      <c r="H474">
        <v>53</v>
      </c>
      <c r="I474" t="s">
        <v>9882</v>
      </c>
    </row>
    <row r="475" spans="1:9" x14ac:dyDescent="0.2">
      <c r="A475" t="s">
        <v>9321</v>
      </c>
      <c r="B475" t="s">
        <v>8734</v>
      </c>
      <c r="C475" t="s">
        <v>561</v>
      </c>
      <c r="D475" t="s">
        <v>44</v>
      </c>
      <c r="E475" t="s">
        <v>44</v>
      </c>
      <c r="F475">
        <v>51</v>
      </c>
      <c r="G475" t="s">
        <v>9914</v>
      </c>
      <c r="H475">
        <v>98</v>
      </c>
      <c r="I475" t="s">
        <v>9883</v>
      </c>
    </row>
    <row r="476" spans="1:9" x14ac:dyDescent="0.2">
      <c r="A476" t="s">
        <v>9322</v>
      </c>
      <c r="B476" t="s">
        <v>8735</v>
      </c>
      <c r="C476" t="s">
        <v>561</v>
      </c>
      <c r="D476" t="s">
        <v>44</v>
      </c>
      <c r="E476" t="s">
        <v>44</v>
      </c>
      <c r="F476">
        <v>60</v>
      </c>
      <c r="G476" t="s">
        <v>9916</v>
      </c>
      <c r="H476">
        <v>60</v>
      </c>
      <c r="I476" t="s">
        <v>9884</v>
      </c>
    </row>
    <row r="477" spans="1:9" x14ac:dyDescent="0.2">
      <c r="A477" t="s">
        <v>9323</v>
      </c>
      <c r="B477" t="s">
        <v>8736</v>
      </c>
      <c r="C477" t="s">
        <v>561</v>
      </c>
      <c r="D477" t="s">
        <v>44</v>
      </c>
      <c r="E477" t="s">
        <v>44</v>
      </c>
      <c r="F477">
        <v>59</v>
      </c>
      <c r="G477" t="s">
        <v>9910</v>
      </c>
      <c r="H477">
        <v>50</v>
      </c>
      <c r="I477" t="s">
        <v>9885</v>
      </c>
    </row>
    <row r="478" spans="1:9" x14ac:dyDescent="0.2">
      <c r="A478" t="s">
        <v>9324</v>
      </c>
      <c r="B478" t="s">
        <v>8737</v>
      </c>
      <c r="C478" t="s">
        <v>561</v>
      </c>
      <c r="D478" t="s">
        <v>44</v>
      </c>
      <c r="E478" t="s">
        <v>44</v>
      </c>
      <c r="F478">
        <v>40</v>
      </c>
      <c r="G478" t="s">
        <v>9915</v>
      </c>
      <c r="H478">
        <v>93</v>
      </c>
      <c r="I478" t="s">
        <v>9886</v>
      </c>
    </row>
    <row r="479" spans="1:9" x14ac:dyDescent="0.2">
      <c r="A479" t="s">
        <v>9325</v>
      </c>
      <c r="B479" t="s">
        <v>8738</v>
      </c>
      <c r="C479" t="s">
        <v>561</v>
      </c>
      <c r="D479" t="s">
        <v>44</v>
      </c>
      <c r="E479" t="s">
        <v>44</v>
      </c>
      <c r="F479">
        <v>59</v>
      </c>
      <c r="G479" t="s">
        <v>567</v>
      </c>
      <c r="H479">
        <v>95</v>
      </c>
      <c r="I479" t="s">
        <v>9887</v>
      </c>
    </row>
    <row r="480" spans="1:9" x14ac:dyDescent="0.2">
      <c r="A480" t="s">
        <v>9326</v>
      </c>
      <c r="B480" t="s">
        <v>8739</v>
      </c>
      <c r="C480" t="s">
        <v>561</v>
      </c>
      <c r="D480" t="s">
        <v>44</v>
      </c>
      <c r="E480" t="s">
        <v>44</v>
      </c>
      <c r="F480">
        <v>57</v>
      </c>
      <c r="G480" t="s">
        <v>9917</v>
      </c>
      <c r="H480">
        <v>92</v>
      </c>
      <c r="I480" t="s">
        <v>9888</v>
      </c>
    </row>
    <row r="481" spans="1:9" x14ac:dyDescent="0.2">
      <c r="A481" t="s">
        <v>9327</v>
      </c>
      <c r="B481" t="s">
        <v>8740</v>
      </c>
      <c r="C481" t="s">
        <v>561</v>
      </c>
      <c r="D481" t="s">
        <v>44</v>
      </c>
      <c r="E481" t="s">
        <v>44</v>
      </c>
      <c r="F481">
        <v>54</v>
      </c>
      <c r="G481" t="s">
        <v>9914</v>
      </c>
      <c r="H481">
        <v>80</v>
      </c>
      <c r="I481" t="s">
        <v>9889</v>
      </c>
    </row>
    <row r="482" spans="1:9" x14ac:dyDescent="0.2">
      <c r="A482" t="s">
        <v>9328</v>
      </c>
      <c r="B482" t="s">
        <v>8741</v>
      </c>
      <c r="C482" t="s">
        <v>561</v>
      </c>
      <c r="D482" t="s">
        <v>44</v>
      </c>
      <c r="E482" t="s">
        <v>44</v>
      </c>
      <c r="F482">
        <v>53</v>
      </c>
      <c r="G482" t="s">
        <v>9916</v>
      </c>
      <c r="H482">
        <v>53</v>
      </c>
      <c r="I482" t="s">
        <v>9890</v>
      </c>
    </row>
    <row r="483" spans="1:9" x14ac:dyDescent="0.2">
      <c r="A483" t="s">
        <v>9329</v>
      </c>
      <c r="B483" t="s">
        <v>8742</v>
      </c>
      <c r="C483" t="s">
        <v>561</v>
      </c>
      <c r="D483" t="s">
        <v>44</v>
      </c>
      <c r="E483" t="s">
        <v>44</v>
      </c>
      <c r="F483">
        <v>57</v>
      </c>
      <c r="G483" t="s">
        <v>9910</v>
      </c>
      <c r="H483">
        <v>73</v>
      </c>
      <c r="I483" t="s">
        <v>9891</v>
      </c>
    </row>
    <row r="484" spans="1:9" x14ac:dyDescent="0.2">
      <c r="A484" t="s">
        <v>9330</v>
      </c>
      <c r="B484" t="s">
        <v>8743</v>
      </c>
      <c r="C484" t="s">
        <v>561</v>
      </c>
      <c r="D484" t="s">
        <v>44</v>
      </c>
      <c r="E484" t="s">
        <v>44</v>
      </c>
      <c r="F484">
        <v>44</v>
      </c>
      <c r="G484" t="s">
        <v>9915</v>
      </c>
      <c r="H484">
        <v>67</v>
      </c>
      <c r="I484" t="s">
        <v>9892</v>
      </c>
    </row>
    <row r="485" spans="1:9" x14ac:dyDescent="0.2">
      <c r="A485" t="s">
        <v>9331</v>
      </c>
      <c r="B485" t="s">
        <v>8744</v>
      </c>
      <c r="C485" t="s">
        <v>561</v>
      </c>
      <c r="D485" t="s">
        <v>44</v>
      </c>
      <c r="E485" t="s">
        <v>44</v>
      </c>
      <c r="F485">
        <v>62</v>
      </c>
      <c r="G485" t="s">
        <v>567</v>
      </c>
      <c r="H485">
        <v>93</v>
      </c>
      <c r="I485" t="s">
        <v>9893</v>
      </c>
    </row>
    <row r="486" spans="1:9" x14ac:dyDescent="0.2">
      <c r="A486" t="s">
        <v>9332</v>
      </c>
      <c r="B486" t="s">
        <v>8745</v>
      </c>
      <c r="C486" t="s">
        <v>561</v>
      </c>
      <c r="D486" t="s">
        <v>44</v>
      </c>
      <c r="E486" t="s">
        <v>44</v>
      </c>
      <c r="F486">
        <v>41</v>
      </c>
      <c r="G486" t="s">
        <v>9917</v>
      </c>
      <c r="H486">
        <v>51</v>
      </c>
      <c r="I486" t="s">
        <v>9894</v>
      </c>
    </row>
    <row r="487" spans="1:9" x14ac:dyDescent="0.2">
      <c r="A487" t="s">
        <v>9333</v>
      </c>
      <c r="B487" t="s">
        <v>8746</v>
      </c>
      <c r="C487" t="s">
        <v>561</v>
      </c>
      <c r="D487" t="s">
        <v>44</v>
      </c>
      <c r="E487" t="s">
        <v>44</v>
      </c>
      <c r="F487">
        <v>62</v>
      </c>
      <c r="G487" t="s">
        <v>9914</v>
      </c>
      <c r="H487">
        <v>65</v>
      </c>
      <c r="I487" t="s">
        <v>9895</v>
      </c>
    </row>
    <row r="488" spans="1:9" x14ac:dyDescent="0.2">
      <c r="A488" t="s">
        <v>9334</v>
      </c>
      <c r="B488" t="s">
        <v>8747</v>
      </c>
      <c r="C488" t="s">
        <v>561</v>
      </c>
      <c r="D488" t="s">
        <v>44</v>
      </c>
      <c r="E488" t="s">
        <v>44</v>
      </c>
      <c r="F488">
        <v>67</v>
      </c>
      <c r="G488" t="s">
        <v>9916</v>
      </c>
      <c r="H488">
        <v>96</v>
      </c>
      <c r="I488" t="s">
        <v>9896</v>
      </c>
    </row>
    <row r="489" spans="1:9" x14ac:dyDescent="0.2">
      <c r="A489" t="s">
        <v>9335</v>
      </c>
      <c r="B489" t="s">
        <v>8748</v>
      </c>
      <c r="C489" t="s">
        <v>561</v>
      </c>
      <c r="D489" t="s">
        <v>44</v>
      </c>
      <c r="E489" t="s">
        <v>44</v>
      </c>
      <c r="F489">
        <v>54</v>
      </c>
      <c r="G489" t="s">
        <v>9910</v>
      </c>
      <c r="H489">
        <v>50</v>
      </c>
      <c r="I489" t="s">
        <v>9897</v>
      </c>
    </row>
    <row r="490" spans="1:9" x14ac:dyDescent="0.2">
      <c r="A490" t="s">
        <v>9336</v>
      </c>
      <c r="B490" t="s">
        <v>8749</v>
      </c>
      <c r="C490" t="s">
        <v>561</v>
      </c>
      <c r="D490" t="s">
        <v>44</v>
      </c>
      <c r="E490" t="s">
        <v>44</v>
      </c>
      <c r="F490">
        <v>45</v>
      </c>
      <c r="G490" t="s">
        <v>9915</v>
      </c>
      <c r="H490">
        <v>90</v>
      </c>
      <c r="I490" t="s">
        <v>9898</v>
      </c>
    </row>
    <row r="491" spans="1:9" x14ac:dyDescent="0.2">
      <c r="A491" t="s">
        <v>9337</v>
      </c>
      <c r="B491" t="s">
        <v>8750</v>
      </c>
      <c r="C491" t="s">
        <v>561</v>
      </c>
      <c r="D491" t="s">
        <v>44</v>
      </c>
      <c r="E491" t="s">
        <v>44</v>
      </c>
      <c r="F491">
        <v>66</v>
      </c>
      <c r="G491" t="s">
        <v>567</v>
      </c>
      <c r="H491">
        <v>74</v>
      </c>
      <c r="I491" t="s">
        <v>9899</v>
      </c>
    </row>
    <row r="492" spans="1:9" x14ac:dyDescent="0.2">
      <c r="A492" t="s">
        <v>9338</v>
      </c>
      <c r="B492" t="s">
        <v>8751</v>
      </c>
      <c r="C492" t="s">
        <v>561</v>
      </c>
      <c r="D492" t="s">
        <v>44</v>
      </c>
      <c r="E492" t="s">
        <v>44</v>
      </c>
      <c r="F492">
        <v>45</v>
      </c>
      <c r="G492" t="s">
        <v>9917</v>
      </c>
      <c r="H492">
        <v>88</v>
      </c>
      <c r="I492" t="s">
        <v>9900</v>
      </c>
    </row>
    <row r="493" spans="1:9" x14ac:dyDescent="0.2">
      <c r="A493" t="s">
        <v>9339</v>
      </c>
      <c r="B493" t="s">
        <v>8752</v>
      </c>
      <c r="C493" t="s">
        <v>561</v>
      </c>
      <c r="D493" t="s">
        <v>44</v>
      </c>
      <c r="E493" t="s">
        <v>44</v>
      </c>
      <c r="F493">
        <v>52</v>
      </c>
      <c r="G493" t="s">
        <v>9914</v>
      </c>
      <c r="H493">
        <v>92</v>
      </c>
      <c r="I493" t="s">
        <v>9901</v>
      </c>
    </row>
    <row r="494" spans="1:9" x14ac:dyDescent="0.2">
      <c r="A494" t="s">
        <v>9340</v>
      </c>
      <c r="B494" t="s">
        <v>8753</v>
      </c>
      <c r="C494" t="s">
        <v>561</v>
      </c>
      <c r="D494" t="s">
        <v>44</v>
      </c>
      <c r="E494" t="s">
        <v>44</v>
      </c>
      <c r="F494">
        <v>40</v>
      </c>
      <c r="G494" t="s">
        <v>9916</v>
      </c>
      <c r="H494">
        <v>52</v>
      </c>
      <c r="I494" t="s">
        <v>9902</v>
      </c>
    </row>
    <row r="495" spans="1:9" x14ac:dyDescent="0.2">
      <c r="A495" t="s">
        <v>9341</v>
      </c>
      <c r="B495" t="s">
        <v>8754</v>
      </c>
      <c r="C495" t="s">
        <v>561</v>
      </c>
      <c r="D495" t="s">
        <v>44</v>
      </c>
      <c r="E495" t="s">
        <v>44</v>
      </c>
      <c r="F495">
        <v>63</v>
      </c>
      <c r="G495" t="s">
        <v>9910</v>
      </c>
      <c r="H495">
        <v>70</v>
      </c>
      <c r="I495" t="s">
        <v>9903</v>
      </c>
    </row>
    <row r="496" spans="1:9" x14ac:dyDescent="0.2">
      <c r="A496" t="s">
        <v>9342</v>
      </c>
      <c r="B496" t="s">
        <v>8755</v>
      </c>
      <c r="C496" t="s">
        <v>561</v>
      </c>
      <c r="D496" t="s">
        <v>44</v>
      </c>
      <c r="E496" t="s">
        <v>44</v>
      </c>
      <c r="F496">
        <v>42</v>
      </c>
      <c r="G496" t="s">
        <v>567</v>
      </c>
      <c r="H496">
        <v>70</v>
      </c>
      <c r="I496" t="s">
        <v>9904</v>
      </c>
    </row>
    <row r="497" spans="1:9" x14ac:dyDescent="0.2">
      <c r="A497" t="s">
        <v>9343</v>
      </c>
      <c r="B497" t="s">
        <v>8756</v>
      </c>
      <c r="C497" t="s">
        <v>561</v>
      </c>
      <c r="D497" t="s">
        <v>44</v>
      </c>
      <c r="E497" t="s">
        <v>44</v>
      </c>
      <c r="F497">
        <v>51</v>
      </c>
      <c r="G497" t="s">
        <v>9917</v>
      </c>
      <c r="H497">
        <v>80</v>
      </c>
      <c r="I497" t="s">
        <v>9905</v>
      </c>
    </row>
    <row r="498" spans="1:9" x14ac:dyDescent="0.2">
      <c r="A498" t="s">
        <v>9344</v>
      </c>
      <c r="B498" t="s">
        <v>8757</v>
      </c>
      <c r="C498" t="s">
        <v>561</v>
      </c>
      <c r="D498" t="s">
        <v>44</v>
      </c>
      <c r="E498" t="s">
        <v>44</v>
      </c>
      <c r="F498">
        <v>49</v>
      </c>
      <c r="G498" t="s">
        <v>9914</v>
      </c>
      <c r="H498">
        <v>89</v>
      </c>
      <c r="I498" t="s">
        <v>9906</v>
      </c>
    </row>
    <row r="499" spans="1:9" x14ac:dyDescent="0.2">
      <c r="A499" t="s">
        <v>9345</v>
      </c>
      <c r="B499" t="s">
        <v>8758</v>
      </c>
      <c r="C499" t="s">
        <v>560</v>
      </c>
      <c r="D499" t="s">
        <v>44</v>
      </c>
      <c r="E499" t="s">
        <v>44</v>
      </c>
      <c r="F499">
        <v>55</v>
      </c>
      <c r="G499" t="s">
        <v>9916</v>
      </c>
      <c r="H499">
        <v>60</v>
      </c>
      <c r="I499" t="str">
        <f t="shared" si="1"/>
        <v>CON_OL_0498</v>
      </c>
    </row>
    <row r="500" spans="1:9" x14ac:dyDescent="0.2">
      <c r="A500" t="s">
        <v>9346</v>
      </c>
      <c r="B500" t="s">
        <v>8759</v>
      </c>
      <c r="C500" t="s">
        <v>560</v>
      </c>
      <c r="D500" t="s">
        <v>44</v>
      </c>
      <c r="E500" t="s">
        <v>44</v>
      </c>
      <c r="F500">
        <v>45</v>
      </c>
      <c r="G500" t="s">
        <v>9910</v>
      </c>
      <c r="H500">
        <v>80</v>
      </c>
      <c r="I500" t="str">
        <f t="shared" si="1"/>
        <v>CON_OL_0499</v>
      </c>
    </row>
    <row r="501" spans="1:9" x14ac:dyDescent="0.2">
      <c r="A501" t="s">
        <v>9347</v>
      </c>
      <c r="B501" t="s">
        <v>8760</v>
      </c>
      <c r="C501" t="s">
        <v>560</v>
      </c>
      <c r="D501" t="s">
        <v>44</v>
      </c>
      <c r="E501" t="s">
        <v>44</v>
      </c>
      <c r="F501">
        <v>67</v>
      </c>
      <c r="G501" t="s">
        <v>9915</v>
      </c>
      <c r="H501">
        <v>96</v>
      </c>
      <c r="I501" t="str">
        <f t="shared" ref="I501:I564" si="2">"CON_"&amp;LEFT(C501,FIND("_",C501&amp;"_")-1)&amp;"_"&amp;RIGHT(A501,4)</f>
        <v>CON_OL_0500</v>
      </c>
    </row>
    <row r="502" spans="1:9" x14ac:dyDescent="0.2">
      <c r="A502" t="s">
        <v>9348</v>
      </c>
      <c r="B502" t="s">
        <v>8761</v>
      </c>
      <c r="C502" t="s">
        <v>560</v>
      </c>
      <c r="D502" t="s">
        <v>44</v>
      </c>
      <c r="E502" t="s">
        <v>44</v>
      </c>
      <c r="F502">
        <v>67</v>
      </c>
      <c r="G502" t="s">
        <v>567</v>
      </c>
      <c r="H502">
        <v>58</v>
      </c>
      <c r="I502" t="str">
        <f t="shared" si="2"/>
        <v>CON_OL_0501</v>
      </c>
    </row>
    <row r="503" spans="1:9" x14ac:dyDescent="0.2">
      <c r="A503" t="s">
        <v>9349</v>
      </c>
      <c r="B503" t="s">
        <v>8762</v>
      </c>
      <c r="C503" t="s">
        <v>560</v>
      </c>
      <c r="D503" t="s">
        <v>44</v>
      </c>
      <c r="E503" t="s">
        <v>44</v>
      </c>
      <c r="F503">
        <v>41</v>
      </c>
      <c r="G503" t="s">
        <v>9917</v>
      </c>
      <c r="H503">
        <v>62</v>
      </c>
      <c r="I503" t="str">
        <f t="shared" si="2"/>
        <v>CON_OL_0502</v>
      </c>
    </row>
    <row r="504" spans="1:9" x14ac:dyDescent="0.2">
      <c r="A504" t="s">
        <v>9350</v>
      </c>
      <c r="B504" t="s">
        <v>8763</v>
      </c>
      <c r="C504" t="s">
        <v>560</v>
      </c>
      <c r="D504" t="s">
        <v>44</v>
      </c>
      <c r="E504" t="s">
        <v>44</v>
      </c>
      <c r="F504">
        <v>41</v>
      </c>
      <c r="G504" t="s">
        <v>9914</v>
      </c>
      <c r="H504">
        <v>76</v>
      </c>
      <c r="I504" t="str">
        <f t="shared" si="2"/>
        <v>CON_OL_0503</v>
      </c>
    </row>
    <row r="505" spans="1:9" x14ac:dyDescent="0.2">
      <c r="A505" t="s">
        <v>9351</v>
      </c>
      <c r="B505" t="s">
        <v>8764</v>
      </c>
      <c r="C505" t="s">
        <v>560</v>
      </c>
      <c r="D505" t="s">
        <v>44</v>
      </c>
      <c r="E505" t="s">
        <v>44</v>
      </c>
      <c r="F505">
        <v>59</v>
      </c>
      <c r="G505" t="s">
        <v>9916</v>
      </c>
      <c r="H505">
        <v>99</v>
      </c>
      <c r="I505" t="str">
        <f t="shared" si="2"/>
        <v>CON_OL_0504</v>
      </c>
    </row>
    <row r="506" spans="1:9" x14ac:dyDescent="0.2">
      <c r="A506" t="s">
        <v>9352</v>
      </c>
      <c r="B506" t="s">
        <v>8765</v>
      </c>
      <c r="C506" t="s">
        <v>560</v>
      </c>
      <c r="D506" t="s">
        <v>44</v>
      </c>
      <c r="E506" t="s">
        <v>44</v>
      </c>
      <c r="F506">
        <v>51</v>
      </c>
      <c r="G506" t="s">
        <v>9910</v>
      </c>
      <c r="H506">
        <v>60</v>
      </c>
      <c r="I506" t="str">
        <f t="shared" si="2"/>
        <v>CON_OL_0505</v>
      </c>
    </row>
    <row r="507" spans="1:9" x14ac:dyDescent="0.2">
      <c r="A507" t="s">
        <v>9353</v>
      </c>
      <c r="B507" t="s">
        <v>8766</v>
      </c>
      <c r="C507" t="s">
        <v>560</v>
      </c>
      <c r="D507" t="s">
        <v>44</v>
      </c>
      <c r="E507" t="s">
        <v>44</v>
      </c>
      <c r="F507">
        <v>70</v>
      </c>
      <c r="G507" t="s">
        <v>9915</v>
      </c>
      <c r="H507">
        <v>88</v>
      </c>
      <c r="I507" t="str">
        <f t="shared" si="2"/>
        <v>CON_OL_0506</v>
      </c>
    </row>
    <row r="508" spans="1:9" x14ac:dyDescent="0.2">
      <c r="A508" t="s">
        <v>9354</v>
      </c>
      <c r="B508" t="s">
        <v>8767</v>
      </c>
      <c r="C508" t="s">
        <v>560</v>
      </c>
      <c r="D508" t="s">
        <v>44</v>
      </c>
      <c r="E508" t="s">
        <v>44</v>
      </c>
      <c r="F508">
        <v>51</v>
      </c>
      <c r="G508" t="s">
        <v>567</v>
      </c>
      <c r="H508">
        <v>74</v>
      </c>
      <c r="I508" t="str">
        <f t="shared" si="2"/>
        <v>CON_OL_0507</v>
      </c>
    </row>
    <row r="509" spans="1:9" x14ac:dyDescent="0.2">
      <c r="A509" t="s">
        <v>9355</v>
      </c>
      <c r="B509" t="s">
        <v>8768</v>
      </c>
      <c r="C509" t="s">
        <v>560</v>
      </c>
      <c r="D509" t="s">
        <v>44</v>
      </c>
      <c r="E509" t="s">
        <v>44</v>
      </c>
      <c r="F509">
        <v>67</v>
      </c>
      <c r="G509" t="s">
        <v>9917</v>
      </c>
      <c r="H509">
        <v>93</v>
      </c>
      <c r="I509" t="str">
        <f t="shared" si="2"/>
        <v>CON_OL_0508</v>
      </c>
    </row>
    <row r="510" spans="1:9" x14ac:dyDescent="0.2">
      <c r="A510" t="s">
        <v>9356</v>
      </c>
      <c r="B510" t="s">
        <v>8769</v>
      </c>
      <c r="C510" t="s">
        <v>560</v>
      </c>
      <c r="D510" t="s">
        <v>44</v>
      </c>
      <c r="E510" t="s">
        <v>44</v>
      </c>
      <c r="F510">
        <v>48</v>
      </c>
      <c r="G510" t="s">
        <v>9914</v>
      </c>
      <c r="H510">
        <v>73</v>
      </c>
      <c r="I510" t="str">
        <f t="shared" si="2"/>
        <v>CON_OL_0509</v>
      </c>
    </row>
    <row r="511" spans="1:9" x14ac:dyDescent="0.2">
      <c r="A511" t="s">
        <v>9357</v>
      </c>
      <c r="B511" t="s">
        <v>8770</v>
      </c>
      <c r="C511" t="s">
        <v>560</v>
      </c>
      <c r="D511" t="s">
        <v>44</v>
      </c>
      <c r="E511" t="s">
        <v>44</v>
      </c>
      <c r="F511">
        <v>45</v>
      </c>
      <c r="G511" t="s">
        <v>9916</v>
      </c>
      <c r="H511">
        <v>87</v>
      </c>
      <c r="I511" t="str">
        <f t="shared" si="2"/>
        <v>CON_OL_0510</v>
      </c>
    </row>
    <row r="512" spans="1:9" x14ac:dyDescent="0.2">
      <c r="A512" t="s">
        <v>9358</v>
      </c>
      <c r="B512" t="s">
        <v>8771</v>
      </c>
      <c r="C512" t="s">
        <v>560</v>
      </c>
      <c r="D512" t="s">
        <v>44</v>
      </c>
      <c r="E512" t="s">
        <v>44</v>
      </c>
      <c r="F512">
        <v>56</v>
      </c>
      <c r="G512" t="s">
        <v>9910</v>
      </c>
      <c r="H512">
        <v>83</v>
      </c>
      <c r="I512" t="str">
        <f t="shared" si="2"/>
        <v>CON_OL_0511</v>
      </c>
    </row>
    <row r="513" spans="1:9" x14ac:dyDescent="0.2">
      <c r="A513" t="s">
        <v>9359</v>
      </c>
      <c r="B513" t="s">
        <v>8772</v>
      </c>
      <c r="C513" t="s">
        <v>560</v>
      </c>
      <c r="D513" t="s">
        <v>44</v>
      </c>
      <c r="E513" t="s">
        <v>44</v>
      </c>
      <c r="F513">
        <v>42</v>
      </c>
      <c r="G513" t="s">
        <v>9915</v>
      </c>
      <c r="H513">
        <v>52</v>
      </c>
      <c r="I513" t="str">
        <f t="shared" si="2"/>
        <v>CON_OL_0512</v>
      </c>
    </row>
    <row r="514" spans="1:9" x14ac:dyDescent="0.2">
      <c r="A514" t="s">
        <v>9360</v>
      </c>
      <c r="B514" t="s">
        <v>8773</v>
      </c>
      <c r="C514" t="s">
        <v>560</v>
      </c>
      <c r="D514" t="s">
        <v>44</v>
      </c>
      <c r="E514" t="s">
        <v>44</v>
      </c>
      <c r="F514">
        <v>49</v>
      </c>
      <c r="G514" t="s">
        <v>567</v>
      </c>
      <c r="H514">
        <v>51</v>
      </c>
      <c r="I514" t="str">
        <f t="shared" si="2"/>
        <v>CON_OL_0513</v>
      </c>
    </row>
    <row r="515" spans="1:9" x14ac:dyDescent="0.2">
      <c r="A515" t="s">
        <v>9361</v>
      </c>
      <c r="B515" t="s">
        <v>8774</v>
      </c>
      <c r="C515" t="s">
        <v>560</v>
      </c>
      <c r="D515" t="s">
        <v>44</v>
      </c>
      <c r="E515" t="s">
        <v>44</v>
      </c>
      <c r="F515">
        <v>64</v>
      </c>
      <c r="G515" t="s">
        <v>9917</v>
      </c>
      <c r="H515">
        <v>56</v>
      </c>
      <c r="I515" t="str">
        <f t="shared" si="2"/>
        <v>CON_OL_0514</v>
      </c>
    </row>
    <row r="516" spans="1:9" x14ac:dyDescent="0.2">
      <c r="A516" t="s">
        <v>9362</v>
      </c>
      <c r="B516" t="s">
        <v>8775</v>
      </c>
      <c r="C516" t="s">
        <v>560</v>
      </c>
      <c r="D516" t="s">
        <v>44</v>
      </c>
      <c r="E516" t="s">
        <v>44</v>
      </c>
      <c r="F516">
        <v>45</v>
      </c>
      <c r="G516" t="s">
        <v>9914</v>
      </c>
      <c r="H516">
        <v>71</v>
      </c>
      <c r="I516" t="str">
        <f t="shared" si="2"/>
        <v>CON_OL_0515</v>
      </c>
    </row>
    <row r="517" spans="1:9" x14ac:dyDescent="0.2">
      <c r="A517" t="s">
        <v>9363</v>
      </c>
      <c r="B517" t="s">
        <v>8776</v>
      </c>
      <c r="C517" t="s">
        <v>560</v>
      </c>
      <c r="D517" t="s">
        <v>44</v>
      </c>
      <c r="E517" t="s">
        <v>44</v>
      </c>
      <c r="F517">
        <v>61</v>
      </c>
      <c r="G517" t="s">
        <v>9916</v>
      </c>
      <c r="H517">
        <v>71</v>
      </c>
      <c r="I517" t="str">
        <f t="shared" si="2"/>
        <v>CON_OL_0516</v>
      </c>
    </row>
    <row r="518" spans="1:9" x14ac:dyDescent="0.2">
      <c r="A518" t="s">
        <v>9364</v>
      </c>
      <c r="B518" t="s">
        <v>8777</v>
      </c>
      <c r="C518" t="s">
        <v>560</v>
      </c>
      <c r="D518" t="s">
        <v>44</v>
      </c>
      <c r="E518" t="s">
        <v>44</v>
      </c>
      <c r="F518">
        <v>49</v>
      </c>
      <c r="G518" t="s">
        <v>9910</v>
      </c>
      <c r="H518">
        <v>56</v>
      </c>
      <c r="I518" t="str">
        <f t="shared" si="2"/>
        <v>CON_OL_0517</v>
      </c>
    </row>
    <row r="519" spans="1:9" x14ac:dyDescent="0.2">
      <c r="A519" t="s">
        <v>9365</v>
      </c>
      <c r="B519" t="s">
        <v>8778</v>
      </c>
      <c r="C519" t="s">
        <v>560</v>
      </c>
      <c r="D519" t="s">
        <v>44</v>
      </c>
      <c r="E519" t="s">
        <v>44</v>
      </c>
      <c r="F519">
        <v>46</v>
      </c>
      <c r="G519" t="s">
        <v>9915</v>
      </c>
      <c r="H519">
        <v>92</v>
      </c>
      <c r="I519" t="str">
        <f t="shared" si="2"/>
        <v>CON_OL_0518</v>
      </c>
    </row>
    <row r="520" spans="1:9" x14ac:dyDescent="0.2">
      <c r="A520" t="s">
        <v>9366</v>
      </c>
      <c r="B520" t="s">
        <v>8779</v>
      </c>
      <c r="C520" t="s">
        <v>560</v>
      </c>
      <c r="D520" t="s">
        <v>44</v>
      </c>
      <c r="E520" t="s">
        <v>44</v>
      </c>
      <c r="F520">
        <v>54</v>
      </c>
      <c r="G520" t="s">
        <v>567</v>
      </c>
      <c r="H520">
        <v>93</v>
      </c>
      <c r="I520" t="str">
        <f t="shared" si="2"/>
        <v>CON_OL_0519</v>
      </c>
    </row>
    <row r="521" spans="1:9" x14ac:dyDescent="0.2">
      <c r="A521" t="s">
        <v>9367</v>
      </c>
      <c r="B521" t="s">
        <v>8780</v>
      </c>
      <c r="C521" t="s">
        <v>560</v>
      </c>
      <c r="D521" t="s">
        <v>44</v>
      </c>
      <c r="E521" t="s">
        <v>44</v>
      </c>
      <c r="F521">
        <v>42</v>
      </c>
      <c r="G521" t="s">
        <v>9917</v>
      </c>
      <c r="H521">
        <v>77</v>
      </c>
      <c r="I521" t="str">
        <f t="shared" si="2"/>
        <v>CON_OL_0520</v>
      </c>
    </row>
    <row r="522" spans="1:9" x14ac:dyDescent="0.2">
      <c r="A522" t="s">
        <v>9368</v>
      </c>
      <c r="B522" t="s">
        <v>8781</v>
      </c>
      <c r="C522" t="s">
        <v>560</v>
      </c>
      <c r="D522" t="s">
        <v>44</v>
      </c>
      <c r="E522" t="s">
        <v>44</v>
      </c>
      <c r="F522">
        <v>50</v>
      </c>
      <c r="G522" t="s">
        <v>9914</v>
      </c>
      <c r="H522">
        <v>65</v>
      </c>
      <c r="I522" t="str">
        <f t="shared" si="2"/>
        <v>CON_OL_0521</v>
      </c>
    </row>
    <row r="523" spans="1:9" x14ac:dyDescent="0.2">
      <c r="A523" t="s">
        <v>9369</v>
      </c>
      <c r="B523" t="s">
        <v>8782</v>
      </c>
      <c r="C523" t="s">
        <v>560</v>
      </c>
      <c r="D523" t="s">
        <v>44</v>
      </c>
      <c r="E523" t="s">
        <v>44</v>
      </c>
      <c r="F523">
        <v>40</v>
      </c>
      <c r="G523" t="s">
        <v>9916</v>
      </c>
      <c r="H523">
        <v>69</v>
      </c>
      <c r="I523" t="str">
        <f t="shared" si="2"/>
        <v>CON_OL_0522</v>
      </c>
    </row>
    <row r="524" spans="1:9" x14ac:dyDescent="0.2">
      <c r="A524" t="s">
        <v>9370</v>
      </c>
      <c r="B524" t="s">
        <v>8783</v>
      </c>
      <c r="C524" t="s">
        <v>560</v>
      </c>
      <c r="D524" t="s">
        <v>44</v>
      </c>
      <c r="E524" t="s">
        <v>44</v>
      </c>
      <c r="F524">
        <v>47</v>
      </c>
      <c r="G524" t="s">
        <v>9910</v>
      </c>
      <c r="H524">
        <v>71</v>
      </c>
      <c r="I524" t="str">
        <f t="shared" si="2"/>
        <v>CON_OL_0523</v>
      </c>
    </row>
    <row r="525" spans="1:9" x14ac:dyDescent="0.2">
      <c r="A525" t="s">
        <v>9371</v>
      </c>
      <c r="B525" t="s">
        <v>8784</v>
      </c>
      <c r="C525" t="s">
        <v>560</v>
      </c>
      <c r="D525" t="s">
        <v>44</v>
      </c>
      <c r="E525" t="s">
        <v>44</v>
      </c>
      <c r="F525">
        <v>42</v>
      </c>
      <c r="G525" t="s">
        <v>567</v>
      </c>
      <c r="H525">
        <v>66</v>
      </c>
      <c r="I525" t="str">
        <f t="shared" si="2"/>
        <v>CON_OL_0524</v>
      </c>
    </row>
    <row r="526" spans="1:9" x14ac:dyDescent="0.2">
      <c r="A526" t="s">
        <v>9372</v>
      </c>
      <c r="B526" t="s">
        <v>8785</v>
      </c>
      <c r="C526" t="s">
        <v>560</v>
      </c>
      <c r="D526" t="s">
        <v>44</v>
      </c>
      <c r="E526" t="s">
        <v>44</v>
      </c>
      <c r="F526">
        <v>42</v>
      </c>
      <c r="G526" t="s">
        <v>9917</v>
      </c>
      <c r="H526">
        <v>52</v>
      </c>
      <c r="I526" t="str">
        <f t="shared" si="2"/>
        <v>CON_OL_0525</v>
      </c>
    </row>
    <row r="527" spans="1:9" x14ac:dyDescent="0.2">
      <c r="A527" t="s">
        <v>9373</v>
      </c>
      <c r="B527" t="s">
        <v>8786</v>
      </c>
      <c r="C527" t="s">
        <v>560</v>
      </c>
      <c r="D527" t="s">
        <v>44</v>
      </c>
      <c r="E527" t="s">
        <v>44</v>
      </c>
      <c r="F527">
        <v>58</v>
      </c>
      <c r="G527" t="s">
        <v>9914</v>
      </c>
      <c r="H527">
        <v>73</v>
      </c>
      <c r="I527" t="str">
        <f t="shared" si="2"/>
        <v>CON_OL_0526</v>
      </c>
    </row>
    <row r="528" spans="1:9" x14ac:dyDescent="0.2">
      <c r="A528" t="s">
        <v>9374</v>
      </c>
      <c r="B528" t="s">
        <v>8787</v>
      </c>
      <c r="C528" t="s">
        <v>560</v>
      </c>
      <c r="D528" t="s">
        <v>44</v>
      </c>
      <c r="E528" t="s">
        <v>44</v>
      </c>
      <c r="F528">
        <v>68</v>
      </c>
      <c r="G528" t="s">
        <v>9916</v>
      </c>
      <c r="H528">
        <v>51</v>
      </c>
      <c r="I528" t="str">
        <f t="shared" si="2"/>
        <v>CON_OL_0527</v>
      </c>
    </row>
    <row r="529" spans="1:9" x14ac:dyDescent="0.2">
      <c r="A529" t="s">
        <v>9375</v>
      </c>
      <c r="B529" t="s">
        <v>8788</v>
      </c>
      <c r="C529" t="s">
        <v>560</v>
      </c>
      <c r="D529" t="s">
        <v>44</v>
      </c>
      <c r="E529" t="s">
        <v>44</v>
      </c>
      <c r="F529">
        <v>54</v>
      </c>
      <c r="G529" t="s">
        <v>9910</v>
      </c>
      <c r="H529">
        <v>56</v>
      </c>
      <c r="I529" t="str">
        <f t="shared" si="2"/>
        <v>CON_OL_0528</v>
      </c>
    </row>
    <row r="530" spans="1:9" x14ac:dyDescent="0.2">
      <c r="A530" t="s">
        <v>9376</v>
      </c>
      <c r="B530" t="s">
        <v>8789</v>
      </c>
      <c r="C530" t="s">
        <v>560</v>
      </c>
      <c r="D530" t="s">
        <v>44</v>
      </c>
      <c r="E530" t="s">
        <v>44</v>
      </c>
      <c r="F530">
        <v>55</v>
      </c>
      <c r="G530" t="s">
        <v>9915</v>
      </c>
      <c r="H530">
        <v>88</v>
      </c>
      <c r="I530" t="str">
        <f t="shared" si="2"/>
        <v>CON_OL_0529</v>
      </c>
    </row>
    <row r="531" spans="1:9" x14ac:dyDescent="0.2">
      <c r="A531" t="s">
        <v>9377</v>
      </c>
      <c r="B531" t="s">
        <v>8790</v>
      </c>
      <c r="C531" t="s">
        <v>562</v>
      </c>
      <c r="D531" t="s">
        <v>44</v>
      </c>
      <c r="E531" t="s">
        <v>44</v>
      </c>
      <c r="F531">
        <v>64</v>
      </c>
      <c r="G531" t="s">
        <v>9873</v>
      </c>
      <c r="H531">
        <v>52</v>
      </c>
      <c r="I531" t="str">
        <f t="shared" si="2"/>
        <v>CON_DL_0530</v>
      </c>
    </row>
    <row r="532" spans="1:9" x14ac:dyDescent="0.2">
      <c r="A532" t="s">
        <v>9378</v>
      </c>
      <c r="B532" t="s">
        <v>8791</v>
      </c>
      <c r="C532" t="s">
        <v>562</v>
      </c>
      <c r="D532" t="s">
        <v>44</v>
      </c>
      <c r="E532" t="s">
        <v>44</v>
      </c>
      <c r="F532">
        <v>52</v>
      </c>
      <c r="G532" t="s">
        <v>9874</v>
      </c>
      <c r="H532">
        <v>53</v>
      </c>
      <c r="I532" t="str">
        <f t="shared" si="2"/>
        <v>CON_DL_0531</v>
      </c>
    </row>
    <row r="533" spans="1:9" x14ac:dyDescent="0.2">
      <c r="A533" t="s">
        <v>9379</v>
      </c>
      <c r="B533" t="s">
        <v>8792</v>
      </c>
      <c r="C533" t="s">
        <v>562</v>
      </c>
      <c r="D533" t="s">
        <v>44</v>
      </c>
      <c r="E533" t="s">
        <v>44</v>
      </c>
      <c r="F533">
        <v>69</v>
      </c>
      <c r="G533" t="s">
        <v>9869</v>
      </c>
      <c r="H533">
        <v>59</v>
      </c>
      <c r="I533" t="str">
        <f t="shared" si="2"/>
        <v>CON_DL_0532</v>
      </c>
    </row>
    <row r="534" spans="1:9" x14ac:dyDescent="0.2">
      <c r="A534" t="s">
        <v>9380</v>
      </c>
      <c r="B534" t="s">
        <v>8793</v>
      </c>
      <c r="C534" t="s">
        <v>562</v>
      </c>
      <c r="D534" t="s">
        <v>44</v>
      </c>
      <c r="E534" t="s">
        <v>44</v>
      </c>
      <c r="F534">
        <v>41</v>
      </c>
      <c r="G534" t="s">
        <v>9870</v>
      </c>
      <c r="H534">
        <v>71</v>
      </c>
      <c r="I534" t="str">
        <f t="shared" si="2"/>
        <v>CON_DL_0533</v>
      </c>
    </row>
    <row r="535" spans="1:9" x14ac:dyDescent="0.2">
      <c r="A535" t="s">
        <v>9381</v>
      </c>
      <c r="B535" t="s">
        <v>8794</v>
      </c>
      <c r="C535" t="s">
        <v>562</v>
      </c>
      <c r="D535" t="s">
        <v>44</v>
      </c>
      <c r="E535" t="s">
        <v>44</v>
      </c>
      <c r="F535">
        <v>45</v>
      </c>
      <c r="G535" t="s">
        <v>9871</v>
      </c>
      <c r="H535">
        <v>50</v>
      </c>
      <c r="I535" t="str">
        <f t="shared" si="2"/>
        <v>CON_DL_0534</v>
      </c>
    </row>
    <row r="536" spans="1:9" x14ac:dyDescent="0.2">
      <c r="A536" t="s">
        <v>9382</v>
      </c>
      <c r="B536" t="s">
        <v>8795</v>
      </c>
      <c r="C536" t="s">
        <v>562</v>
      </c>
      <c r="D536" t="s">
        <v>44</v>
      </c>
      <c r="E536" t="s">
        <v>44</v>
      </c>
      <c r="F536">
        <v>53</v>
      </c>
      <c r="G536" t="s">
        <v>9872</v>
      </c>
      <c r="H536">
        <v>50</v>
      </c>
      <c r="I536" t="str">
        <f t="shared" si="2"/>
        <v>CON_DL_0535</v>
      </c>
    </row>
    <row r="537" spans="1:9" x14ac:dyDescent="0.2">
      <c r="A537" t="s">
        <v>9383</v>
      </c>
      <c r="B537" t="s">
        <v>8796</v>
      </c>
      <c r="C537" t="s">
        <v>562</v>
      </c>
      <c r="D537" t="s">
        <v>44</v>
      </c>
      <c r="E537" t="s">
        <v>44</v>
      </c>
      <c r="F537">
        <v>40</v>
      </c>
      <c r="G537" t="s">
        <v>9873</v>
      </c>
      <c r="H537">
        <v>80</v>
      </c>
      <c r="I537" t="str">
        <f t="shared" si="2"/>
        <v>CON_DL_0536</v>
      </c>
    </row>
    <row r="538" spans="1:9" x14ac:dyDescent="0.2">
      <c r="A538" t="s">
        <v>9384</v>
      </c>
      <c r="B538" t="s">
        <v>8797</v>
      </c>
      <c r="C538" t="s">
        <v>562</v>
      </c>
      <c r="D538" t="s">
        <v>44</v>
      </c>
      <c r="E538" t="s">
        <v>44</v>
      </c>
      <c r="F538">
        <v>62</v>
      </c>
      <c r="G538" t="s">
        <v>9874</v>
      </c>
      <c r="H538">
        <v>51</v>
      </c>
      <c r="I538" t="str">
        <f t="shared" si="2"/>
        <v>CON_DL_0537</v>
      </c>
    </row>
    <row r="539" spans="1:9" x14ac:dyDescent="0.2">
      <c r="A539" t="s">
        <v>9385</v>
      </c>
      <c r="B539" t="s">
        <v>8798</v>
      </c>
      <c r="C539" t="s">
        <v>562</v>
      </c>
      <c r="D539" t="s">
        <v>44</v>
      </c>
      <c r="E539" t="s">
        <v>44</v>
      </c>
      <c r="F539">
        <v>60</v>
      </c>
      <c r="G539" t="s">
        <v>9869</v>
      </c>
      <c r="H539">
        <v>95</v>
      </c>
      <c r="I539" t="str">
        <f t="shared" si="2"/>
        <v>CON_DL_0538</v>
      </c>
    </row>
    <row r="540" spans="1:9" x14ac:dyDescent="0.2">
      <c r="A540" t="s">
        <v>9386</v>
      </c>
      <c r="B540" t="s">
        <v>8799</v>
      </c>
      <c r="C540" t="s">
        <v>562</v>
      </c>
      <c r="D540" t="s">
        <v>44</v>
      </c>
      <c r="E540" t="s">
        <v>44</v>
      </c>
      <c r="F540">
        <v>56</v>
      </c>
      <c r="G540" t="s">
        <v>9870</v>
      </c>
      <c r="H540">
        <v>89</v>
      </c>
      <c r="I540" t="str">
        <f t="shared" si="2"/>
        <v>CON_DL_0539</v>
      </c>
    </row>
    <row r="541" spans="1:9" x14ac:dyDescent="0.2">
      <c r="A541" t="s">
        <v>9387</v>
      </c>
      <c r="B541" t="s">
        <v>8800</v>
      </c>
      <c r="C541" t="s">
        <v>562</v>
      </c>
      <c r="D541" t="s">
        <v>44</v>
      </c>
      <c r="E541" t="s">
        <v>44</v>
      </c>
      <c r="F541">
        <v>59</v>
      </c>
      <c r="G541" t="s">
        <v>9873</v>
      </c>
      <c r="H541">
        <v>82</v>
      </c>
      <c r="I541" t="str">
        <f t="shared" si="2"/>
        <v>CON_DL_0540</v>
      </c>
    </row>
    <row r="542" spans="1:9" x14ac:dyDescent="0.2">
      <c r="A542" t="s">
        <v>9388</v>
      </c>
      <c r="B542" t="s">
        <v>8801</v>
      </c>
      <c r="C542" t="s">
        <v>562</v>
      </c>
      <c r="D542" t="s">
        <v>44</v>
      </c>
      <c r="E542" t="s">
        <v>44</v>
      </c>
      <c r="F542">
        <v>69</v>
      </c>
      <c r="G542" t="s">
        <v>9874</v>
      </c>
      <c r="H542">
        <v>59</v>
      </c>
      <c r="I542" t="str">
        <f t="shared" si="2"/>
        <v>CON_DL_0541</v>
      </c>
    </row>
    <row r="543" spans="1:9" x14ac:dyDescent="0.2">
      <c r="A543" t="s">
        <v>9389</v>
      </c>
      <c r="B543" t="s">
        <v>8802</v>
      </c>
      <c r="C543" t="s">
        <v>562</v>
      </c>
      <c r="D543" t="s">
        <v>44</v>
      </c>
      <c r="E543" t="s">
        <v>44</v>
      </c>
      <c r="F543">
        <v>42</v>
      </c>
      <c r="G543" t="s">
        <v>9869</v>
      </c>
      <c r="H543">
        <v>58</v>
      </c>
      <c r="I543" t="str">
        <f t="shared" si="2"/>
        <v>CON_DL_0542</v>
      </c>
    </row>
    <row r="544" spans="1:9" x14ac:dyDescent="0.2">
      <c r="A544" t="s">
        <v>9390</v>
      </c>
      <c r="B544" t="s">
        <v>8803</v>
      </c>
      <c r="C544" t="s">
        <v>562</v>
      </c>
      <c r="D544" t="s">
        <v>44</v>
      </c>
      <c r="E544" t="s">
        <v>44</v>
      </c>
      <c r="F544">
        <v>67</v>
      </c>
      <c r="G544" t="s">
        <v>9870</v>
      </c>
      <c r="H544">
        <v>100</v>
      </c>
      <c r="I544" t="str">
        <f t="shared" si="2"/>
        <v>CON_DL_0543</v>
      </c>
    </row>
    <row r="545" spans="1:9" x14ac:dyDescent="0.2">
      <c r="A545" t="s">
        <v>9391</v>
      </c>
      <c r="B545" t="s">
        <v>8804</v>
      </c>
      <c r="C545" t="s">
        <v>562</v>
      </c>
      <c r="D545" t="s">
        <v>44</v>
      </c>
      <c r="E545" t="s">
        <v>44</v>
      </c>
      <c r="F545">
        <v>55</v>
      </c>
      <c r="G545" t="s">
        <v>9871</v>
      </c>
      <c r="H545">
        <v>53</v>
      </c>
      <c r="I545" t="str">
        <f t="shared" si="2"/>
        <v>CON_DL_0544</v>
      </c>
    </row>
    <row r="546" spans="1:9" x14ac:dyDescent="0.2">
      <c r="A546" t="s">
        <v>9392</v>
      </c>
      <c r="B546" t="s">
        <v>8805</v>
      </c>
      <c r="C546" t="s">
        <v>562</v>
      </c>
      <c r="D546" t="s">
        <v>44</v>
      </c>
      <c r="E546" t="s">
        <v>44</v>
      </c>
      <c r="F546">
        <v>44</v>
      </c>
      <c r="G546" t="s">
        <v>9872</v>
      </c>
      <c r="H546">
        <v>62</v>
      </c>
      <c r="I546" t="str">
        <f t="shared" si="2"/>
        <v>CON_DL_0545</v>
      </c>
    </row>
    <row r="547" spans="1:9" x14ac:dyDescent="0.2">
      <c r="A547" t="s">
        <v>9393</v>
      </c>
      <c r="B547" t="s">
        <v>8806</v>
      </c>
      <c r="C547" t="s">
        <v>562</v>
      </c>
      <c r="D547" t="s">
        <v>44</v>
      </c>
      <c r="E547" t="s">
        <v>44</v>
      </c>
      <c r="F547">
        <v>43</v>
      </c>
      <c r="G547" t="s">
        <v>9873</v>
      </c>
      <c r="H547">
        <v>59</v>
      </c>
      <c r="I547" t="str">
        <f t="shared" si="2"/>
        <v>CON_DL_0546</v>
      </c>
    </row>
    <row r="548" spans="1:9" x14ac:dyDescent="0.2">
      <c r="A548" t="s">
        <v>9394</v>
      </c>
      <c r="B548" t="s">
        <v>8807</v>
      </c>
      <c r="C548" t="s">
        <v>562</v>
      </c>
      <c r="D548" t="s">
        <v>44</v>
      </c>
      <c r="E548" t="s">
        <v>44</v>
      </c>
      <c r="F548">
        <v>47</v>
      </c>
      <c r="G548" t="s">
        <v>9874</v>
      </c>
      <c r="H548">
        <v>57</v>
      </c>
      <c r="I548" t="str">
        <f t="shared" si="2"/>
        <v>CON_DL_0547</v>
      </c>
    </row>
    <row r="549" spans="1:9" x14ac:dyDescent="0.2">
      <c r="A549" t="s">
        <v>9395</v>
      </c>
      <c r="B549" t="s">
        <v>8808</v>
      </c>
      <c r="C549" t="s">
        <v>562</v>
      </c>
      <c r="D549" t="s">
        <v>44</v>
      </c>
      <c r="E549" t="s">
        <v>44</v>
      </c>
      <c r="F549">
        <v>46</v>
      </c>
      <c r="G549" t="s">
        <v>9869</v>
      </c>
      <c r="H549">
        <v>64</v>
      </c>
      <c r="I549" t="str">
        <f t="shared" si="2"/>
        <v>CON_DL_0548</v>
      </c>
    </row>
    <row r="550" spans="1:9" x14ac:dyDescent="0.2">
      <c r="A550" t="s">
        <v>9396</v>
      </c>
      <c r="B550" t="s">
        <v>8809</v>
      </c>
      <c r="C550" t="s">
        <v>562</v>
      </c>
      <c r="D550" t="s">
        <v>44</v>
      </c>
      <c r="E550" t="s">
        <v>44</v>
      </c>
      <c r="F550">
        <v>58</v>
      </c>
      <c r="G550" t="s">
        <v>9870</v>
      </c>
      <c r="H550">
        <v>55</v>
      </c>
      <c r="I550" t="str">
        <f t="shared" si="2"/>
        <v>CON_DL_0549</v>
      </c>
    </row>
    <row r="551" spans="1:9" x14ac:dyDescent="0.2">
      <c r="A551" t="s">
        <v>9397</v>
      </c>
      <c r="B551" t="s">
        <v>8810</v>
      </c>
      <c r="C551" t="s">
        <v>562</v>
      </c>
      <c r="D551" t="s">
        <v>44</v>
      </c>
      <c r="E551" t="s">
        <v>44</v>
      </c>
      <c r="F551">
        <v>42</v>
      </c>
      <c r="G551" t="s">
        <v>9873</v>
      </c>
      <c r="H551">
        <v>95</v>
      </c>
      <c r="I551" t="str">
        <f t="shared" si="2"/>
        <v>CON_DL_0550</v>
      </c>
    </row>
    <row r="552" spans="1:9" x14ac:dyDescent="0.2">
      <c r="A552" t="s">
        <v>9398</v>
      </c>
      <c r="B552" t="s">
        <v>8811</v>
      </c>
      <c r="C552" t="s">
        <v>562</v>
      </c>
      <c r="D552" t="s">
        <v>44</v>
      </c>
      <c r="E552" t="s">
        <v>44</v>
      </c>
      <c r="F552">
        <v>64</v>
      </c>
      <c r="G552" t="s">
        <v>9874</v>
      </c>
      <c r="H552">
        <v>78</v>
      </c>
      <c r="I552" t="str">
        <f t="shared" si="2"/>
        <v>CON_DL_0551</v>
      </c>
    </row>
    <row r="553" spans="1:9" x14ac:dyDescent="0.2">
      <c r="A553" t="s">
        <v>9399</v>
      </c>
      <c r="B553" t="s">
        <v>8812</v>
      </c>
      <c r="C553" t="s">
        <v>562</v>
      </c>
      <c r="D553" t="s">
        <v>44</v>
      </c>
      <c r="E553" t="s">
        <v>44</v>
      </c>
      <c r="F553">
        <v>47</v>
      </c>
      <c r="G553" t="s">
        <v>9869</v>
      </c>
      <c r="H553">
        <v>53</v>
      </c>
      <c r="I553" t="str">
        <f t="shared" si="2"/>
        <v>CON_DL_0552</v>
      </c>
    </row>
    <row r="554" spans="1:9" x14ac:dyDescent="0.2">
      <c r="A554" t="s">
        <v>9400</v>
      </c>
      <c r="B554" t="s">
        <v>8813</v>
      </c>
      <c r="C554" t="s">
        <v>562</v>
      </c>
      <c r="D554" t="s">
        <v>44</v>
      </c>
      <c r="E554" t="s">
        <v>44</v>
      </c>
      <c r="F554">
        <v>43</v>
      </c>
      <c r="G554" t="s">
        <v>9870</v>
      </c>
      <c r="H554">
        <v>99</v>
      </c>
      <c r="I554" t="str">
        <f t="shared" si="2"/>
        <v>CON_DL_0553</v>
      </c>
    </row>
    <row r="555" spans="1:9" x14ac:dyDescent="0.2">
      <c r="A555" t="s">
        <v>9401</v>
      </c>
      <c r="B555" t="s">
        <v>8814</v>
      </c>
      <c r="C555" t="s">
        <v>562</v>
      </c>
      <c r="D555" t="s">
        <v>44</v>
      </c>
      <c r="E555" t="s">
        <v>44</v>
      </c>
      <c r="F555">
        <v>45</v>
      </c>
      <c r="G555" t="s">
        <v>9871</v>
      </c>
      <c r="H555">
        <v>61</v>
      </c>
      <c r="I555" t="str">
        <f t="shared" si="2"/>
        <v>CON_DL_0554</v>
      </c>
    </row>
    <row r="556" spans="1:9" x14ac:dyDescent="0.2">
      <c r="A556" t="s">
        <v>9402</v>
      </c>
      <c r="B556" t="s">
        <v>8815</v>
      </c>
      <c r="C556" t="s">
        <v>562</v>
      </c>
      <c r="D556" t="s">
        <v>44</v>
      </c>
      <c r="E556" t="s">
        <v>44</v>
      </c>
      <c r="F556">
        <v>59</v>
      </c>
      <c r="G556" t="s">
        <v>9872</v>
      </c>
      <c r="H556">
        <v>52</v>
      </c>
      <c r="I556" t="str">
        <f t="shared" si="2"/>
        <v>CON_DL_0555</v>
      </c>
    </row>
    <row r="557" spans="1:9" x14ac:dyDescent="0.2">
      <c r="A557" t="s">
        <v>9403</v>
      </c>
      <c r="B557" t="s">
        <v>8816</v>
      </c>
      <c r="C557" t="s">
        <v>562</v>
      </c>
      <c r="D557" t="s">
        <v>44</v>
      </c>
      <c r="E557" t="s">
        <v>44</v>
      </c>
      <c r="F557">
        <v>64</v>
      </c>
      <c r="G557" t="s">
        <v>9873</v>
      </c>
      <c r="H557">
        <v>75</v>
      </c>
      <c r="I557" t="str">
        <f t="shared" si="2"/>
        <v>CON_DL_0556</v>
      </c>
    </row>
    <row r="558" spans="1:9" x14ac:dyDescent="0.2">
      <c r="A558" t="s">
        <v>9404</v>
      </c>
      <c r="B558" t="s">
        <v>8817</v>
      </c>
      <c r="C558" t="s">
        <v>562</v>
      </c>
      <c r="D558" t="s">
        <v>44</v>
      </c>
      <c r="E558" t="s">
        <v>44</v>
      </c>
      <c r="F558">
        <v>58</v>
      </c>
      <c r="G558" t="s">
        <v>9874</v>
      </c>
      <c r="H558">
        <v>60</v>
      </c>
      <c r="I558" t="str">
        <f t="shared" si="2"/>
        <v>CON_DL_0557</v>
      </c>
    </row>
    <row r="559" spans="1:9" x14ac:dyDescent="0.2">
      <c r="A559" t="s">
        <v>9405</v>
      </c>
      <c r="B559" t="s">
        <v>8818</v>
      </c>
      <c r="C559" t="s">
        <v>562</v>
      </c>
      <c r="D559" t="s">
        <v>44</v>
      </c>
      <c r="E559" t="s">
        <v>44</v>
      </c>
      <c r="F559">
        <v>60</v>
      </c>
      <c r="G559" t="s">
        <v>9869</v>
      </c>
      <c r="H559">
        <v>65</v>
      </c>
      <c r="I559" t="str">
        <f t="shared" si="2"/>
        <v>CON_DL_0558</v>
      </c>
    </row>
    <row r="560" spans="1:9" x14ac:dyDescent="0.2">
      <c r="A560" t="s">
        <v>9406</v>
      </c>
      <c r="B560" t="s">
        <v>8819</v>
      </c>
      <c r="C560" t="s">
        <v>562</v>
      </c>
      <c r="D560" t="s">
        <v>44</v>
      </c>
      <c r="E560" t="s">
        <v>44</v>
      </c>
      <c r="F560">
        <v>50</v>
      </c>
      <c r="G560" t="s">
        <v>9870</v>
      </c>
      <c r="H560">
        <v>94</v>
      </c>
      <c r="I560" t="str">
        <f t="shared" si="2"/>
        <v>CON_DL_0559</v>
      </c>
    </row>
    <row r="561" spans="1:9" x14ac:dyDescent="0.2">
      <c r="A561" t="s">
        <v>9407</v>
      </c>
      <c r="B561" t="s">
        <v>8820</v>
      </c>
      <c r="C561" t="s">
        <v>562</v>
      </c>
      <c r="D561" t="s">
        <v>44</v>
      </c>
      <c r="E561" t="s">
        <v>44</v>
      </c>
      <c r="F561">
        <v>54</v>
      </c>
      <c r="G561" t="s">
        <v>9873</v>
      </c>
      <c r="H561">
        <v>62</v>
      </c>
      <c r="I561" t="str">
        <f t="shared" si="2"/>
        <v>CON_DL_0560</v>
      </c>
    </row>
    <row r="562" spans="1:9" x14ac:dyDescent="0.2">
      <c r="A562" t="s">
        <v>9408</v>
      </c>
      <c r="B562" t="s">
        <v>8821</v>
      </c>
      <c r="C562" t="s">
        <v>562</v>
      </c>
      <c r="D562" t="s">
        <v>44</v>
      </c>
      <c r="E562" t="s">
        <v>44</v>
      </c>
      <c r="F562">
        <v>59</v>
      </c>
      <c r="G562" t="s">
        <v>9874</v>
      </c>
      <c r="H562">
        <v>85</v>
      </c>
      <c r="I562" t="str">
        <f t="shared" si="2"/>
        <v>CON_DL_0561</v>
      </c>
    </row>
    <row r="563" spans="1:9" x14ac:dyDescent="0.2">
      <c r="A563" t="s">
        <v>9409</v>
      </c>
      <c r="B563" t="s">
        <v>8822</v>
      </c>
      <c r="C563" t="s">
        <v>565</v>
      </c>
      <c r="D563" t="s">
        <v>44</v>
      </c>
      <c r="E563" t="s">
        <v>44</v>
      </c>
      <c r="F563">
        <v>55</v>
      </c>
      <c r="G563" t="s">
        <v>568</v>
      </c>
      <c r="H563">
        <v>79</v>
      </c>
      <c r="I563" t="str">
        <f t="shared" si="2"/>
        <v>CON_ST_0562</v>
      </c>
    </row>
    <row r="564" spans="1:9" x14ac:dyDescent="0.2">
      <c r="A564" t="s">
        <v>9410</v>
      </c>
      <c r="B564" t="s">
        <v>8823</v>
      </c>
      <c r="C564" t="s">
        <v>565</v>
      </c>
      <c r="D564" t="s">
        <v>44</v>
      </c>
      <c r="E564" t="s">
        <v>44</v>
      </c>
      <c r="F564">
        <v>64</v>
      </c>
      <c r="G564" t="s">
        <v>9907</v>
      </c>
      <c r="H564">
        <v>84</v>
      </c>
      <c r="I564" t="str">
        <f t="shared" si="2"/>
        <v>CON_ST_0563</v>
      </c>
    </row>
    <row r="565" spans="1:9" x14ac:dyDescent="0.2">
      <c r="A565" t="s">
        <v>9411</v>
      </c>
      <c r="B565" t="s">
        <v>8824</v>
      </c>
      <c r="C565" t="s">
        <v>565</v>
      </c>
      <c r="D565" t="s">
        <v>44</v>
      </c>
      <c r="E565" t="s">
        <v>44</v>
      </c>
      <c r="F565">
        <v>51</v>
      </c>
      <c r="G565" t="s">
        <v>9908</v>
      </c>
      <c r="H565">
        <v>52</v>
      </c>
      <c r="I565" t="str">
        <f t="shared" ref="I565:I628" si="3">"CON_"&amp;LEFT(C565,FIND("_",C565&amp;"_")-1)&amp;"_"&amp;RIGHT(A565,4)</f>
        <v>CON_ST_0564</v>
      </c>
    </row>
    <row r="566" spans="1:9" x14ac:dyDescent="0.2">
      <c r="A566" t="s">
        <v>9412</v>
      </c>
      <c r="B566" t="s">
        <v>8825</v>
      </c>
      <c r="C566" t="s">
        <v>565</v>
      </c>
      <c r="D566" t="s">
        <v>44</v>
      </c>
      <c r="E566" t="s">
        <v>44</v>
      </c>
      <c r="F566">
        <v>59</v>
      </c>
      <c r="G566" t="s">
        <v>9909</v>
      </c>
      <c r="H566">
        <v>74</v>
      </c>
      <c r="I566" t="str">
        <f t="shared" si="3"/>
        <v>CON_ST_0565</v>
      </c>
    </row>
    <row r="567" spans="1:9" x14ac:dyDescent="0.2">
      <c r="A567" t="s">
        <v>9413</v>
      </c>
      <c r="B567" t="s">
        <v>8826</v>
      </c>
      <c r="C567" t="s">
        <v>565</v>
      </c>
      <c r="D567" t="s">
        <v>44</v>
      </c>
      <c r="E567" t="s">
        <v>44</v>
      </c>
      <c r="F567">
        <v>55</v>
      </c>
      <c r="G567" t="s">
        <v>568</v>
      </c>
      <c r="H567">
        <v>92</v>
      </c>
      <c r="I567" t="str">
        <f t="shared" si="3"/>
        <v>CON_ST_0566</v>
      </c>
    </row>
    <row r="568" spans="1:9" x14ac:dyDescent="0.2">
      <c r="A568" t="s">
        <v>9414</v>
      </c>
      <c r="B568" t="s">
        <v>8827</v>
      </c>
      <c r="C568" t="s">
        <v>565</v>
      </c>
      <c r="D568" t="s">
        <v>44</v>
      </c>
      <c r="E568" t="s">
        <v>44</v>
      </c>
      <c r="F568">
        <v>55</v>
      </c>
      <c r="G568" t="s">
        <v>9907</v>
      </c>
      <c r="H568">
        <v>94</v>
      </c>
      <c r="I568" t="str">
        <f t="shared" si="3"/>
        <v>CON_ST_0567</v>
      </c>
    </row>
    <row r="569" spans="1:9" x14ac:dyDescent="0.2">
      <c r="A569" t="s">
        <v>9415</v>
      </c>
      <c r="B569" t="s">
        <v>8828</v>
      </c>
      <c r="C569" t="s">
        <v>565</v>
      </c>
      <c r="D569" t="s">
        <v>44</v>
      </c>
      <c r="E569" t="s">
        <v>44</v>
      </c>
      <c r="F569">
        <v>62</v>
      </c>
      <c r="G569" t="s">
        <v>9908</v>
      </c>
      <c r="H569">
        <v>52</v>
      </c>
      <c r="I569" t="str">
        <f t="shared" si="3"/>
        <v>CON_ST_0568</v>
      </c>
    </row>
    <row r="570" spans="1:9" x14ac:dyDescent="0.2">
      <c r="A570" t="s">
        <v>9416</v>
      </c>
      <c r="B570" t="s">
        <v>8829</v>
      </c>
      <c r="C570" t="s">
        <v>565</v>
      </c>
      <c r="D570" t="s">
        <v>44</v>
      </c>
      <c r="E570" t="s">
        <v>44</v>
      </c>
      <c r="F570">
        <v>49</v>
      </c>
      <c r="G570" t="s">
        <v>9909</v>
      </c>
      <c r="H570">
        <v>86</v>
      </c>
      <c r="I570" t="str">
        <f t="shared" si="3"/>
        <v>CON_ST_0569</v>
      </c>
    </row>
    <row r="571" spans="1:9" x14ac:dyDescent="0.2">
      <c r="A571" t="s">
        <v>9417</v>
      </c>
      <c r="B571" t="s">
        <v>8830</v>
      </c>
      <c r="C571" t="s">
        <v>565</v>
      </c>
      <c r="D571" t="s">
        <v>44</v>
      </c>
      <c r="E571" t="s">
        <v>44</v>
      </c>
      <c r="F571">
        <v>58</v>
      </c>
      <c r="G571" t="s">
        <v>568</v>
      </c>
      <c r="H571">
        <v>78</v>
      </c>
      <c r="I571" t="str">
        <f t="shared" si="3"/>
        <v>CON_ST_0570</v>
      </c>
    </row>
    <row r="572" spans="1:9" x14ac:dyDescent="0.2">
      <c r="A572" t="s">
        <v>9418</v>
      </c>
      <c r="B572" t="s">
        <v>8831</v>
      </c>
      <c r="C572" t="s">
        <v>565</v>
      </c>
      <c r="D572" t="s">
        <v>44</v>
      </c>
      <c r="E572" t="s">
        <v>44</v>
      </c>
      <c r="F572">
        <v>61</v>
      </c>
      <c r="G572" t="s">
        <v>9907</v>
      </c>
      <c r="H572">
        <v>100</v>
      </c>
      <c r="I572" t="str">
        <f t="shared" si="3"/>
        <v>CON_ST_0571</v>
      </c>
    </row>
    <row r="573" spans="1:9" x14ac:dyDescent="0.2">
      <c r="A573" t="s">
        <v>9419</v>
      </c>
      <c r="B573" t="s">
        <v>8832</v>
      </c>
      <c r="C573" t="s">
        <v>565</v>
      </c>
      <c r="D573" t="s">
        <v>44</v>
      </c>
      <c r="E573" t="s">
        <v>44</v>
      </c>
      <c r="F573">
        <v>40</v>
      </c>
      <c r="G573" t="s">
        <v>9908</v>
      </c>
      <c r="H573">
        <v>93</v>
      </c>
      <c r="I573" t="str">
        <f t="shared" si="3"/>
        <v>CON_ST_0572</v>
      </c>
    </row>
    <row r="574" spans="1:9" x14ac:dyDescent="0.2">
      <c r="A574" t="s">
        <v>9420</v>
      </c>
      <c r="B574" t="s">
        <v>8833</v>
      </c>
      <c r="C574" t="s">
        <v>565</v>
      </c>
      <c r="D574" t="s">
        <v>44</v>
      </c>
      <c r="E574" t="s">
        <v>44</v>
      </c>
      <c r="F574">
        <v>69</v>
      </c>
      <c r="G574" t="s">
        <v>9909</v>
      </c>
      <c r="H574">
        <v>91</v>
      </c>
      <c r="I574" t="str">
        <f t="shared" si="3"/>
        <v>CON_ST_0573</v>
      </c>
    </row>
    <row r="575" spans="1:9" x14ac:dyDescent="0.2">
      <c r="A575" t="s">
        <v>9421</v>
      </c>
      <c r="B575" t="s">
        <v>8834</v>
      </c>
      <c r="C575" t="s">
        <v>565</v>
      </c>
      <c r="D575" t="s">
        <v>44</v>
      </c>
      <c r="E575" t="s">
        <v>44</v>
      </c>
      <c r="F575">
        <v>56</v>
      </c>
      <c r="G575" t="s">
        <v>568</v>
      </c>
      <c r="H575">
        <v>95</v>
      </c>
      <c r="I575" t="str">
        <f t="shared" si="3"/>
        <v>CON_ST_0574</v>
      </c>
    </row>
    <row r="576" spans="1:9" x14ac:dyDescent="0.2">
      <c r="A576" t="s">
        <v>9422</v>
      </c>
      <c r="B576" t="s">
        <v>8835</v>
      </c>
      <c r="C576" t="s">
        <v>565</v>
      </c>
      <c r="D576" t="s">
        <v>44</v>
      </c>
      <c r="E576" t="s">
        <v>44</v>
      </c>
      <c r="F576">
        <v>42</v>
      </c>
      <c r="G576" t="s">
        <v>9907</v>
      </c>
      <c r="H576">
        <v>64</v>
      </c>
      <c r="I576" t="str">
        <f t="shared" si="3"/>
        <v>CON_ST_0575</v>
      </c>
    </row>
    <row r="577" spans="1:9" x14ac:dyDescent="0.2">
      <c r="A577" t="s">
        <v>9423</v>
      </c>
      <c r="B577" t="s">
        <v>8836</v>
      </c>
      <c r="C577" t="s">
        <v>565</v>
      </c>
      <c r="D577" t="s">
        <v>44</v>
      </c>
      <c r="E577" t="s">
        <v>44</v>
      </c>
      <c r="F577">
        <v>59</v>
      </c>
      <c r="G577" t="s">
        <v>9908</v>
      </c>
      <c r="H577">
        <v>85</v>
      </c>
      <c r="I577" t="str">
        <f t="shared" si="3"/>
        <v>CON_ST_0576</v>
      </c>
    </row>
    <row r="578" spans="1:9" x14ac:dyDescent="0.2">
      <c r="A578" t="s">
        <v>9424</v>
      </c>
      <c r="B578" t="s">
        <v>8837</v>
      </c>
      <c r="C578" t="s">
        <v>565</v>
      </c>
      <c r="D578" t="s">
        <v>44</v>
      </c>
      <c r="E578" t="s">
        <v>44</v>
      </c>
      <c r="F578">
        <v>43</v>
      </c>
      <c r="G578" t="s">
        <v>9909</v>
      </c>
      <c r="H578">
        <v>94</v>
      </c>
      <c r="I578" t="str">
        <f t="shared" si="3"/>
        <v>CON_ST_0577</v>
      </c>
    </row>
    <row r="579" spans="1:9" x14ac:dyDescent="0.2">
      <c r="A579" t="s">
        <v>9425</v>
      </c>
      <c r="B579" t="s">
        <v>8838</v>
      </c>
      <c r="C579" t="s">
        <v>565</v>
      </c>
      <c r="D579" t="s">
        <v>44</v>
      </c>
      <c r="E579" t="s">
        <v>44</v>
      </c>
      <c r="F579">
        <v>57</v>
      </c>
      <c r="G579" t="s">
        <v>568</v>
      </c>
      <c r="H579">
        <v>55</v>
      </c>
      <c r="I579" t="str">
        <f t="shared" si="3"/>
        <v>CON_ST_0578</v>
      </c>
    </row>
    <row r="580" spans="1:9" x14ac:dyDescent="0.2">
      <c r="A580" t="s">
        <v>9426</v>
      </c>
      <c r="B580" t="s">
        <v>8839</v>
      </c>
      <c r="C580" t="s">
        <v>565</v>
      </c>
      <c r="D580" t="s">
        <v>44</v>
      </c>
      <c r="E580" t="s">
        <v>44</v>
      </c>
      <c r="F580">
        <v>65</v>
      </c>
      <c r="G580" t="s">
        <v>9907</v>
      </c>
      <c r="H580">
        <v>75</v>
      </c>
      <c r="I580" t="str">
        <f t="shared" si="3"/>
        <v>CON_ST_0579</v>
      </c>
    </row>
    <row r="581" spans="1:9" x14ac:dyDescent="0.2">
      <c r="A581" t="s">
        <v>9427</v>
      </c>
      <c r="B581" t="s">
        <v>8840</v>
      </c>
      <c r="C581" t="s">
        <v>565</v>
      </c>
      <c r="D581" t="s">
        <v>44</v>
      </c>
      <c r="E581" t="s">
        <v>44</v>
      </c>
      <c r="F581">
        <v>44</v>
      </c>
      <c r="G581" t="s">
        <v>9908</v>
      </c>
      <c r="H581">
        <v>93</v>
      </c>
      <c r="I581" t="str">
        <f t="shared" si="3"/>
        <v>CON_ST_0580</v>
      </c>
    </row>
    <row r="582" spans="1:9" x14ac:dyDescent="0.2">
      <c r="A582" t="s">
        <v>9428</v>
      </c>
      <c r="B582" t="s">
        <v>8841</v>
      </c>
      <c r="C582" t="s">
        <v>565</v>
      </c>
      <c r="D582" t="s">
        <v>44</v>
      </c>
      <c r="E582" t="s">
        <v>44</v>
      </c>
      <c r="F582">
        <v>42</v>
      </c>
      <c r="G582" t="s">
        <v>9909</v>
      </c>
      <c r="H582">
        <v>91</v>
      </c>
      <c r="I582" t="str">
        <f t="shared" si="3"/>
        <v>CON_ST_0581</v>
      </c>
    </row>
    <row r="583" spans="1:9" x14ac:dyDescent="0.2">
      <c r="A583" t="s">
        <v>9429</v>
      </c>
      <c r="B583" t="s">
        <v>8842</v>
      </c>
      <c r="C583" t="s">
        <v>565</v>
      </c>
      <c r="D583" t="s">
        <v>44</v>
      </c>
      <c r="E583" t="s">
        <v>44</v>
      </c>
      <c r="F583">
        <v>50</v>
      </c>
      <c r="G583" t="s">
        <v>568</v>
      </c>
      <c r="H583">
        <v>84</v>
      </c>
      <c r="I583" t="str">
        <f t="shared" si="3"/>
        <v>CON_ST_0582</v>
      </c>
    </row>
    <row r="584" spans="1:9" x14ac:dyDescent="0.2">
      <c r="A584" t="s">
        <v>9430</v>
      </c>
      <c r="B584" t="s">
        <v>8843</v>
      </c>
      <c r="C584" t="s">
        <v>565</v>
      </c>
      <c r="D584" t="s">
        <v>44</v>
      </c>
      <c r="E584" t="s">
        <v>44</v>
      </c>
      <c r="F584">
        <v>48</v>
      </c>
      <c r="G584" t="s">
        <v>9907</v>
      </c>
      <c r="H584">
        <v>72</v>
      </c>
      <c r="I584" t="str">
        <f t="shared" si="3"/>
        <v>CON_ST_0583</v>
      </c>
    </row>
    <row r="585" spans="1:9" x14ac:dyDescent="0.2">
      <c r="A585" t="s">
        <v>9431</v>
      </c>
      <c r="B585" t="s">
        <v>8844</v>
      </c>
      <c r="C585" t="s">
        <v>565</v>
      </c>
      <c r="D585" t="s">
        <v>44</v>
      </c>
      <c r="E585" t="s">
        <v>44</v>
      </c>
      <c r="F585">
        <v>42</v>
      </c>
      <c r="G585" t="s">
        <v>9908</v>
      </c>
      <c r="H585">
        <v>55</v>
      </c>
      <c r="I585" t="str">
        <f t="shared" si="3"/>
        <v>CON_ST_0584</v>
      </c>
    </row>
    <row r="586" spans="1:9" x14ac:dyDescent="0.2">
      <c r="A586" t="s">
        <v>9432</v>
      </c>
      <c r="B586" t="s">
        <v>8845</v>
      </c>
      <c r="C586" t="s">
        <v>565</v>
      </c>
      <c r="D586" t="s">
        <v>44</v>
      </c>
      <c r="E586" t="s">
        <v>44</v>
      </c>
      <c r="F586">
        <v>44</v>
      </c>
      <c r="G586" t="s">
        <v>9909</v>
      </c>
      <c r="H586">
        <v>61</v>
      </c>
      <c r="I586" t="str">
        <f t="shared" si="3"/>
        <v>CON_ST_0585</v>
      </c>
    </row>
    <row r="587" spans="1:9" x14ac:dyDescent="0.2">
      <c r="A587" t="s">
        <v>9433</v>
      </c>
      <c r="B587" t="s">
        <v>8846</v>
      </c>
      <c r="C587" t="s">
        <v>565</v>
      </c>
      <c r="D587" t="s">
        <v>44</v>
      </c>
      <c r="E587" t="s">
        <v>44</v>
      </c>
      <c r="F587">
        <v>66</v>
      </c>
      <c r="G587" t="s">
        <v>568</v>
      </c>
      <c r="H587">
        <v>63</v>
      </c>
      <c r="I587" t="str">
        <f t="shared" si="3"/>
        <v>CON_ST_0586</v>
      </c>
    </row>
    <row r="588" spans="1:9" x14ac:dyDescent="0.2">
      <c r="A588" t="s">
        <v>9434</v>
      </c>
      <c r="B588" t="s">
        <v>8847</v>
      </c>
      <c r="C588" t="s">
        <v>565</v>
      </c>
      <c r="D588" t="s">
        <v>44</v>
      </c>
      <c r="E588" t="s">
        <v>44</v>
      </c>
      <c r="F588">
        <v>64</v>
      </c>
      <c r="G588" t="s">
        <v>9907</v>
      </c>
      <c r="H588">
        <v>60</v>
      </c>
      <c r="I588" t="str">
        <f t="shared" si="3"/>
        <v>CON_ST_0587</v>
      </c>
    </row>
    <row r="589" spans="1:9" x14ac:dyDescent="0.2">
      <c r="A589" t="s">
        <v>9435</v>
      </c>
      <c r="B589" t="s">
        <v>8848</v>
      </c>
      <c r="C589" t="s">
        <v>565</v>
      </c>
      <c r="D589" t="s">
        <v>44</v>
      </c>
      <c r="E589" t="s">
        <v>44</v>
      </c>
      <c r="F589">
        <v>65</v>
      </c>
      <c r="G589" t="s">
        <v>9908</v>
      </c>
      <c r="H589">
        <v>98</v>
      </c>
      <c r="I589" t="str">
        <f t="shared" si="3"/>
        <v>CON_ST_0588</v>
      </c>
    </row>
    <row r="590" spans="1:9" x14ac:dyDescent="0.2">
      <c r="A590" t="s">
        <v>9436</v>
      </c>
      <c r="B590" t="s">
        <v>8849</v>
      </c>
      <c r="C590" t="s">
        <v>565</v>
      </c>
      <c r="D590" t="s">
        <v>44</v>
      </c>
      <c r="E590" t="s">
        <v>44</v>
      </c>
      <c r="F590">
        <v>48</v>
      </c>
      <c r="G590" t="s">
        <v>9909</v>
      </c>
      <c r="H590">
        <v>63</v>
      </c>
      <c r="I590" t="str">
        <f t="shared" si="3"/>
        <v>CON_ST_0589</v>
      </c>
    </row>
    <row r="591" spans="1:9" x14ac:dyDescent="0.2">
      <c r="A591" t="s">
        <v>9437</v>
      </c>
      <c r="B591" t="s">
        <v>8850</v>
      </c>
      <c r="C591" t="s">
        <v>565</v>
      </c>
      <c r="D591" t="s">
        <v>44</v>
      </c>
      <c r="E591" t="s">
        <v>44</v>
      </c>
      <c r="F591">
        <v>45</v>
      </c>
      <c r="G591" t="s">
        <v>568</v>
      </c>
      <c r="H591">
        <v>74</v>
      </c>
      <c r="I591" t="str">
        <f t="shared" si="3"/>
        <v>CON_ST_0590</v>
      </c>
    </row>
    <row r="592" spans="1:9" x14ac:dyDescent="0.2">
      <c r="A592" t="s">
        <v>9438</v>
      </c>
      <c r="B592" t="s">
        <v>8851</v>
      </c>
      <c r="C592" t="s">
        <v>565</v>
      </c>
      <c r="D592" t="s">
        <v>44</v>
      </c>
      <c r="E592" t="s">
        <v>44</v>
      </c>
      <c r="F592">
        <v>51</v>
      </c>
      <c r="G592" t="s">
        <v>9907</v>
      </c>
      <c r="H592">
        <v>60</v>
      </c>
      <c r="I592" t="str">
        <f t="shared" si="3"/>
        <v>CON_ST_0591</v>
      </c>
    </row>
    <row r="593" spans="1:9" x14ac:dyDescent="0.2">
      <c r="A593" t="s">
        <v>9439</v>
      </c>
      <c r="B593" t="s">
        <v>8852</v>
      </c>
      <c r="C593" t="s">
        <v>565</v>
      </c>
      <c r="D593" t="s">
        <v>44</v>
      </c>
      <c r="E593" t="s">
        <v>44</v>
      </c>
      <c r="F593">
        <v>57</v>
      </c>
      <c r="G593" t="s">
        <v>9908</v>
      </c>
      <c r="H593">
        <v>76</v>
      </c>
      <c r="I593" t="str">
        <f t="shared" si="3"/>
        <v>CON_ST_0592</v>
      </c>
    </row>
    <row r="594" spans="1:9" x14ac:dyDescent="0.2">
      <c r="A594" t="s">
        <v>9440</v>
      </c>
      <c r="B594" t="s">
        <v>8853</v>
      </c>
      <c r="C594" t="s">
        <v>565</v>
      </c>
      <c r="D594" t="s">
        <v>44</v>
      </c>
      <c r="E594" t="s">
        <v>44</v>
      </c>
      <c r="F594">
        <v>49</v>
      </c>
      <c r="G594" t="s">
        <v>9909</v>
      </c>
      <c r="H594">
        <v>73</v>
      </c>
      <c r="I594" t="str">
        <f t="shared" si="3"/>
        <v>CON_ST_0593</v>
      </c>
    </row>
    <row r="595" spans="1:9" x14ac:dyDescent="0.2">
      <c r="A595" t="s">
        <v>9441</v>
      </c>
      <c r="B595" t="s">
        <v>8854</v>
      </c>
      <c r="C595" t="s">
        <v>563</v>
      </c>
      <c r="D595" t="s">
        <v>44</v>
      </c>
      <c r="E595" t="s">
        <v>44</v>
      </c>
      <c r="F595">
        <v>60</v>
      </c>
      <c r="G595" t="s">
        <v>9918</v>
      </c>
      <c r="H595">
        <v>62</v>
      </c>
      <c r="I595" t="str">
        <f t="shared" si="3"/>
        <v>CON_DB_0594</v>
      </c>
    </row>
    <row r="596" spans="1:9" x14ac:dyDescent="0.2">
      <c r="A596" t="s">
        <v>9442</v>
      </c>
      <c r="B596" t="s">
        <v>8855</v>
      </c>
      <c r="C596" t="s">
        <v>563</v>
      </c>
      <c r="D596" t="s">
        <v>44</v>
      </c>
      <c r="E596" t="s">
        <v>44</v>
      </c>
      <c r="F596">
        <v>68</v>
      </c>
      <c r="G596" t="s">
        <v>9919</v>
      </c>
      <c r="H596">
        <v>96</v>
      </c>
      <c r="I596" t="str">
        <f t="shared" si="3"/>
        <v>CON_DB_0595</v>
      </c>
    </row>
    <row r="597" spans="1:9" x14ac:dyDescent="0.2">
      <c r="A597" t="s">
        <v>9443</v>
      </c>
      <c r="B597" t="s">
        <v>8856</v>
      </c>
      <c r="C597" t="s">
        <v>563</v>
      </c>
      <c r="D597" t="s">
        <v>44</v>
      </c>
      <c r="E597" t="s">
        <v>44</v>
      </c>
      <c r="F597">
        <v>43</v>
      </c>
      <c r="G597" t="s">
        <v>9920</v>
      </c>
      <c r="H597">
        <v>87</v>
      </c>
      <c r="I597" t="str">
        <f t="shared" si="3"/>
        <v>CON_DB_0596</v>
      </c>
    </row>
    <row r="598" spans="1:9" x14ac:dyDescent="0.2">
      <c r="A598" t="s">
        <v>9444</v>
      </c>
      <c r="B598" t="s">
        <v>8857</v>
      </c>
      <c r="C598" t="s">
        <v>563</v>
      </c>
      <c r="D598" t="s">
        <v>44</v>
      </c>
      <c r="E598" t="s">
        <v>44</v>
      </c>
      <c r="F598">
        <v>68</v>
      </c>
      <c r="G598" t="s">
        <v>9921</v>
      </c>
      <c r="H598">
        <v>54</v>
      </c>
      <c r="I598" t="str">
        <f t="shared" si="3"/>
        <v>CON_DB_0597</v>
      </c>
    </row>
    <row r="599" spans="1:9" x14ac:dyDescent="0.2">
      <c r="A599" t="s">
        <v>9445</v>
      </c>
      <c r="B599" t="s">
        <v>8858</v>
      </c>
      <c r="C599" t="s">
        <v>563</v>
      </c>
      <c r="D599" t="s">
        <v>44</v>
      </c>
      <c r="E599" t="s">
        <v>44</v>
      </c>
      <c r="F599">
        <v>53</v>
      </c>
      <c r="G599" t="s">
        <v>9873</v>
      </c>
      <c r="H599">
        <v>99</v>
      </c>
      <c r="I599" t="str">
        <f t="shared" si="3"/>
        <v>CON_DB_0598</v>
      </c>
    </row>
    <row r="600" spans="1:9" x14ac:dyDescent="0.2">
      <c r="A600" t="s">
        <v>9446</v>
      </c>
      <c r="B600" t="s">
        <v>8859</v>
      </c>
      <c r="C600" t="s">
        <v>563</v>
      </c>
      <c r="D600" t="s">
        <v>44</v>
      </c>
      <c r="E600" t="s">
        <v>44</v>
      </c>
      <c r="F600">
        <v>62</v>
      </c>
      <c r="G600" t="s">
        <v>9874</v>
      </c>
      <c r="H600">
        <v>55</v>
      </c>
      <c r="I600" t="str">
        <f t="shared" si="3"/>
        <v>CON_DB_0599</v>
      </c>
    </row>
    <row r="601" spans="1:9" x14ac:dyDescent="0.2">
      <c r="A601" t="s">
        <v>9447</v>
      </c>
      <c r="B601" t="s">
        <v>8860</v>
      </c>
      <c r="C601" t="s">
        <v>563</v>
      </c>
      <c r="D601" t="s">
        <v>44</v>
      </c>
      <c r="E601" t="s">
        <v>44</v>
      </c>
      <c r="F601">
        <v>53</v>
      </c>
      <c r="G601" t="s">
        <v>9918</v>
      </c>
      <c r="H601">
        <v>50</v>
      </c>
      <c r="I601" t="str">
        <f t="shared" si="3"/>
        <v>CON_DB_0600</v>
      </c>
    </row>
    <row r="602" spans="1:9" x14ac:dyDescent="0.2">
      <c r="A602" t="s">
        <v>9448</v>
      </c>
      <c r="B602" t="s">
        <v>8861</v>
      </c>
      <c r="C602" t="s">
        <v>563</v>
      </c>
      <c r="D602" t="s">
        <v>44</v>
      </c>
      <c r="E602" t="s">
        <v>44</v>
      </c>
      <c r="F602">
        <v>62</v>
      </c>
      <c r="G602" t="s">
        <v>9919</v>
      </c>
      <c r="H602">
        <v>70</v>
      </c>
      <c r="I602" t="str">
        <f t="shared" si="3"/>
        <v>CON_DB_0601</v>
      </c>
    </row>
    <row r="603" spans="1:9" x14ac:dyDescent="0.2">
      <c r="A603" t="s">
        <v>9449</v>
      </c>
      <c r="B603" t="s">
        <v>8862</v>
      </c>
      <c r="C603" t="s">
        <v>563</v>
      </c>
      <c r="D603" t="s">
        <v>44</v>
      </c>
      <c r="E603" t="s">
        <v>44</v>
      </c>
      <c r="F603">
        <v>65</v>
      </c>
      <c r="G603" t="s">
        <v>9920</v>
      </c>
      <c r="H603">
        <v>52</v>
      </c>
      <c r="I603" t="str">
        <f t="shared" si="3"/>
        <v>CON_DB_0602</v>
      </c>
    </row>
    <row r="604" spans="1:9" x14ac:dyDescent="0.2">
      <c r="A604" t="s">
        <v>9450</v>
      </c>
      <c r="B604" t="s">
        <v>8863</v>
      </c>
      <c r="C604" t="s">
        <v>563</v>
      </c>
      <c r="D604" t="s">
        <v>44</v>
      </c>
      <c r="E604" t="s">
        <v>44</v>
      </c>
      <c r="F604">
        <v>64</v>
      </c>
      <c r="G604" t="s">
        <v>9921</v>
      </c>
      <c r="H604">
        <v>57</v>
      </c>
      <c r="I604" t="str">
        <f t="shared" si="3"/>
        <v>CON_DB_0603</v>
      </c>
    </row>
    <row r="605" spans="1:9" x14ac:dyDescent="0.2">
      <c r="A605" t="s">
        <v>9451</v>
      </c>
      <c r="B605" t="s">
        <v>8864</v>
      </c>
      <c r="C605" t="s">
        <v>563</v>
      </c>
      <c r="D605" t="s">
        <v>44</v>
      </c>
      <c r="E605" t="s">
        <v>44</v>
      </c>
      <c r="F605">
        <v>55</v>
      </c>
      <c r="G605" t="s">
        <v>9873</v>
      </c>
      <c r="H605">
        <v>88</v>
      </c>
      <c r="I605" t="str">
        <f t="shared" si="3"/>
        <v>CON_DB_0604</v>
      </c>
    </row>
    <row r="606" spans="1:9" x14ac:dyDescent="0.2">
      <c r="A606" t="s">
        <v>9452</v>
      </c>
      <c r="B606" t="s">
        <v>8865</v>
      </c>
      <c r="C606" t="s">
        <v>563</v>
      </c>
      <c r="D606" t="s">
        <v>44</v>
      </c>
      <c r="E606" t="s">
        <v>44</v>
      </c>
      <c r="F606">
        <v>67</v>
      </c>
      <c r="G606" t="s">
        <v>9874</v>
      </c>
      <c r="H606">
        <v>58</v>
      </c>
      <c r="I606" t="str">
        <f t="shared" si="3"/>
        <v>CON_DB_0605</v>
      </c>
    </row>
    <row r="607" spans="1:9" x14ac:dyDescent="0.2">
      <c r="A607" t="s">
        <v>9453</v>
      </c>
      <c r="B607" t="s">
        <v>8866</v>
      </c>
      <c r="C607" t="s">
        <v>563</v>
      </c>
      <c r="D607" t="s">
        <v>44</v>
      </c>
      <c r="E607" t="s">
        <v>44</v>
      </c>
      <c r="F607">
        <v>50</v>
      </c>
      <c r="G607" t="s">
        <v>9918</v>
      </c>
      <c r="H607">
        <v>80</v>
      </c>
      <c r="I607" t="str">
        <f t="shared" si="3"/>
        <v>CON_DB_0606</v>
      </c>
    </row>
    <row r="608" spans="1:9" x14ac:dyDescent="0.2">
      <c r="A608" t="s">
        <v>9454</v>
      </c>
      <c r="B608" t="s">
        <v>8867</v>
      </c>
      <c r="C608" t="s">
        <v>563</v>
      </c>
      <c r="D608" t="s">
        <v>44</v>
      </c>
      <c r="E608" t="s">
        <v>44</v>
      </c>
      <c r="F608">
        <v>70</v>
      </c>
      <c r="G608" t="s">
        <v>9919</v>
      </c>
      <c r="H608">
        <v>61</v>
      </c>
      <c r="I608" t="str">
        <f t="shared" si="3"/>
        <v>CON_DB_0607</v>
      </c>
    </row>
    <row r="609" spans="1:9" x14ac:dyDescent="0.2">
      <c r="A609" t="s">
        <v>9455</v>
      </c>
      <c r="B609" t="s">
        <v>8868</v>
      </c>
      <c r="C609" t="s">
        <v>563</v>
      </c>
      <c r="D609" t="s">
        <v>44</v>
      </c>
      <c r="E609" t="s">
        <v>44</v>
      </c>
      <c r="F609">
        <v>47</v>
      </c>
      <c r="G609" t="s">
        <v>9920</v>
      </c>
      <c r="H609">
        <v>76</v>
      </c>
      <c r="I609" t="str">
        <f t="shared" si="3"/>
        <v>CON_DB_0608</v>
      </c>
    </row>
    <row r="610" spans="1:9" x14ac:dyDescent="0.2">
      <c r="A610" t="s">
        <v>9456</v>
      </c>
      <c r="B610" t="s">
        <v>8869</v>
      </c>
      <c r="C610" t="s">
        <v>563</v>
      </c>
      <c r="D610" t="s">
        <v>44</v>
      </c>
      <c r="E610" t="s">
        <v>44</v>
      </c>
      <c r="F610">
        <v>49</v>
      </c>
      <c r="G610" t="s">
        <v>9921</v>
      </c>
      <c r="H610">
        <v>56</v>
      </c>
      <c r="I610" t="str">
        <f t="shared" si="3"/>
        <v>CON_DB_0609</v>
      </c>
    </row>
    <row r="611" spans="1:9" x14ac:dyDescent="0.2">
      <c r="A611" t="s">
        <v>9457</v>
      </c>
      <c r="B611" t="s">
        <v>8870</v>
      </c>
      <c r="C611" t="s">
        <v>563</v>
      </c>
      <c r="D611" t="s">
        <v>44</v>
      </c>
      <c r="E611" t="s">
        <v>44</v>
      </c>
      <c r="F611">
        <v>52</v>
      </c>
      <c r="G611" t="s">
        <v>9873</v>
      </c>
      <c r="H611">
        <v>50</v>
      </c>
      <c r="I611" t="str">
        <f t="shared" si="3"/>
        <v>CON_DB_0610</v>
      </c>
    </row>
    <row r="612" spans="1:9" x14ac:dyDescent="0.2">
      <c r="A612" t="s">
        <v>9458</v>
      </c>
      <c r="B612" t="s">
        <v>8871</v>
      </c>
      <c r="C612" t="s">
        <v>563</v>
      </c>
      <c r="D612" t="s">
        <v>44</v>
      </c>
      <c r="E612" t="s">
        <v>44</v>
      </c>
      <c r="F612">
        <v>64</v>
      </c>
      <c r="G612" t="s">
        <v>9874</v>
      </c>
      <c r="H612">
        <v>79</v>
      </c>
      <c r="I612" t="str">
        <f t="shared" si="3"/>
        <v>CON_DB_0611</v>
      </c>
    </row>
    <row r="613" spans="1:9" x14ac:dyDescent="0.2">
      <c r="A613" t="s">
        <v>9459</v>
      </c>
      <c r="B613" t="s">
        <v>8872</v>
      </c>
      <c r="C613" t="s">
        <v>563</v>
      </c>
      <c r="D613" t="s">
        <v>44</v>
      </c>
      <c r="E613" t="s">
        <v>44</v>
      </c>
      <c r="F613">
        <v>64</v>
      </c>
      <c r="G613" t="s">
        <v>9918</v>
      </c>
      <c r="H613">
        <v>96</v>
      </c>
      <c r="I613" t="str">
        <f t="shared" si="3"/>
        <v>CON_DB_0612</v>
      </c>
    </row>
    <row r="614" spans="1:9" x14ac:dyDescent="0.2">
      <c r="A614" t="s">
        <v>9460</v>
      </c>
      <c r="B614" t="s">
        <v>8873</v>
      </c>
      <c r="C614" t="s">
        <v>563</v>
      </c>
      <c r="D614" t="s">
        <v>44</v>
      </c>
      <c r="E614" t="s">
        <v>44</v>
      </c>
      <c r="F614">
        <v>40</v>
      </c>
      <c r="G614" t="s">
        <v>9919</v>
      </c>
      <c r="H614">
        <v>54</v>
      </c>
      <c r="I614" t="str">
        <f t="shared" si="3"/>
        <v>CON_DB_0613</v>
      </c>
    </row>
    <row r="615" spans="1:9" x14ac:dyDescent="0.2">
      <c r="A615" t="s">
        <v>9461</v>
      </c>
      <c r="B615" t="s">
        <v>8874</v>
      </c>
      <c r="C615" t="s">
        <v>563</v>
      </c>
      <c r="D615" t="s">
        <v>44</v>
      </c>
      <c r="E615" t="s">
        <v>44</v>
      </c>
      <c r="F615">
        <v>40</v>
      </c>
      <c r="G615" t="s">
        <v>9920</v>
      </c>
      <c r="H615">
        <v>67</v>
      </c>
      <c r="I615" t="str">
        <f t="shared" si="3"/>
        <v>CON_DB_0614</v>
      </c>
    </row>
    <row r="616" spans="1:9" x14ac:dyDescent="0.2">
      <c r="A616" t="s">
        <v>9462</v>
      </c>
      <c r="B616" t="s">
        <v>8875</v>
      </c>
      <c r="C616" t="s">
        <v>563</v>
      </c>
      <c r="D616" t="s">
        <v>44</v>
      </c>
      <c r="E616" t="s">
        <v>44</v>
      </c>
      <c r="F616">
        <v>57</v>
      </c>
      <c r="G616" t="s">
        <v>9921</v>
      </c>
      <c r="H616">
        <v>57</v>
      </c>
      <c r="I616" t="str">
        <f t="shared" si="3"/>
        <v>CON_DB_0615</v>
      </c>
    </row>
    <row r="617" spans="1:9" x14ac:dyDescent="0.2">
      <c r="A617" t="s">
        <v>9463</v>
      </c>
      <c r="B617" t="s">
        <v>8876</v>
      </c>
      <c r="C617" t="s">
        <v>563</v>
      </c>
      <c r="D617" t="s">
        <v>44</v>
      </c>
      <c r="E617" t="s">
        <v>44</v>
      </c>
      <c r="F617">
        <v>67</v>
      </c>
      <c r="G617" t="s">
        <v>9873</v>
      </c>
      <c r="H617">
        <v>91</v>
      </c>
      <c r="I617" t="str">
        <f t="shared" si="3"/>
        <v>CON_DB_0616</v>
      </c>
    </row>
    <row r="618" spans="1:9" x14ac:dyDescent="0.2">
      <c r="A618" t="s">
        <v>9464</v>
      </c>
      <c r="B618" t="s">
        <v>8877</v>
      </c>
      <c r="C618" t="s">
        <v>563</v>
      </c>
      <c r="D618" t="s">
        <v>44</v>
      </c>
      <c r="E618" t="s">
        <v>44</v>
      </c>
      <c r="F618">
        <v>51</v>
      </c>
      <c r="G618" t="s">
        <v>9874</v>
      </c>
      <c r="H618">
        <v>60</v>
      </c>
      <c r="I618" t="str">
        <f t="shared" si="3"/>
        <v>CON_DB_0617</v>
      </c>
    </row>
    <row r="619" spans="1:9" x14ac:dyDescent="0.2">
      <c r="A619" t="s">
        <v>9465</v>
      </c>
      <c r="B619" t="s">
        <v>8878</v>
      </c>
      <c r="C619" t="s">
        <v>563</v>
      </c>
      <c r="D619" t="s">
        <v>44</v>
      </c>
      <c r="E619" t="s">
        <v>44</v>
      </c>
      <c r="F619">
        <v>42</v>
      </c>
      <c r="G619" t="s">
        <v>9918</v>
      </c>
      <c r="H619">
        <v>52</v>
      </c>
      <c r="I619" t="str">
        <f t="shared" si="3"/>
        <v>CON_DB_0618</v>
      </c>
    </row>
    <row r="620" spans="1:9" x14ac:dyDescent="0.2">
      <c r="A620" t="s">
        <v>9466</v>
      </c>
      <c r="B620" t="s">
        <v>8879</v>
      </c>
      <c r="C620" t="s">
        <v>563</v>
      </c>
      <c r="D620" t="s">
        <v>44</v>
      </c>
      <c r="E620" t="s">
        <v>44</v>
      </c>
      <c r="F620">
        <v>59</v>
      </c>
      <c r="G620" t="s">
        <v>9919</v>
      </c>
      <c r="H620">
        <v>72</v>
      </c>
      <c r="I620" t="str">
        <f t="shared" si="3"/>
        <v>CON_DB_0619</v>
      </c>
    </row>
    <row r="621" spans="1:9" x14ac:dyDescent="0.2">
      <c r="A621" t="s">
        <v>9467</v>
      </c>
      <c r="B621" t="s">
        <v>8880</v>
      </c>
      <c r="C621" t="s">
        <v>563</v>
      </c>
      <c r="D621" t="s">
        <v>44</v>
      </c>
      <c r="E621" t="s">
        <v>44</v>
      </c>
      <c r="F621">
        <v>50</v>
      </c>
      <c r="G621" t="s">
        <v>9920</v>
      </c>
      <c r="H621">
        <v>97</v>
      </c>
      <c r="I621" t="str">
        <f t="shared" si="3"/>
        <v>CON_DB_0620</v>
      </c>
    </row>
    <row r="622" spans="1:9" x14ac:dyDescent="0.2">
      <c r="A622" t="s">
        <v>9468</v>
      </c>
      <c r="B622" t="s">
        <v>8881</v>
      </c>
      <c r="C622" t="s">
        <v>563</v>
      </c>
      <c r="D622" t="s">
        <v>44</v>
      </c>
      <c r="E622" t="s">
        <v>44</v>
      </c>
      <c r="F622">
        <v>55</v>
      </c>
      <c r="G622" t="s">
        <v>9921</v>
      </c>
      <c r="H622">
        <v>94</v>
      </c>
      <c r="I622" t="str">
        <f t="shared" si="3"/>
        <v>CON_DB_0621</v>
      </c>
    </row>
    <row r="623" spans="1:9" x14ac:dyDescent="0.2">
      <c r="A623" t="s">
        <v>9469</v>
      </c>
      <c r="B623" t="s">
        <v>8882</v>
      </c>
      <c r="C623" t="s">
        <v>563</v>
      </c>
      <c r="D623" t="s">
        <v>44</v>
      </c>
      <c r="E623" t="s">
        <v>44</v>
      </c>
      <c r="F623">
        <v>49</v>
      </c>
      <c r="G623" t="s">
        <v>9873</v>
      </c>
      <c r="H623">
        <v>76</v>
      </c>
      <c r="I623" t="str">
        <f t="shared" si="3"/>
        <v>CON_DB_0622</v>
      </c>
    </row>
    <row r="624" spans="1:9" x14ac:dyDescent="0.2">
      <c r="A624" t="s">
        <v>9470</v>
      </c>
      <c r="B624" t="s">
        <v>8883</v>
      </c>
      <c r="C624" t="s">
        <v>563</v>
      </c>
      <c r="D624" t="s">
        <v>44</v>
      </c>
      <c r="E624" t="s">
        <v>44</v>
      </c>
      <c r="F624">
        <v>64</v>
      </c>
      <c r="G624" t="s">
        <v>9874</v>
      </c>
      <c r="H624">
        <v>94</v>
      </c>
      <c r="I624" t="str">
        <f t="shared" si="3"/>
        <v>CON_DB_0623</v>
      </c>
    </row>
    <row r="625" spans="1:9" x14ac:dyDescent="0.2">
      <c r="A625" t="s">
        <v>9471</v>
      </c>
      <c r="B625" t="s">
        <v>8884</v>
      </c>
      <c r="C625" t="s">
        <v>563</v>
      </c>
      <c r="D625" t="s">
        <v>44</v>
      </c>
      <c r="E625" t="s">
        <v>44</v>
      </c>
      <c r="F625">
        <v>55</v>
      </c>
      <c r="G625" t="s">
        <v>9918</v>
      </c>
      <c r="H625">
        <v>63</v>
      </c>
      <c r="I625" t="str">
        <f t="shared" si="3"/>
        <v>CON_DB_0624</v>
      </c>
    </row>
    <row r="626" spans="1:9" x14ac:dyDescent="0.2">
      <c r="A626" t="s">
        <v>9472</v>
      </c>
      <c r="B626" t="s">
        <v>8885</v>
      </c>
      <c r="C626" t="s">
        <v>563</v>
      </c>
      <c r="D626" t="s">
        <v>44</v>
      </c>
      <c r="E626" t="s">
        <v>44</v>
      </c>
      <c r="F626">
        <v>65</v>
      </c>
      <c r="G626" t="s">
        <v>9919</v>
      </c>
      <c r="H626">
        <v>51</v>
      </c>
      <c r="I626" t="str">
        <f t="shared" si="3"/>
        <v>CON_DB_0625</v>
      </c>
    </row>
    <row r="627" spans="1:9" x14ac:dyDescent="0.2">
      <c r="A627" t="s">
        <v>9473</v>
      </c>
      <c r="B627" t="s">
        <v>8886</v>
      </c>
      <c r="C627" t="s">
        <v>563</v>
      </c>
      <c r="D627" t="s">
        <v>44</v>
      </c>
      <c r="E627" t="s">
        <v>44</v>
      </c>
      <c r="F627">
        <v>41</v>
      </c>
      <c r="G627" t="s">
        <v>9918</v>
      </c>
      <c r="H627">
        <v>80</v>
      </c>
      <c r="I627" t="str">
        <f t="shared" si="3"/>
        <v>CON_DB_0626</v>
      </c>
    </row>
    <row r="628" spans="1:9" x14ac:dyDescent="0.2">
      <c r="A628" t="s">
        <v>9474</v>
      </c>
      <c r="B628" t="s">
        <v>8887</v>
      </c>
      <c r="C628" t="s">
        <v>563</v>
      </c>
      <c r="D628" t="s">
        <v>44</v>
      </c>
      <c r="E628" t="s">
        <v>44</v>
      </c>
      <c r="F628">
        <v>55</v>
      </c>
      <c r="G628" t="s">
        <v>9919</v>
      </c>
      <c r="H628">
        <v>100</v>
      </c>
      <c r="I628" t="str">
        <f t="shared" si="3"/>
        <v>CON_DB_0627</v>
      </c>
    </row>
    <row r="629" spans="1:9" x14ac:dyDescent="0.2">
      <c r="A629" t="s">
        <v>9475</v>
      </c>
      <c r="B629" t="s">
        <v>8888</v>
      </c>
      <c r="C629" t="s">
        <v>563</v>
      </c>
      <c r="D629" t="s">
        <v>44</v>
      </c>
      <c r="E629" t="s">
        <v>44</v>
      </c>
      <c r="F629">
        <v>58</v>
      </c>
      <c r="G629" t="s">
        <v>9920</v>
      </c>
      <c r="H629">
        <v>89</v>
      </c>
      <c r="I629" t="str">
        <f t="shared" ref="I629:I692" si="4">"CON_"&amp;LEFT(C629,FIND("_",C629&amp;"_")-1)&amp;"_"&amp;RIGHT(A629,4)</f>
        <v>CON_DB_0628</v>
      </c>
    </row>
    <row r="630" spans="1:9" x14ac:dyDescent="0.2">
      <c r="A630" t="s">
        <v>9476</v>
      </c>
      <c r="B630" t="s">
        <v>8889</v>
      </c>
      <c r="C630" t="s">
        <v>563</v>
      </c>
      <c r="D630" t="s">
        <v>44</v>
      </c>
      <c r="E630" t="s">
        <v>44</v>
      </c>
      <c r="F630">
        <v>62</v>
      </c>
      <c r="G630" t="s">
        <v>9921</v>
      </c>
      <c r="H630">
        <v>76</v>
      </c>
      <c r="I630" t="str">
        <f t="shared" si="4"/>
        <v>CON_DB_0629</v>
      </c>
    </row>
    <row r="631" spans="1:9" x14ac:dyDescent="0.2">
      <c r="A631" t="s">
        <v>9477</v>
      </c>
      <c r="B631" t="s">
        <v>8890</v>
      </c>
      <c r="C631" t="s">
        <v>563</v>
      </c>
      <c r="D631" t="s">
        <v>44</v>
      </c>
      <c r="E631" t="s">
        <v>44</v>
      </c>
      <c r="F631">
        <v>60</v>
      </c>
      <c r="G631" t="s">
        <v>9873</v>
      </c>
      <c r="H631">
        <v>62</v>
      </c>
      <c r="I631" t="str">
        <f t="shared" si="4"/>
        <v>CON_DB_0630</v>
      </c>
    </row>
    <row r="632" spans="1:9" x14ac:dyDescent="0.2">
      <c r="A632" t="s">
        <v>9478</v>
      </c>
      <c r="B632" t="s">
        <v>8891</v>
      </c>
      <c r="C632" t="s">
        <v>563</v>
      </c>
      <c r="D632" t="s">
        <v>44</v>
      </c>
      <c r="E632" t="s">
        <v>44</v>
      </c>
      <c r="F632">
        <v>47</v>
      </c>
      <c r="G632" t="s">
        <v>9874</v>
      </c>
      <c r="H632">
        <v>53</v>
      </c>
      <c r="I632" t="str">
        <f t="shared" si="4"/>
        <v>CON_DB_0631</v>
      </c>
    </row>
    <row r="633" spans="1:9" x14ac:dyDescent="0.2">
      <c r="A633" t="s">
        <v>9479</v>
      </c>
      <c r="B633" t="s">
        <v>8892</v>
      </c>
      <c r="C633" t="s">
        <v>563</v>
      </c>
      <c r="D633" t="s">
        <v>44</v>
      </c>
      <c r="E633" t="s">
        <v>44</v>
      </c>
      <c r="F633">
        <v>68</v>
      </c>
      <c r="G633" t="s">
        <v>9918</v>
      </c>
      <c r="H633">
        <v>55</v>
      </c>
      <c r="I633" t="str">
        <f t="shared" si="4"/>
        <v>CON_DB_0632</v>
      </c>
    </row>
    <row r="634" spans="1:9" x14ac:dyDescent="0.2">
      <c r="A634" t="s">
        <v>9480</v>
      </c>
      <c r="B634" t="s">
        <v>8893</v>
      </c>
      <c r="C634" t="s">
        <v>563</v>
      </c>
      <c r="D634" t="s">
        <v>44</v>
      </c>
      <c r="E634" t="s">
        <v>44</v>
      </c>
      <c r="F634">
        <v>45</v>
      </c>
      <c r="G634" t="s">
        <v>9919</v>
      </c>
      <c r="H634">
        <v>89</v>
      </c>
      <c r="I634" t="str">
        <f t="shared" si="4"/>
        <v>CON_DB_0633</v>
      </c>
    </row>
    <row r="635" spans="1:9" x14ac:dyDescent="0.2">
      <c r="A635" t="s">
        <v>9481</v>
      </c>
      <c r="B635" t="s">
        <v>8894</v>
      </c>
      <c r="C635" t="s">
        <v>563</v>
      </c>
      <c r="D635" t="s">
        <v>44</v>
      </c>
      <c r="E635" t="s">
        <v>44</v>
      </c>
      <c r="F635">
        <v>63</v>
      </c>
      <c r="G635" t="s">
        <v>9920</v>
      </c>
      <c r="H635">
        <v>92</v>
      </c>
      <c r="I635" t="str">
        <f t="shared" si="4"/>
        <v>CON_DB_0634</v>
      </c>
    </row>
    <row r="636" spans="1:9" x14ac:dyDescent="0.2">
      <c r="A636" t="s">
        <v>9482</v>
      </c>
      <c r="B636" t="s">
        <v>8895</v>
      </c>
      <c r="C636" t="s">
        <v>563</v>
      </c>
      <c r="D636" t="s">
        <v>44</v>
      </c>
      <c r="E636" t="s">
        <v>44</v>
      </c>
      <c r="F636">
        <v>45</v>
      </c>
      <c r="G636" t="s">
        <v>9921</v>
      </c>
      <c r="H636">
        <v>95</v>
      </c>
      <c r="I636" t="str">
        <f t="shared" si="4"/>
        <v>CON_DB_0635</v>
      </c>
    </row>
    <row r="637" spans="1:9" x14ac:dyDescent="0.2">
      <c r="A637" t="s">
        <v>9483</v>
      </c>
      <c r="B637" t="s">
        <v>8896</v>
      </c>
      <c r="C637" t="s">
        <v>563</v>
      </c>
      <c r="D637" t="s">
        <v>44</v>
      </c>
      <c r="E637" t="s">
        <v>44</v>
      </c>
      <c r="F637">
        <v>52</v>
      </c>
      <c r="G637" t="s">
        <v>9873</v>
      </c>
      <c r="H637">
        <v>71</v>
      </c>
      <c r="I637" t="str">
        <f t="shared" si="4"/>
        <v>CON_DB_0636</v>
      </c>
    </row>
    <row r="638" spans="1:9" x14ac:dyDescent="0.2">
      <c r="A638" t="s">
        <v>9484</v>
      </c>
      <c r="B638" t="s">
        <v>8897</v>
      </c>
      <c r="C638" t="s">
        <v>563</v>
      </c>
      <c r="D638" t="s">
        <v>44</v>
      </c>
      <c r="E638" t="s">
        <v>44</v>
      </c>
      <c r="F638">
        <v>51</v>
      </c>
      <c r="G638" t="s">
        <v>9874</v>
      </c>
      <c r="H638">
        <v>60</v>
      </c>
      <c r="I638" t="str">
        <f t="shared" si="4"/>
        <v>CON_DB_0637</v>
      </c>
    </row>
    <row r="639" spans="1:9" x14ac:dyDescent="0.2">
      <c r="A639" t="s">
        <v>9485</v>
      </c>
      <c r="B639" t="s">
        <v>8898</v>
      </c>
      <c r="C639" t="s">
        <v>563</v>
      </c>
      <c r="D639" t="s">
        <v>44</v>
      </c>
      <c r="E639" t="s">
        <v>44</v>
      </c>
      <c r="F639">
        <v>44</v>
      </c>
      <c r="G639" t="s">
        <v>9918</v>
      </c>
      <c r="H639">
        <v>76</v>
      </c>
      <c r="I639" t="str">
        <f t="shared" si="4"/>
        <v>CON_DB_0638</v>
      </c>
    </row>
    <row r="640" spans="1:9" x14ac:dyDescent="0.2">
      <c r="A640" t="s">
        <v>9486</v>
      </c>
      <c r="B640" t="s">
        <v>8899</v>
      </c>
      <c r="C640" t="s">
        <v>563</v>
      </c>
      <c r="D640" t="s">
        <v>44</v>
      </c>
      <c r="E640" t="s">
        <v>44</v>
      </c>
      <c r="F640">
        <v>40</v>
      </c>
      <c r="G640" t="s">
        <v>9919</v>
      </c>
      <c r="H640">
        <v>85</v>
      </c>
      <c r="I640" t="str">
        <f t="shared" si="4"/>
        <v>CON_DB_0639</v>
      </c>
    </row>
    <row r="641" spans="1:9" x14ac:dyDescent="0.2">
      <c r="A641" t="s">
        <v>9487</v>
      </c>
      <c r="B641" t="s">
        <v>8900</v>
      </c>
      <c r="C641" t="s">
        <v>563</v>
      </c>
      <c r="D641" t="s">
        <v>44</v>
      </c>
      <c r="E641" t="s">
        <v>44</v>
      </c>
      <c r="F641">
        <v>48</v>
      </c>
      <c r="G641" t="s">
        <v>9920</v>
      </c>
      <c r="H641">
        <v>57</v>
      </c>
      <c r="I641" t="str">
        <f t="shared" si="4"/>
        <v>CON_DB_0640</v>
      </c>
    </row>
    <row r="642" spans="1:9" x14ac:dyDescent="0.2">
      <c r="A642" t="s">
        <v>9488</v>
      </c>
      <c r="B642" t="s">
        <v>8901</v>
      </c>
      <c r="C642" t="s">
        <v>563</v>
      </c>
      <c r="D642" t="s">
        <v>44</v>
      </c>
      <c r="E642" t="s">
        <v>44</v>
      </c>
      <c r="F642">
        <v>49</v>
      </c>
      <c r="G642" t="s">
        <v>9921</v>
      </c>
      <c r="H642">
        <v>78</v>
      </c>
      <c r="I642" t="str">
        <f t="shared" si="4"/>
        <v>CON_DB_0641</v>
      </c>
    </row>
    <row r="643" spans="1:9" x14ac:dyDescent="0.2">
      <c r="A643" t="s">
        <v>9489</v>
      </c>
      <c r="B643" t="s">
        <v>8902</v>
      </c>
      <c r="C643" t="s">
        <v>563</v>
      </c>
      <c r="D643" t="s">
        <v>44</v>
      </c>
      <c r="E643" t="s">
        <v>44</v>
      </c>
      <c r="F643">
        <v>70</v>
      </c>
      <c r="G643" t="s">
        <v>9873</v>
      </c>
      <c r="H643">
        <v>79</v>
      </c>
      <c r="I643" t="str">
        <f t="shared" si="4"/>
        <v>CON_DB_0642</v>
      </c>
    </row>
    <row r="644" spans="1:9" x14ac:dyDescent="0.2">
      <c r="A644" t="s">
        <v>9490</v>
      </c>
      <c r="B644" t="s">
        <v>8903</v>
      </c>
      <c r="C644" t="s">
        <v>563</v>
      </c>
      <c r="D644" t="s">
        <v>44</v>
      </c>
      <c r="E644" t="s">
        <v>44</v>
      </c>
      <c r="F644">
        <v>49</v>
      </c>
      <c r="G644" t="s">
        <v>9874</v>
      </c>
      <c r="H644">
        <v>86</v>
      </c>
      <c r="I644" t="str">
        <f t="shared" si="4"/>
        <v>CON_DB_0643</v>
      </c>
    </row>
    <row r="645" spans="1:9" x14ac:dyDescent="0.2">
      <c r="A645" t="s">
        <v>9491</v>
      </c>
      <c r="B645" t="s">
        <v>8904</v>
      </c>
      <c r="C645" t="s">
        <v>563</v>
      </c>
      <c r="D645" t="s">
        <v>44</v>
      </c>
      <c r="E645" t="s">
        <v>44</v>
      </c>
      <c r="F645">
        <v>43</v>
      </c>
      <c r="G645" t="s">
        <v>9918</v>
      </c>
      <c r="H645">
        <v>88</v>
      </c>
      <c r="I645" t="str">
        <f t="shared" si="4"/>
        <v>CON_DB_0644</v>
      </c>
    </row>
    <row r="646" spans="1:9" x14ac:dyDescent="0.2">
      <c r="A646" t="s">
        <v>9492</v>
      </c>
      <c r="B646" t="s">
        <v>8905</v>
      </c>
      <c r="C646" t="s">
        <v>563</v>
      </c>
      <c r="D646" t="s">
        <v>44</v>
      </c>
      <c r="E646" t="s">
        <v>44</v>
      </c>
      <c r="F646">
        <v>68</v>
      </c>
      <c r="G646" t="s">
        <v>9919</v>
      </c>
      <c r="H646">
        <v>95</v>
      </c>
      <c r="I646" t="str">
        <f t="shared" si="4"/>
        <v>CON_DB_0645</v>
      </c>
    </row>
    <row r="647" spans="1:9" x14ac:dyDescent="0.2">
      <c r="A647" t="s">
        <v>9493</v>
      </c>
      <c r="B647" t="s">
        <v>8906</v>
      </c>
      <c r="C647" t="s">
        <v>563</v>
      </c>
      <c r="D647" t="s">
        <v>44</v>
      </c>
      <c r="E647" t="s">
        <v>44</v>
      </c>
      <c r="F647">
        <v>55</v>
      </c>
      <c r="G647" t="s">
        <v>9920</v>
      </c>
      <c r="H647">
        <v>64</v>
      </c>
      <c r="I647" t="str">
        <f t="shared" si="4"/>
        <v>CON_DB_0646</v>
      </c>
    </row>
    <row r="648" spans="1:9" x14ac:dyDescent="0.2">
      <c r="A648" t="s">
        <v>9494</v>
      </c>
      <c r="B648" t="s">
        <v>8907</v>
      </c>
      <c r="C648" t="s">
        <v>563</v>
      </c>
      <c r="D648" t="s">
        <v>44</v>
      </c>
      <c r="E648" t="s">
        <v>44</v>
      </c>
      <c r="F648">
        <v>48</v>
      </c>
      <c r="G648" t="s">
        <v>9921</v>
      </c>
      <c r="H648">
        <v>67</v>
      </c>
      <c r="I648" t="str">
        <f t="shared" si="4"/>
        <v>CON_DB_0647</v>
      </c>
    </row>
    <row r="649" spans="1:9" x14ac:dyDescent="0.2">
      <c r="A649" t="s">
        <v>9495</v>
      </c>
      <c r="B649" t="s">
        <v>8908</v>
      </c>
      <c r="C649" t="s">
        <v>563</v>
      </c>
      <c r="D649" t="s">
        <v>44</v>
      </c>
      <c r="E649" t="s">
        <v>44</v>
      </c>
      <c r="F649">
        <v>62</v>
      </c>
      <c r="G649" t="s">
        <v>9873</v>
      </c>
      <c r="H649">
        <v>98</v>
      </c>
      <c r="I649" t="str">
        <f t="shared" si="4"/>
        <v>CON_DB_0648</v>
      </c>
    </row>
    <row r="650" spans="1:9" x14ac:dyDescent="0.2">
      <c r="A650" t="s">
        <v>9496</v>
      </c>
      <c r="B650" t="s">
        <v>8909</v>
      </c>
      <c r="C650" t="s">
        <v>563</v>
      </c>
      <c r="D650" t="s">
        <v>44</v>
      </c>
      <c r="E650" t="s">
        <v>44</v>
      </c>
      <c r="F650">
        <v>68</v>
      </c>
      <c r="G650" t="s">
        <v>9874</v>
      </c>
      <c r="H650">
        <v>56</v>
      </c>
      <c r="I650" t="str">
        <f t="shared" si="4"/>
        <v>CON_DB_0649</v>
      </c>
    </row>
    <row r="651" spans="1:9" x14ac:dyDescent="0.2">
      <c r="A651" t="s">
        <v>9497</v>
      </c>
      <c r="B651" t="s">
        <v>8910</v>
      </c>
      <c r="C651" t="s">
        <v>563</v>
      </c>
      <c r="D651" t="s">
        <v>44</v>
      </c>
      <c r="E651" t="s">
        <v>44</v>
      </c>
      <c r="F651">
        <v>40</v>
      </c>
      <c r="G651" t="s">
        <v>9918</v>
      </c>
      <c r="H651">
        <v>59</v>
      </c>
      <c r="I651" t="str">
        <f t="shared" si="4"/>
        <v>CON_DB_0650</v>
      </c>
    </row>
    <row r="652" spans="1:9" x14ac:dyDescent="0.2">
      <c r="A652" t="s">
        <v>9498</v>
      </c>
      <c r="B652" t="s">
        <v>8911</v>
      </c>
      <c r="C652" t="s">
        <v>563</v>
      </c>
      <c r="D652" t="s">
        <v>44</v>
      </c>
      <c r="E652" t="s">
        <v>44</v>
      </c>
      <c r="F652">
        <v>41</v>
      </c>
      <c r="G652" t="s">
        <v>9919</v>
      </c>
      <c r="H652">
        <v>51</v>
      </c>
      <c r="I652" t="str">
        <f t="shared" si="4"/>
        <v>CON_DB_0651</v>
      </c>
    </row>
    <row r="653" spans="1:9" x14ac:dyDescent="0.2">
      <c r="A653" t="s">
        <v>9499</v>
      </c>
      <c r="B653" t="s">
        <v>8912</v>
      </c>
      <c r="C653" t="s">
        <v>563</v>
      </c>
      <c r="D653" t="s">
        <v>44</v>
      </c>
      <c r="E653" t="s">
        <v>44</v>
      </c>
      <c r="F653">
        <v>60</v>
      </c>
      <c r="G653" t="s">
        <v>9920</v>
      </c>
      <c r="H653">
        <v>75</v>
      </c>
      <c r="I653" t="str">
        <f t="shared" si="4"/>
        <v>CON_DB_0652</v>
      </c>
    </row>
    <row r="654" spans="1:9" x14ac:dyDescent="0.2">
      <c r="A654" t="s">
        <v>9500</v>
      </c>
      <c r="B654" t="s">
        <v>8913</v>
      </c>
      <c r="C654" t="s">
        <v>563</v>
      </c>
      <c r="D654" t="s">
        <v>44</v>
      </c>
      <c r="E654" t="s">
        <v>44</v>
      </c>
      <c r="F654">
        <v>45</v>
      </c>
      <c r="G654" t="s">
        <v>9921</v>
      </c>
      <c r="H654">
        <v>83</v>
      </c>
      <c r="I654" t="str">
        <f t="shared" si="4"/>
        <v>CON_DB_0653</v>
      </c>
    </row>
    <row r="655" spans="1:9" x14ac:dyDescent="0.2">
      <c r="A655" t="s">
        <v>9501</v>
      </c>
      <c r="B655" t="s">
        <v>8914</v>
      </c>
      <c r="C655" t="s">
        <v>563</v>
      </c>
      <c r="D655" t="s">
        <v>44</v>
      </c>
      <c r="E655" t="s">
        <v>44</v>
      </c>
      <c r="F655">
        <v>52</v>
      </c>
      <c r="G655" t="s">
        <v>9873</v>
      </c>
      <c r="H655">
        <v>65</v>
      </c>
      <c r="I655" t="str">
        <f t="shared" si="4"/>
        <v>CON_DB_0654</v>
      </c>
    </row>
    <row r="656" spans="1:9" x14ac:dyDescent="0.2">
      <c r="A656" t="s">
        <v>9502</v>
      </c>
      <c r="B656" t="s">
        <v>8915</v>
      </c>
      <c r="C656" t="s">
        <v>563</v>
      </c>
      <c r="D656" t="s">
        <v>44</v>
      </c>
      <c r="E656" t="s">
        <v>44</v>
      </c>
      <c r="F656">
        <v>52</v>
      </c>
      <c r="G656" t="s">
        <v>9874</v>
      </c>
      <c r="H656">
        <v>78</v>
      </c>
      <c r="I656" t="str">
        <f t="shared" si="4"/>
        <v>CON_DB_0655</v>
      </c>
    </row>
    <row r="657" spans="1:9" x14ac:dyDescent="0.2">
      <c r="A657" t="s">
        <v>9503</v>
      </c>
      <c r="B657" t="s">
        <v>8916</v>
      </c>
      <c r="C657" t="s">
        <v>563</v>
      </c>
      <c r="D657" t="s">
        <v>44</v>
      </c>
      <c r="E657" t="s">
        <v>44</v>
      </c>
      <c r="F657">
        <v>47</v>
      </c>
      <c r="G657" t="s">
        <v>9918</v>
      </c>
      <c r="H657">
        <v>87</v>
      </c>
      <c r="I657" t="str">
        <f t="shared" si="4"/>
        <v>CON_DB_0656</v>
      </c>
    </row>
    <row r="658" spans="1:9" x14ac:dyDescent="0.2">
      <c r="A658" t="s">
        <v>9504</v>
      </c>
      <c r="B658" t="s">
        <v>8917</v>
      </c>
      <c r="C658" t="s">
        <v>563</v>
      </c>
      <c r="D658" t="s">
        <v>44</v>
      </c>
      <c r="E658" t="s">
        <v>44</v>
      </c>
      <c r="F658">
        <v>43</v>
      </c>
      <c r="G658" t="s">
        <v>9919</v>
      </c>
      <c r="H658">
        <v>81</v>
      </c>
      <c r="I658" t="str">
        <f t="shared" si="4"/>
        <v>CON_DB_0657</v>
      </c>
    </row>
    <row r="659" spans="1:9" x14ac:dyDescent="0.2">
      <c r="A659" t="s">
        <v>9505</v>
      </c>
      <c r="B659" t="s">
        <v>8918</v>
      </c>
      <c r="C659" t="s">
        <v>566</v>
      </c>
      <c r="D659" t="s">
        <v>44</v>
      </c>
      <c r="E659" t="s">
        <v>44</v>
      </c>
      <c r="F659">
        <v>52</v>
      </c>
      <c r="G659" t="s">
        <v>9914</v>
      </c>
      <c r="H659">
        <v>59</v>
      </c>
      <c r="I659" t="str">
        <f t="shared" si="4"/>
        <v>CON_QB_0658</v>
      </c>
    </row>
    <row r="660" spans="1:9" x14ac:dyDescent="0.2">
      <c r="A660" t="s">
        <v>9506</v>
      </c>
      <c r="B660" t="s">
        <v>8919</v>
      </c>
      <c r="C660" t="s">
        <v>566</v>
      </c>
      <c r="D660" t="s">
        <v>44</v>
      </c>
      <c r="E660" t="s">
        <v>44</v>
      </c>
      <c r="F660">
        <v>45</v>
      </c>
      <c r="G660" t="s">
        <v>9916</v>
      </c>
      <c r="H660">
        <v>86</v>
      </c>
      <c r="I660" t="str">
        <f t="shared" si="4"/>
        <v>CON_QB_0659</v>
      </c>
    </row>
    <row r="661" spans="1:9" x14ac:dyDescent="0.2">
      <c r="A661" t="s">
        <v>9507</v>
      </c>
      <c r="B661" t="s">
        <v>8920</v>
      </c>
      <c r="C661" t="s">
        <v>566</v>
      </c>
      <c r="D661" t="s">
        <v>44</v>
      </c>
      <c r="E661" t="s">
        <v>44</v>
      </c>
      <c r="F661">
        <v>50</v>
      </c>
      <c r="G661" t="s">
        <v>9910</v>
      </c>
      <c r="H661">
        <v>59</v>
      </c>
      <c r="I661" t="str">
        <f t="shared" si="4"/>
        <v>CON_QB_0660</v>
      </c>
    </row>
    <row r="662" spans="1:9" x14ac:dyDescent="0.2">
      <c r="A662" t="s">
        <v>9508</v>
      </c>
      <c r="B662" t="s">
        <v>8921</v>
      </c>
      <c r="C662" t="s">
        <v>566</v>
      </c>
      <c r="D662" t="s">
        <v>44</v>
      </c>
      <c r="E662" t="s">
        <v>44</v>
      </c>
      <c r="F662">
        <v>57</v>
      </c>
      <c r="G662" t="s">
        <v>9915</v>
      </c>
      <c r="H662">
        <v>57</v>
      </c>
      <c r="I662" t="str">
        <f t="shared" si="4"/>
        <v>CON_QB_0661</v>
      </c>
    </row>
    <row r="663" spans="1:9" x14ac:dyDescent="0.2">
      <c r="A663" t="s">
        <v>9509</v>
      </c>
      <c r="B663" t="s">
        <v>8922</v>
      </c>
      <c r="C663" t="s">
        <v>566</v>
      </c>
      <c r="D663" t="s">
        <v>44</v>
      </c>
      <c r="E663" t="s">
        <v>44</v>
      </c>
      <c r="F663">
        <v>44</v>
      </c>
      <c r="G663" t="s">
        <v>567</v>
      </c>
      <c r="H663">
        <v>52</v>
      </c>
      <c r="I663" t="str">
        <f t="shared" si="4"/>
        <v>CON_QB_0662</v>
      </c>
    </row>
    <row r="664" spans="1:9" x14ac:dyDescent="0.2">
      <c r="A664" t="s">
        <v>9510</v>
      </c>
      <c r="B664" t="s">
        <v>8923</v>
      </c>
      <c r="C664" t="s">
        <v>566</v>
      </c>
      <c r="D664" t="s">
        <v>44</v>
      </c>
      <c r="E664" t="s">
        <v>44</v>
      </c>
      <c r="F664">
        <v>63</v>
      </c>
      <c r="G664" t="s">
        <v>9917</v>
      </c>
      <c r="H664">
        <v>71</v>
      </c>
      <c r="I664" t="str">
        <f t="shared" si="4"/>
        <v>CON_QB_0663</v>
      </c>
    </row>
    <row r="665" spans="1:9" x14ac:dyDescent="0.2">
      <c r="A665" t="s">
        <v>9511</v>
      </c>
      <c r="B665" t="s">
        <v>8924</v>
      </c>
      <c r="C665" t="s">
        <v>566</v>
      </c>
      <c r="D665" t="s">
        <v>44</v>
      </c>
      <c r="E665" t="s">
        <v>44</v>
      </c>
      <c r="F665">
        <v>61</v>
      </c>
      <c r="G665" t="s">
        <v>9914</v>
      </c>
      <c r="H665">
        <v>96</v>
      </c>
      <c r="I665" t="str">
        <f t="shared" si="4"/>
        <v>CON_QB_0664</v>
      </c>
    </row>
    <row r="666" spans="1:9" x14ac:dyDescent="0.2">
      <c r="A666" t="s">
        <v>9512</v>
      </c>
      <c r="B666" t="s">
        <v>8925</v>
      </c>
      <c r="C666" t="s">
        <v>566</v>
      </c>
      <c r="D666" t="s">
        <v>44</v>
      </c>
      <c r="E666" t="s">
        <v>44</v>
      </c>
      <c r="F666">
        <v>50</v>
      </c>
      <c r="G666" t="s">
        <v>9916</v>
      </c>
      <c r="H666">
        <v>99</v>
      </c>
      <c r="I666" t="str">
        <f t="shared" si="4"/>
        <v>CON_QB_0665</v>
      </c>
    </row>
    <row r="667" spans="1:9" x14ac:dyDescent="0.2">
      <c r="A667" t="s">
        <v>9513</v>
      </c>
      <c r="B667" t="s">
        <v>8926</v>
      </c>
      <c r="C667" t="s">
        <v>566</v>
      </c>
      <c r="D667" t="s">
        <v>44</v>
      </c>
      <c r="E667" t="s">
        <v>44</v>
      </c>
      <c r="F667">
        <v>60</v>
      </c>
      <c r="G667" t="s">
        <v>9910</v>
      </c>
      <c r="H667">
        <v>82</v>
      </c>
      <c r="I667" t="str">
        <f t="shared" si="4"/>
        <v>CON_QB_0666</v>
      </c>
    </row>
    <row r="668" spans="1:9" x14ac:dyDescent="0.2">
      <c r="A668" t="s">
        <v>9514</v>
      </c>
      <c r="B668" t="s">
        <v>8927</v>
      </c>
      <c r="C668" t="s">
        <v>566</v>
      </c>
      <c r="D668" t="s">
        <v>44</v>
      </c>
      <c r="E668" t="s">
        <v>44</v>
      </c>
      <c r="F668">
        <v>69</v>
      </c>
      <c r="G668" t="s">
        <v>9915</v>
      </c>
      <c r="H668">
        <v>66</v>
      </c>
      <c r="I668" t="str">
        <f t="shared" si="4"/>
        <v>CON_QB_0667</v>
      </c>
    </row>
    <row r="669" spans="1:9" x14ac:dyDescent="0.2">
      <c r="A669" t="s">
        <v>9515</v>
      </c>
      <c r="B669" t="s">
        <v>8928</v>
      </c>
      <c r="C669" t="s">
        <v>566</v>
      </c>
      <c r="D669" t="s">
        <v>44</v>
      </c>
      <c r="E669" t="s">
        <v>44</v>
      </c>
      <c r="F669">
        <v>56</v>
      </c>
      <c r="G669" t="s">
        <v>567</v>
      </c>
      <c r="H669">
        <v>89</v>
      </c>
      <c r="I669" t="str">
        <f t="shared" si="4"/>
        <v>CON_QB_0668</v>
      </c>
    </row>
    <row r="670" spans="1:9" x14ac:dyDescent="0.2">
      <c r="A670" t="s">
        <v>9516</v>
      </c>
      <c r="B670" t="s">
        <v>8929</v>
      </c>
      <c r="C670" t="s">
        <v>566</v>
      </c>
      <c r="D670" t="s">
        <v>44</v>
      </c>
      <c r="E670" t="s">
        <v>44</v>
      </c>
      <c r="F670">
        <v>53</v>
      </c>
      <c r="G670" t="s">
        <v>9917</v>
      </c>
      <c r="H670">
        <v>63</v>
      </c>
      <c r="I670" t="str">
        <f t="shared" si="4"/>
        <v>CON_QB_0669</v>
      </c>
    </row>
    <row r="671" spans="1:9" x14ac:dyDescent="0.2">
      <c r="A671" t="s">
        <v>9517</v>
      </c>
      <c r="B671" t="s">
        <v>8930</v>
      </c>
      <c r="C671" t="s">
        <v>566</v>
      </c>
      <c r="D671" t="s">
        <v>44</v>
      </c>
      <c r="E671" t="s">
        <v>44</v>
      </c>
      <c r="F671">
        <v>57</v>
      </c>
      <c r="G671" t="s">
        <v>9914</v>
      </c>
      <c r="H671">
        <v>96</v>
      </c>
      <c r="I671" t="str">
        <f t="shared" si="4"/>
        <v>CON_QB_0670</v>
      </c>
    </row>
    <row r="672" spans="1:9" x14ac:dyDescent="0.2">
      <c r="A672" t="s">
        <v>9518</v>
      </c>
      <c r="B672" t="s">
        <v>8931</v>
      </c>
      <c r="C672" t="s">
        <v>566</v>
      </c>
      <c r="D672" t="s">
        <v>44</v>
      </c>
      <c r="E672" t="s">
        <v>44</v>
      </c>
      <c r="F672">
        <v>62</v>
      </c>
      <c r="G672" t="s">
        <v>9916</v>
      </c>
      <c r="H672">
        <v>53</v>
      </c>
      <c r="I672" t="str">
        <f t="shared" si="4"/>
        <v>CON_QB_0671</v>
      </c>
    </row>
    <row r="673" spans="1:9" x14ac:dyDescent="0.2">
      <c r="A673" t="s">
        <v>9519</v>
      </c>
      <c r="B673" t="s">
        <v>8932</v>
      </c>
      <c r="C673" t="s">
        <v>566</v>
      </c>
      <c r="D673" t="s">
        <v>44</v>
      </c>
      <c r="E673" t="s">
        <v>44</v>
      </c>
      <c r="F673">
        <v>67</v>
      </c>
      <c r="G673" t="s">
        <v>9910</v>
      </c>
      <c r="H673">
        <v>75</v>
      </c>
      <c r="I673" t="str">
        <f t="shared" si="4"/>
        <v>CON_QB_0672</v>
      </c>
    </row>
    <row r="674" spans="1:9" x14ac:dyDescent="0.2">
      <c r="A674" t="s">
        <v>9520</v>
      </c>
      <c r="B674" t="s">
        <v>8933</v>
      </c>
      <c r="C674" t="s">
        <v>566</v>
      </c>
      <c r="D674" t="s">
        <v>44</v>
      </c>
      <c r="E674" t="s">
        <v>44</v>
      </c>
      <c r="F674">
        <v>59</v>
      </c>
      <c r="G674" t="s">
        <v>9915</v>
      </c>
      <c r="H674">
        <v>58</v>
      </c>
      <c r="I674" t="str">
        <f t="shared" si="4"/>
        <v>CON_QB_0673</v>
      </c>
    </row>
    <row r="675" spans="1:9" x14ac:dyDescent="0.2">
      <c r="A675" t="s">
        <v>9521</v>
      </c>
      <c r="B675" t="s">
        <v>8934</v>
      </c>
      <c r="C675" t="s">
        <v>566</v>
      </c>
      <c r="D675" t="s">
        <v>44</v>
      </c>
      <c r="E675" t="s">
        <v>44</v>
      </c>
      <c r="F675">
        <v>69</v>
      </c>
      <c r="G675" t="s">
        <v>567</v>
      </c>
      <c r="H675">
        <v>80</v>
      </c>
      <c r="I675" t="str">
        <f t="shared" si="4"/>
        <v>CON_QB_0674</v>
      </c>
    </row>
    <row r="676" spans="1:9" x14ac:dyDescent="0.2">
      <c r="A676" t="s">
        <v>9522</v>
      </c>
      <c r="B676" t="s">
        <v>8935</v>
      </c>
      <c r="C676" t="s">
        <v>566</v>
      </c>
      <c r="D676" t="s">
        <v>44</v>
      </c>
      <c r="E676" t="s">
        <v>44</v>
      </c>
      <c r="F676">
        <v>59</v>
      </c>
      <c r="G676" t="s">
        <v>9917</v>
      </c>
      <c r="H676">
        <v>82</v>
      </c>
      <c r="I676" t="str">
        <f t="shared" si="4"/>
        <v>CON_QB_0675</v>
      </c>
    </row>
    <row r="677" spans="1:9" x14ac:dyDescent="0.2">
      <c r="A677" t="s">
        <v>9523</v>
      </c>
      <c r="B677" t="s">
        <v>8936</v>
      </c>
      <c r="C677" t="s">
        <v>566</v>
      </c>
      <c r="D677" t="s">
        <v>44</v>
      </c>
      <c r="E677" t="s">
        <v>44</v>
      </c>
      <c r="F677">
        <v>56</v>
      </c>
      <c r="G677" t="s">
        <v>9914</v>
      </c>
      <c r="H677">
        <v>77</v>
      </c>
      <c r="I677" t="str">
        <f t="shared" si="4"/>
        <v>CON_QB_0676</v>
      </c>
    </row>
    <row r="678" spans="1:9" x14ac:dyDescent="0.2">
      <c r="A678" t="s">
        <v>9524</v>
      </c>
      <c r="B678" t="s">
        <v>8937</v>
      </c>
      <c r="C678" t="s">
        <v>566</v>
      </c>
      <c r="D678" t="s">
        <v>44</v>
      </c>
      <c r="E678" t="s">
        <v>44</v>
      </c>
      <c r="F678">
        <v>41</v>
      </c>
      <c r="G678" t="s">
        <v>9916</v>
      </c>
      <c r="H678">
        <v>94</v>
      </c>
      <c r="I678" t="str">
        <f t="shared" si="4"/>
        <v>CON_QB_0677</v>
      </c>
    </row>
    <row r="679" spans="1:9" x14ac:dyDescent="0.2">
      <c r="A679" t="s">
        <v>9525</v>
      </c>
      <c r="B679" t="s">
        <v>8938</v>
      </c>
      <c r="C679" t="s">
        <v>566</v>
      </c>
      <c r="D679" t="s">
        <v>44</v>
      </c>
      <c r="E679" t="s">
        <v>44</v>
      </c>
      <c r="F679">
        <v>46</v>
      </c>
      <c r="G679" t="s">
        <v>9910</v>
      </c>
      <c r="H679">
        <v>64</v>
      </c>
      <c r="I679" t="str">
        <f t="shared" si="4"/>
        <v>CON_QB_0678</v>
      </c>
    </row>
    <row r="680" spans="1:9" x14ac:dyDescent="0.2">
      <c r="A680" t="s">
        <v>9526</v>
      </c>
      <c r="B680" t="s">
        <v>8939</v>
      </c>
      <c r="C680" t="s">
        <v>566</v>
      </c>
      <c r="D680" t="s">
        <v>44</v>
      </c>
      <c r="E680" t="s">
        <v>44</v>
      </c>
      <c r="F680">
        <v>62</v>
      </c>
      <c r="G680" t="s">
        <v>9915</v>
      </c>
      <c r="H680">
        <v>80</v>
      </c>
      <c r="I680" t="str">
        <f t="shared" si="4"/>
        <v>CON_QB_0679</v>
      </c>
    </row>
    <row r="681" spans="1:9" x14ac:dyDescent="0.2">
      <c r="A681" t="s">
        <v>9527</v>
      </c>
      <c r="B681" t="s">
        <v>8940</v>
      </c>
      <c r="C681" t="s">
        <v>566</v>
      </c>
      <c r="D681" t="s">
        <v>44</v>
      </c>
      <c r="E681" t="s">
        <v>44</v>
      </c>
      <c r="F681">
        <v>57</v>
      </c>
      <c r="G681" t="s">
        <v>567</v>
      </c>
      <c r="H681">
        <v>78</v>
      </c>
      <c r="I681" t="str">
        <f t="shared" si="4"/>
        <v>CON_QB_0680</v>
      </c>
    </row>
    <row r="682" spans="1:9" x14ac:dyDescent="0.2">
      <c r="A682" t="s">
        <v>9528</v>
      </c>
      <c r="B682" t="s">
        <v>8941</v>
      </c>
      <c r="C682" t="s">
        <v>566</v>
      </c>
      <c r="D682" t="s">
        <v>44</v>
      </c>
      <c r="E682" t="s">
        <v>44</v>
      </c>
      <c r="F682">
        <v>70</v>
      </c>
      <c r="G682" t="s">
        <v>9917</v>
      </c>
      <c r="H682">
        <v>88</v>
      </c>
      <c r="I682" t="str">
        <f t="shared" si="4"/>
        <v>CON_QB_0681</v>
      </c>
    </row>
    <row r="683" spans="1:9" x14ac:dyDescent="0.2">
      <c r="A683" t="s">
        <v>9529</v>
      </c>
      <c r="B683" t="s">
        <v>8942</v>
      </c>
      <c r="C683" t="s">
        <v>566</v>
      </c>
      <c r="D683" t="s">
        <v>44</v>
      </c>
      <c r="E683" t="s">
        <v>44</v>
      </c>
      <c r="F683">
        <v>44</v>
      </c>
      <c r="G683" t="s">
        <v>9914</v>
      </c>
      <c r="H683">
        <v>69</v>
      </c>
      <c r="I683" t="str">
        <f t="shared" si="4"/>
        <v>CON_QB_0682</v>
      </c>
    </row>
    <row r="684" spans="1:9" x14ac:dyDescent="0.2">
      <c r="A684" t="s">
        <v>9530</v>
      </c>
      <c r="B684" t="s">
        <v>8943</v>
      </c>
      <c r="C684" t="s">
        <v>566</v>
      </c>
      <c r="D684" t="s">
        <v>44</v>
      </c>
      <c r="E684" t="s">
        <v>44</v>
      </c>
      <c r="F684">
        <v>66</v>
      </c>
      <c r="G684" t="s">
        <v>9916</v>
      </c>
      <c r="H684">
        <v>52</v>
      </c>
      <c r="I684" t="str">
        <f t="shared" si="4"/>
        <v>CON_QB_0683</v>
      </c>
    </row>
    <row r="685" spans="1:9" x14ac:dyDescent="0.2">
      <c r="A685" t="s">
        <v>9531</v>
      </c>
      <c r="B685" t="s">
        <v>8944</v>
      </c>
      <c r="C685" t="s">
        <v>566</v>
      </c>
      <c r="D685" t="s">
        <v>44</v>
      </c>
      <c r="E685" t="s">
        <v>44</v>
      </c>
      <c r="F685">
        <v>56</v>
      </c>
      <c r="G685" t="s">
        <v>9910</v>
      </c>
      <c r="H685">
        <v>94</v>
      </c>
      <c r="I685" t="str">
        <f t="shared" si="4"/>
        <v>CON_QB_0684</v>
      </c>
    </row>
    <row r="686" spans="1:9" x14ac:dyDescent="0.2">
      <c r="A686" t="s">
        <v>9532</v>
      </c>
      <c r="B686" t="s">
        <v>8945</v>
      </c>
      <c r="C686" t="s">
        <v>566</v>
      </c>
      <c r="D686" t="s">
        <v>44</v>
      </c>
      <c r="E686" t="s">
        <v>44</v>
      </c>
      <c r="F686">
        <v>58</v>
      </c>
      <c r="G686" t="s">
        <v>9914</v>
      </c>
      <c r="H686">
        <v>71</v>
      </c>
      <c r="I686" t="str">
        <f t="shared" si="4"/>
        <v>CON_QB_0685</v>
      </c>
    </row>
    <row r="687" spans="1:9" x14ac:dyDescent="0.2">
      <c r="A687" t="s">
        <v>9533</v>
      </c>
      <c r="B687" t="s">
        <v>8946</v>
      </c>
      <c r="C687" t="s">
        <v>566</v>
      </c>
      <c r="D687" t="s">
        <v>44</v>
      </c>
      <c r="E687" t="s">
        <v>44</v>
      </c>
      <c r="F687">
        <v>67</v>
      </c>
      <c r="G687" t="s">
        <v>9916</v>
      </c>
      <c r="H687">
        <v>74</v>
      </c>
      <c r="I687" t="str">
        <f t="shared" si="4"/>
        <v>CON_QB_0686</v>
      </c>
    </row>
    <row r="688" spans="1:9" x14ac:dyDescent="0.2">
      <c r="A688" t="s">
        <v>9534</v>
      </c>
      <c r="B688" t="s">
        <v>8947</v>
      </c>
      <c r="C688" t="s">
        <v>566</v>
      </c>
      <c r="D688" t="s">
        <v>44</v>
      </c>
      <c r="E688" t="s">
        <v>44</v>
      </c>
      <c r="F688">
        <v>60</v>
      </c>
      <c r="G688" t="s">
        <v>9910</v>
      </c>
      <c r="H688">
        <v>55</v>
      </c>
      <c r="I688" t="str">
        <f t="shared" si="4"/>
        <v>CON_QB_0687</v>
      </c>
    </row>
    <row r="689" spans="1:9" x14ac:dyDescent="0.2">
      <c r="A689" t="s">
        <v>9535</v>
      </c>
      <c r="B689" t="s">
        <v>8948</v>
      </c>
      <c r="C689" t="s">
        <v>566</v>
      </c>
      <c r="D689" t="s">
        <v>44</v>
      </c>
      <c r="E689" t="s">
        <v>44</v>
      </c>
      <c r="F689">
        <v>45</v>
      </c>
      <c r="G689" t="s">
        <v>9915</v>
      </c>
      <c r="H689">
        <v>50</v>
      </c>
      <c r="I689" t="str">
        <f t="shared" si="4"/>
        <v>CON_QB_0688</v>
      </c>
    </row>
    <row r="690" spans="1:9" x14ac:dyDescent="0.2">
      <c r="A690" t="s">
        <v>9536</v>
      </c>
      <c r="B690" t="s">
        <v>8949</v>
      </c>
      <c r="C690" t="s">
        <v>566</v>
      </c>
      <c r="D690" t="s">
        <v>44</v>
      </c>
      <c r="E690" t="s">
        <v>44</v>
      </c>
      <c r="F690">
        <v>46</v>
      </c>
      <c r="G690" t="s">
        <v>567</v>
      </c>
      <c r="H690">
        <v>60</v>
      </c>
      <c r="I690" t="str">
        <f t="shared" si="4"/>
        <v>CON_QB_0689</v>
      </c>
    </row>
    <row r="691" spans="1:9" x14ac:dyDescent="0.2">
      <c r="A691" t="s">
        <v>9537</v>
      </c>
      <c r="B691" t="s">
        <v>8950</v>
      </c>
      <c r="C691" t="s">
        <v>566</v>
      </c>
      <c r="D691" t="s">
        <v>44</v>
      </c>
      <c r="E691" t="s">
        <v>44</v>
      </c>
      <c r="F691">
        <v>40</v>
      </c>
      <c r="G691" t="s">
        <v>9917</v>
      </c>
      <c r="H691">
        <v>93</v>
      </c>
      <c r="I691" t="str">
        <f t="shared" si="4"/>
        <v>CON_QB_0690</v>
      </c>
    </row>
    <row r="692" spans="1:9" x14ac:dyDescent="0.2">
      <c r="A692" t="s">
        <v>9538</v>
      </c>
      <c r="B692" t="s">
        <v>8951</v>
      </c>
      <c r="C692" t="s">
        <v>566</v>
      </c>
      <c r="D692" t="s">
        <v>44</v>
      </c>
      <c r="E692" t="s">
        <v>44</v>
      </c>
      <c r="F692">
        <v>49</v>
      </c>
      <c r="G692" t="s">
        <v>9914</v>
      </c>
      <c r="H692">
        <v>80</v>
      </c>
      <c r="I692" t="str">
        <f t="shared" si="4"/>
        <v>CON_QB_0691</v>
      </c>
    </row>
    <row r="693" spans="1:9" x14ac:dyDescent="0.2">
      <c r="A693" t="s">
        <v>9539</v>
      </c>
      <c r="B693" t="s">
        <v>8952</v>
      </c>
      <c r="C693" t="s">
        <v>566</v>
      </c>
      <c r="D693" t="s">
        <v>44</v>
      </c>
      <c r="E693" t="s">
        <v>44</v>
      </c>
      <c r="F693">
        <v>46</v>
      </c>
      <c r="G693" t="s">
        <v>9916</v>
      </c>
      <c r="H693">
        <v>71</v>
      </c>
      <c r="I693" t="str">
        <f t="shared" ref="I693:I756" si="5">"CON_"&amp;LEFT(C693,FIND("_",C693&amp;"_")-1)&amp;"_"&amp;RIGHT(A693,4)</f>
        <v>CON_QB_0692</v>
      </c>
    </row>
    <row r="694" spans="1:9" x14ac:dyDescent="0.2">
      <c r="A694" t="s">
        <v>9540</v>
      </c>
      <c r="B694" t="s">
        <v>8953</v>
      </c>
      <c r="C694" t="s">
        <v>566</v>
      </c>
      <c r="D694" t="s">
        <v>44</v>
      </c>
      <c r="E694" t="s">
        <v>44</v>
      </c>
      <c r="F694">
        <v>40</v>
      </c>
      <c r="G694" t="s">
        <v>9910</v>
      </c>
      <c r="H694">
        <v>80</v>
      </c>
      <c r="I694" t="str">
        <f t="shared" si="5"/>
        <v>CON_QB_0693</v>
      </c>
    </row>
    <row r="695" spans="1:9" x14ac:dyDescent="0.2">
      <c r="A695" t="s">
        <v>9541</v>
      </c>
      <c r="B695" t="s">
        <v>8954</v>
      </c>
      <c r="C695" t="s">
        <v>566</v>
      </c>
      <c r="D695" t="s">
        <v>44</v>
      </c>
      <c r="E695" t="s">
        <v>44</v>
      </c>
      <c r="F695">
        <v>64</v>
      </c>
      <c r="G695" t="s">
        <v>9915</v>
      </c>
      <c r="H695">
        <v>90</v>
      </c>
      <c r="I695" t="str">
        <f t="shared" si="5"/>
        <v>CON_QB_0694</v>
      </c>
    </row>
    <row r="696" spans="1:9" x14ac:dyDescent="0.2">
      <c r="A696" t="s">
        <v>9542</v>
      </c>
      <c r="B696" t="s">
        <v>8955</v>
      </c>
      <c r="C696" t="s">
        <v>566</v>
      </c>
      <c r="D696" t="s">
        <v>44</v>
      </c>
      <c r="E696" t="s">
        <v>44</v>
      </c>
      <c r="F696">
        <v>48</v>
      </c>
      <c r="G696" t="s">
        <v>567</v>
      </c>
      <c r="H696">
        <v>57</v>
      </c>
      <c r="I696" t="str">
        <f t="shared" si="5"/>
        <v>CON_QB_0695</v>
      </c>
    </row>
    <row r="697" spans="1:9" x14ac:dyDescent="0.2">
      <c r="A697" t="s">
        <v>9543</v>
      </c>
      <c r="B697" t="s">
        <v>8956</v>
      </c>
      <c r="C697" t="s">
        <v>566</v>
      </c>
      <c r="D697" t="s">
        <v>44</v>
      </c>
      <c r="E697" t="s">
        <v>44</v>
      </c>
      <c r="F697">
        <v>50</v>
      </c>
      <c r="G697" t="s">
        <v>9917</v>
      </c>
      <c r="H697">
        <v>93</v>
      </c>
      <c r="I697" t="str">
        <f t="shared" si="5"/>
        <v>CON_QB_0696</v>
      </c>
    </row>
    <row r="698" spans="1:9" x14ac:dyDescent="0.2">
      <c r="A698" t="s">
        <v>9544</v>
      </c>
      <c r="B698" t="s">
        <v>8957</v>
      </c>
      <c r="C698" t="s">
        <v>566</v>
      </c>
      <c r="D698" t="s">
        <v>44</v>
      </c>
      <c r="E698" t="s">
        <v>44</v>
      </c>
      <c r="F698">
        <v>58</v>
      </c>
      <c r="G698" t="s">
        <v>9914</v>
      </c>
      <c r="H698">
        <v>50</v>
      </c>
      <c r="I698" t="str">
        <f t="shared" si="5"/>
        <v>CON_QB_0697</v>
      </c>
    </row>
    <row r="699" spans="1:9" x14ac:dyDescent="0.2">
      <c r="A699" t="s">
        <v>9545</v>
      </c>
      <c r="B699" t="s">
        <v>8958</v>
      </c>
      <c r="C699" t="s">
        <v>566</v>
      </c>
      <c r="D699" t="s">
        <v>44</v>
      </c>
      <c r="E699" t="s">
        <v>44</v>
      </c>
      <c r="F699">
        <v>53</v>
      </c>
      <c r="G699" t="s">
        <v>9916</v>
      </c>
      <c r="H699">
        <v>81</v>
      </c>
      <c r="I699" t="str">
        <f t="shared" si="5"/>
        <v>CON_QB_0698</v>
      </c>
    </row>
    <row r="700" spans="1:9" x14ac:dyDescent="0.2">
      <c r="A700" t="s">
        <v>9546</v>
      </c>
      <c r="B700" t="s">
        <v>8959</v>
      </c>
      <c r="C700" t="s">
        <v>566</v>
      </c>
      <c r="D700" t="s">
        <v>44</v>
      </c>
      <c r="E700" t="s">
        <v>44</v>
      </c>
      <c r="F700">
        <v>50</v>
      </c>
      <c r="G700" t="s">
        <v>9910</v>
      </c>
      <c r="H700">
        <v>62</v>
      </c>
      <c r="I700" t="str">
        <f t="shared" si="5"/>
        <v>CON_QB_0699</v>
      </c>
    </row>
    <row r="701" spans="1:9" x14ac:dyDescent="0.2">
      <c r="A701" t="s">
        <v>9547</v>
      </c>
      <c r="B701" t="s">
        <v>8960</v>
      </c>
      <c r="C701" t="s">
        <v>566</v>
      </c>
      <c r="D701" t="s">
        <v>44</v>
      </c>
      <c r="E701" t="s">
        <v>44</v>
      </c>
      <c r="F701">
        <v>46</v>
      </c>
      <c r="G701" t="s">
        <v>9915</v>
      </c>
      <c r="H701">
        <v>58</v>
      </c>
      <c r="I701" t="str">
        <f t="shared" si="5"/>
        <v>CON_QB_0700</v>
      </c>
    </row>
    <row r="702" spans="1:9" x14ac:dyDescent="0.2">
      <c r="A702" t="s">
        <v>9548</v>
      </c>
      <c r="B702" t="s">
        <v>8961</v>
      </c>
      <c r="C702" t="s">
        <v>566</v>
      </c>
      <c r="D702" t="s">
        <v>44</v>
      </c>
      <c r="E702" t="s">
        <v>44</v>
      </c>
      <c r="F702">
        <v>53</v>
      </c>
      <c r="G702" t="s">
        <v>567</v>
      </c>
      <c r="H702">
        <v>97</v>
      </c>
      <c r="I702" t="str">
        <f t="shared" si="5"/>
        <v>CON_QB_0701</v>
      </c>
    </row>
    <row r="703" spans="1:9" x14ac:dyDescent="0.2">
      <c r="A703" t="s">
        <v>9549</v>
      </c>
      <c r="B703" t="s">
        <v>8962</v>
      </c>
      <c r="C703" t="s">
        <v>566</v>
      </c>
      <c r="D703" t="s">
        <v>44</v>
      </c>
      <c r="E703" t="s">
        <v>44</v>
      </c>
      <c r="F703">
        <v>46</v>
      </c>
      <c r="G703" t="s">
        <v>9917</v>
      </c>
      <c r="H703">
        <v>88</v>
      </c>
      <c r="I703" t="str">
        <f t="shared" si="5"/>
        <v>CON_QB_0702</v>
      </c>
    </row>
    <row r="704" spans="1:9" x14ac:dyDescent="0.2">
      <c r="A704" t="s">
        <v>9550</v>
      </c>
      <c r="B704" t="s">
        <v>8963</v>
      </c>
      <c r="C704" t="s">
        <v>566</v>
      </c>
      <c r="D704" t="s">
        <v>44</v>
      </c>
      <c r="E704" t="s">
        <v>44</v>
      </c>
      <c r="F704">
        <v>68</v>
      </c>
      <c r="G704" t="s">
        <v>9914</v>
      </c>
      <c r="H704">
        <v>100</v>
      </c>
      <c r="I704" t="str">
        <f t="shared" si="5"/>
        <v>CON_QB_0703</v>
      </c>
    </row>
    <row r="705" spans="1:9" x14ac:dyDescent="0.2">
      <c r="A705" t="s">
        <v>9551</v>
      </c>
      <c r="B705" t="s">
        <v>8964</v>
      </c>
      <c r="C705" t="s">
        <v>566</v>
      </c>
      <c r="D705" t="s">
        <v>44</v>
      </c>
      <c r="E705" t="s">
        <v>44</v>
      </c>
      <c r="F705">
        <v>65</v>
      </c>
      <c r="G705" t="s">
        <v>9916</v>
      </c>
      <c r="H705">
        <v>71</v>
      </c>
      <c r="I705" t="str">
        <f t="shared" si="5"/>
        <v>CON_QB_0704</v>
      </c>
    </row>
    <row r="706" spans="1:9" x14ac:dyDescent="0.2">
      <c r="A706" t="s">
        <v>9552</v>
      </c>
      <c r="B706" t="s">
        <v>8965</v>
      </c>
      <c r="C706" t="s">
        <v>566</v>
      </c>
      <c r="D706" t="s">
        <v>44</v>
      </c>
      <c r="E706" t="s">
        <v>44</v>
      </c>
      <c r="F706">
        <v>42</v>
      </c>
      <c r="G706" t="s">
        <v>9910</v>
      </c>
      <c r="H706">
        <v>79</v>
      </c>
      <c r="I706" t="str">
        <f t="shared" si="5"/>
        <v>CON_QB_0705</v>
      </c>
    </row>
    <row r="707" spans="1:9" x14ac:dyDescent="0.2">
      <c r="A707" t="s">
        <v>9553</v>
      </c>
      <c r="B707" t="s">
        <v>8966</v>
      </c>
      <c r="C707" t="s">
        <v>566</v>
      </c>
      <c r="D707" t="s">
        <v>44</v>
      </c>
      <c r="E707" t="s">
        <v>44</v>
      </c>
      <c r="F707">
        <v>58</v>
      </c>
      <c r="G707" t="s">
        <v>9915</v>
      </c>
      <c r="H707">
        <v>79</v>
      </c>
      <c r="I707" t="str">
        <f t="shared" si="5"/>
        <v>CON_QB_0706</v>
      </c>
    </row>
    <row r="708" spans="1:9" x14ac:dyDescent="0.2">
      <c r="A708" t="s">
        <v>9554</v>
      </c>
      <c r="B708" t="s">
        <v>8967</v>
      </c>
      <c r="C708" t="s">
        <v>566</v>
      </c>
      <c r="D708" t="s">
        <v>44</v>
      </c>
      <c r="E708" t="s">
        <v>44</v>
      </c>
      <c r="F708">
        <v>44</v>
      </c>
      <c r="G708" t="s">
        <v>567</v>
      </c>
      <c r="H708">
        <v>99</v>
      </c>
      <c r="I708" t="str">
        <f t="shared" si="5"/>
        <v>CON_QB_0707</v>
      </c>
    </row>
    <row r="709" spans="1:9" x14ac:dyDescent="0.2">
      <c r="A709" t="s">
        <v>9555</v>
      </c>
      <c r="B709" t="s">
        <v>8968</v>
      </c>
      <c r="C709" t="s">
        <v>566</v>
      </c>
      <c r="D709" t="s">
        <v>44</v>
      </c>
      <c r="E709" t="s">
        <v>44</v>
      </c>
      <c r="F709">
        <v>41</v>
      </c>
      <c r="G709" t="s">
        <v>9917</v>
      </c>
      <c r="H709">
        <v>88</v>
      </c>
      <c r="I709" t="str">
        <f t="shared" si="5"/>
        <v>CON_QB_0708</v>
      </c>
    </row>
    <row r="710" spans="1:9" x14ac:dyDescent="0.2">
      <c r="A710" t="s">
        <v>9556</v>
      </c>
      <c r="B710" t="s">
        <v>8969</v>
      </c>
      <c r="C710" t="s">
        <v>566</v>
      </c>
      <c r="D710" t="s">
        <v>44</v>
      </c>
      <c r="E710" t="s">
        <v>44</v>
      </c>
      <c r="F710">
        <v>59</v>
      </c>
      <c r="G710" t="s">
        <v>9914</v>
      </c>
      <c r="H710">
        <v>67</v>
      </c>
      <c r="I710" t="str">
        <f t="shared" si="5"/>
        <v>CON_QB_0709</v>
      </c>
    </row>
    <row r="711" spans="1:9" x14ac:dyDescent="0.2">
      <c r="A711" t="s">
        <v>9557</v>
      </c>
      <c r="B711" t="s">
        <v>8970</v>
      </c>
      <c r="C711" t="s">
        <v>566</v>
      </c>
      <c r="D711" t="s">
        <v>44</v>
      </c>
      <c r="E711" t="s">
        <v>44</v>
      </c>
      <c r="F711">
        <v>52</v>
      </c>
      <c r="G711" t="s">
        <v>9916</v>
      </c>
      <c r="H711">
        <v>62</v>
      </c>
      <c r="I711" t="str">
        <f t="shared" si="5"/>
        <v>CON_QB_0710</v>
      </c>
    </row>
    <row r="712" spans="1:9" x14ac:dyDescent="0.2">
      <c r="A712" t="s">
        <v>9558</v>
      </c>
      <c r="B712" t="s">
        <v>8971</v>
      </c>
      <c r="C712" t="s">
        <v>566</v>
      </c>
      <c r="D712" t="s">
        <v>44</v>
      </c>
      <c r="E712" t="s">
        <v>44</v>
      </c>
      <c r="F712">
        <v>46</v>
      </c>
      <c r="G712" t="s">
        <v>9910</v>
      </c>
      <c r="H712">
        <v>54</v>
      </c>
      <c r="I712" t="str">
        <f t="shared" si="5"/>
        <v>CON_QB_0711</v>
      </c>
    </row>
    <row r="713" spans="1:9" x14ac:dyDescent="0.2">
      <c r="A713" t="s">
        <v>9559</v>
      </c>
      <c r="B713" t="s">
        <v>8972</v>
      </c>
      <c r="C713" t="s">
        <v>566</v>
      </c>
      <c r="D713" t="s">
        <v>44</v>
      </c>
      <c r="E713" t="s">
        <v>44</v>
      </c>
      <c r="F713">
        <v>55</v>
      </c>
      <c r="G713" t="s">
        <v>567</v>
      </c>
      <c r="H713">
        <v>74</v>
      </c>
      <c r="I713" t="str">
        <f t="shared" si="5"/>
        <v>CON_QB_0712</v>
      </c>
    </row>
    <row r="714" spans="1:9" x14ac:dyDescent="0.2">
      <c r="A714" t="s">
        <v>9560</v>
      </c>
      <c r="B714" t="s">
        <v>8973</v>
      </c>
      <c r="C714" t="s">
        <v>566</v>
      </c>
      <c r="D714" t="s">
        <v>44</v>
      </c>
      <c r="E714" t="s">
        <v>44</v>
      </c>
      <c r="F714">
        <v>64</v>
      </c>
      <c r="G714" t="s">
        <v>9917</v>
      </c>
      <c r="H714">
        <v>77</v>
      </c>
      <c r="I714" t="str">
        <f t="shared" si="5"/>
        <v>CON_QB_0713</v>
      </c>
    </row>
    <row r="715" spans="1:9" x14ac:dyDescent="0.2">
      <c r="A715" t="s">
        <v>9561</v>
      </c>
      <c r="B715" t="s">
        <v>8974</v>
      </c>
      <c r="C715" t="s">
        <v>566</v>
      </c>
      <c r="D715" t="s">
        <v>44</v>
      </c>
      <c r="E715" t="s">
        <v>44</v>
      </c>
      <c r="F715">
        <v>45</v>
      </c>
      <c r="G715" t="s">
        <v>9914</v>
      </c>
      <c r="H715">
        <v>54</v>
      </c>
      <c r="I715" t="str">
        <f t="shared" si="5"/>
        <v>CON_QB_0714</v>
      </c>
    </row>
    <row r="716" spans="1:9" x14ac:dyDescent="0.2">
      <c r="A716" t="s">
        <v>9562</v>
      </c>
      <c r="B716" t="s">
        <v>8975</v>
      </c>
      <c r="C716" t="s">
        <v>566</v>
      </c>
      <c r="D716" t="s">
        <v>44</v>
      </c>
      <c r="E716" t="s">
        <v>44</v>
      </c>
      <c r="F716">
        <v>49</v>
      </c>
      <c r="G716" t="s">
        <v>9916</v>
      </c>
      <c r="H716">
        <v>94</v>
      </c>
      <c r="I716" t="str">
        <f t="shared" si="5"/>
        <v>CON_QB_0715</v>
      </c>
    </row>
    <row r="717" spans="1:9" x14ac:dyDescent="0.2">
      <c r="A717" t="s">
        <v>9563</v>
      </c>
      <c r="B717" t="s">
        <v>8976</v>
      </c>
      <c r="C717" t="s">
        <v>566</v>
      </c>
      <c r="D717" t="s">
        <v>44</v>
      </c>
      <c r="E717" t="s">
        <v>44</v>
      </c>
      <c r="F717">
        <v>69</v>
      </c>
      <c r="G717" t="s">
        <v>9910</v>
      </c>
      <c r="H717">
        <v>59</v>
      </c>
      <c r="I717" t="str">
        <f t="shared" si="5"/>
        <v>CON_QB_0716</v>
      </c>
    </row>
    <row r="718" spans="1:9" x14ac:dyDescent="0.2">
      <c r="A718" t="s">
        <v>9564</v>
      </c>
      <c r="B718" t="s">
        <v>8977</v>
      </c>
      <c r="C718" t="s">
        <v>566</v>
      </c>
      <c r="D718" t="s">
        <v>44</v>
      </c>
      <c r="E718" t="s">
        <v>44</v>
      </c>
      <c r="F718">
        <v>41</v>
      </c>
      <c r="G718" t="s">
        <v>9915</v>
      </c>
      <c r="H718">
        <v>82</v>
      </c>
      <c r="I718" t="str">
        <f t="shared" si="5"/>
        <v>CON_QB_0717</v>
      </c>
    </row>
    <row r="719" spans="1:9" x14ac:dyDescent="0.2">
      <c r="A719" t="s">
        <v>9565</v>
      </c>
      <c r="B719" t="s">
        <v>8978</v>
      </c>
      <c r="C719" t="s">
        <v>566</v>
      </c>
      <c r="D719" t="s">
        <v>44</v>
      </c>
      <c r="E719" t="s">
        <v>44</v>
      </c>
      <c r="F719">
        <v>61</v>
      </c>
      <c r="G719" t="s">
        <v>567</v>
      </c>
      <c r="H719">
        <v>60</v>
      </c>
      <c r="I719" t="str">
        <f t="shared" si="5"/>
        <v>CON_QB_0718</v>
      </c>
    </row>
    <row r="720" spans="1:9" x14ac:dyDescent="0.2">
      <c r="A720" t="s">
        <v>9566</v>
      </c>
      <c r="B720" t="s">
        <v>8979</v>
      </c>
      <c r="C720" t="s">
        <v>566</v>
      </c>
      <c r="D720" t="s">
        <v>44</v>
      </c>
      <c r="E720" t="s">
        <v>44</v>
      </c>
      <c r="F720">
        <v>42</v>
      </c>
      <c r="G720" t="s">
        <v>9917</v>
      </c>
      <c r="H720">
        <v>97</v>
      </c>
      <c r="I720" t="str">
        <f t="shared" si="5"/>
        <v>CON_QB_0719</v>
      </c>
    </row>
    <row r="721" spans="1:9" x14ac:dyDescent="0.2">
      <c r="A721" t="s">
        <v>9567</v>
      </c>
      <c r="B721" t="s">
        <v>8980</v>
      </c>
      <c r="C721" t="s">
        <v>566</v>
      </c>
      <c r="D721" t="s">
        <v>44</v>
      </c>
      <c r="E721" t="s">
        <v>44</v>
      </c>
      <c r="F721">
        <v>52</v>
      </c>
      <c r="G721" t="s">
        <v>9914</v>
      </c>
      <c r="H721">
        <v>99</v>
      </c>
      <c r="I721" t="str">
        <f t="shared" si="5"/>
        <v>CON_QB_0720</v>
      </c>
    </row>
    <row r="722" spans="1:9" x14ac:dyDescent="0.2">
      <c r="A722" t="s">
        <v>9568</v>
      </c>
      <c r="B722" t="s">
        <v>8981</v>
      </c>
      <c r="C722" t="s">
        <v>566</v>
      </c>
      <c r="D722" t="s">
        <v>44</v>
      </c>
      <c r="E722" t="s">
        <v>44</v>
      </c>
      <c r="F722">
        <v>47</v>
      </c>
      <c r="G722" t="s">
        <v>9916</v>
      </c>
      <c r="H722">
        <v>87</v>
      </c>
      <c r="I722" t="str">
        <f t="shared" si="5"/>
        <v>CON_QB_0721</v>
      </c>
    </row>
    <row r="723" spans="1:9" x14ac:dyDescent="0.2">
      <c r="A723" t="s">
        <v>9569</v>
      </c>
      <c r="B723" t="s">
        <v>8982</v>
      </c>
      <c r="C723" t="s">
        <v>564</v>
      </c>
      <c r="D723" t="s">
        <v>44</v>
      </c>
      <c r="E723" t="s">
        <v>44</v>
      </c>
      <c r="F723">
        <v>58</v>
      </c>
      <c r="G723" t="s">
        <v>9919</v>
      </c>
      <c r="H723">
        <v>70</v>
      </c>
      <c r="I723" t="str">
        <f t="shared" si="5"/>
        <v>CON_LB_0722</v>
      </c>
    </row>
    <row r="724" spans="1:9" x14ac:dyDescent="0.2">
      <c r="A724" t="s">
        <v>9570</v>
      </c>
      <c r="B724" t="s">
        <v>8983</v>
      </c>
      <c r="C724" t="s">
        <v>564</v>
      </c>
      <c r="D724" t="s">
        <v>44</v>
      </c>
      <c r="E724" t="s">
        <v>44</v>
      </c>
      <c r="F724">
        <v>57</v>
      </c>
      <c r="G724" t="s">
        <v>9920</v>
      </c>
      <c r="H724">
        <v>64</v>
      </c>
      <c r="I724" t="str">
        <f t="shared" si="5"/>
        <v>CON_LB_0723</v>
      </c>
    </row>
    <row r="725" spans="1:9" x14ac:dyDescent="0.2">
      <c r="A725" t="s">
        <v>9571</v>
      </c>
      <c r="B725" t="s">
        <v>8984</v>
      </c>
      <c r="C725" t="s">
        <v>564</v>
      </c>
      <c r="D725" t="s">
        <v>44</v>
      </c>
      <c r="E725" t="s">
        <v>44</v>
      </c>
      <c r="F725">
        <v>50</v>
      </c>
      <c r="G725" t="s">
        <v>9921</v>
      </c>
      <c r="H725">
        <v>64</v>
      </c>
      <c r="I725" t="str">
        <f t="shared" si="5"/>
        <v>CON_LB_0724</v>
      </c>
    </row>
    <row r="726" spans="1:9" x14ac:dyDescent="0.2">
      <c r="A726" t="s">
        <v>9572</v>
      </c>
      <c r="B726" t="s">
        <v>8985</v>
      </c>
      <c r="C726" t="s">
        <v>564</v>
      </c>
      <c r="D726" t="s">
        <v>44</v>
      </c>
      <c r="E726" t="s">
        <v>44</v>
      </c>
      <c r="F726">
        <v>67</v>
      </c>
      <c r="G726" t="s">
        <v>9873</v>
      </c>
      <c r="H726">
        <v>99</v>
      </c>
      <c r="I726" t="str">
        <f t="shared" si="5"/>
        <v>CON_LB_0725</v>
      </c>
    </row>
    <row r="727" spans="1:9" x14ac:dyDescent="0.2">
      <c r="A727" t="s">
        <v>9573</v>
      </c>
      <c r="B727" t="s">
        <v>8986</v>
      </c>
      <c r="C727" t="s">
        <v>564</v>
      </c>
      <c r="D727" t="s">
        <v>44</v>
      </c>
      <c r="E727" t="s">
        <v>44</v>
      </c>
      <c r="F727">
        <v>60</v>
      </c>
      <c r="G727" t="s">
        <v>9874</v>
      </c>
      <c r="H727">
        <v>62</v>
      </c>
      <c r="I727" t="str">
        <f t="shared" si="5"/>
        <v>CON_LB_0726</v>
      </c>
    </row>
    <row r="728" spans="1:9" x14ac:dyDescent="0.2">
      <c r="A728" t="s">
        <v>9574</v>
      </c>
      <c r="B728" t="s">
        <v>8987</v>
      </c>
      <c r="C728" t="s">
        <v>564</v>
      </c>
      <c r="D728" t="s">
        <v>44</v>
      </c>
      <c r="E728" t="s">
        <v>44</v>
      </c>
      <c r="F728">
        <v>59</v>
      </c>
      <c r="G728" t="s">
        <v>9918</v>
      </c>
      <c r="H728">
        <v>68</v>
      </c>
      <c r="I728" t="str">
        <f t="shared" si="5"/>
        <v>CON_LB_0727</v>
      </c>
    </row>
    <row r="729" spans="1:9" x14ac:dyDescent="0.2">
      <c r="A729" t="s">
        <v>9575</v>
      </c>
      <c r="B729" t="s">
        <v>8988</v>
      </c>
      <c r="C729" t="s">
        <v>564</v>
      </c>
      <c r="D729" t="s">
        <v>44</v>
      </c>
      <c r="E729" t="s">
        <v>44</v>
      </c>
      <c r="F729">
        <v>44</v>
      </c>
      <c r="G729" t="s">
        <v>9919</v>
      </c>
      <c r="H729">
        <v>87</v>
      </c>
      <c r="I729" t="str">
        <f t="shared" si="5"/>
        <v>CON_LB_0728</v>
      </c>
    </row>
    <row r="730" spans="1:9" x14ac:dyDescent="0.2">
      <c r="A730" t="s">
        <v>9576</v>
      </c>
      <c r="B730" t="s">
        <v>8989</v>
      </c>
      <c r="C730" t="s">
        <v>564</v>
      </c>
      <c r="D730" t="s">
        <v>44</v>
      </c>
      <c r="E730" t="s">
        <v>44</v>
      </c>
      <c r="F730">
        <v>55</v>
      </c>
      <c r="G730" t="s">
        <v>9920</v>
      </c>
      <c r="H730">
        <v>54</v>
      </c>
      <c r="I730" t="str">
        <f t="shared" si="5"/>
        <v>CON_LB_0729</v>
      </c>
    </row>
    <row r="731" spans="1:9" x14ac:dyDescent="0.2">
      <c r="A731" t="s">
        <v>9577</v>
      </c>
      <c r="B731" t="s">
        <v>8990</v>
      </c>
      <c r="C731" t="s">
        <v>564</v>
      </c>
      <c r="D731" t="s">
        <v>44</v>
      </c>
      <c r="E731" t="s">
        <v>44</v>
      </c>
      <c r="F731">
        <v>45</v>
      </c>
      <c r="G731" t="s">
        <v>9921</v>
      </c>
      <c r="H731">
        <v>77</v>
      </c>
      <c r="I731" t="str">
        <f t="shared" si="5"/>
        <v>CON_LB_0730</v>
      </c>
    </row>
    <row r="732" spans="1:9" x14ac:dyDescent="0.2">
      <c r="A732" t="s">
        <v>9578</v>
      </c>
      <c r="B732" t="s">
        <v>8991</v>
      </c>
      <c r="C732" t="s">
        <v>564</v>
      </c>
      <c r="D732" t="s">
        <v>44</v>
      </c>
      <c r="E732" t="s">
        <v>44</v>
      </c>
      <c r="F732">
        <v>52</v>
      </c>
      <c r="G732" t="s">
        <v>9873</v>
      </c>
      <c r="H732">
        <v>98</v>
      </c>
      <c r="I732" t="str">
        <f t="shared" si="5"/>
        <v>CON_LB_0731</v>
      </c>
    </row>
    <row r="733" spans="1:9" x14ac:dyDescent="0.2">
      <c r="A733" t="s">
        <v>9579</v>
      </c>
      <c r="B733" t="s">
        <v>8992</v>
      </c>
      <c r="C733" t="s">
        <v>564</v>
      </c>
      <c r="D733" t="s">
        <v>44</v>
      </c>
      <c r="E733" t="s">
        <v>44</v>
      </c>
      <c r="F733">
        <v>60</v>
      </c>
      <c r="G733" t="s">
        <v>9874</v>
      </c>
      <c r="H733">
        <v>53</v>
      </c>
      <c r="I733" t="str">
        <f t="shared" si="5"/>
        <v>CON_LB_0732</v>
      </c>
    </row>
    <row r="734" spans="1:9" x14ac:dyDescent="0.2">
      <c r="A734" t="s">
        <v>9580</v>
      </c>
      <c r="B734" t="s">
        <v>8993</v>
      </c>
      <c r="C734" t="s">
        <v>564</v>
      </c>
      <c r="D734" t="s">
        <v>44</v>
      </c>
      <c r="E734" t="s">
        <v>44</v>
      </c>
      <c r="F734">
        <v>49</v>
      </c>
      <c r="G734" t="s">
        <v>9918</v>
      </c>
      <c r="H734">
        <v>81</v>
      </c>
      <c r="I734" t="str">
        <f t="shared" si="5"/>
        <v>CON_LB_0733</v>
      </c>
    </row>
    <row r="735" spans="1:9" x14ac:dyDescent="0.2">
      <c r="A735" t="s">
        <v>9581</v>
      </c>
      <c r="B735" t="s">
        <v>8994</v>
      </c>
      <c r="C735" t="s">
        <v>564</v>
      </c>
      <c r="D735" t="s">
        <v>44</v>
      </c>
      <c r="E735" t="s">
        <v>44</v>
      </c>
      <c r="F735">
        <v>55</v>
      </c>
      <c r="G735" t="s">
        <v>9919</v>
      </c>
      <c r="H735">
        <v>91</v>
      </c>
      <c r="I735" t="str">
        <f t="shared" si="5"/>
        <v>CON_LB_0734</v>
      </c>
    </row>
    <row r="736" spans="1:9" x14ac:dyDescent="0.2">
      <c r="A736" t="s">
        <v>9582</v>
      </c>
      <c r="B736" t="s">
        <v>8995</v>
      </c>
      <c r="C736" t="s">
        <v>564</v>
      </c>
      <c r="D736" t="s">
        <v>44</v>
      </c>
      <c r="E736" t="s">
        <v>44</v>
      </c>
      <c r="F736">
        <v>68</v>
      </c>
      <c r="G736" t="s">
        <v>9920</v>
      </c>
      <c r="H736">
        <v>59</v>
      </c>
      <c r="I736" t="str">
        <f t="shared" si="5"/>
        <v>CON_LB_0735</v>
      </c>
    </row>
    <row r="737" spans="1:9" x14ac:dyDescent="0.2">
      <c r="A737" t="s">
        <v>9583</v>
      </c>
      <c r="B737" t="s">
        <v>8996</v>
      </c>
      <c r="C737" t="s">
        <v>564</v>
      </c>
      <c r="D737" t="s">
        <v>44</v>
      </c>
      <c r="E737" t="s">
        <v>44</v>
      </c>
      <c r="F737">
        <v>41</v>
      </c>
      <c r="G737" t="s">
        <v>9921</v>
      </c>
      <c r="H737">
        <v>64</v>
      </c>
      <c r="I737" t="str">
        <f t="shared" si="5"/>
        <v>CON_LB_0736</v>
      </c>
    </row>
    <row r="738" spans="1:9" x14ac:dyDescent="0.2">
      <c r="A738" t="s">
        <v>9584</v>
      </c>
      <c r="B738" t="s">
        <v>8997</v>
      </c>
      <c r="C738" t="s">
        <v>564</v>
      </c>
      <c r="D738" t="s">
        <v>44</v>
      </c>
      <c r="E738" t="s">
        <v>44</v>
      </c>
      <c r="F738">
        <v>63</v>
      </c>
      <c r="G738" t="s">
        <v>9873</v>
      </c>
      <c r="H738">
        <v>62</v>
      </c>
      <c r="I738" t="str">
        <f t="shared" si="5"/>
        <v>CON_LB_0737</v>
      </c>
    </row>
    <row r="739" spans="1:9" x14ac:dyDescent="0.2">
      <c r="A739" t="s">
        <v>9585</v>
      </c>
      <c r="B739" t="s">
        <v>8998</v>
      </c>
      <c r="C739" t="s">
        <v>564</v>
      </c>
      <c r="D739" t="s">
        <v>44</v>
      </c>
      <c r="E739" t="s">
        <v>44</v>
      </c>
      <c r="F739">
        <v>51</v>
      </c>
      <c r="G739" t="s">
        <v>9919</v>
      </c>
      <c r="H739">
        <v>57</v>
      </c>
      <c r="I739" t="str">
        <f t="shared" si="5"/>
        <v>CON_LB_0738</v>
      </c>
    </row>
    <row r="740" spans="1:9" x14ac:dyDescent="0.2">
      <c r="A740" t="s">
        <v>9586</v>
      </c>
      <c r="B740" t="s">
        <v>8999</v>
      </c>
      <c r="C740" t="s">
        <v>564</v>
      </c>
      <c r="D740" t="s">
        <v>44</v>
      </c>
      <c r="E740" t="s">
        <v>44</v>
      </c>
      <c r="F740">
        <v>49</v>
      </c>
      <c r="G740" t="s">
        <v>9922</v>
      </c>
      <c r="H740">
        <v>64</v>
      </c>
      <c r="I740" t="str">
        <f t="shared" si="5"/>
        <v>CON_LB_0739</v>
      </c>
    </row>
    <row r="741" spans="1:9" x14ac:dyDescent="0.2">
      <c r="A741" t="s">
        <v>9587</v>
      </c>
      <c r="B741" t="s">
        <v>9000</v>
      </c>
      <c r="C741" t="s">
        <v>564</v>
      </c>
      <c r="D741" t="s">
        <v>44</v>
      </c>
      <c r="E741" t="s">
        <v>44</v>
      </c>
      <c r="F741">
        <v>45</v>
      </c>
      <c r="G741" t="s">
        <v>9921</v>
      </c>
      <c r="H741">
        <v>100</v>
      </c>
      <c r="I741" t="str">
        <f t="shared" si="5"/>
        <v>CON_LB_0740</v>
      </c>
    </row>
    <row r="742" spans="1:9" x14ac:dyDescent="0.2">
      <c r="A742" t="s">
        <v>9588</v>
      </c>
      <c r="B742" t="s">
        <v>9001</v>
      </c>
      <c r="C742" t="s">
        <v>564</v>
      </c>
      <c r="D742" t="s">
        <v>44</v>
      </c>
      <c r="E742" t="s">
        <v>44</v>
      </c>
      <c r="F742">
        <v>46</v>
      </c>
      <c r="G742" t="s">
        <v>9873</v>
      </c>
      <c r="H742">
        <v>60</v>
      </c>
      <c r="I742" t="str">
        <f t="shared" si="5"/>
        <v>CON_LB_0741</v>
      </c>
    </row>
    <row r="743" spans="1:9" x14ac:dyDescent="0.2">
      <c r="A743" t="s">
        <v>9589</v>
      </c>
      <c r="B743" t="s">
        <v>9002</v>
      </c>
      <c r="C743" t="s">
        <v>564</v>
      </c>
      <c r="D743" t="s">
        <v>44</v>
      </c>
      <c r="E743" t="s">
        <v>44</v>
      </c>
      <c r="F743">
        <v>63</v>
      </c>
      <c r="G743" t="s">
        <v>9874</v>
      </c>
      <c r="H743">
        <v>63</v>
      </c>
      <c r="I743" t="str">
        <f t="shared" si="5"/>
        <v>CON_LB_0742</v>
      </c>
    </row>
    <row r="744" spans="1:9" x14ac:dyDescent="0.2">
      <c r="A744" t="s">
        <v>9590</v>
      </c>
      <c r="B744" t="s">
        <v>9003</v>
      </c>
      <c r="C744" t="s">
        <v>564</v>
      </c>
      <c r="D744" t="s">
        <v>44</v>
      </c>
      <c r="E744" t="s">
        <v>44</v>
      </c>
      <c r="F744">
        <v>45</v>
      </c>
      <c r="G744" t="s">
        <v>9918</v>
      </c>
      <c r="H744">
        <v>89</v>
      </c>
      <c r="I744" t="str">
        <f t="shared" si="5"/>
        <v>CON_LB_0743</v>
      </c>
    </row>
    <row r="745" spans="1:9" x14ac:dyDescent="0.2">
      <c r="A745" t="s">
        <v>9591</v>
      </c>
      <c r="B745" t="s">
        <v>9004</v>
      </c>
      <c r="C745" t="s">
        <v>564</v>
      </c>
      <c r="D745" t="s">
        <v>44</v>
      </c>
      <c r="E745" t="s">
        <v>44</v>
      </c>
      <c r="F745">
        <v>53</v>
      </c>
      <c r="G745" t="s">
        <v>9919</v>
      </c>
      <c r="H745">
        <v>71</v>
      </c>
      <c r="I745" t="str">
        <f t="shared" si="5"/>
        <v>CON_LB_0744</v>
      </c>
    </row>
    <row r="746" spans="1:9" x14ac:dyDescent="0.2">
      <c r="A746" t="s">
        <v>9592</v>
      </c>
      <c r="B746" t="s">
        <v>9005</v>
      </c>
      <c r="C746" t="s">
        <v>564</v>
      </c>
      <c r="D746" t="s">
        <v>44</v>
      </c>
      <c r="E746" t="s">
        <v>44</v>
      </c>
      <c r="F746">
        <v>48</v>
      </c>
      <c r="G746" t="s">
        <v>9922</v>
      </c>
      <c r="H746">
        <v>86</v>
      </c>
      <c r="I746" t="str">
        <f t="shared" si="5"/>
        <v>CON_LB_0745</v>
      </c>
    </row>
    <row r="747" spans="1:9" x14ac:dyDescent="0.2">
      <c r="A747" t="s">
        <v>9593</v>
      </c>
      <c r="B747" t="s">
        <v>9006</v>
      </c>
      <c r="C747" t="s">
        <v>564</v>
      </c>
      <c r="D747" t="s">
        <v>44</v>
      </c>
      <c r="E747" t="s">
        <v>44</v>
      </c>
      <c r="F747">
        <v>58</v>
      </c>
      <c r="G747" t="s">
        <v>9921</v>
      </c>
      <c r="H747">
        <v>92</v>
      </c>
      <c r="I747" t="str">
        <f t="shared" si="5"/>
        <v>CON_LB_0746</v>
      </c>
    </row>
    <row r="748" spans="1:9" x14ac:dyDescent="0.2">
      <c r="A748" t="s">
        <v>9594</v>
      </c>
      <c r="B748" t="s">
        <v>9007</v>
      </c>
      <c r="C748" t="s">
        <v>564</v>
      </c>
      <c r="D748" t="s">
        <v>44</v>
      </c>
      <c r="E748" t="s">
        <v>44</v>
      </c>
      <c r="F748">
        <v>58</v>
      </c>
      <c r="G748" t="s">
        <v>9873</v>
      </c>
      <c r="H748">
        <v>76</v>
      </c>
      <c r="I748" t="str">
        <f t="shared" si="5"/>
        <v>CON_LB_0747</v>
      </c>
    </row>
    <row r="749" spans="1:9" x14ac:dyDescent="0.2">
      <c r="A749" t="s">
        <v>9595</v>
      </c>
      <c r="B749" t="s">
        <v>9008</v>
      </c>
      <c r="C749" t="s">
        <v>564</v>
      </c>
      <c r="D749" t="s">
        <v>44</v>
      </c>
      <c r="E749" t="s">
        <v>44</v>
      </c>
      <c r="F749">
        <v>51</v>
      </c>
      <c r="G749" t="s">
        <v>9874</v>
      </c>
      <c r="H749">
        <v>89</v>
      </c>
      <c r="I749" t="str">
        <f t="shared" si="5"/>
        <v>CON_LB_0748</v>
      </c>
    </row>
    <row r="750" spans="1:9" x14ac:dyDescent="0.2">
      <c r="A750" t="s">
        <v>9596</v>
      </c>
      <c r="B750" t="s">
        <v>9009</v>
      </c>
      <c r="C750" t="s">
        <v>564</v>
      </c>
      <c r="D750" t="s">
        <v>44</v>
      </c>
      <c r="E750" t="s">
        <v>44</v>
      </c>
      <c r="F750">
        <v>59</v>
      </c>
      <c r="G750" t="s">
        <v>9918</v>
      </c>
      <c r="H750">
        <v>64</v>
      </c>
      <c r="I750" t="str">
        <f t="shared" si="5"/>
        <v>CON_LB_0749</v>
      </c>
    </row>
    <row r="751" spans="1:9" x14ac:dyDescent="0.2">
      <c r="A751" t="s">
        <v>9597</v>
      </c>
      <c r="B751" t="s">
        <v>9010</v>
      </c>
      <c r="C751" t="s">
        <v>564</v>
      </c>
      <c r="D751" t="s">
        <v>44</v>
      </c>
      <c r="E751" t="s">
        <v>44</v>
      </c>
      <c r="F751">
        <v>66</v>
      </c>
      <c r="G751" t="s">
        <v>9919</v>
      </c>
      <c r="H751">
        <v>68</v>
      </c>
      <c r="I751" t="str">
        <f t="shared" si="5"/>
        <v>CON_LB_0750</v>
      </c>
    </row>
    <row r="752" spans="1:9" x14ac:dyDescent="0.2">
      <c r="A752" t="s">
        <v>9598</v>
      </c>
      <c r="B752" t="s">
        <v>9011</v>
      </c>
      <c r="C752" t="s">
        <v>564</v>
      </c>
      <c r="D752" t="s">
        <v>44</v>
      </c>
      <c r="E752" t="s">
        <v>44</v>
      </c>
      <c r="F752">
        <v>66</v>
      </c>
      <c r="G752" t="s">
        <v>9922</v>
      </c>
      <c r="H752">
        <v>79</v>
      </c>
      <c r="I752" t="str">
        <f t="shared" si="5"/>
        <v>CON_LB_0751</v>
      </c>
    </row>
    <row r="753" spans="1:9" x14ac:dyDescent="0.2">
      <c r="A753" t="s">
        <v>9599</v>
      </c>
      <c r="B753" t="s">
        <v>9012</v>
      </c>
      <c r="C753" t="s">
        <v>564</v>
      </c>
      <c r="D753" t="s">
        <v>44</v>
      </c>
      <c r="E753" t="s">
        <v>44</v>
      </c>
      <c r="F753">
        <v>42</v>
      </c>
      <c r="G753" t="s">
        <v>9921</v>
      </c>
      <c r="H753">
        <v>62</v>
      </c>
      <c r="I753" t="str">
        <f t="shared" si="5"/>
        <v>CON_LB_0752</v>
      </c>
    </row>
    <row r="754" spans="1:9" x14ac:dyDescent="0.2">
      <c r="A754" t="s">
        <v>9600</v>
      </c>
      <c r="B754" t="s">
        <v>9013</v>
      </c>
      <c r="C754" t="s">
        <v>564</v>
      </c>
      <c r="D754" t="s">
        <v>44</v>
      </c>
      <c r="E754" t="s">
        <v>44</v>
      </c>
      <c r="F754">
        <v>47</v>
      </c>
      <c r="G754" t="s">
        <v>9873</v>
      </c>
      <c r="H754">
        <v>76</v>
      </c>
      <c r="I754" t="str">
        <f t="shared" si="5"/>
        <v>CON_LB_0753</v>
      </c>
    </row>
    <row r="755" spans="1:9" x14ac:dyDescent="0.2">
      <c r="A755" t="s">
        <v>9601</v>
      </c>
      <c r="B755" t="s">
        <v>9014</v>
      </c>
      <c r="C755" t="s">
        <v>561</v>
      </c>
      <c r="D755" t="s">
        <v>44</v>
      </c>
      <c r="E755" t="s">
        <v>44</v>
      </c>
      <c r="F755">
        <v>56</v>
      </c>
      <c r="G755" t="s">
        <v>9914</v>
      </c>
      <c r="H755">
        <v>70</v>
      </c>
      <c r="I755" t="str">
        <f t="shared" si="5"/>
        <v>CON_WR_0754</v>
      </c>
    </row>
    <row r="756" spans="1:9" x14ac:dyDescent="0.2">
      <c r="A756" t="s">
        <v>9602</v>
      </c>
      <c r="B756" t="s">
        <v>9015</v>
      </c>
      <c r="C756" t="s">
        <v>561</v>
      </c>
      <c r="D756" t="s">
        <v>44</v>
      </c>
      <c r="E756" t="s">
        <v>44</v>
      </c>
      <c r="F756">
        <v>57</v>
      </c>
      <c r="G756" t="s">
        <v>9916</v>
      </c>
      <c r="H756">
        <v>59</v>
      </c>
      <c r="I756" t="str">
        <f t="shared" si="5"/>
        <v>CON_WR_0755</v>
      </c>
    </row>
    <row r="757" spans="1:9" x14ac:dyDescent="0.2">
      <c r="A757" t="s">
        <v>9603</v>
      </c>
      <c r="B757" t="s">
        <v>9016</v>
      </c>
      <c r="C757" t="s">
        <v>561</v>
      </c>
      <c r="D757" t="s">
        <v>44</v>
      </c>
      <c r="E757" t="s">
        <v>44</v>
      </c>
      <c r="F757">
        <v>47</v>
      </c>
      <c r="G757" t="s">
        <v>9910</v>
      </c>
      <c r="H757">
        <v>85</v>
      </c>
      <c r="I757" t="str">
        <f t="shared" ref="I757:I820" si="6">"CON_"&amp;LEFT(C757,FIND("_",C757&amp;"_")-1)&amp;"_"&amp;RIGHT(A757,4)</f>
        <v>CON_WR_0756</v>
      </c>
    </row>
    <row r="758" spans="1:9" x14ac:dyDescent="0.2">
      <c r="A758" t="s">
        <v>9604</v>
      </c>
      <c r="B758" t="s">
        <v>9017</v>
      </c>
      <c r="C758" t="s">
        <v>561</v>
      </c>
      <c r="D758" t="s">
        <v>44</v>
      </c>
      <c r="E758" t="s">
        <v>44</v>
      </c>
      <c r="F758">
        <v>68</v>
      </c>
      <c r="G758" t="s">
        <v>9915</v>
      </c>
      <c r="H758">
        <v>78</v>
      </c>
      <c r="I758" t="str">
        <f t="shared" si="6"/>
        <v>CON_WR_0757</v>
      </c>
    </row>
    <row r="759" spans="1:9" x14ac:dyDescent="0.2">
      <c r="A759" t="s">
        <v>9605</v>
      </c>
      <c r="B759" t="s">
        <v>9018</v>
      </c>
      <c r="C759" t="s">
        <v>561</v>
      </c>
      <c r="D759" t="s">
        <v>44</v>
      </c>
      <c r="E759" t="s">
        <v>44</v>
      </c>
      <c r="F759">
        <v>43</v>
      </c>
      <c r="G759" t="s">
        <v>567</v>
      </c>
      <c r="H759">
        <v>51</v>
      </c>
      <c r="I759" t="str">
        <f t="shared" si="6"/>
        <v>CON_WR_0758</v>
      </c>
    </row>
    <row r="760" spans="1:9" x14ac:dyDescent="0.2">
      <c r="A760" t="s">
        <v>9606</v>
      </c>
      <c r="B760" t="s">
        <v>9019</v>
      </c>
      <c r="C760" t="s">
        <v>561</v>
      </c>
      <c r="D760" t="s">
        <v>44</v>
      </c>
      <c r="E760" t="s">
        <v>44</v>
      </c>
      <c r="F760">
        <v>44</v>
      </c>
      <c r="G760" t="s">
        <v>9917</v>
      </c>
      <c r="H760">
        <v>50</v>
      </c>
      <c r="I760" t="str">
        <f t="shared" si="6"/>
        <v>CON_WR_0759</v>
      </c>
    </row>
    <row r="761" spans="1:9" x14ac:dyDescent="0.2">
      <c r="A761" t="s">
        <v>9607</v>
      </c>
      <c r="B761" t="s">
        <v>9020</v>
      </c>
      <c r="C761" t="s">
        <v>561</v>
      </c>
      <c r="D761" t="s">
        <v>44</v>
      </c>
      <c r="E761" t="s">
        <v>44</v>
      </c>
      <c r="F761">
        <v>66</v>
      </c>
      <c r="G761" t="s">
        <v>9914</v>
      </c>
      <c r="H761">
        <v>80</v>
      </c>
      <c r="I761" t="str">
        <f t="shared" si="6"/>
        <v>CON_WR_0760</v>
      </c>
    </row>
    <row r="762" spans="1:9" x14ac:dyDescent="0.2">
      <c r="A762" t="s">
        <v>9608</v>
      </c>
      <c r="B762" t="s">
        <v>9021</v>
      </c>
      <c r="C762" t="s">
        <v>561</v>
      </c>
      <c r="D762" t="s">
        <v>44</v>
      </c>
      <c r="E762" t="s">
        <v>44</v>
      </c>
      <c r="F762">
        <v>44</v>
      </c>
      <c r="G762" t="s">
        <v>9916</v>
      </c>
      <c r="H762">
        <v>71</v>
      </c>
      <c r="I762" t="str">
        <f t="shared" si="6"/>
        <v>CON_WR_0761</v>
      </c>
    </row>
    <row r="763" spans="1:9" x14ac:dyDescent="0.2">
      <c r="A763" t="s">
        <v>9609</v>
      </c>
      <c r="B763" t="s">
        <v>9022</v>
      </c>
      <c r="C763" t="s">
        <v>561</v>
      </c>
      <c r="D763" t="s">
        <v>44</v>
      </c>
      <c r="E763" t="s">
        <v>44</v>
      </c>
      <c r="F763">
        <v>44</v>
      </c>
      <c r="G763" t="s">
        <v>9910</v>
      </c>
      <c r="H763">
        <v>67</v>
      </c>
      <c r="I763" t="str">
        <f t="shared" si="6"/>
        <v>CON_WR_0762</v>
      </c>
    </row>
    <row r="764" spans="1:9" x14ac:dyDescent="0.2">
      <c r="A764" t="s">
        <v>9610</v>
      </c>
      <c r="B764" t="s">
        <v>9023</v>
      </c>
      <c r="C764" t="s">
        <v>561</v>
      </c>
      <c r="D764" t="s">
        <v>44</v>
      </c>
      <c r="E764" t="s">
        <v>44</v>
      </c>
      <c r="F764">
        <v>50</v>
      </c>
      <c r="G764" t="s">
        <v>9915</v>
      </c>
      <c r="H764">
        <v>97</v>
      </c>
      <c r="I764" t="str">
        <f t="shared" si="6"/>
        <v>CON_WR_0763</v>
      </c>
    </row>
    <row r="765" spans="1:9" x14ac:dyDescent="0.2">
      <c r="A765" t="s">
        <v>9611</v>
      </c>
      <c r="B765" t="s">
        <v>9024</v>
      </c>
      <c r="C765" t="s">
        <v>561</v>
      </c>
      <c r="D765" t="s">
        <v>44</v>
      </c>
      <c r="E765" t="s">
        <v>44</v>
      </c>
      <c r="F765">
        <v>66</v>
      </c>
      <c r="G765" t="s">
        <v>567</v>
      </c>
      <c r="H765">
        <v>52</v>
      </c>
      <c r="I765" t="str">
        <f t="shared" si="6"/>
        <v>CON_WR_0764</v>
      </c>
    </row>
    <row r="766" spans="1:9" x14ac:dyDescent="0.2">
      <c r="A766" t="s">
        <v>9612</v>
      </c>
      <c r="B766" t="s">
        <v>9025</v>
      </c>
      <c r="C766" t="s">
        <v>561</v>
      </c>
      <c r="D766" t="s">
        <v>44</v>
      </c>
      <c r="E766" t="s">
        <v>44</v>
      </c>
      <c r="F766">
        <v>53</v>
      </c>
      <c r="G766" t="s">
        <v>9917</v>
      </c>
      <c r="H766">
        <v>90</v>
      </c>
      <c r="I766" t="str">
        <f t="shared" si="6"/>
        <v>CON_WR_0765</v>
      </c>
    </row>
    <row r="767" spans="1:9" x14ac:dyDescent="0.2">
      <c r="A767" t="s">
        <v>9613</v>
      </c>
      <c r="B767" t="s">
        <v>9026</v>
      </c>
      <c r="C767" t="s">
        <v>561</v>
      </c>
      <c r="D767" t="s">
        <v>44</v>
      </c>
      <c r="E767" t="s">
        <v>44</v>
      </c>
      <c r="F767">
        <v>53</v>
      </c>
      <c r="G767" t="s">
        <v>9914</v>
      </c>
      <c r="H767">
        <v>91</v>
      </c>
      <c r="I767" t="str">
        <f t="shared" si="6"/>
        <v>CON_WR_0766</v>
      </c>
    </row>
    <row r="768" spans="1:9" x14ac:dyDescent="0.2">
      <c r="A768" t="s">
        <v>9614</v>
      </c>
      <c r="B768" t="s">
        <v>9027</v>
      </c>
      <c r="C768" t="s">
        <v>561</v>
      </c>
      <c r="D768" t="s">
        <v>44</v>
      </c>
      <c r="E768" t="s">
        <v>44</v>
      </c>
      <c r="F768">
        <v>67</v>
      </c>
      <c r="G768" t="s">
        <v>9916</v>
      </c>
      <c r="H768">
        <v>84</v>
      </c>
      <c r="I768" t="str">
        <f t="shared" si="6"/>
        <v>CON_WR_0767</v>
      </c>
    </row>
    <row r="769" spans="1:9" x14ac:dyDescent="0.2">
      <c r="A769" t="s">
        <v>9615</v>
      </c>
      <c r="B769" t="s">
        <v>9028</v>
      </c>
      <c r="C769" t="s">
        <v>561</v>
      </c>
      <c r="D769" t="s">
        <v>44</v>
      </c>
      <c r="E769" t="s">
        <v>44</v>
      </c>
      <c r="F769">
        <v>51</v>
      </c>
      <c r="G769" t="s">
        <v>9914</v>
      </c>
      <c r="H769">
        <v>93</v>
      </c>
      <c r="I769" t="str">
        <f t="shared" si="6"/>
        <v>CON_WR_0768</v>
      </c>
    </row>
    <row r="770" spans="1:9" x14ac:dyDescent="0.2">
      <c r="A770" t="s">
        <v>9616</v>
      </c>
      <c r="B770" t="s">
        <v>9029</v>
      </c>
      <c r="C770" t="s">
        <v>561</v>
      </c>
      <c r="D770" t="s">
        <v>44</v>
      </c>
      <c r="E770" t="s">
        <v>44</v>
      </c>
      <c r="F770">
        <v>54</v>
      </c>
      <c r="G770" t="s">
        <v>9916</v>
      </c>
      <c r="H770">
        <v>97</v>
      </c>
      <c r="I770" t="str">
        <f t="shared" si="6"/>
        <v>CON_WR_0769</v>
      </c>
    </row>
    <row r="771" spans="1:9" x14ac:dyDescent="0.2">
      <c r="A771" t="s">
        <v>9617</v>
      </c>
      <c r="B771" t="s">
        <v>9030</v>
      </c>
      <c r="C771" t="s">
        <v>561</v>
      </c>
      <c r="D771" t="s">
        <v>44</v>
      </c>
      <c r="E771" t="s">
        <v>44</v>
      </c>
      <c r="F771">
        <v>51</v>
      </c>
      <c r="G771" t="s">
        <v>9910</v>
      </c>
      <c r="H771">
        <v>84</v>
      </c>
      <c r="I771" t="str">
        <f t="shared" si="6"/>
        <v>CON_WR_0770</v>
      </c>
    </row>
    <row r="772" spans="1:9" x14ac:dyDescent="0.2">
      <c r="A772" t="s">
        <v>9618</v>
      </c>
      <c r="B772" t="s">
        <v>9031</v>
      </c>
      <c r="C772" t="s">
        <v>561</v>
      </c>
      <c r="D772" t="s">
        <v>44</v>
      </c>
      <c r="E772" t="s">
        <v>44</v>
      </c>
      <c r="F772">
        <v>48</v>
      </c>
      <c r="G772" t="s">
        <v>9915</v>
      </c>
      <c r="H772">
        <v>60</v>
      </c>
      <c r="I772" t="str">
        <f t="shared" si="6"/>
        <v>CON_WR_0771</v>
      </c>
    </row>
    <row r="773" spans="1:9" x14ac:dyDescent="0.2">
      <c r="A773" t="s">
        <v>9619</v>
      </c>
      <c r="B773" t="s">
        <v>9032</v>
      </c>
      <c r="C773" t="s">
        <v>561</v>
      </c>
      <c r="D773" t="s">
        <v>44</v>
      </c>
      <c r="E773" t="s">
        <v>44</v>
      </c>
      <c r="F773">
        <v>53</v>
      </c>
      <c r="G773" t="s">
        <v>567</v>
      </c>
      <c r="H773">
        <v>71</v>
      </c>
      <c r="I773" t="str">
        <f t="shared" si="6"/>
        <v>CON_WR_0772</v>
      </c>
    </row>
    <row r="774" spans="1:9" x14ac:dyDescent="0.2">
      <c r="A774" t="s">
        <v>9620</v>
      </c>
      <c r="B774" t="s">
        <v>9033</v>
      </c>
      <c r="C774" t="s">
        <v>561</v>
      </c>
      <c r="D774" t="s">
        <v>44</v>
      </c>
      <c r="E774" t="s">
        <v>44</v>
      </c>
      <c r="F774">
        <v>43</v>
      </c>
      <c r="G774" t="s">
        <v>9917</v>
      </c>
      <c r="H774">
        <v>74</v>
      </c>
      <c r="I774" t="str">
        <f t="shared" si="6"/>
        <v>CON_WR_0773</v>
      </c>
    </row>
    <row r="775" spans="1:9" x14ac:dyDescent="0.2">
      <c r="A775" t="s">
        <v>9621</v>
      </c>
      <c r="B775" t="s">
        <v>9034</v>
      </c>
      <c r="C775" t="s">
        <v>561</v>
      </c>
      <c r="D775" t="s">
        <v>44</v>
      </c>
      <c r="E775" t="s">
        <v>44</v>
      </c>
      <c r="F775">
        <v>60</v>
      </c>
      <c r="G775" t="s">
        <v>9914</v>
      </c>
      <c r="H775">
        <v>74</v>
      </c>
      <c r="I775" t="str">
        <f t="shared" si="6"/>
        <v>CON_WR_0774</v>
      </c>
    </row>
    <row r="776" spans="1:9" x14ac:dyDescent="0.2">
      <c r="A776" t="s">
        <v>9622</v>
      </c>
      <c r="B776" t="s">
        <v>9035</v>
      </c>
      <c r="C776" t="s">
        <v>561</v>
      </c>
      <c r="D776" t="s">
        <v>44</v>
      </c>
      <c r="E776" t="s">
        <v>44</v>
      </c>
      <c r="F776">
        <v>40</v>
      </c>
      <c r="G776" t="s">
        <v>9916</v>
      </c>
      <c r="H776">
        <v>75</v>
      </c>
      <c r="I776" t="str">
        <f t="shared" si="6"/>
        <v>CON_WR_0775</v>
      </c>
    </row>
    <row r="777" spans="1:9" x14ac:dyDescent="0.2">
      <c r="A777" t="s">
        <v>9623</v>
      </c>
      <c r="B777" t="s">
        <v>9036</v>
      </c>
      <c r="C777" t="s">
        <v>561</v>
      </c>
      <c r="D777" t="s">
        <v>44</v>
      </c>
      <c r="E777" t="s">
        <v>44</v>
      </c>
      <c r="F777">
        <v>66</v>
      </c>
      <c r="G777" t="s">
        <v>9910</v>
      </c>
      <c r="H777">
        <v>65</v>
      </c>
      <c r="I777" t="str">
        <f t="shared" si="6"/>
        <v>CON_WR_0776</v>
      </c>
    </row>
    <row r="778" spans="1:9" x14ac:dyDescent="0.2">
      <c r="A778" t="s">
        <v>9624</v>
      </c>
      <c r="B778" t="s">
        <v>9037</v>
      </c>
      <c r="C778" t="s">
        <v>561</v>
      </c>
      <c r="D778" t="s">
        <v>44</v>
      </c>
      <c r="E778" t="s">
        <v>44</v>
      </c>
      <c r="F778">
        <v>46</v>
      </c>
      <c r="G778" t="s">
        <v>9915</v>
      </c>
      <c r="H778">
        <v>59</v>
      </c>
      <c r="I778" t="str">
        <f t="shared" si="6"/>
        <v>CON_WR_0777</v>
      </c>
    </row>
    <row r="779" spans="1:9" x14ac:dyDescent="0.2">
      <c r="A779" t="s">
        <v>9625</v>
      </c>
      <c r="B779" t="s">
        <v>9038</v>
      </c>
      <c r="C779" t="s">
        <v>561</v>
      </c>
      <c r="D779" t="s">
        <v>44</v>
      </c>
      <c r="E779" t="s">
        <v>44</v>
      </c>
      <c r="F779">
        <v>43</v>
      </c>
      <c r="G779" t="s">
        <v>567</v>
      </c>
      <c r="H779">
        <v>57</v>
      </c>
      <c r="I779" t="str">
        <f t="shared" si="6"/>
        <v>CON_WR_0778</v>
      </c>
    </row>
    <row r="780" spans="1:9" x14ac:dyDescent="0.2">
      <c r="A780" t="s">
        <v>9626</v>
      </c>
      <c r="B780" t="s">
        <v>9039</v>
      </c>
      <c r="C780" t="s">
        <v>561</v>
      </c>
      <c r="D780" t="s">
        <v>44</v>
      </c>
      <c r="E780" t="s">
        <v>44</v>
      </c>
      <c r="F780">
        <v>69</v>
      </c>
      <c r="G780" t="s">
        <v>9917</v>
      </c>
      <c r="H780">
        <v>72</v>
      </c>
      <c r="I780" t="str">
        <f t="shared" si="6"/>
        <v>CON_WR_0779</v>
      </c>
    </row>
    <row r="781" spans="1:9" x14ac:dyDescent="0.2">
      <c r="A781" t="s">
        <v>9627</v>
      </c>
      <c r="B781" t="s">
        <v>9040</v>
      </c>
      <c r="C781" t="s">
        <v>561</v>
      </c>
      <c r="D781" t="s">
        <v>44</v>
      </c>
      <c r="E781" t="s">
        <v>44</v>
      </c>
      <c r="F781">
        <v>48</v>
      </c>
      <c r="G781" t="s">
        <v>9914</v>
      </c>
      <c r="H781">
        <v>60</v>
      </c>
      <c r="I781" t="str">
        <f t="shared" si="6"/>
        <v>CON_WR_0780</v>
      </c>
    </row>
    <row r="782" spans="1:9" x14ac:dyDescent="0.2">
      <c r="A782" t="s">
        <v>9628</v>
      </c>
      <c r="B782" t="s">
        <v>9041</v>
      </c>
      <c r="C782" t="s">
        <v>561</v>
      </c>
      <c r="D782" t="s">
        <v>44</v>
      </c>
      <c r="E782" t="s">
        <v>44</v>
      </c>
      <c r="F782">
        <v>58</v>
      </c>
      <c r="G782" t="s">
        <v>9916</v>
      </c>
      <c r="H782">
        <v>90</v>
      </c>
      <c r="I782" t="str">
        <f t="shared" si="6"/>
        <v>CON_WR_0781</v>
      </c>
    </row>
    <row r="783" spans="1:9" x14ac:dyDescent="0.2">
      <c r="A783" t="s">
        <v>9629</v>
      </c>
      <c r="B783" t="s">
        <v>9042</v>
      </c>
      <c r="C783" t="s">
        <v>561</v>
      </c>
      <c r="D783" t="s">
        <v>44</v>
      </c>
      <c r="E783" t="s">
        <v>44</v>
      </c>
      <c r="F783">
        <v>68</v>
      </c>
      <c r="G783" t="s">
        <v>9914</v>
      </c>
      <c r="H783">
        <v>92</v>
      </c>
      <c r="I783" t="str">
        <f t="shared" si="6"/>
        <v>CON_WR_0782</v>
      </c>
    </row>
    <row r="784" spans="1:9" x14ac:dyDescent="0.2">
      <c r="A784" t="s">
        <v>9630</v>
      </c>
      <c r="B784" t="s">
        <v>9043</v>
      </c>
      <c r="C784" t="s">
        <v>561</v>
      </c>
      <c r="D784" t="s">
        <v>44</v>
      </c>
      <c r="E784" t="s">
        <v>44</v>
      </c>
      <c r="F784">
        <v>63</v>
      </c>
      <c r="G784" t="s">
        <v>9916</v>
      </c>
      <c r="H784">
        <v>65</v>
      </c>
      <c r="I784" t="str">
        <f t="shared" si="6"/>
        <v>CON_WR_0783</v>
      </c>
    </row>
    <row r="785" spans="1:9" x14ac:dyDescent="0.2">
      <c r="A785" t="s">
        <v>9631</v>
      </c>
      <c r="B785" t="s">
        <v>9044</v>
      </c>
      <c r="C785" t="s">
        <v>561</v>
      </c>
      <c r="D785" t="s">
        <v>44</v>
      </c>
      <c r="E785" t="s">
        <v>44</v>
      </c>
      <c r="F785">
        <v>70</v>
      </c>
      <c r="G785" t="s">
        <v>9910</v>
      </c>
      <c r="H785">
        <v>62</v>
      </c>
      <c r="I785" t="str">
        <f t="shared" si="6"/>
        <v>CON_WR_0784</v>
      </c>
    </row>
    <row r="786" spans="1:9" x14ac:dyDescent="0.2">
      <c r="A786" t="s">
        <v>9632</v>
      </c>
      <c r="B786" t="s">
        <v>9045</v>
      </c>
      <c r="C786" t="s">
        <v>561</v>
      </c>
      <c r="D786" t="s">
        <v>44</v>
      </c>
      <c r="E786" t="s">
        <v>44</v>
      </c>
      <c r="F786">
        <v>61</v>
      </c>
      <c r="G786" t="s">
        <v>9915</v>
      </c>
      <c r="H786">
        <v>95</v>
      </c>
      <c r="I786" t="str">
        <f t="shared" si="6"/>
        <v>CON_WR_0785</v>
      </c>
    </row>
    <row r="787" spans="1:9" x14ac:dyDescent="0.2">
      <c r="A787" t="s">
        <v>9633</v>
      </c>
      <c r="B787" t="s">
        <v>9046</v>
      </c>
      <c r="C787" t="s">
        <v>560</v>
      </c>
      <c r="D787" t="s">
        <v>44</v>
      </c>
      <c r="E787" t="s">
        <v>44</v>
      </c>
      <c r="F787">
        <v>45</v>
      </c>
      <c r="G787" t="s">
        <v>567</v>
      </c>
      <c r="H787">
        <v>72</v>
      </c>
      <c r="I787" t="str">
        <f t="shared" si="6"/>
        <v>CON_OL_0786</v>
      </c>
    </row>
    <row r="788" spans="1:9" x14ac:dyDescent="0.2">
      <c r="A788" t="s">
        <v>9634</v>
      </c>
      <c r="B788" t="s">
        <v>9047</v>
      </c>
      <c r="C788" t="s">
        <v>560</v>
      </c>
      <c r="D788" t="s">
        <v>44</v>
      </c>
      <c r="E788" t="s">
        <v>44</v>
      </c>
      <c r="F788">
        <v>61</v>
      </c>
      <c r="G788" t="s">
        <v>9917</v>
      </c>
      <c r="H788">
        <v>68</v>
      </c>
      <c r="I788" t="str">
        <f t="shared" si="6"/>
        <v>CON_OL_0787</v>
      </c>
    </row>
    <row r="789" spans="1:9" x14ac:dyDescent="0.2">
      <c r="A789" t="s">
        <v>9635</v>
      </c>
      <c r="B789" t="s">
        <v>9048</v>
      </c>
      <c r="C789" t="s">
        <v>560</v>
      </c>
      <c r="D789" t="s">
        <v>44</v>
      </c>
      <c r="E789" t="s">
        <v>44</v>
      </c>
      <c r="F789">
        <v>59</v>
      </c>
      <c r="G789" t="s">
        <v>9914</v>
      </c>
      <c r="H789">
        <v>61</v>
      </c>
      <c r="I789" t="str">
        <f t="shared" si="6"/>
        <v>CON_OL_0788</v>
      </c>
    </row>
    <row r="790" spans="1:9" x14ac:dyDescent="0.2">
      <c r="A790" t="s">
        <v>9636</v>
      </c>
      <c r="B790" t="s">
        <v>9049</v>
      </c>
      <c r="C790" t="s">
        <v>560</v>
      </c>
      <c r="D790" t="s">
        <v>44</v>
      </c>
      <c r="E790" t="s">
        <v>44</v>
      </c>
      <c r="F790">
        <v>44</v>
      </c>
      <c r="G790" t="s">
        <v>9916</v>
      </c>
      <c r="H790">
        <v>51</v>
      </c>
      <c r="I790" t="str">
        <f t="shared" si="6"/>
        <v>CON_OL_0789</v>
      </c>
    </row>
    <row r="791" spans="1:9" x14ac:dyDescent="0.2">
      <c r="A791" t="s">
        <v>9637</v>
      </c>
      <c r="B791" t="s">
        <v>9050</v>
      </c>
      <c r="C791" t="s">
        <v>560</v>
      </c>
      <c r="D791" t="s">
        <v>44</v>
      </c>
      <c r="E791" t="s">
        <v>44</v>
      </c>
      <c r="F791">
        <v>44</v>
      </c>
      <c r="G791" t="s">
        <v>9910</v>
      </c>
      <c r="H791">
        <v>90</v>
      </c>
      <c r="I791" t="str">
        <f t="shared" si="6"/>
        <v>CON_OL_0790</v>
      </c>
    </row>
    <row r="792" spans="1:9" x14ac:dyDescent="0.2">
      <c r="A792" t="s">
        <v>9638</v>
      </c>
      <c r="B792" t="s">
        <v>9051</v>
      </c>
      <c r="C792" t="s">
        <v>560</v>
      </c>
      <c r="D792" t="s">
        <v>44</v>
      </c>
      <c r="E792" t="s">
        <v>44</v>
      </c>
      <c r="F792">
        <v>51</v>
      </c>
      <c r="G792" t="s">
        <v>9915</v>
      </c>
      <c r="H792">
        <v>70</v>
      </c>
      <c r="I792" t="str">
        <f t="shared" si="6"/>
        <v>CON_OL_0791</v>
      </c>
    </row>
    <row r="793" spans="1:9" x14ac:dyDescent="0.2">
      <c r="A793" t="s">
        <v>9639</v>
      </c>
      <c r="B793" t="s">
        <v>9052</v>
      </c>
      <c r="C793" t="s">
        <v>560</v>
      </c>
      <c r="D793" t="s">
        <v>44</v>
      </c>
      <c r="E793" t="s">
        <v>44</v>
      </c>
      <c r="F793">
        <v>64</v>
      </c>
      <c r="G793" t="s">
        <v>567</v>
      </c>
      <c r="H793">
        <v>85</v>
      </c>
      <c r="I793" t="str">
        <f t="shared" si="6"/>
        <v>CON_OL_0792</v>
      </c>
    </row>
    <row r="794" spans="1:9" x14ac:dyDescent="0.2">
      <c r="A794" t="s">
        <v>9640</v>
      </c>
      <c r="B794" t="s">
        <v>9053</v>
      </c>
      <c r="C794" t="s">
        <v>560</v>
      </c>
      <c r="D794" t="s">
        <v>44</v>
      </c>
      <c r="E794" t="s">
        <v>44</v>
      </c>
      <c r="F794">
        <v>48</v>
      </c>
      <c r="G794" t="s">
        <v>9917</v>
      </c>
      <c r="H794">
        <v>55</v>
      </c>
      <c r="I794" t="str">
        <f t="shared" si="6"/>
        <v>CON_OL_0793</v>
      </c>
    </row>
    <row r="795" spans="1:9" x14ac:dyDescent="0.2">
      <c r="A795" t="s">
        <v>9641</v>
      </c>
      <c r="B795" t="s">
        <v>9054</v>
      </c>
      <c r="C795" t="s">
        <v>560</v>
      </c>
      <c r="D795" t="s">
        <v>44</v>
      </c>
      <c r="E795" t="s">
        <v>44</v>
      </c>
      <c r="F795">
        <v>62</v>
      </c>
      <c r="G795" t="s">
        <v>9914</v>
      </c>
      <c r="H795">
        <v>58</v>
      </c>
      <c r="I795" t="str">
        <f t="shared" si="6"/>
        <v>CON_OL_0794</v>
      </c>
    </row>
    <row r="796" spans="1:9" x14ac:dyDescent="0.2">
      <c r="A796" t="s">
        <v>9642</v>
      </c>
      <c r="B796" t="s">
        <v>9055</v>
      </c>
      <c r="C796" t="s">
        <v>560</v>
      </c>
      <c r="D796" t="s">
        <v>44</v>
      </c>
      <c r="E796" t="s">
        <v>44</v>
      </c>
      <c r="F796">
        <v>40</v>
      </c>
      <c r="G796" t="s">
        <v>9916</v>
      </c>
      <c r="H796">
        <v>88</v>
      </c>
      <c r="I796" t="str">
        <f t="shared" si="6"/>
        <v>CON_OL_0795</v>
      </c>
    </row>
    <row r="797" spans="1:9" x14ac:dyDescent="0.2">
      <c r="A797" t="s">
        <v>9643</v>
      </c>
      <c r="B797" t="s">
        <v>9056</v>
      </c>
      <c r="C797" t="s">
        <v>560</v>
      </c>
      <c r="D797" t="s">
        <v>44</v>
      </c>
      <c r="E797" t="s">
        <v>44</v>
      </c>
      <c r="F797">
        <v>44</v>
      </c>
      <c r="G797" t="s">
        <v>9914</v>
      </c>
      <c r="H797">
        <v>71</v>
      </c>
      <c r="I797" t="str">
        <f t="shared" si="6"/>
        <v>CON_OL_0796</v>
      </c>
    </row>
    <row r="798" spans="1:9" x14ac:dyDescent="0.2">
      <c r="A798" t="s">
        <v>9644</v>
      </c>
      <c r="B798" t="s">
        <v>9057</v>
      </c>
      <c r="C798" t="s">
        <v>560</v>
      </c>
      <c r="D798" t="s">
        <v>44</v>
      </c>
      <c r="E798" t="s">
        <v>44</v>
      </c>
      <c r="F798">
        <v>67</v>
      </c>
      <c r="G798" t="s">
        <v>9916</v>
      </c>
      <c r="H798">
        <v>66</v>
      </c>
      <c r="I798" t="str">
        <f t="shared" si="6"/>
        <v>CON_OL_0797</v>
      </c>
    </row>
    <row r="799" spans="1:9" x14ac:dyDescent="0.2">
      <c r="A799" t="s">
        <v>9645</v>
      </c>
      <c r="B799" t="s">
        <v>9058</v>
      </c>
      <c r="C799" t="s">
        <v>560</v>
      </c>
      <c r="D799" t="s">
        <v>44</v>
      </c>
      <c r="E799" t="s">
        <v>44</v>
      </c>
      <c r="F799">
        <v>50</v>
      </c>
      <c r="G799" t="s">
        <v>9910</v>
      </c>
      <c r="H799">
        <v>58</v>
      </c>
      <c r="I799" t="str">
        <f t="shared" si="6"/>
        <v>CON_OL_0798</v>
      </c>
    </row>
    <row r="800" spans="1:9" x14ac:dyDescent="0.2">
      <c r="A800" t="s">
        <v>9646</v>
      </c>
      <c r="B800" t="s">
        <v>9059</v>
      </c>
      <c r="C800" t="s">
        <v>560</v>
      </c>
      <c r="D800" t="s">
        <v>44</v>
      </c>
      <c r="E800" t="s">
        <v>44</v>
      </c>
      <c r="F800">
        <v>51</v>
      </c>
      <c r="G800" t="s">
        <v>9915</v>
      </c>
      <c r="H800">
        <v>76</v>
      </c>
      <c r="I800" t="str">
        <f t="shared" si="6"/>
        <v>CON_OL_0799</v>
      </c>
    </row>
    <row r="801" spans="1:9" x14ac:dyDescent="0.2">
      <c r="A801" t="s">
        <v>9647</v>
      </c>
      <c r="B801" t="s">
        <v>9060</v>
      </c>
      <c r="C801" t="s">
        <v>560</v>
      </c>
      <c r="D801" t="s">
        <v>44</v>
      </c>
      <c r="E801" t="s">
        <v>44</v>
      </c>
      <c r="F801">
        <v>52</v>
      </c>
      <c r="G801" t="s">
        <v>567</v>
      </c>
      <c r="H801">
        <v>81</v>
      </c>
      <c r="I801" t="str">
        <f t="shared" si="6"/>
        <v>CON_OL_0800</v>
      </c>
    </row>
    <row r="802" spans="1:9" x14ac:dyDescent="0.2">
      <c r="A802" t="s">
        <v>9648</v>
      </c>
      <c r="B802" t="s">
        <v>9061</v>
      </c>
      <c r="C802" t="s">
        <v>560</v>
      </c>
      <c r="D802" t="s">
        <v>44</v>
      </c>
      <c r="E802" t="s">
        <v>44</v>
      </c>
      <c r="F802">
        <v>60</v>
      </c>
      <c r="G802" t="s">
        <v>9917</v>
      </c>
      <c r="H802">
        <v>74</v>
      </c>
      <c r="I802" t="str">
        <f t="shared" si="6"/>
        <v>CON_OL_0801</v>
      </c>
    </row>
    <row r="803" spans="1:9" x14ac:dyDescent="0.2">
      <c r="A803" t="s">
        <v>9649</v>
      </c>
      <c r="B803" t="s">
        <v>2363</v>
      </c>
      <c r="C803" t="s">
        <v>560</v>
      </c>
      <c r="D803" t="s">
        <v>44</v>
      </c>
      <c r="E803" t="s">
        <v>44</v>
      </c>
      <c r="F803">
        <v>66</v>
      </c>
      <c r="G803" t="s">
        <v>9914</v>
      </c>
      <c r="H803">
        <v>60</v>
      </c>
      <c r="I803" t="str">
        <f t="shared" si="6"/>
        <v>CON_OL_0802</v>
      </c>
    </row>
    <row r="804" spans="1:9" x14ac:dyDescent="0.2">
      <c r="A804" t="s">
        <v>9650</v>
      </c>
      <c r="B804" t="s">
        <v>9062</v>
      </c>
      <c r="C804" t="s">
        <v>560</v>
      </c>
      <c r="D804" t="s">
        <v>44</v>
      </c>
      <c r="E804" t="s">
        <v>44</v>
      </c>
      <c r="F804">
        <v>67</v>
      </c>
      <c r="G804" t="s">
        <v>9916</v>
      </c>
      <c r="H804">
        <v>59</v>
      </c>
      <c r="I804" t="str">
        <f t="shared" si="6"/>
        <v>CON_OL_0803</v>
      </c>
    </row>
    <row r="805" spans="1:9" x14ac:dyDescent="0.2">
      <c r="A805" t="s">
        <v>9651</v>
      </c>
      <c r="B805" t="s">
        <v>9063</v>
      </c>
      <c r="C805" t="s">
        <v>560</v>
      </c>
      <c r="D805" t="s">
        <v>44</v>
      </c>
      <c r="E805" t="s">
        <v>44</v>
      </c>
      <c r="F805">
        <v>58</v>
      </c>
      <c r="G805" t="s">
        <v>9910</v>
      </c>
      <c r="H805">
        <v>60</v>
      </c>
      <c r="I805" t="str">
        <f t="shared" si="6"/>
        <v>CON_OL_0804</v>
      </c>
    </row>
    <row r="806" spans="1:9" x14ac:dyDescent="0.2">
      <c r="A806" t="s">
        <v>9652</v>
      </c>
      <c r="B806" t="s">
        <v>9064</v>
      </c>
      <c r="C806" t="s">
        <v>560</v>
      </c>
      <c r="D806" t="s">
        <v>44</v>
      </c>
      <c r="E806" t="s">
        <v>44</v>
      </c>
      <c r="F806">
        <v>65</v>
      </c>
      <c r="G806" t="s">
        <v>9915</v>
      </c>
      <c r="H806">
        <v>97</v>
      </c>
      <c r="I806" t="str">
        <f t="shared" si="6"/>
        <v>CON_OL_0805</v>
      </c>
    </row>
    <row r="807" spans="1:9" x14ac:dyDescent="0.2">
      <c r="A807" t="s">
        <v>9653</v>
      </c>
      <c r="B807" t="s">
        <v>9065</v>
      </c>
      <c r="C807" t="s">
        <v>560</v>
      </c>
      <c r="D807" t="s">
        <v>44</v>
      </c>
      <c r="E807" t="s">
        <v>44</v>
      </c>
      <c r="F807">
        <v>60</v>
      </c>
      <c r="G807" t="s">
        <v>567</v>
      </c>
      <c r="H807">
        <v>52</v>
      </c>
      <c r="I807" t="str">
        <f t="shared" si="6"/>
        <v>CON_OL_0806</v>
      </c>
    </row>
    <row r="808" spans="1:9" x14ac:dyDescent="0.2">
      <c r="A808" t="s">
        <v>9654</v>
      </c>
      <c r="B808" t="s">
        <v>9066</v>
      </c>
      <c r="C808" t="s">
        <v>560</v>
      </c>
      <c r="D808" t="s">
        <v>44</v>
      </c>
      <c r="E808" t="s">
        <v>44</v>
      </c>
      <c r="F808">
        <v>41</v>
      </c>
      <c r="G808" t="s">
        <v>9917</v>
      </c>
      <c r="H808">
        <v>59</v>
      </c>
      <c r="I808" t="str">
        <f t="shared" si="6"/>
        <v>CON_OL_0807</v>
      </c>
    </row>
    <row r="809" spans="1:9" x14ac:dyDescent="0.2">
      <c r="A809" t="s">
        <v>9655</v>
      </c>
      <c r="B809" t="s">
        <v>9067</v>
      </c>
      <c r="C809" t="s">
        <v>560</v>
      </c>
      <c r="D809" t="s">
        <v>44</v>
      </c>
      <c r="E809" t="s">
        <v>44</v>
      </c>
      <c r="F809">
        <v>60</v>
      </c>
      <c r="G809" t="s">
        <v>9914</v>
      </c>
      <c r="H809">
        <v>50</v>
      </c>
      <c r="I809" t="str">
        <f t="shared" si="6"/>
        <v>CON_OL_0808</v>
      </c>
    </row>
    <row r="810" spans="1:9" x14ac:dyDescent="0.2">
      <c r="A810" t="s">
        <v>9656</v>
      </c>
      <c r="B810" t="s">
        <v>9068</v>
      </c>
      <c r="C810" t="s">
        <v>560</v>
      </c>
      <c r="D810" t="s">
        <v>44</v>
      </c>
      <c r="E810" t="s">
        <v>44</v>
      </c>
      <c r="F810">
        <v>44</v>
      </c>
      <c r="G810" t="s">
        <v>9916</v>
      </c>
      <c r="H810">
        <v>53</v>
      </c>
      <c r="I810" t="str">
        <f t="shared" si="6"/>
        <v>CON_OL_0809</v>
      </c>
    </row>
    <row r="811" spans="1:9" x14ac:dyDescent="0.2">
      <c r="A811" t="s">
        <v>9657</v>
      </c>
      <c r="B811" t="s">
        <v>9069</v>
      </c>
      <c r="C811" t="s">
        <v>560</v>
      </c>
      <c r="D811" t="s">
        <v>44</v>
      </c>
      <c r="E811" t="s">
        <v>44</v>
      </c>
      <c r="F811">
        <v>41</v>
      </c>
      <c r="G811" t="s">
        <v>9914</v>
      </c>
      <c r="H811">
        <v>62</v>
      </c>
      <c r="I811" t="str">
        <f t="shared" si="6"/>
        <v>CON_OL_0810</v>
      </c>
    </row>
    <row r="812" spans="1:9" x14ac:dyDescent="0.2">
      <c r="A812" t="s">
        <v>9658</v>
      </c>
      <c r="B812" t="s">
        <v>9070</v>
      </c>
      <c r="C812" t="s">
        <v>560</v>
      </c>
      <c r="D812" t="s">
        <v>44</v>
      </c>
      <c r="E812" t="s">
        <v>44</v>
      </c>
      <c r="F812">
        <v>54</v>
      </c>
      <c r="G812" t="s">
        <v>9916</v>
      </c>
      <c r="H812">
        <v>95</v>
      </c>
      <c r="I812" t="str">
        <f t="shared" si="6"/>
        <v>CON_OL_0811</v>
      </c>
    </row>
    <row r="813" spans="1:9" x14ac:dyDescent="0.2">
      <c r="A813" t="s">
        <v>9659</v>
      </c>
      <c r="B813" t="s">
        <v>9071</v>
      </c>
      <c r="C813" t="s">
        <v>560</v>
      </c>
      <c r="D813" t="s">
        <v>44</v>
      </c>
      <c r="E813" t="s">
        <v>44</v>
      </c>
      <c r="F813">
        <v>60</v>
      </c>
      <c r="G813" t="s">
        <v>9910</v>
      </c>
      <c r="H813">
        <v>84</v>
      </c>
      <c r="I813" t="str">
        <f t="shared" si="6"/>
        <v>CON_OL_0812</v>
      </c>
    </row>
    <row r="814" spans="1:9" x14ac:dyDescent="0.2">
      <c r="A814" t="s">
        <v>9660</v>
      </c>
      <c r="B814" t="s">
        <v>9072</v>
      </c>
      <c r="C814" t="s">
        <v>560</v>
      </c>
      <c r="D814" t="s">
        <v>44</v>
      </c>
      <c r="E814" t="s">
        <v>44</v>
      </c>
      <c r="F814">
        <v>54</v>
      </c>
      <c r="G814" t="s">
        <v>9915</v>
      </c>
      <c r="H814">
        <v>56</v>
      </c>
      <c r="I814" t="str">
        <f t="shared" si="6"/>
        <v>CON_OL_0813</v>
      </c>
    </row>
    <row r="815" spans="1:9" x14ac:dyDescent="0.2">
      <c r="A815" t="s">
        <v>9661</v>
      </c>
      <c r="B815" t="s">
        <v>9073</v>
      </c>
      <c r="C815" t="s">
        <v>560</v>
      </c>
      <c r="D815" t="s">
        <v>44</v>
      </c>
      <c r="E815" t="s">
        <v>44</v>
      </c>
      <c r="F815">
        <v>65</v>
      </c>
      <c r="G815" t="s">
        <v>567</v>
      </c>
      <c r="H815">
        <v>58</v>
      </c>
      <c r="I815" t="str">
        <f t="shared" si="6"/>
        <v>CON_OL_0814</v>
      </c>
    </row>
    <row r="816" spans="1:9" x14ac:dyDescent="0.2">
      <c r="A816" t="s">
        <v>9662</v>
      </c>
      <c r="B816" t="s">
        <v>9074</v>
      </c>
      <c r="C816" t="s">
        <v>560</v>
      </c>
      <c r="D816" t="s">
        <v>44</v>
      </c>
      <c r="E816" t="s">
        <v>44</v>
      </c>
      <c r="F816">
        <v>65</v>
      </c>
      <c r="G816" t="s">
        <v>9917</v>
      </c>
      <c r="H816">
        <v>54</v>
      </c>
      <c r="I816" t="str">
        <f t="shared" si="6"/>
        <v>CON_OL_0815</v>
      </c>
    </row>
    <row r="817" spans="1:9" x14ac:dyDescent="0.2">
      <c r="A817" t="s">
        <v>9663</v>
      </c>
      <c r="B817" t="s">
        <v>9075</v>
      </c>
      <c r="C817" t="s">
        <v>560</v>
      </c>
      <c r="D817" t="s">
        <v>44</v>
      </c>
      <c r="E817" t="s">
        <v>44</v>
      </c>
      <c r="F817">
        <v>64</v>
      </c>
      <c r="G817" t="s">
        <v>9914</v>
      </c>
      <c r="H817">
        <v>65</v>
      </c>
      <c r="I817" t="str">
        <f t="shared" si="6"/>
        <v>CON_OL_0816</v>
      </c>
    </row>
    <row r="818" spans="1:9" x14ac:dyDescent="0.2">
      <c r="A818" t="s">
        <v>9664</v>
      </c>
      <c r="B818" t="s">
        <v>9076</v>
      </c>
      <c r="C818" t="s">
        <v>560</v>
      </c>
      <c r="D818" t="s">
        <v>44</v>
      </c>
      <c r="E818" t="s">
        <v>44</v>
      </c>
      <c r="F818">
        <v>67</v>
      </c>
      <c r="G818" t="s">
        <v>9914</v>
      </c>
      <c r="H818">
        <v>65</v>
      </c>
      <c r="I818" t="str">
        <f t="shared" si="6"/>
        <v>CON_OL_0817</v>
      </c>
    </row>
    <row r="819" spans="1:9" x14ac:dyDescent="0.2">
      <c r="A819" t="s">
        <v>9665</v>
      </c>
      <c r="B819" t="s">
        <v>9077</v>
      </c>
      <c r="C819" t="s">
        <v>562</v>
      </c>
      <c r="D819" t="s">
        <v>44</v>
      </c>
      <c r="E819" t="s">
        <v>44</v>
      </c>
      <c r="F819">
        <v>57</v>
      </c>
      <c r="G819" t="s">
        <v>9920</v>
      </c>
      <c r="H819">
        <v>99</v>
      </c>
      <c r="I819" t="str">
        <f t="shared" si="6"/>
        <v>CON_DL_0818</v>
      </c>
    </row>
    <row r="820" spans="1:9" x14ac:dyDescent="0.2">
      <c r="A820" t="s">
        <v>9666</v>
      </c>
      <c r="B820" t="s">
        <v>9078</v>
      </c>
      <c r="C820" t="s">
        <v>562</v>
      </c>
      <c r="D820" t="s">
        <v>44</v>
      </c>
      <c r="E820" t="s">
        <v>44</v>
      </c>
      <c r="F820">
        <v>65</v>
      </c>
      <c r="G820" t="s">
        <v>9921</v>
      </c>
      <c r="H820">
        <v>95</v>
      </c>
      <c r="I820" t="str">
        <f t="shared" si="6"/>
        <v>CON_DL_0819</v>
      </c>
    </row>
    <row r="821" spans="1:9" x14ac:dyDescent="0.2">
      <c r="A821" t="s">
        <v>9667</v>
      </c>
      <c r="B821" t="s">
        <v>9079</v>
      </c>
      <c r="C821" t="s">
        <v>562</v>
      </c>
      <c r="D821" t="s">
        <v>44</v>
      </c>
      <c r="E821" t="s">
        <v>44</v>
      </c>
      <c r="F821">
        <v>65</v>
      </c>
      <c r="G821" t="s">
        <v>9873</v>
      </c>
      <c r="H821">
        <v>64</v>
      </c>
      <c r="I821" t="str">
        <f t="shared" ref="I821:I884" si="7">"CON_"&amp;LEFT(C821,FIND("_",C821&amp;"_")-1)&amp;"_"&amp;RIGHT(A821,4)</f>
        <v>CON_DL_0820</v>
      </c>
    </row>
    <row r="822" spans="1:9" x14ac:dyDescent="0.2">
      <c r="A822" t="s">
        <v>9668</v>
      </c>
      <c r="B822" t="s">
        <v>9080</v>
      </c>
      <c r="C822" t="s">
        <v>562</v>
      </c>
      <c r="D822" t="s">
        <v>44</v>
      </c>
      <c r="E822" t="s">
        <v>44</v>
      </c>
      <c r="F822">
        <v>52</v>
      </c>
      <c r="G822" t="s">
        <v>9874</v>
      </c>
      <c r="H822">
        <v>74</v>
      </c>
      <c r="I822" t="str">
        <f t="shared" si="7"/>
        <v>CON_DL_0821</v>
      </c>
    </row>
    <row r="823" spans="1:9" x14ac:dyDescent="0.2">
      <c r="A823" t="s">
        <v>9669</v>
      </c>
      <c r="B823" t="s">
        <v>9081</v>
      </c>
      <c r="C823" t="s">
        <v>562</v>
      </c>
      <c r="D823" t="s">
        <v>44</v>
      </c>
      <c r="E823" t="s">
        <v>44</v>
      </c>
      <c r="F823">
        <v>45</v>
      </c>
      <c r="G823" t="s">
        <v>9918</v>
      </c>
      <c r="H823">
        <v>65</v>
      </c>
      <c r="I823" t="str">
        <f t="shared" si="7"/>
        <v>CON_DL_0822</v>
      </c>
    </row>
    <row r="824" spans="1:9" x14ac:dyDescent="0.2">
      <c r="A824" t="s">
        <v>9670</v>
      </c>
      <c r="B824" t="s">
        <v>9082</v>
      </c>
      <c r="C824" t="s">
        <v>562</v>
      </c>
      <c r="D824" t="s">
        <v>44</v>
      </c>
      <c r="E824" t="s">
        <v>44</v>
      </c>
      <c r="F824">
        <v>43</v>
      </c>
      <c r="G824" t="s">
        <v>9919</v>
      </c>
      <c r="H824">
        <v>80</v>
      </c>
      <c r="I824" t="str">
        <f t="shared" si="7"/>
        <v>CON_DL_0823</v>
      </c>
    </row>
    <row r="825" spans="1:9" x14ac:dyDescent="0.2">
      <c r="A825" t="s">
        <v>9671</v>
      </c>
      <c r="B825" t="s">
        <v>9083</v>
      </c>
      <c r="C825" t="s">
        <v>562</v>
      </c>
      <c r="D825" t="s">
        <v>44</v>
      </c>
      <c r="E825" t="s">
        <v>44</v>
      </c>
      <c r="F825">
        <v>62</v>
      </c>
      <c r="G825" t="s">
        <v>9920</v>
      </c>
      <c r="H825">
        <v>71</v>
      </c>
      <c r="I825" t="str">
        <f t="shared" si="7"/>
        <v>CON_DL_0824</v>
      </c>
    </row>
    <row r="826" spans="1:9" x14ac:dyDescent="0.2">
      <c r="A826" t="s">
        <v>9672</v>
      </c>
      <c r="B826" t="s">
        <v>9084</v>
      </c>
      <c r="C826" t="s">
        <v>562</v>
      </c>
      <c r="D826" t="s">
        <v>44</v>
      </c>
      <c r="E826" t="s">
        <v>44</v>
      </c>
      <c r="F826">
        <v>49</v>
      </c>
      <c r="G826" t="s">
        <v>9921</v>
      </c>
      <c r="H826">
        <v>94</v>
      </c>
      <c r="I826" t="str">
        <f t="shared" si="7"/>
        <v>CON_DL_0825</v>
      </c>
    </row>
    <row r="827" spans="1:9" x14ac:dyDescent="0.2">
      <c r="A827" t="s">
        <v>9673</v>
      </c>
      <c r="B827" t="s">
        <v>9085</v>
      </c>
      <c r="C827" t="s">
        <v>562</v>
      </c>
      <c r="D827" t="s">
        <v>44</v>
      </c>
      <c r="E827" t="s">
        <v>44</v>
      </c>
      <c r="F827">
        <v>67</v>
      </c>
      <c r="G827" t="s">
        <v>9873</v>
      </c>
      <c r="H827">
        <v>66</v>
      </c>
      <c r="I827" t="str">
        <f t="shared" si="7"/>
        <v>CON_DL_0826</v>
      </c>
    </row>
    <row r="828" spans="1:9" x14ac:dyDescent="0.2">
      <c r="A828" t="s">
        <v>9674</v>
      </c>
      <c r="B828" t="s">
        <v>9086</v>
      </c>
      <c r="C828" t="s">
        <v>562</v>
      </c>
      <c r="D828" t="s">
        <v>44</v>
      </c>
      <c r="E828" t="s">
        <v>44</v>
      </c>
      <c r="F828">
        <v>66</v>
      </c>
      <c r="G828" t="s">
        <v>9874</v>
      </c>
      <c r="H828">
        <v>81</v>
      </c>
      <c r="I828" t="str">
        <f t="shared" si="7"/>
        <v>CON_DL_0827</v>
      </c>
    </row>
    <row r="829" spans="1:9" x14ac:dyDescent="0.2">
      <c r="A829" t="s">
        <v>9675</v>
      </c>
      <c r="B829" t="s">
        <v>9087</v>
      </c>
      <c r="C829" t="s">
        <v>562</v>
      </c>
      <c r="D829" t="s">
        <v>44</v>
      </c>
      <c r="E829" t="s">
        <v>44</v>
      </c>
      <c r="F829">
        <v>60</v>
      </c>
      <c r="G829" t="s">
        <v>9918</v>
      </c>
      <c r="H829">
        <v>80</v>
      </c>
      <c r="I829" t="str">
        <f t="shared" si="7"/>
        <v>CON_DL_0828</v>
      </c>
    </row>
    <row r="830" spans="1:9" x14ac:dyDescent="0.2">
      <c r="A830" t="s">
        <v>9676</v>
      </c>
      <c r="B830" t="s">
        <v>9088</v>
      </c>
      <c r="C830" t="s">
        <v>562</v>
      </c>
      <c r="D830" t="s">
        <v>44</v>
      </c>
      <c r="E830" t="s">
        <v>44</v>
      </c>
      <c r="F830">
        <v>66</v>
      </c>
      <c r="G830" t="s">
        <v>9919</v>
      </c>
      <c r="H830">
        <v>88</v>
      </c>
      <c r="I830" t="str">
        <f t="shared" si="7"/>
        <v>CON_DL_0829</v>
      </c>
    </row>
    <row r="831" spans="1:9" x14ac:dyDescent="0.2">
      <c r="A831" t="s">
        <v>9677</v>
      </c>
      <c r="B831" t="s">
        <v>9089</v>
      </c>
      <c r="C831" t="s">
        <v>562</v>
      </c>
      <c r="D831" t="s">
        <v>44</v>
      </c>
      <c r="E831" t="s">
        <v>44</v>
      </c>
      <c r="F831">
        <v>49</v>
      </c>
      <c r="G831" t="s">
        <v>9920</v>
      </c>
      <c r="H831">
        <v>96</v>
      </c>
      <c r="I831" t="str">
        <f t="shared" si="7"/>
        <v>CON_DL_0830</v>
      </c>
    </row>
    <row r="832" spans="1:9" x14ac:dyDescent="0.2">
      <c r="A832" t="s">
        <v>9678</v>
      </c>
      <c r="B832" t="s">
        <v>9090</v>
      </c>
      <c r="C832" t="s">
        <v>562</v>
      </c>
      <c r="D832" t="s">
        <v>44</v>
      </c>
      <c r="E832" t="s">
        <v>44</v>
      </c>
      <c r="F832">
        <v>52</v>
      </c>
      <c r="G832" t="s">
        <v>9921</v>
      </c>
      <c r="H832">
        <v>80</v>
      </c>
      <c r="I832" t="str">
        <f t="shared" si="7"/>
        <v>CON_DL_0831</v>
      </c>
    </row>
    <row r="833" spans="1:9" x14ac:dyDescent="0.2">
      <c r="A833" t="s">
        <v>9679</v>
      </c>
      <c r="B833" t="s">
        <v>9091</v>
      </c>
      <c r="C833" t="s">
        <v>562</v>
      </c>
      <c r="D833" t="s">
        <v>44</v>
      </c>
      <c r="E833" t="s">
        <v>44</v>
      </c>
      <c r="F833">
        <v>61</v>
      </c>
      <c r="G833" t="s">
        <v>9873</v>
      </c>
      <c r="H833">
        <v>82</v>
      </c>
      <c r="I833" t="str">
        <f t="shared" si="7"/>
        <v>CON_DL_0832</v>
      </c>
    </row>
    <row r="834" spans="1:9" x14ac:dyDescent="0.2">
      <c r="A834" t="s">
        <v>9680</v>
      </c>
      <c r="B834" t="s">
        <v>9092</v>
      </c>
      <c r="C834" t="s">
        <v>562</v>
      </c>
      <c r="D834" t="s">
        <v>44</v>
      </c>
      <c r="E834" t="s">
        <v>44</v>
      </c>
      <c r="F834">
        <v>43</v>
      </c>
      <c r="G834" t="s">
        <v>9919</v>
      </c>
      <c r="H834">
        <v>64</v>
      </c>
      <c r="I834" t="str">
        <f t="shared" si="7"/>
        <v>CON_DL_0833</v>
      </c>
    </row>
    <row r="835" spans="1:9" x14ac:dyDescent="0.2">
      <c r="A835" t="s">
        <v>9681</v>
      </c>
      <c r="B835" t="s">
        <v>9093</v>
      </c>
      <c r="C835" t="s">
        <v>562</v>
      </c>
      <c r="D835" t="s">
        <v>44</v>
      </c>
      <c r="E835" t="s">
        <v>44</v>
      </c>
      <c r="F835">
        <v>70</v>
      </c>
      <c r="G835" t="s">
        <v>9922</v>
      </c>
      <c r="H835">
        <v>81</v>
      </c>
      <c r="I835" t="str">
        <f t="shared" si="7"/>
        <v>CON_DL_0834</v>
      </c>
    </row>
    <row r="836" spans="1:9" x14ac:dyDescent="0.2">
      <c r="A836" t="s">
        <v>9682</v>
      </c>
      <c r="B836" t="s">
        <v>9094</v>
      </c>
      <c r="C836" t="s">
        <v>562</v>
      </c>
      <c r="D836" t="s">
        <v>44</v>
      </c>
      <c r="E836" t="s">
        <v>44</v>
      </c>
      <c r="F836">
        <v>48</v>
      </c>
      <c r="G836" t="s">
        <v>9921</v>
      </c>
      <c r="H836">
        <v>51</v>
      </c>
      <c r="I836" t="str">
        <f t="shared" si="7"/>
        <v>CON_DL_0835</v>
      </c>
    </row>
    <row r="837" spans="1:9" x14ac:dyDescent="0.2">
      <c r="A837" t="s">
        <v>9683</v>
      </c>
      <c r="B837" t="s">
        <v>9095</v>
      </c>
      <c r="C837" t="s">
        <v>562</v>
      </c>
      <c r="D837" t="s">
        <v>44</v>
      </c>
      <c r="E837" t="s">
        <v>44</v>
      </c>
      <c r="F837">
        <v>66</v>
      </c>
      <c r="G837" t="s">
        <v>9873</v>
      </c>
      <c r="H837">
        <v>89</v>
      </c>
      <c r="I837" t="str">
        <f t="shared" si="7"/>
        <v>CON_DL_0836</v>
      </c>
    </row>
    <row r="838" spans="1:9" x14ac:dyDescent="0.2">
      <c r="A838" t="s">
        <v>9684</v>
      </c>
      <c r="B838" t="s">
        <v>9096</v>
      </c>
      <c r="C838" t="s">
        <v>562</v>
      </c>
      <c r="D838" t="s">
        <v>44</v>
      </c>
      <c r="E838" t="s">
        <v>44</v>
      </c>
      <c r="F838">
        <v>55</v>
      </c>
      <c r="G838" t="s">
        <v>9922</v>
      </c>
      <c r="H838">
        <v>54</v>
      </c>
      <c r="I838" t="str">
        <f t="shared" si="7"/>
        <v>CON_DL_0837</v>
      </c>
    </row>
    <row r="839" spans="1:9" x14ac:dyDescent="0.2">
      <c r="A839" t="s">
        <v>9685</v>
      </c>
      <c r="B839" t="s">
        <v>9097</v>
      </c>
      <c r="C839" t="s">
        <v>562</v>
      </c>
      <c r="D839" t="s">
        <v>44</v>
      </c>
      <c r="E839" t="s">
        <v>44</v>
      </c>
      <c r="F839">
        <v>45</v>
      </c>
      <c r="G839" t="s">
        <v>9921</v>
      </c>
      <c r="H839">
        <v>65</v>
      </c>
      <c r="I839" t="str">
        <f t="shared" si="7"/>
        <v>CON_DL_0838</v>
      </c>
    </row>
    <row r="840" spans="1:9" x14ac:dyDescent="0.2">
      <c r="A840" t="s">
        <v>9686</v>
      </c>
      <c r="B840" t="s">
        <v>9098</v>
      </c>
      <c r="C840" t="s">
        <v>562</v>
      </c>
      <c r="D840" t="s">
        <v>44</v>
      </c>
      <c r="E840" t="s">
        <v>44</v>
      </c>
      <c r="F840">
        <v>47</v>
      </c>
      <c r="G840" t="s">
        <v>9873</v>
      </c>
      <c r="H840">
        <v>87</v>
      </c>
      <c r="I840" t="str">
        <f t="shared" si="7"/>
        <v>CON_DL_0839</v>
      </c>
    </row>
    <row r="841" spans="1:9" x14ac:dyDescent="0.2">
      <c r="A841" t="s">
        <v>9687</v>
      </c>
      <c r="B841" t="s">
        <v>9099</v>
      </c>
      <c r="C841" t="s">
        <v>562</v>
      </c>
      <c r="D841" t="s">
        <v>44</v>
      </c>
      <c r="E841" t="s">
        <v>44</v>
      </c>
      <c r="F841">
        <v>60</v>
      </c>
      <c r="G841" t="s">
        <v>9874</v>
      </c>
      <c r="H841">
        <v>99</v>
      </c>
      <c r="I841" t="str">
        <f t="shared" si="7"/>
        <v>CON_DL_0840</v>
      </c>
    </row>
    <row r="842" spans="1:9" x14ac:dyDescent="0.2">
      <c r="A842" t="s">
        <v>9688</v>
      </c>
      <c r="B842" t="s">
        <v>9100</v>
      </c>
      <c r="C842" t="s">
        <v>562</v>
      </c>
      <c r="D842" t="s">
        <v>44</v>
      </c>
      <c r="E842" t="s">
        <v>44</v>
      </c>
      <c r="F842">
        <v>59</v>
      </c>
      <c r="G842" t="s">
        <v>9918</v>
      </c>
      <c r="H842">
        <v>72</v>
      </c>
      <c r="I842" t="str">
        <f t="shared" si="7"/>
        <v>CON_DL_0841</v>
      </c>
    </row>
    <row r="843" spans="1:9" x14ac:dyDescent="0.2">
      <c r="A843" t="s">
        <v>9689</v>
      </c>
      <c r="B843" t="s">
        <v>9101</v>
      </c>
      <c r="C843" t="s">
        <v>562</v>
      </c>
      <c r="D843" t="s">
        <v>44</v>
      </c>
      <c r="E843" t="s">
        <v>44</v>
      </c>
      <c r="F843">
        <v>42</v>
      </c>
      <c r="G843" t="s">
        <v>9919</v>
      </c>
      <c r="H843">
        <v>84</v>
      </c>
      <c r="I843" t="str">
        <f t="shared" si="7"/>
        <v>CON_DL_0842</v>
      </c>
    </row>
    <row r="844" spans="1:9" x14ac:dyDescent="0.2">
      <c r="A844" t="s">
        <v>9690</v>
      </c>
      <c r="B844" t="s">
        <v>9102</v>
      </c>
      <c r="C844" t="s">
        <v>562</v>
      </c>
      <c r="D844" t="s">
        <v>44</v>
      </c>
      <c r="E844" t="s">
        <v>44</v>
      </c>
      <c r="F844">
        <v>42</v>
      </c>
      <c r="G844" t="s">
        <v>9922</v>
      </c>
      <c r="H844">
        <v>69</v>
      </c>
      <c r="I844" t="str">
        <f t="shared" si="7"/>
        <v>CON_DL_0843</v>
      </c>
    </row>
    <row r="845" spans="1:9" x14ac:dyDescent="0.2">
      <c r="A845" t="s">
        <v>9691</v>
      </c>
      <c r="B845" t="s">
        <v>9103</v>
      </c>
      <c r="C845" t="s">
        <v>562</v>
      </c>
      <c r="D845" t="s">
        <v>44</v>
      </c>
      <c r="E845" t="s">
        <v>44</v>
      </c>
      <c r="F845">
        <v>69</v>
      </c>
      <c r="G845" t="s">
        <v>9921</v>
      </c>
      <c r="H845">
        <v>58</v>
      </c>
      <c r="I845" t="str">
        <f t="shared" si="7"/>
        <v>CON_DL_0844</v>
      </c>
    </row>
    <row r="846" spans="1:9" x14ac:dyDescent="0.2">
      <c r="A846" t="s">
        <v>9692</v>
      </c>
      <c r="B846" t="s">
        <v>9104</v>
      </c>
      <c r="C846" t="s">
        <v>562</v>
      </c>
      <c r="D846" t="s">
        <v>44</v>
      </c>
      <c r="E846" t="s">
        <v>44</v>
      </c>
      <c r="F846">
        <v>51</v>
      </c>
      <c r="G846" t="s">
        <v>9873</v>
      </c>
      <c r="H846">
        <v>70</v>
      </c>
      <c r="I846" t="str">
        <f t="shared" si="7"/>
        <v>CON_DL_0845</v>
      </c>
    </row>
    <row r="847" spans="1:9" x14ac:dyDescent="0.2">
      <c r="A847" t="s">
        <v>9693</v>
      </c>
      <c r="B847" t="s">
        <v>9105</v>
      </c>
      <c r="C847" t="s">
        <v>562</v>
      </c>
      <c r="D847" t="s">
        <v>44</v>
      </c>
      <c r="E847" t="s">
        <v>44</v>
      </c>
      <c r="F847">
        <v>47</v>
      </c>
      <c r="G847" t="s">
        <v>9874</v>
      </c>
      <c r="H847">
        <v>88</v>
      </c>
      <c r="I847" t="str">
        <f t="shared" si="7"/>
        <v>CON_DL_0846</v>
      </c>
    </row>
    <row r="848" spans="1:9" x14ac:dyDescent="0.2">
      <c r="A848" t="s">
        <v>9694</v>
      </c>
      <c r="B848" t="s">
        <v>9106</v>
      </c>
      <c r="C848" t="s">
        <v>562</v>
      </c>
      <c r="D848" t="s">
        <v>44</v>
      </c>
      <c r="E848" t="s">
        <v>44</v>
      </c>
      <c r="F848">
        <v>65</v>
      </c>
      <c r="G848" t="s">
        <v>9918</v>
      </c>
      <c r="H848">
        <v>70</v>
      </c>
      <c r="I848" t="str">
        <f t="shared" si="7"/>
        <v>CON_DL_0847</v>
      </c>
    </row>
    <row r="849" spans="1:9" x14ac:dyDescent="0.2">
      <c r="A849" t="s">
        <v>9695</v>
      </c>
      <c r="B849" t="s">
        <v>9107</v>
      </c>
      <c r="C849" t="s">
        <v>562</v>
      </c>
      <c r="D849" t="s">
        <v>44</v>
      </c>
      <c r="E849" t="s">
        <v>44</v>
      </c>
      <c r="F849">
        <v>61</v>
      </c>
      <c r="G849" t="s">
        <v>9919</v>
      </c>
      <c r="H849">
        <v>79</v>
      </c>
      <c r="I849" t="str">
        <f t="shared" si="7"/>
        <v>CON_DL_0848</v>
      </c>
    </row>
    <row r="850" spans="1:9" x14ac:dyDescent="0.2">
      <c r="A850" t="s">
        <v>9696</v>
      </c>
      <c r="B850" t="s">
        <v>9108</v>
      </c>
      <c r="C850" t="s">
        <v>562</v>
      </c>
      <c r="D850" t="s">
        <v>44</v>
      </c>
      <c r="E850" t="s">
        <v>44</v>
      </c>
      <c r="F850">
        <v>61</v>
      </c>
      <c r="G850" t="s">
        <v>9922</v>
      </c>
      <c r="H850">
        <v>95</v>
      </c>
      <c r="I850" t="str">
        <f t="shared" si="7"/>
        <v>CON_DL_0849</v>
      </c>
    </row>
    <row r="851" spans="1:9" x14ac:dyDescent="0.2">
      <c r="A851" t="s">
        <v>9697</v>
      </c>
      <c r="B851" t="s">
        <v>9109</v>
      </c>
      <c r="C851" t="s">
        <v>565</v>
      </c>
      <c r="D851" t="s">
        <v>44</v>
      </c>
      <c r="E851" t="s">
        <v>44</v>
      </c>
      <c r="F851">
        <v>41</v>
      </c>
      <c r="G851" t="s">
        <v>568</v>
      </c>
      <c r="H851">
        <v>79</v>
      </c>
      <c r="I851" t="str">
        <f t="shared" si="7"/>
        <v>CON_ST_0850</v>
      </c>
    </row>
    <row r="852" spans="1:9" x14ac:dyDescent="0.2">
      <c r="A852" t="s">
        <v>9698</v>
      </c>
      <c r="B852" t="s">
        <v>9110</v>
      </c>
      <c r="C852" t="s">
        <v>565</v>
      </c>
      <c r="D852" t="s">
        <v>44</v>
      </c>
      <c r="E852" t="s">
        <v>44</v>
      </c>
      <c r="F852">
        <v>55</v>
      </c>
      <c r="G852" t="s">
        <v>9907</v>
      </c>
      <c r="H852">
        <v>76</v>
      </c>
      <c r="I852" t="str">
        <f t="shared" si="7"/>
        <v>CON_ST_0851</v>
      </c>
    </row>
    <row r="853" spans="1:9" x14ac:dyDescent="0.2">
      <c r="A853" t="s">
        <v>9699</v>
      </c>
      <c r="B853" t="s">
        <v>9111</v>
      </c>
      <c r="C853" t="s">
        <v>565</v>
      </c>
      <c r="D853" t="s">
        <v>44</v>
      </c>
      <c r="E853" t="s">
        <v>44</v>
      </c>
      <c r="F853">
        <v>43</v>
      </c>
      <c r="G853" t="s">
        <v>9908</v>
      </c>
      <c r="H853">
        <v>66</v>
      </c>
      <c r="I853" t="str">
        <f t="shared" si="7"/>
        <v>CON_ST_0852</v>
      </c>
    </row>
    <row r="854" spans="1:9" x14ac:dyDescent="0.2">
      <c r="A854" t="s">
        <v>9700</v>
      </c>
      <c r="B854" t="s">
        <v>9112</v>
      </c>
      <c r="C854" t="s">
        <v>565</v>
      </c>
      <c r="D854" t="s">
        <v>44</v>
      </c>
      <c r="E854" t="s">
        <v>44</v>
      </c>
      <c r="F854">
        <v>41</v>
      </c>
      <c r="G854" t="s">
        <v>9909</v>
      </c>
      <c r="H854">
        <v>98</v>
      </c>
      <c r="I854" t="str">
        <f t="shared" si="7"/>
        <v>CON_ST_0853</v>
      </c>
    </row>
    <row r="855" spans="1:9" x14ac:dyDescent="0.2">
      <c r="A855" t="s">
        <v>9701</v>
      </c>
      <c r="B855" t="s">
        <v>9113</v>
      </c>
      <c r="C855" t="s">
        <v>565</v>
      </c>
      <c r="D855" t="s">
        <v>44</v>
      </c>
      <c r="E855" t="s">
        <v>44</v>
      </c>
      <c r="F855">
        <v>51</v>
      </c>
      <c r="G855" t="s">
        <v>568</v>
      </c>
      <c r="H855">
        <v>80</v>
      </c>
      <c r="I855" t="str">
        <f t="shared" si="7"/>
        <v>CON_ST_0854</v>
      </c>
    </row>
    <row r="856" spans="1:9" x14ac:dyDescent="0.2">
      <c r="A856" t="s">
        <v>9702</v>
      </c>
      <c r="B856" t="s">
        <v>9114</v>
      </c>
      <c r="C856" t="s">
        <v>565</v>
      </c>
      <c r="D856" t="s">
        <v>44</v>
      </c>
      <c r="E856" t="s">
        <v>44</v>
      </c>
      <c r="F856">
        <v>67</v>
      </c>
      <c r="G856" t="s">
        <v>9907</v>
      </c>
      <c r="H856">
        <v>60</v>
      </c>
      <c r="I856" t="str">
        <f t="shared" si="7"/>
        <v>CON_ST_0855</v>
      </c>
    </row>
    <row r="857" spans="1:9" x14ac:dyDescent="0.2">
      <c r="A857" t="s">
        <v>9703</v>
      </c>
      <c r="B857" t="s">
        <v>9115</v>
      </c>
      <c r="C857" t="s">
        <v>565</v>
      </c>
      <c r="D857" t="s">
        <v>44</v>
      </c>
      <c r="E857" t="s">
        <v>44</v>
      </c>
      <c r="F857">
        <v>70</v>
      </c>
      <c r="G857" t="s">
        <v>9908</v>
      </c>
      <c r="H857">
        <v>63</v>
      </c>
      <c r="I857" t="str">
        <f t="shared" si="7"/>
        <v>CON_ST_0856</v>
      </c>
    </row>
    <row r="858" spans="1:9" x14ac:dyDescent="0.2">
      <c r="A858" t="s">
        <v>9704</v>
      </c>
      <c r="B858" t="s">
        <v>9116</v>
      </c>
      <c r="C858" t="s">
        <v>565</v>
      </c>
      <c r="D858" t="s">
        <v>44</v>
      </c>
      <c r="E858" t="s">
        <v>44</v>
      </c>
      <c r="F858">
        <v>60</v>
      </c>
      <c r="G858" t="s">
        <v>9909</v>
      </c>
      <c r="H858">
        <v>63</v>
      </c>
      <c r="I858" t="str">
        <f t="shared" si="7"/>
        <v>CON_ST_0857</v>
      </c>
    </row>
    <row r="859" spans="1:9" x14ac:dyDescent="0.2">
      <c r="A859" t="s">
        <v>9705</v>
      </c>
      <c r="B859" t="s">
        <v>9117</v>
      </c>
      <c r="C859" t="s">
        <v>565</v>
      </c>
      <c r="D859" t="s">
        <v>44</v>
      </c>
      <c r="E859" t="s">
        <v>44</v>
      </c>
      <c r="F859">
        <v>45</v>
      </c>
      <c r="G859" t="s">
        <v>568</v>
      </c>
      <c r="H859">
        <v>90</v>
      </c>
      <c r="I859" t="str">
        <f t="shared" si="7"/>
        <v>CON_ST_0858</v>
      </c>
    </row>
    <row r="860" spans="1:9" x14ac:dyDescent="0.2">
      <c r="A860" t="s">
        <v>9706</v>
      </c>
      <c r="B860" t="s">
        <v>9118</v>
      </c>
      <c r="C860" t="s">
        <v>565</v>
      </c>
      <c r="D860" t="s">
        <v>44</v>
      </c>
      <c r="E860" t="s">
        <v>44</v>
      </c>
      <c r="F860">
        <v>43</v>
      </c>
      <c r="G860" t="s">
        <v>9907</v>
      </c>
      <c r="H860">
        <v>51</v>
      </c>
      <c r="I860" t="str">
        <f t="shared" si="7"/>
        <v>CON_ST_0859</v>
      </c>
    </row>
    <row r="861" spans="1:9" x14ac:dyDescent="0.2">
      <c r="A861" t="s">
        <v>9707</v>
      </c>
      <c r="B861" t="s">
        <v>9119</v>
      </c>
      <c r="C861" t="s">
        <v>565</v>
      </c>
      <c r="D861" t="s">
        <v>44</v>
      </c>
      <c r="E861" t="s">
        <v>44</v>
      </c>
      <c r="F861">
        <v>52</v>
      </c>
      <c r="G861" t="s">
        <v>568</v>
      </c>
      <c r="H861">
        <v>62</v>
      </c>
      <c r="I861" t="str">
        <f t="shared" si="7"/>
        <v>CON_ST_0860</v>
      </c>
    </row>
    <row r="862" spans="1:9" x14ac:dyDescent="0.2">
      <c r="A862" t="s">
        <v>9708</v>
      </c>
      <c r="B862" t="s">
        <v>9120</v>
      </c>
      <c r="C862" t="s">
        <v>565</v>
      </c>
      <c r="D862" t="s">
        <v>44</v>
      </c>
      <c r="E862" t="s">
        <v>44</v>
      </c>
      <c r="F862">
        <v>65</v>
      </c>
      <c r="G862" t="s">
        <v>9907</v>
      </c>
      <c r="H862">
        <v>60</v>
      </c>
      <c r="I862" t="str">
        <f t="shared" si="7"/>
        <v>CON_ST_0861</v>
      </c>
    </row>
    <row r="863" spans="1:9" x14ac:dyDescent="0.2">
      <c r="A863" t="s">
        <v>9709</v>
      </c>
      <c r="B863" t="s">
        <v>9121</v>
      </c>
      <c r="C863" t="s">
        <v>565</v>
      </c>
      <c r="D863" t="s">
        <v>44</v>
      </c>
      <c r="E863" t="s">
        <v>44</v>
      </c>
      <c r="F863">
        <v>41</v>
      </c>
      <c r="G863" t="s">
        <v>9908</v>
      </c>
      <c r="H863">
        <v>68</v>
      </c>
      <c r="I863" t="str">
        <f t="shared" si="7"/>
        <v>CON_ST_0862</v>
      </c>
    </row>
    <row r="864" spans="1:9" x14ac:dyDescent="0.2">
      <c r="A864" t="s">
        <v>9710</v>
      </c>
      <c r="B864" t="s">
        <v>9122</v>
      </c>
      <c r="C864" t="s">
        <v>565</v>
      </c>
      <c r="D864" t="s">
        <v>44</v>
      </c>
      <c r="E864" t="s">
        <v>44</v>
      </c>
      <c r="F864">
        <v>51</v>
      </c>
      <c r="G864" t="s">
        <v>9909</v>
      </c>
      <c r="H864">
        <v>87</v>
      </c>
      <c r="I864" t="str">
        <f t="shared" si="7"/>
        <v>CON_ST_0863</v>
      </c>
    </row>
    <row r="865" spans="1:9" x14ac:dyDescent="0.2">
      <c r="A865" t="s">
        <v>9711</v>
      </c>
      <c r="B865" t="s">
        <v>9123</v>
      </c>
      <c r="C865" t="s">
        <v>565</v>
      </c>
      <c r="D865" t="s">
        <v>44</v>
      </c>
      <c r="E865" t="s">
        <v>44</v>
      </c>
      <c r="F865">
        <v>43</v>
      </c>
      <c r="G865" t="s">
        <v>568</v>
      </c>
      <c r="H865">
        <v>86</v>
      </c>
      <c r="I865" t="str">
        <f t="shared" si="7"/>
        <v>CON_ST_0864</v>
      </c>
    </row>
    <row r="866" spans="1:9" x14ac:dyDescent="0.2">
      <c r="A866" t="s">
        <v>9712</v>
      </c>
      <c r="B866" t="s">
        <v>9124</v>
      </c>
      <c r="C866" t="s">
        <v>565</v>
      </c>
      <c r="D866" t="s">
        <v>44</v>
      </c>
      <c r="E866" t="s">
        <v>44</v>
      </c>
      <c r="F866">
        <v>52</v>
      </c>
      <c r="G866" t="s">
        <v>9907</v>
      </c>
      <c r="H866">
        <v>83</v>
      </c>
      <c r="I866" t="str">
        <f t="shared" si="7"/>
        <v>CON_ST_0865</v>
      </c>
    </row>
    <row r="867" spans="1:9" x14ac:dyDescent="0.2">
      <c r="A867" t="s">
        <v>9713</v>
      </c>
      <c r="B867" t="s">
        <v>9125</v>
      </c>
      <c r="C867" t="s">
        <v>565</v>
      </c>
      <c r="D867" t="s">
        <v>44</v>
      </c>
      <c r="E867" t="s">
        <v>44</v>
      </c>
      <c r="F867">
        <v>41</v>
      </c>
      <c r="G867" t="s">
        <v>9908</v>
      </c>
      <c r="H867">
        <v>94</v>
      </c>
      <c r="I867" t="str">
        <f t="shared" si="7"/>
        <v>CON_ST_0866</v>
      </c>
    </row>
    <row r="868" spans="1:9" x14ac:dyDescent="0.2">
      <c r="A868" t="s">
        <v>9714</v>
      </c>
      <c r="B868" t="s">
        <v>9126</v>
      </c>
      <c r="C868" t="s">
        <v>565</v>
      </c>
      <c r="D868" t="s">
        <v>44</v>
      </c>
      <c r="E868" t="s">
        <v>44</v>
      </c>
      <c r="F868">
        <v>42</v>
      </c>
      <c r="G868" t="s">
        <v>9909</v>
      </c>
      <c r="H868">
        <v>68</v>
      </c>
      <c r="I868" t="str">
        <f t="shared" si="7"/>
        <v>CON_ST_0867</v>
      </c>
    </row>
    <row r="869" spans="1:9" x14ac:dyDescent="0.2">
      <c r="A869" t="s">
        <v>9715</v>
      </c>
      <c r="B869" t="s">
        <v>9127</v>
      </c>
      <c r="C869" t="s">
        <v>565</v>
      </c>
      <c r="D869" t="s">
        <v>44</v>
      </c>
      <c r="E869" t="s">
        <v>44</v>
      </c>
      <c r="F869">
        <v>63</v>
      </c>
      <c r="G869" t="s">
        <v>568</v>
      </c>
      <c r="H869">
        <v>73</v>
      </c>
      <c r="I869" t="str">
        <f t="shared" si="7"/>
        <v>CON_ST_0868</v>
      </c>
    </row>
    <row r="870" spans="1:9" x14ac:dyDescent="0.2">
      <c r="A870" t="s">
        <v>9716</v>
      </c>
      <c r="B870" t="s">
        <v>9128</v>
      </c>
      <c r="C870" t="s">
        <v>565</v>
      </c>
      <c r="D870" t="s">
        <v>44</v>
      </c>
      <c r="E870" t="s">
        <v>44</v>
      </c>
      <c r="F870">
        <v>59</v>
      </c>
      <c r="G870" t="s">
        <v>9907</v>
      </c>
      <c r="H870">
        <v>60</v>
      </c>
      <c r="I870" t="str">
        <f t="shared" si="7"/>
        <v>CON_ST_0869</v>
      </c>
    </row>
    <row r="871" spans="1:9" x14ac:dyDescent="0.2">
      <c r="A871" t="s">
        <v>9717</v>
      </c>
      <c r="B871" t="s">
        <v>9129</v>
      </c>
      <c r="C871" t="s">
        <v>565</v>
      </c>
      <c r="D871" t="s">
        <v>44</v>
      </c>
      <c r="E871" t="s">
        <v>44</v>
      </c>
      <c r="F871">
        <v>65</v>
      </c>
      <c r="G871" t="s">
        <v>568</v>
      </c>
      <c r="H871">
        <v>62</v>
      </c>
      <c r="I871" t="str">
        <f t="shared" si="7"/>
        <v>CON_ST_0870</v>
      </c>
    </row>
    <row r="872" spans="1:9" x14ac:dyDescent="0.2">
      <c r="A872" t="s">
        <v>9718</v>
      </c>
      <c r="B872" t="s">
        <v>9130</v>
      </c>
      <c r="C872" t="s">
        <v>565</v>
      </c>
      <c r="D872" t="s">
        <v>44</v>
      </c>
      <c r="E872" t="s">
        <v>44</v>
      </c>
      <c r="F872">
        <v>44</v>
      </c>
      <c r="G872" t="s">
        <v>9907</v>
      </c>
      <c r="H872">
        <v>88</v>
      </c>
      <c r="I872" t="str">
        <f t="shared" si="7"/>
        <v>CON_ST_0871</v>
      </c>
    </row>
    <row r="873" spans="1:9" x14ac:dyDescent="0.2">
      <c r="A873" t="s">
        <v>9719</v>
      </c>
      <c r="B873" t="s">
        <v>9131</v>
      </c>
      <c r="C873" t="s">
        <v>565</v>
      </c>
      <c r="D873" t="s">
        <v>44</v>
      </c>
      <c r="E873" t="s">
        <v>44</v>
      </c>
      <c r="F873">
        <v>45</v>
      </c>
      <c r="G873" t="s">
        <v>9908</v>
      </c>
      <c r="H873">
        <v>92</v>
      </c>
      <c r="I873" t="str">
        <f t="shared" si="7"/>
        <v>CON_ST_0872</v>
      </c>
    </row>
    <row r="874" spans="1:9" x14ac:dyDescent="0.2">
      <c r="A874" t="s">
        <v>9720</v>
      </c>
      <c r="B874" t="s">
        <v>9132</v>
      </c>
      <c r="C874" t="s">
        <v>565</v>
      </c>
      <c r="D874" t="s">
        <v>44</v>
      </c>
      <c r="E874" t="s">
        <v>44</v>
      </c>
      <c r="F874">
        <v>58</v>
      </c>
      <c r="G874" t="s">
        <v>9909</v>
      </c>
      <c r="H874">
        <v>91</v>
      </c>
      <c r="I874" t="str">
        <f t="shared" si="7"/>
        <v>CON_ST_0873</v>
      </c>
    </row>
    <row r="875" spans="1:9" x14ac:dyDescent="0.2">
      <c r="A875" t="s">
        <v>9721</v>
      </c>
      <c r="B875" t="s">
        <v>9133</v>
      </c>
      <c r="C875" t="s">
        <v>565</v>
      </c>
      <c r="D875" t="s">
        <v>44</v>
      </c>
      <c r="E875" t="s">
        <v>44</v>
      </c>
      <c r="F875">
        <v>60</v>
      </c>
      <c r="G875" t="s">
        <v>568</v>
      </c>
      <c r="H875">
        <v>76</v>
      </c>
      <c r="I875" t="str">
        <f t="shared" si="7"/>
        <v>CON_ST_0874</v>
      </c>
    </row>
    <row r="876" spans="1:9" x14ac:dyDescent="0.2">
      <c r="A876" t="s">
        <v>9722</v>
      </c>
      <c r="B876" t="s">
        <v>9134</v>
      </c>
      <c r="C876" t="s">
        <v>565</v>
      </c>
      <c r="D876" t="s">
        <v>44</v>
      </c>
      <c r="E876" t="s">
        <v>44</v>
      </c>
      <c r="F876">
        <v>51</v>
      </c>
      <c r="G876" t="s">
        <v>9907</v>
      </c>
      <c r="H876">
        <v>80</v>
      </c>
      <c r="I876" t="str">
        <f t="shared" si="7"/>
        <v>CON_ST_0875</v>
      </c>
    </row>
    <row r="877" spans="1:9" x14ac:dyDescent="0.2">
      <c r="A877" t="s">
        <v>9723</v>
      </c>
      <c r="B877" t="s">
        <v>9135</v>
      </c>
      <c r="C877" t="s">
        <v>565</v>
      </c>
      <c r="D877" t="s">
        <v>44</v>
      </c>
      <c r="E877" t="s">
        <v>44</v>
      </c>
      <c r="F877">
        <v>51</v>
      </c>
      <c r="G877" t="s">
        <v>9908</v>
      </c>
      <c r="H877">
        <v>74</v>
      </c>
      <c r="I877" t="str">
        <f t="shared" si="7"/>
        <v>CON_ST_0876</v>
      </c>
    </row>
    <row r="878" spans="1:9" x14ac:dyDescent="0.2">
      <c r="A878" t="s">
        <v>9724</v>
      </c>
      <c r="B878" t="s">
        <v>9136</v>
      </c>
      <c r="C878" t="s">
        <v>565</v>
      </c>
      <c r="D878" t="s">
        <v>44</v>
      </c>
      <c r="E878" t="s">
        <v>44</v>
      </c>
      <c r="F878">
        <v>48</v>
      </c>
      <c r="G878" t="s">
        <v>9909</v>
      </c>
      <c r="H878">
        <v>74</v>
      </c>
      <c r="I878" t="str">
        <f t="shared" si="7"/>
        <v>CON_ST_0877</v>
      </c>
    </row>
    <row r="879" spans="1:9" x14ac:dyDescent="0.2">
      <c r="A879" t="s">
        <v>9725</v>
      </c>
      <c r="B879" t="s">
        <v>9137</v>
      </c>
      <c r="C879" t="s">
        <v>565</v>
      </c>
      <c r="D879" t="s">
        <v>44</v>
      </c>
      <c r="E879" t="s">
        <v>44</v>
      </c>
      <c r="F879">
        <v>67</v>
      </c>
      <c r="G879" t="s">
        <v>568</v>
      </c>
      <c r="H879">
        <v>51</v>
      </c>
      <c r="I879" t="str">
        <f t="shared" si="7"/>
        <v>CON_ST_0878</v>
      </c>
    </row>
    <row r="880" spans="1:9" x14ac:dyDescent="0.2">
      <c r="A880" t="s">
        <v>9726</v>
      </c>
      <c r="B880" t="s">
        <v>9138</v>
      </c>
      <c r="C880" t="s">
        <v>565</v>
      </c>
      <c r="D880" t="s">
        <v>44</v>
      </c>
      <c r="E880" t="s">
        <v>44</v>
      </c>
      <c r="F880">
        <v>66</v>
      </c>
      <c r="G880" t="s">
        <v>9907</v>
      </c>
      <c r="H880">
        <v>94</v>
      </c>
      <c r="I880" t="str">
        <f t="shared" si="7"/>
        <v>CON_ST_0879</v>
      </c>
    </row>
    <row r="881" spans="1:9" x14ac:dyDescent="0.2">
      <c r="A881" t="s">
        <v>9727</v>
      </c>
      <c r="B881" t="s">
        <v>9139</v>
      </c>
      <c r="C881" t="s">
        <v>565</v>
      </c>
      <c r="D881" t="s">
        <v>44</v>
      </c>
      <c r="E881" t="s">
        <v>44</v>
      </c>
      <c r="F881">
        <v>65</v>
      </c>
      <c r="G881" t="s">
        <v>568</v>
      </c>
      <c r="H881">
        <v>75</v>
      </c>
      <c r="I881" t="str">
        <f t="shared" si="7"/>
        <v>CON_ST_0880</v>
      </c>
    </row>
    <row r="882" spans="1:9" x14ac:dyDescent="0.2">
      <c r="A882" t="s">
        <v>9728</v>
      </c>
      <c r="B882" t="s">
        <v>9140</v>
      </c>
      <c r="C882" t="s">
        <v>565</v>
      </c>
      <c r="D882" t="s">
        <v>44</v>
      </c>
      <c r="E882" t="s">
        <v>44</v>
      </c>
      <c r="F882">
        <v>57</v>
      </c>
      <c r="G882" t="s">
        <v>9907</v>
      </c>
      <c r="H882">
        <v>54</v>
      </c>
      <c r="I882" t="str">
        <f t="shared" si="7"/>
        <v>CON_ST_0881</v>
      </c>
    </row>
    <row r="883" spans="1:9" x14ac:dyDescent="0.2">
      <c r="A883" t="s">
        <v>9729</v>
      </c>
      <c r="B883" t="s">
        <v>9141</v>
      </c>
      <c r="C883" t="s">
        <v>565</v>
      </c>
      <c r="D883" t="s">
        <v>44</v>
      </c>
      <c r="E883" t="s">
        <v>44</v>
      </c>
      <c r="F883">
        <v>61</v>
      </c>
      <c r="G883" t="s">
        <v>9908</v>
      </c>
      <c r="H883">
        <v>96</v>
      </c>
      <c r="I883" t="str">
        <f t="shared" si="7"/>
        <v>CON_ST_0882</v>
      </c>
    </row>
    <row r="884" spans="1:9" x14ac:dyDescent="0.2">
      <c r="A884" t="s">
        <v>9730</v>
      </c>
      <c r="B884" t="s">
        <v>9142</v>
      </c>
      <c r="C884" t="s">
        <v>565</v>
      </c>
      <c r="D884" t="s">
        <v>44</v>
      </c>
      <c r="E884" t="s">
        <v>44</v>
      </c>
      <c r="F884">
        <v>41</v>
      </c>
      <c r="G884" t="s">
        <v>9909</v>
      </c>
      <c r="H884">
        <v>93</v>
      </c>
      <c r="I884" t="str">
        <f t="shared" si="7"/>
        <v>CON_ST_0883</v>
      </c>
    </row>
    <row r="885" spans="1:9" x14ac:dyDescent="0.2">
      <c r="A885" t="s">
        <v>9731</v>
      </c>
      <c r="B885" t="s">
        <v>9143</v>
      </c>
      <c r="C885" t="s">
        <v>565</v>
      </c>
      <c r="D885" t="s">
        <v>44</v>
      </c>
      <c r="E885" t="s">
        <v>44</v>
      </c>
      <c r="F885">
        <v>69</v>
      </c>
      <c r="G885" t="s">
        <v>568</v>
      </c>
      <c r="H885">
        <v>86</v>
      </c>
      <c r="I885" t="str">
        <f t="shared" ref="I885:I894" si="8">"CON_"&amp;LEFT(C885,FIND("_",C885&amp;"_")-1)&amp;"_"&amp;RIGHT(A885,4)</f>
        <v>CON_ST_0884</v>
      </c>
    </row>
    <row r="886" spans="1:9" x14ac:dyDescent="0.2">
      <c r="A886" t="s">
        <v>9732</v>
      </c>
      <c r="B886" t="s">
        <v>9144</v>
      </c>
      <c r="C886" t="s">
        <v>565</v>
      </c>
      <c r="D886" t="s">
        <v>44</v>
      </c>
      <c r="E886" t="s">
        <v>44</v>
      </c>
      <c r="F886">
        <v>54</v>
      </c>
      <c r="G886" t="s">
        <v>9907</v>
      </c>
      <c r="H886">
        <v>71</v>
      </c>
      <c r="I886" t="str">
        <f t="shared" si="8"/>
        <v>CON_ST_0885</v>
      </c>
    </row>
    <row r="887" spans="1:9" x14ac:dyDescent="0.2">
      <c r="A887" t="s">
        <v>9733</v>
      </c>
      <c r="B887" t="s">
        <v>9145</v>
      </c>
      <c r="C887" t="s">
        <v>565</v>
      </c>
      <c r="D887" t="s">
        <v>44</v>
      </c>
      <c r="E887" t="s">
        <v>44</v>
      </c>
      <c r="F887">
        <v>57</v>
      </c>
      <c r="G887" t="s">
        <v>9908</v>
      </c>
      <c r="H887">
        <v>52</v>
      </c>
      <c r="I887" t="str">
        <f t="shared" si="8"/>
        <v>CON_ST_0886</v>
      </c>
    </row>
    <row r="888" spans="1:9" x14ac:dyDescent="0.2">
      <c r="A888" t="s">
        <v>9734</v>
      </c>
      <c r="B888" t="s">
        <v>9146</v>
      </c>
      <c r="C888" t="s">
        <v>565</v>
      </c>
      <c r="D888" t="s">
        <v>44</v>
      </c>
      <c r="E888" t="s">
        <v>44</v>
      </c>
      <c r="F888">
        <v>70</v>
      </c>
      <c r="G888" t="s">
        <v>9909</v>
      </c>
      <c r="H888">
        <v>71</v>
      </c>
      <c r="I888" t="str">
        <f t="shared" si="8"/>
        <v>CON_ST_0887</v>
      </c>
    </row>
    <row r="889" spans="1:9" x14ac:dyDescent="0.2">
      <c r="A889" t="s">
        <v>9735</v>
      </c>
      <c r="B889" t="s">
        <v>9147</v>
      </c>
      <c r="C889" t="s">
        <v>565</v>
      </c>
      <c r="D889" t="s">
        <v>44</v>
      </c>
      <c r="E889" t="s">
        <v>44</v>
      </c>
      <c r="F889">
        <v>60</v>
      </c>
      <c r="G889" t="s">
        <v>568</v>
      </c>
      <c r="H889">
        <v>92</v>
      </c>
      <c r="I889" t="str">
        <f t="shared" si="8"/>
        <v>CON_ST_0888</v>
      </c>
    </row>
    <row r="890" spans="1:9" x14ac:dyDescent="0.2">
      <c r="A890" t="s">
        <v>9736</v>
      </c>
      <c r="B890" t="s">
        <v>9148</v>
      </c>
      <c r="C890" t="s">
        <v>565</v>
      </c>
      <c r="D890" t="s">
        <v>44</v>
      </c>
      <c r="E890" t="s">
        <v>44</v>
      </c>
      <c r="F890">
        <v>42</v>
      </c>
      <c r="G890" t="s">
        <v>9907</v>
      </c>
      <c r="H890">
        <v>81</v>
      </c>
      <c r="I890" t="str">
        <f t="shared" si="8"/>
        <v>CON_ST_0889</v>
      </c>
    </row>
    <row r="891" spans="1:9" x14ac:dyDescent="0.2">
      <c r="A891" t="s">
        <v>9737</v>
      </c>
      <c r="B891" t="s">
        <v>9149</v>
      </c>
      <c r="C891" t="s">
        <v>565</v>
      </c>
      <c r="D891" t="s">
        <v>44</v>
      </c>
      <c r="E891" t="s">
        <v>44</v>
      </c>
      <c r="F891">
        <v>48</v>
      </c>
      <c r="G891" t="s">
        <v>568</v>
      </c>
      <c r="H891">
        <v>72</v>
      </c>
      <c r="I891" t="str">
        <f t="shared" si="8"/>
        <v>CON_ST_0890</v>
      </c>
    </row>
    <row r="892" spans="1:9" x14ac:dyDescent="0.2">
      <c r="A892" t="s">
        <v>9738</v>
      </c>
      <c r="B892" t="s">
        <v>9150</v>
      </c>
      <c r="C892" t="s">
        <v>565</v>
      </c>
      <c r="D892" t="s">
        <v>44</v>
      </c>
      <c r="E892" t="s">
        <v>44</v>
      </c>
      <c r="F892">
        <v>53</v>
      </c>
      <c r="G892" t="s">
        <v>9907</v>
      </c>
      <c r="H892">
        <v>59</v>
      </c>
      <c r="I892" t="str">
        <f t="shared" si="8"/>
        <v>CON_ST_0891</v>
      </c>
    </row>
    <row r="893" spans="1:9" x14ac:dyDescent="0.2">
      <c r="A893" t="s">
        <v>9739</v>
      </c>
      <c r="B893" t="s">
        <v>9151</v>
      </c>
      <c r="C893" t="s">
        <v>565</v>
      </c>
      <c r="D893" t="s">
        <v>44</v>
      </c>
      <c r="E893" t="s">
        <v>44</v>
      </c>
      <c r="F893">
        <v>67</v>
      </c>
      <c r="G893" t="s">
        <v>9908</v>
      </c>
      <c r="H893">
        <v>96</v>
      </c>
      <c r="I893" t="str">
        <f t="shared" si="8"/>
        <v>CON_ST_0892</v>
      </c>
    </row>
    <row r="894" spans="1:9" x14ac:dyDescent="0.2">
      <c r="A894" t="s">
        <v>9740</v>
      </c>
      <c r="B894" t="s">
        <v>9152</v>
      </c>
      <c r="C894" t="s">
        <v>565</v>
      </c>
      <c r="D894" t="s">
        <v>44</v>
      </c>
      <c r="E894" t="s">
        <v>44</v>
      </c>
      <c r="F894">
        <v>51</v>
      </c>
      <c r="G894" t="s">
        <v>9909</v>
      </c>
      <c r="H894">
        <v>71</v>
      </c>
      <c r="I894" t="str">
        <f t="shared" si="8"/>
        <v>CON_ST_0893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697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10.1640625" bestFit="1" customWidth="1"/>
    <col min="2" max="2" width="21.5" bestFit="1" customWidth="1"/>
    <col min="3" max="3" width="6.33203125" bestFit="1" customWidth="1"/>
    <col min="4" max="4" width="17" customWidth="1"/>
    <col min="5" max="5" width="20.5" bestFit="1" customWidth="1"/>
    <col min="6" max="6" width="6.33203125" bestFit="1" customWidth="1"/>
    <col min="7" max="7" width="8.83203125" bestFit="1" customWidth="1"/>
    <col min="8" max="8" width="10.6640625" bestFit="1" customWidth="1"/>
    <col min="9" max="9" width="21.5" bestFit="1" customWidth="1"/>
    <col min="10" max="10" width="10.33203125" bestFit="1" customWidth="1"/>
    <col min="11" max="11" width="10.83203125" bestFit="1" customWidth="1"/>
    <col min="12" max="12" width="14.6640625" bestFit="1" customWidth="1"/>
    <col min="13" max="13" width="32" bestFit="1" customWidth="1"/>
    <col min="14" max="14" width="17.1640625" bestFit="1" customWidth="1"/>
    <col min="15" max="15" width="12.33203125" bestFit="1" customWidth="1"/>
    <col min="16" max="16" width="7.6640625" bestFit="1" customWidth="1"/>
    <col min="17" max="17" width="8" bestFit="1" customWidth="1"/>
    <col min="18" max="18" width="12.33203125" bestFit="1" customWidth="1"/>
    <col min="19" max="19" width="17.33203125" bestFit="1" customWidth="1"/>
    <col min="20" max="20" width="12.6640625" bestFit="1" customWidth="1"/>
    <col min="21" max="21" width="12.83203125" bestFit="1" customWidth="1"/>
    <col min="22" max="22" width="13.5" bestFit="1" customWidth="1"/>
    <col min="23" max="23" width="12.83203125" bestFit="1" customWidth="1"/>
    <col min="24" max="24" width="10.33203125" bestFit="1" customWidth="1"/>
    <col min="25" max="25" width="10.5" bestFit="1" customWidth="1"/>
    <col min="26" max="27" width="8.5" bestFit="1" customWidth="1"/>
    <col min="28" max="28" width="13.6640625" bestFit="1" customWidth="1"/>
    <col min="29" max="29" width="8.5" bestFit="1" customWidth="1"/>
    <col min="30" max="30" width="10.5" bestFit="1" customWidth="1"/>
    <col min="31" max="31" width="10.33203125" bestFit="1" customWidth="1"/>
    <col min="32" max="32" width="10.1640625" bestFit="1" customWidth="1"/>
    <col min="33" max="33" width="51.33203125" bestFit="1" customWidth="1"/>
    <col min="34" max="34" width="24.1640625" bestFit="1" customWidth="1"/>
  </cols>
  <sheetData>
    <row r="1" spans="1:34" s="1" customFormat="1" x14ac:dyDescent="0.2">
      <c r="A1" s="1" t="s">
        <v>45</v>
      </c>
      <c r="B1" s="1" t="s">
        <v>29</v>
      </c>
      <c r="C1" s="1" t="s">
        <v>46</v>
      </c>
      <c r="D1" s="1" t="s">
        <v>16</v>
      </c>
      <c r="E1" s="1" t="s">
        <v>31</v>
      </c>
      <c r="F1" s="1" t="s">
        <v>32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35</v>
      </c>
      <c r="M1" s="1" t="s">
        <v>6536</v>
      </c>
      <c r="N1" s="1" t="s">
        <v>6537</v>
      </c>
      <c r="O1" s="1" t="s">
        <v>6538</v>
      </c>
      <c r="P1" s="1" t="s">
        <v>6539</v>
      </c>
      <c r="Q1" s="1" t="s">
        <v>6540</v>
      </c>
      <c r="R1" s="1" t="s">
        <v>6541</v>
      </c>
      <c r="S1" s="1" t="s">
        <v>6542</v>
      </c>
      <c r="T1" s="1" t="s">
        <v>6543</v>
      </c>
      <c r="U1" s="1" t="s">
        <v>6544</v>
      </c>
      <c r="V1" s="1" t="s">
        <v>6545</v>
      </c>
      <c r="W1" s="1" t="s">
        <v>6546</v>
      </c>
      <c r="X1" s="1" t="s">
        <v>6547</v>
      </c>
      <c r="Y1" s="1" t="s">
        <v>6548</v>
      </c>
      <c r="Z1" s="1" t="s">
        <v>6549</v>
      </c>
      <c r="AA1" s="1" t="s">
        <v>6550</v>
      </c>
      <c r="AB1" s="1" t="s">
        <v>6551</v>
      </c>
      <c r="AC1" s="1" t="s">
        <v>6552</v>
      </c>
      <c r="AD1" s="1" t="s">
        <v>6553</v>
      </c>
      <c r="AE1" s="1" t="s">
        <v>6554</v>
      </c>
      <c r="AF1" s="1" t="s">
        <v>6555</v>
      </c>
      <c r="AG1" s="1" t="s">
        <v>6556</v>
      </c>
      <c r="AH1" s="1" t="s">
        <v>6557</v>
      </c>
    </row>
    <row r="2" spans="1:34" x14ac:dyDescent="0.2">
      <c r="A2" t="s">
        <v>2955</v>
      </c>
      <c r="B2" t="s">
        <v>1219</v>
      </c>
      <c r="C2" t="s">
        <v>2882</v>
      </c>
      <c r="D2" s="7" t="s">
        <v>129</v>
      </c>
      <c r="E2" t="s">
        <v>38</v>
      </c>
      <c r="F2">
        <v>23</v>
      </c>
      <c r="G2">
        <v>85</v>
      </c>
      <c r="H2">
        <v>99</v>
      </c>
      <c r="I2" t="s">
        <v>6342</v>
      </c>
      <c r="J2">
        <v>72</v>
      </c>
      <c r="K2">
        <v>200</v>
      </c>
      <c r="L2" t="s">
        <v>4649</v>
      </c>
      <c r="M2" s="6" t="s">
        <v>6558</v>
      </c>
      <c r="N2" s="6" t="s">
        <v>6565</v>
      </c>
      <c r="O2" s="6">
        <v>82</v>
      </c>
      <c r="P2" s="6">
        <v>82</v>
      </c>
      <c r="Q2" s="6">
        <v>76</v>
      </c>
      <c r="R2" s="6">
        <v>75</v>
      </c>
      <c r="S2" s="6">
        <v>83</v>
      </c>
      <c r="T2" s="6">
        <v>69</v>
      </c>
      <c r="U2" s="6">
        <v>79</v>
      </c>
      <c r="V2" s="6">
        <v>76</v>
      </c>
      <c r="W2" s="6">
        <v>77</v>
      </c>
      <c r="X2" s="6">
        <v>68</v>
      </c>
      <c r="Y2" s="6">
        <v>73</v>
      </c>
      <c r="Z2" s="6">
        <v>80</v>
      </c>
      <c r="AA2" s="6">
        <v>78</v>
      </c>
      <c r="AB2" s="6">
        <v>76</v>
      </c>
      <c r="AC2" s="6">
        <v>76</v>
      </c>
      <c r="AD2" s="6">
        <v>77</v>
      </c>
      <c r="AE2" s="6">
        <v>76</v>
      </c>
      <c r="AF2" s="6">
        <v>77</v>
      </c>
      <c r="AG2" s="6" t="s">
        <v>6635</v>
      </c>
      <c r="AH2" s="6" t="s">
        <v>6636</v>
      </c>
    </row>
    <row r="3" spans="1:34" x14ac:dyDescent="0.2">
      <c r="A3" t="s">
        <v>2961</v>
      </c>
      <c r="B3" t="s">
        <v>1225</v>
      </c>
      <c r="C3" t="s">
        <v>2884</v>
      </c>
      <c r="D3" s="7" t="s">
        <v>129</v>
      </c>
      <c r="E3" t="s">
        <v>38</v>
      </c>
      <c r="F3">
        <v>35</v>
      </c>
      <c r="G3">
        <v>59</v>
      </c>
      <c r="H3">
        <v>61</v>
      </c>
      <c r="I3" t="s">
        <v>6301</v>
      </c>
      <c r="J3">
        <v>73</v>
      </c>
      <c r="K3">
        <v>195</v>
      </c>
      <c r="L3" t="s">
        <v>4655</v>
      </c>
      <c r="M3" s="6" t="s">
        <v>6558</v>
      </c>
      <c r="N3" s="6" t="s">
        <v>6583</v>
      </c>
      <c r="O3" s="6">
        <v>71</v>
      </c>
      <c r="P3" s="6">
        <v>80</v>
      </c>
      <c r="Q3" s="6">
        <v>72</v>
      </c>
      <c r="R3" s="6">
        <v>78</v>
      </c>
      <c r="S3" s="6">
        <v>69</v>
      </c>
      <c r="T3" s="6">
        <v>79</v>
      </c>
      <c r="U3" s="6">
        <v>71</v>
      </c>
      <c r="V3" s="6">
        <v>66</v>
      </c>
      <c r="W3" s="6">
        <v>85</v>
      </c>
      <c r="X3" s="6">
        <v>70</v>
      </c>
      <c r="Y3" s="6">
        <v>74</v>
      </c>
      <c r="Z3" s="6">
        <v>77</v>
      </c>
      <c r="AA3" s="6">
        <v>64</v>
      </c>
      <c r="AB3" s="6">
        <v>62</v>
      </c>
      <c r="AC3" s="6">
        <v>60</v>
      </c>
      <c r="AD3" s="6">
        <v>52</v>
      </c>
      <c r="AE3" s="6">
        <v>67</v>
      </c>
      <c r="AF3" s="6">
        <v>57</v>
      </c>
      <c r="AG3" s="6" t="s">
        <v>6645</v>
      </c>
      <c r="AH3" s="6" t="s">
        <v>6644</v>
      </c>
    </row>
    <row r="4" spans="1:34" x14ac:dyDescent="0.2">
      <c r="A4" t="s">
        <v>2970</v>
      </c>
      <c r="B4" t="s">
        <v>1234</v>
      </c>
      <c r="C4" t="s">
        <v>57</v>
      </c>
      <c r="D4" s="7" t="s">
        <v>146</v>
      </c>
      <c r="E4" t="s">
        <v>38</v>
      </c>
      <c r="F4">
        <v>28</v>
      </c>
      <c r="G4">
        <v>80</v>
      </c>
      <c r="H4">
        <v>84</v>
      </c>
      <c r="I4" t="s">
        <v>6308</v>
      </c>
      <c r="J4">
        <v>74</v>
      </c>
      <c r="K4">
        <v>203</v>
      </c>
      <c r="L4" t="s">
        <v>4664</v>
      </c>
      <c r="M4" s="6" t="s">
        <v>6558</v>
      </c>
      <c r="N4" s="6" t="s">
        <v>6565</v>
      </c>
      <c r="O4" s="6">
        <v>78</v>
      </c>
      <c r="P4" s="6">
        <v>76</v>
      </c>
      <c r="Q4" s="6">
        <v>77</v>
      </c>
      <c r="R4" s="6">
        <v>74</v>
      </c>
      <c r="S4" s="6">
        <v>89</v>
      </c>
      <c r="T4" s="6">
        <v>71</v>
      </c>
      <c r="U4" s="6">
        <v>79</v>
      </c>
      <c r="V4" s="6">
        <v>93</v>
      </c>
      <c r="W4" s="6">
        <v>82</v>
      </c>
      <c r="X4" s="6">
        <v>71</v>
      </c>
      <c r="Y4" s="6">
        <v>76</v>
      </c>
      <c r="Z4" s="6">
        <v>78</v>
      </c>
      <c r="AA4" s="6">
        <v>66</v>
      </c>
      <c r="AB4" s="6">
        <v>79</v>
      </c>
      <c r="AC4" s="6">
        <v>79</v>
      </c>
      <c r="AD4" s="6">
        <v>76</v>
      </c>
      <c r="AE4" s="6">
        <v>85</v>
      </c>
      <c r="AF4" s="6">
        <v>82</v>
      </c>
      <c r="AG4" s="6" t="s">
        <v>6660</v>
      </c>
      <c r="AH4" s="6" t="s">
        <v>6661</v>
      </c>
    </row>
    <row r="5" spans="1:34" x14ac:dyDescent="0.2">
      <c r="A5" t="s">
        <v>2996</v>
      </c>
      <c r="B5" t="s">
        <v>1260</v>
      </c>
      <c r="C5" t="s">
        <v>61</v>
      </c>
      <c r="D5" s="7" t="s">
        <v>146</v>
      </c>
      <c r="E5" t="s">
        <v>58</v>
      </c>
      <c r="F5">
        <v>30</v>
      </c>
      <c r="G5">
        <v>75</v>
      </c>
      <c r="H5">
        <v>77</v>
      </c>
      <c r="I5" t="s">
        <v>6333</v>
      </c>
      <c r="J5">
        <v>73</v>
      </c>
      <c r="K5">
        <v>196</v>
      </c>
      <c r="L5" t="s">
        <v>4690</v>
      </c>
      <c r="M5" s="6" t="s">
        <v>6558</v>
      </c>
      <c r="N5" s="6" t="s">
        <v>6614</v>
      </c>
      <c r="O5" s="6">
        <v>74</v>
      </c>
      <c r="P5" s="6">
        <v>72</v>
      </c>
      <c r="Q5" s="6">
        <v>82</v>
      </c>
      <c r="R5" s="6">
        <v>61</v>
      </c>
      <c r="S5" s="6">
        <v>80</v>
      </c>
      <c r="T5" s="6">
        <v>72</v>
      </c>
      <c r="U5" s="6">
        <v>88</v>
      </c>
      <c r="V5" s="6">
        <v>75</v>
      </c>
      <c r="W5" s="6">
        <v>77</v>
      </c>
      <c r="X5" s="6">
        <v>69</v>
      </c>
      <c r="Y5" s="6">
        <v>75</v>
      </c>
      <c r="Z5" s="6">
        <v>80</v>
      </c>
      <c r="AA5" s="6">
        <v>71</v>
      </c>
      <c r="AB5" s="6">
        <v>70</v>
      </c>
      <c r="AC5" s="6">
        <v>71</v>
      </c>
      <c r="AD5" s="6">
        <v>65</v>
      </c>
      <c r="AE5" s="6">
        <v>71</v>
      </c>
      <c r="AF5" s="6">
        <v>72</v>
      </c>
      <c r="AG5" s="6" t="s">
        <v>6697</v>
      </c>
      <c r="AH5" s="6" t="s">
        <v>6696</v>
      </c>
    </row>
    <row r="6" spans="1:34" x14ac:dyDescent="0.2">
      <c r="A6" t="s">
        <v>3003</v>
      </c>
      <c r="B6" t="s">
        <v>1267</v>
      </c>
      <c r="C6" t="s">
        <v>2883</v>
      </c>
      <c r="D6" s="7" t="s">
        <v>146</v>
      </c>
      <c r="E6" t="s">
        <v>58</v>
      </c>
      <c r="F6">
        <v>30</v>
      </c>
      <c r="G6">
        <v>81</v>
      </c>
      <c r="H6">
        <v>84</v>
      </c>
      <c r="I6" t="s">
        <v>6340</v>
      </c>
      <c r="J6">
        <v>72</v>
      </c>
      <c r="K6">
        <v>217</v>
      </c>
      <c r="L6" t="s">
        <v>4697</v>
      </c>
      <c r="M6" s="6" t="s">
        <v>6558</v>
      </c>
      <c r="N6" s="6" t="s">
        <v>6583</v>
      </c>
      <c r="O6" s="6">
        <v>90</v>
      </c>
      <c r="P6" s="6">
        <v>82</v>
      </c>
      <c r="Q6" s="6">
        <v>78</v>
      </c>
      <c r="R6" s="6">
        <v>80</v>
      </c>
      <c r="S6" s="6">
        <v>87</v>
      </c>
      <c r="T6" s="6">
        <v>77</v>
      </c>
      <c r="U6" s="6">
        <v>85</v>
      </c>
      <c r="V6" s="6">
        <v>74</v>
      </c>
      <c r="W6" s="6">
        <v>83</v>
      </c>
      <c r="X6" s="6">
        <v>80</v>
      </c>
      <c r="Y6" s="6">
        <v>80</v>
      </c>
      <c r="Z6" s="6">
        <v>78</v>
      </c>
      <c r="AA6" s="6">
        <v>79</v>
      </c>
      <c r="AB6" s="6">
        <v>83</v>
      </c>
      <c r="AC6" s="6">
        <v>73</v>
      </c>
      <c r="AD6" s="6">
        <v>77</v>
      </c>
      <c r="AE6" s="6">
        <v>80</v>
      </c>
      <c r="AF6" s="6">
        <v>82</v>
      </c>
      <c r="AG6" s="6" t="s">
        <v>6704</v>
      </c>
      <c r="AH6" s="6" t="s">
        <v>6640</v>
      </c>
    </row>
    <row r="7" spans="1:34" x14ac:dyDescent="0.2">
      <c r="A7" t="s">
        <v>3041</v>
      </c>
      <c r="B7" t="s">
        <v>1305</v>
      </c>
      <c r="C7" t="s">
        <v>61</v>
      </c>
      <c r="D7" s="7" t="s">
        <v>131</v>
      </c>
      <c r="E7" t="s">
        <v>38</v>
      </c>
      <c r="F7">
        <v>24</v>
      </c>
      <c r="G7">
        <v>78</v>
      </c>
      <c r="H7">
        <v>99</v>
      </c>
      <c r="I7" t="s">
        <v>6328</v>
      </c>
      <c r="J7">
        <v>72</v>
      </c>
      <c r="K7">
        <v>198</v>
      </c>
      <c r="L7" t="s">
        <v>4735</v>
      </c>
      <c r="M7" s="6" t="s">
        <v>6558</v>
      </c>
      <c r="N7" s="6" t="s">
        <v>6567</v>
      </c>
      <c r="O7" s="6">
        <v>70</v>
      </c>
      <c r="P7" s="6">
        <v>80</v>
      </c>
      <c r="Q7" s="6">
        <v>65</v>
      </c>
      <c r="R7" s="6">
        <v>67</v>
      </c>
      <c r="S7" s="6">
        <v>84</v>
      </c>
      <c r="T7" s="6">
        <v>84</v>
      </c>
      <c r="U7" s="6">
        <v>87</v>
      </c>
      <c r="V7" s="6">
        <v>84</v>
      </c>
      <c r="W7" s="6">
        <v>76</v>
      </c>
      <c r="X7" s="6">
        <v>64</v>
      </c>
      <c r="Y7" s="6">
        <v>78</v>
      </c>
      <c r="Z7" s="6">
        <v>68</v>
      </c>
      <c r="AA7" s="6">
        <v>73</v>
      </c>
      <c r="AB7" s="6">
        <v>74</v>
      </c>
      <c r="AC7" s="6">
        <v>70</v>
      </c>
      <c r="AD7" s="6">
        <v>71</v>
      </c>
      <c r="AE7" s="6">
        <v>72</v>
      </c>
      <c r="AF7" s="6">
        <v>72</v>
      </c>
      <c r="AG7" s="6" t="s">
        <v>6754</v>
      </c>
      <c r="AH7" s="6" t="s">
        <v>6696</v>
      </c>
    </row>
    <row r="8" spans="1:34" x14ac:dyDescent="0.2">
      <c r="A8" t="s">
        <v>3153</v>
      </c>
      <c r="B8" t="s">
        <v>1417</v>
      </c>
      <c r="C8" t="s">
        <v>2891</v>
      </c>
      <c r="D8" s="7" t="s">
        <v>133</v>
      </c>
      <c r="E8" t="s">
        <v>38</v>
      </c>
      <c r="F8">
        <v>31</v>
      </c>
      <c r="G8">
        <v>59</v>
      </c>
      <c r="H8">
        <v>61</v>
      </c>
      <c r="I8" t="s">
        <v>6346</v>
      </c>
      <c r="J8">
        <v>72</v>
      </c>
      <c r="K8">
        <v>225</v>
      </c>
      <c r="L8" t="s">
        <v>4847</v>
      </c>
      <c r="M8" s="6" t="s">
        <v>6558</v>
      </c>
      <c r="N8" s="6" t="s">
        <v>6567</v>
      </c>
      <c r="O8" s="6">
        <v>75</v>
      </c>
      <c r="P8" s="6">
        <v>67</v>
      </c>
      <c r="Q8" s="6">
        <v>79</v>
      </c>
      <c r="R8" s="6">
        <v>67</v>
      </c>
      <c r="S8" s="6">
        <v>77</v>
      </c>
      <c r="T8" s="6">
        <v>72</v>
      </c>
      <c r="U8" s="6">
        <v>75</v>
      </c>
      <c r="V8" s="6">
        <v>88</v>
      </c>
      <c r="W8" s="6">
        <v>70</v>
      </c>
      <c r="X8" s="6">
        <v>82</v>
      </c>
      <c r="Y8" s="6">
        <v>71</v>
      </c>
      <c r="Z8" s="6">
        <v>75</v>
      </c>
      <c r="AA8" s="6">
        <v>71</v>
      </c>
      <c r="AB8" s="6">
        <v>69</v>
      </c>
      <c r="AC8" s="6">
        <v>67</v>
      </c>
      <c r="AD8" s="6">
        <v>69</v>
      </c>
      <c r="AE8" s="6">
        <v>70</v>
      </c>
      <c r="AF8" s="6">
        <v>74</v>
      </c>
      <c r="AG8" s="6" t="s">
        <v>6877</v>
      </c>
      <c r="AH8" s="6" t="s">
        <v>6824</v>
      </c>
    </row>
    <row r="9" spans="1:34" x14ac:dyDescent="0.2">
      <c r="A9" t="s">
        <v>3203</v>
      </c>
      <c r="B9" t="s">
        <v>1467</v>
      </c>
      <c r="C9" t="s">
        <v>2889</v>
      </c>
      <c r="D9" s="7" t="s">
        <v>134</v>
      </c>
      <c r="E9" t="s">
        <v>38</v>
      </c>
      <c r="F9">
        <v>22</v>
      </c>
      <c r="G9">
        <v>68</v>
      </c>
      <c r="H9">
        <v>99</v>
      </c>
      <c r="I9" t="s">
        <v>6393</v>
      </c>
      <c r="J9">
        <v>74</v>
      </c>
      <c r="K9">
        <v>255</v>
      </c>
      <c r="L9" t="s">
        <v>4897</v>
      </c>
      <c r="M9" s="6" t="s">
        <v>6624</v>
      </c>
      <c r="N9" s="6" t="s">
        <v>6583</v>
      </c>
      <c r="O9" s="6">
        <v>72</v>
      </c>
      <c r="P9" s="6">
        <v>66</v>
      </c>
      <c r="Q9" s="6">
        <v>62</v>
      </c>
      <c r="R9" s="6">
        <v>78</v>
      </c>
      <c r="S9" s="6">
        <v>60</v>
      </c>
      <c r="T9" s="6">
        <v>64</v>
      </c>
      <c r="U9" s="6">
        <v>60</v>
      </c>
      <c r="V9" s="6">
        <v>61</v>
      </c>
      <c r="W9" s="6">
        <v>59</v>
      </c>
      <c r="X9" s="6">
        <v>64</v>
      </c>
      <c r="Y9" s="6">
        <v>57</v>
      </c>
      <c r="Z9" s="6">
        <v>72</v>
      </c>
      <c r="AA9" s="6">
        <v>63</v>
      </c>
      <c r="AB9" s="6">
        <v>66</v>
      </c>
      <c r="AC9" s="6">
        <v>60</v>
      </c>
      <c r="AD9" s="6">
        <v>69</v>
      </c>
      <c r="AE9" s="6">
        <v>66</v>
      </c>
      <c r="AF9" s="6">
        <v>73</v>
      </c>
      <c r="AG9" s="6" t="s">
        <v>6929</v>
      </c>
      <c r="AH9" s="6" t="s">
        <v>6709</v>
      </c>
    </row>
    <row r="10" spans="1:34" x14ac:dyDescent="0.2">
      <c r="A10" t="s">
        <v>3223</v>
      </c>
      <c r="B10" t="s">
        <v>1487</v>
      </c>
      <c r="C10" t="s">
        <v>2872</v>
      </c>
      <c r="D10" s="7" t="s">
        <v>132</v>
      </c>
      <c r="E10" t="s">
        <v>58</v>
      </c>
      <c r="F10">
        <v>33</v>
      </c>
      <c r="G10">
        <v>81</v>
      </c>
      <c r="H10">
        <v>81</v>
      </c>
      <c r="I10" t="s">
        <v>6345</v>
      </c>
      <c r="J10">
        <v>76</v>
      </c>
      <c r="K10">
        <v>311</v>
      </c>
      <c r="L10" t="s">
        <v>4917</v>
      </c>
      <c r="M10" s="6" t="s">
        <v>6558</v>
      </c>
      <c r="N10" s="6" t="s">
        <v>6565</v>
      </c>
      <c r="O10" s="6">
        <v>93</v>
      </c>
      <c r="P10" s="6">
        <v>84</v>
      </c>
      <c r="Q10" s="6">
        <v>72</v>
      </c>
      <c r="R10" s="6">
        <v>75</v>
      </c>
      <c r="S10" s="6">
        <v>75</v>
      </c>
      <c r="T10" s="6">
        <v>71</v>
      </c>
      <c r="U10" s="6">
        <v>83</v>
      </c>
      <c r="V10" s="6">
        <v>81</v>
      </c>
      <c r="W10" s="6">
        <v>78</v>
      </c>
      <c r="X10" s="6">
        <v>72</v>
      </c>
      <c r="Y10" s="6">
        <v>83</v>
      </c>
      <c r="Z10" s="6">
        <v>78</v>
      </c>
      <c r="AA10" s="6">
        <v>67</v>
      </c>
      <c r="AB10" s="6">
        <v>62</v>
      </c>
      <c r="AC10" s="6">
        <v>70</v>
      </c>
      <c r="AD10" s="6">
        <v>66</v>
      </c>
      <c r="AE10" s="6">
        <v>61</v>
      </c>
      <c r="AF10" s="6">
        <v>60</v>
      </c>
      <c r="AG10" s="6" t="s">
        <v>6950</v>
      </c>
      <c r="AH10" s="6" t="s">
        <v>6593</v>
      </c>
    </row>
    <row r="11" spans="1:34" x14ac:dyDescent="0.2">
      <c r="A11" t="s">
        <v>3241</v>
      </c>
      <c r="B11" t="s">
        <v>1505</v>
      </c>
      <c r="C11" t="s">
        <v>2880</v>
      </c>
      <c r="D11" s="7" t="s">
        <v>132</v>
      </c>
      <c r="E11" t="s">
        <v>38</v>
      </c>
      <c r="F11">
        <v>25</v>
      </c>
      <c r="G11">
        <v>72</v>
      </c>
      <c r="H11">
        <v>99</v>
      </c>
      <c r="I11" t="s">
        <v>6430</v>
      </c>
      <c r="J11">
        <v>74</v>
      </c>
      <c r="K11">
        <v>239</v>
      </c>
      <c r="L11" t="s">
        <v>4935</v>
      </c>
      <c r="M11" s="6" t="s">
        <v>6558</v>
      </c>
      <c r="N11" s="6" t="s">
        <v>6583</v>
      </c>
      <c r="O11" s="6">
        <v>74</v>
      </c>
      <c r="P11" s="6">
        <v>81</v>
      </c>
      <c r="Q11" s="6">
        <v>77</v>
      </c>
      <c r="R11" s="6">
        <v>76</v>
      </c>
      <c r="S11" s="6">
        <v>65</v>
      </c>
      <c r="T11" s="6">
        <v>66</v>
      </c>
      <c r="U11" s="6">
        <v>73</v>
      </c>
      <c r="V11" s="6">
        <v>69</v>
      </c>
      <c r="W11" s="6">
        <v>76</v>
      </c>
      <c r="X11" s="6">
        <v>72</v>
      </c>
      <c r="Y11" s="6">
        <v>73</v>
      </c>
      <c r="Z11" s="6">
        <v>72</v>
      </c>
      <c r="AA11" s="6">
        <v>72</v>
      </c>
      <c r="AB11" s="6">
        <v>74</v>
      </c>
      <c r="AC11" s="6">
        <v>68</v>
      </c>
      <c r="AD11" s="6">
        <v>68</v>
      </c>
      <c r="AE11" s="6">
        <v>59</v>
      </c>
      <c r="AF11" s="6">
        <v>73</v>
      </c>
      <c r="AG11" s="6" t="s">
        <v>6969</v>
      </c>
      <c r="AH11" s="6" t="s">
        <v>6623</v>
      </c>
    </row>
    <row r="12" spans="1:34" x14ac:dyDescent="0.2">
      <c r="A12" t="s">
        <v>3259</v>
      </c>
      <c r="B12" t="s">
        <v>1523</v>
      </c>
      <c r="C12" t="s">
        <v>53</v>
      </c>
      <c r="D12" s="7" t="s">
        <v>136</v>
      </c>
      <c r="E12" t="s">
        <v>58</v>
      </c>
      <c r="F12">
        <v>21</v>
      </c>
      <c r="G12">
        <v>73</v>
      </c>
      <c r="H12">
        <v>99</v>
      </c>
      <c r="I12" t="s">
        <v>6448</v>
      </c>
      <c r="J12">
        <v>76</v>
      </c>
      <c r="K12">
        <v>218</v>
      </c>
      <c r="L12" t="s">
        <v>4953</v>
      </c>
      <c r="M12" s="6" t="s">
        <v>6558</v>
      </c>
      <c r="N12" s="6" t="s">
        <v>6583</v>
      </c>
      <c r="O12" s="6">
        <v>75</v>
      </c>
      <c r="P12" s="6">
        <v>78</v>
      </c>
      <c r="Q12" s="6">
        <v>77</v>
      </c>
      <c r="R12" s="6">
        <v>79</v>
      </c>
      <c r="S12" s="6">
        <v>78</v>
      </c>
      <c r="T12" s="6">
        <v>72</v>
      </c>
      <c r="U12" s="6">
        <v>60</v>
      </c>
      <c r="V12" s="6">
        <v>68</v>
      </c>
      <c r="W12" s="6">
        <v>73</v>
      </c>
      <c r="X12" s="6">
        <v>74</v>
      </c>
      <c r="Y12" s="6">
        <v>73</v>
      </c>
      <c r="Z12" s="6">
        <v>71</v>
      </c>
      <c r="AA12" s="6">
        <v>69</v>
      </c>
      <c r="AB12" s="6">
        <v>70</v>
      </c>
      <c r="AC12" s="6">
        <v>68</v>
      </c>
      <c r="AD12" s="6">
        <v>68</v>
      </c>
      <c r="AE12" s="6">
        <v>73</v>
      </c>
      <c r="AF12" s="6">
        <v>68</v>
      </c>
      <c r="AG12" s="6" t="s">
        <v>6988</v>
      </c>
      <c r="AH12" s="6" t="s">
        <v>6651</v>
      </c>
    </row>
    <row r="13" spans="1:34" x14ac:dyDescent="0.2">
      <c r="A13" t="s">
        <v>3274</v>
      </c>
      <c r="B13" t="s">
        <v>1538</v>
      </c>
      <c r="C13" t="s">
        <v>2871</v>
      </c>
      <c r="D13" s="7" t="s">
        <v>136</v>
      </c>
      <c r="E13" t="s">
        <v>58</v>
      </c>
      <c r="F13">
        <v>30</v>
      </c>
      <c r="G13">
        <v>68</v>
      </c>
      <c r="H13">
        <v>99</v>
      </c>
      <c r="I13" t="s">
        <v>6463</v>
      </c>
      <c r="J13">
        <v>76</v>
      </c>
      <c r="K13">
        <v>263</v>
      </c>
      <c r="L13" t="s">
        <v>4968</v>
      </c>
      <c r="M13" s="6" t="s">
        <v>6558</v>
      </c>
      <c r="N13" s="6" t="s">
        <v>6565</v>
      </c>
      <c r="O13" s="6">
        <v>68</v>
      </c>
      <c r="P13" s="6">
        <v>68</v>
      </c>
      <c r="Q13" s="6">
        <v>73</v>
      </c>
      <c r="R13" s="6">
        <v>72</v>
      </c>
      <c r="S13" s="6">
        <v>73</v>
      </c>
      <c r="T13" s="6">
        <v>77</v>
      </c>
      <c r="U13" s="6">
        <v>67</v>
      </c>
      <c r="V13" s="6">
        <v>85</v>
      </c>
      <c r="W13" s="6">
        <v>83</v>
      </c>
      <c r="X13" s="6">
        <v>60</v>
      </c>
      <c r="Y13" s="6">
        <v>79</v>
      </c>
      <c r="Z13" s="6">
        <v>73</v>
      </c>
      <c r="AA13" s="6">
        <v>68</v>
      </c>
      <c r="AB13" s="6">
        <v>60</v>
      </c>
      <c r="AC13" s="6">
        <v>67</v>
      </c>
      <c r="AD13" s="6">
        <v>66</v>
      </c>
      <c r="AE13" s="6">
        <v>66</v>
      </c>
      <c r="AF13" s="6">
        <v>72</v>
      </c>
      <c r="AG13" s="6" t="s">
        <v>7005</v>
      </c>
      <c r="AH13" s="6" t="s">
        <v>6587</v>
      </c>
    </row>
    <row r="14" spans="1:34" x14ac:dyDescent="0.2">
      <c r="A14" t="s">
        <v>3325</v>
      </c>
      <c r="B14" t="s">
        <v>1589</v>
      </c>
      <c r="C14" t="s">
        <v>2872</v>
      </c>
      <c r="D14" s="7" t="s">
        <v>137</v>
      </c>
      <c r="E14" t="s">
        <v>58</v>
      </c>
      <c r="F14">
        <v>34</v>
      </c>
      <c r="G14">
        <v>69</v>
      </c>
      <c r="H14">
        <v>99</v>
      </c>
      <c r="I14" t="s">
        <v>6334</v>
      </c>
      <c r="J14">
        <v>77</v>
      </c>
      <c r="K14">
        <v>331</v>
      </c>
      <c r="L14" t="s">
        <v>5019</v>
      </c>
      <c r="M14" s="6" t="s">
        <v>6558</v>
      </c>
      <c r="N14" s="6" t="s">
        <v>6565</v>
      </c>
      <c r="O14" s="6">
        <v>67</v>
      </c>
      <c r="P14" s="6">
        <v>75</v>
      </c>
      <c r="Q14" s="6">
        <v>64</v>
      </c>
      <c r="R14" s="6">
        <v>70</v>
      </c>
      <c r="S14" s="6">
        <v>75</v>
      </c>
      <c r="T14" s="6">
        <v>69</v>
      </c>
      <c r="U14" s="6">
        <v>63</v>
      </c>
      <c r="V14" s="6">
        <v>75</v>
      </c>
      <c r="W14" s="6">
        <v>69</v>
      </c>
      <c r="X14" s="6">
        <v>79</v>
      </c>
      <c r="Y14" s="6">
        <v>74</v>
      </c>
      <c r="Z14" s="6">
        <v>64</v>
      </c>
      <c r="AA14" s="6">
        <v>61</v>
      </c>
      <c r="AB14" s="6">
        <v>69</v>
      </c>
      <c r="AC14" s="6">
        <v>56</v>
      </c>
      <c r="AD14" s="6">
        <v>50</v>
      </c>
      <c r="AE14" s="6">
        <v>67</v>
      </c>
      <c r="AF14" s="6">
        <v>64</v>
      </c>
      <c r="AG14" s="6" t="s">
        <v>7058</v>
      </c>
      <c r="AH14" s="6" t="s">
        <v>6593</v>
      </c>
    </row>
    <row r="15" spans="1:34" x14ac:dyDescent="0.2">
      <c r="A15" t="s">
        <v>3341</v>
      </c>
      <c r="B15" t="s">
        <v>1605</v>
      </c>
      <c r="C15" t="s">
        <v>2880</v>
      </c>
      <c r="D15" s="7" t="s">
        <v>137</v>
      </c>
      <c r="E15" t="s">
        <v>38</v>
      </c>
      <c r="F15">
        <v>22</v>
      </c>
      <c r="G15">
        <v>73</v>
      </c>
      <c r="H15">
        <v>99</v>
      </c>
      <c r="I15" t="s">
        <v>6351</v>
      </c>
      <c r="J15">
        <v>74</v>
      </c>
      <c r="K15">
        <v>241</v>
      </c>
      <c r="L15" t="s">
        <v>5035</v>
      </c>
      <c r="M15" s="6" t="s">
        <v>6558</v>
      </c>
      <c r="N15" s="6" t="s">
        <v>6565</v>
      </c>
      <c r="O15" s="6">
        <v>75</v>
      </c>
      <c r="P15" s="6">
        <v>72</v>
      </c>
      <c r="Q15" s="6">
        <v>75</v>
      </c>
      <c r="R15" s="6">
        <v>74</v>
      </c>
      <c r="S15" s="6">
        <v>65</v>
      </c>
      <c r="T15" s="6">
        <v>60</v>
      </c>
      <c r="U15" s="6">
        <v>64</v>
      </c>
      <c r="V15" s="6">
        <v>68</v>
      </c>
      <c r="W15" s="6">
        <v>55</v>
      </c>
      <c r="X15" s="6">
        <v>61</v>
      </c>
      <c r="Y15" s="6">
        <v>66</v>
      </c>
      <c r="Z15" s="6">
        <v>61</v>
      </c>
      <c r="AA15" s="6">
        <v>66</v>
      </c>
      <c r="AB15" s="6">
        <v>64</v>
      </c>
      <c r="AC15" s="6">
        <v>67</v>
      </c>
      <c r="AD15" s="6">
        <v>58</v>
      </c>
      <c r="AE15" s="6">
        <v>68</v>
      </c>
      <c r="AF15" s="6">
        <v>62</v>
      </c>
      <c r="AG15" s="6" t="s">
        <v>7074</v>
      </c>
      <c r="AH15" s="6" t="s">
        <v>6623</v>
      </c>
    </row>
    <row r="16" spans="1:34" x14ac:dyDescent="0.2">
      <c r="A16" t="s">
        <v>2917</v>
      </c>
      <c r="B16" t="s">
        <v>1181</v>
      </c>
      <c r="C16" t="s">
        <v>57</v>
      </c>
      <c r="D16" s="7" t="s">
        <v>129</v>
      </c>
      <c r="E16" t="s">
        <v>38</v>
      </c>
      <c r="F16">
        <v>24</v>
      </c>
      <c r="G16">
        <v>86</v>
      </c>
      <c r="H16">
        <v>98</v>
      </c>
      <c r="I16" t="s">
        <v>6307</v>
      </c>
      <c r="J16">
        <v>73</v>
      </c>
      <c r="K16">
        <v>198</v>
      </c>
      <c r="L16" t="s">
        <v>4611</v>
      </c>
      <c r="M16" s="6" t="s">
        <v>6558</v>
      </c>
      <c r="N16" s="6" t="s">
        <v>6565</v>
      </c>
      <c r="O16" s="6">
        <v>82</v>
      </c>
      <c r="P16" s="6">
        <v>73</v>
      </c>
      <c r="Q16" s="6">
        <v>87</v>
      </c>
      <c r="R16" s="6">
        <v>74</v>
      </c>
      <c r="S16" s="6">
        <v>86</v>
      </c>
      <c r="T16" s="6">
        <v>76</v>
      </c>
      <c r="U16" s="6">
        <v>80</v>
      </c>
      <c r="V16" s="6">
        <v>77</v>
      </c>
      <c r="W16" s="6">
        <v>78</v>
      </c>
      <c r="X16" s="6">
        <v>74</v>
      </c>
      <c r="Y16" s="6">
        <v>83</v>
      </c>
      <c r="Z16" s="6">
        <v>84</v>
      </c>
      <c r="AA16" s="6">
        <v>80</v>
      </c>
      <c r="AB16" s="6">
        <v>79</v>
      </c>
      <c r="AC16" s="6">
        <v>69</v>
      </c>
      <c r="AD16" s="6">
        <v>75</v>
      </c>
      <c r="AE16" s="6">
        <v>76</v>
      </c>
      <c r="AF16" s="6">
        <v>78</v>
      </c>
      <c r="AG16" s="6" t="s">
        <v>6573</v>
      </c>
      <c r="AH16" s="6" t="s">
        <v>6574</v>
      </c>
    </row>
    <row r="17" spans="1:34" x14ac:dyDescent="0.2">
      <c r="A17" t="s">
        <v>2940</v>
      </c>
      <c r="B17" t="s">
        <v>1204</v>
      </c>
      <c r="C17" t="s">
        <v>2878</v>
      </c>
      <c r="D17" s="7" t="s">
        <v>129</v>
      </c>
      <c r="E17" t="s">
        <v>58</v>
      </c>
      <c r="F17">
        <v>26</v>
      </c>
      <c r="G17">
        <v>90</v>
      </c>
      <c r="H17">
        <v>98</v>
      </c>
      <c r="I17" t="s">
        <v>6327</v>
      </c>
      <c r="J17">
        <v>74</v>
      </c>
      <c r="K17">
        <v>261</v>
      </c>
      <c r="L17" t="s">
        <v>4634</v>
      </c>
      <c r="M17" s="6" t="s">
        <v>6558</v>
      </c>
      <c r="N17" s="6" t="s">
        <v>6565</v>
      </c>
      <c r="O17" s="6">
        <v>82</v>
      </c>
      <c r="P17" s="6">
        <v>75</v>
      </c>
      <c r="Q17" s="6">
        <v>89</v>
      </c>
      <c r="R17" s="6">
        <v>74</v>
      </c>
      <c r="S17" s="6">
        <v>89</v>
      </c>
      <c r="T17" s="6">
        <v>83</v>
      </c>
      <c r="U17" s="6">
        <v>81</v>
      </c>
      <c r="V17" s="6">
        <v>75</v>
      </c>
      <c r="W17" s="6">
        <v>82</v>
      </c>
      <c r="X17" s="6">
        <v>83</v>
      </c>
      <c r="Y17" s="6">
        <v>70</v>
      </c>
      <c r="Z17" s="6">
        <v>74</v>
      </c>
      <c r="AA17" s="6">
        <v>77</v>
      </c>
      <c r="AB17" s="6">
        <v>71</v>
      </c>
      <c r="AC17" s="6">
        <v>77</v>
      </c>
      <c r="AD17" s="6">
        <v>75</v>
      </c>
      <c r="AE17" s="6">
        <v>74</v>
      </c>
      <c r="AF17" s="6">
        <v>82</v>
      </c>
      <c r="AG17" s="6" t="s">
        <v>6611</v>
      </c>
      <c r="AH17" s="6" t="s">
        <v>6612</v>
      </c>
    </row>
    <row r="18" spans="1:34" x14ac:dyDescent="0.2">
      <c r="A18" t="s">
        <v>2947</v>
      </c>
      <c r="B18" t="s">
        <v>1211</v>
      </c>
      <c r="C18" t="s">
        <v>2880</v>
      </c>
      <c r="D18" s="7" t="s">
        <v>129</v>
      </c>
      <c r="E18" t="s">
        <v>38</v>
      </c>
      <c r="F18">
        <v>27</v>
      </c>
      <c r="G18">
        <v>92</v>
      </c>
      <c r="H18">
        <v>98</v>
      </c>
      <c r="I18" t="s">
        <v>6334</v>
      </c>
      <c r="J18">
        <v>76</v>
      </c>
      <c r="K18">
        <v>253</v>
      </c>
      <c r="L18" t="s">
        <v>4641</v>
      </c>
      <c r="M18" s="6" t="s">
        <v>6558</v>
      </c>
      <c r="N18" s="6" t="s">
        <v>6565</v>
      </c>
      <c r="O18" s="6">
        <v>83</v>
      </c>
      <c r="P18" s="6">
        <v>80</v>
      </c>
      <c r="Q18" s="6">
        <v>74</v>
      </c>
      <c r="R18" s="6">
        <v>73</v>
      </c>
      <c r="S18" s="6">
        <v>70</v>
      </c>
      <c r="T18" s="6">
        <v>68</v>
      </c>
      <c r="U18" s="6">
        <v>73</v>
      </c>
      <c r="V18" s="6">
        <v>74</v>
      </c>
      <c r="W18" s="6">
        <v>75</v>
      </c>
      <c r="X18" s="6">
        <v>75</v>
      </c>
      <c r="Y18" s="6">
        <v>71</v>
      </c>
      <c r="Z18" s="6">
        <v>80</v>
      </c>
      <c r="AA18" s="6">
        <v>68</v>
      </c>
      <c r="AB18" s="6">
        <v>74</v>
      </c>
      <c r="AC18" s="6">
        <v>75</v>
      </c>
      <c r="AD18" s="6">
        <v>61</v>
      </c>
      <c r="AE18" s="6">
        <v>68</v>
      </c>
      <c r="AF18" s="6">
        <v>69</v>
      </c>
      <c r="AG18" s="6" t="s">
        <v>6622</v>
      </c>
      <c r="AH18" s="6" t="s">
        <v>6623</v>
      </c>
    </row>
    <row r="19" spans="1:34" x14ac:dyDescent="0.2">
      <c r="A19" t="s">
        <v>3070</v>
      </c>
      <c r="B19" t="s">
        <v>1334</v>
      </c>
      <c r="C19" t="s">
        <v>2872</v>
      </c>
      <c r="D19" s="7" t="s">
        <v>130</v>
      </c>
      <c r="E19" t="s">
        <v>58</v>
      </c>
      <c r="F19">
        <v>34</v>
      </c>
      <c r="G19">
        <v>78</v>
      </c>
      <c r="H19">
        <v>97</v>
      </c>
      <c r="I19" t="s">
        <v>6308</v>
      </c>
      <c r="J19">
        <v>78</v>
      </c>
      <c r="K19">
        <v>305</v>
      </c>
      <c r="L19" t="s">
        <v>4764</v>
      </c>
      <c r="M19" s="6" t="s">
        <v>6558</v>
      </c>
      <c r="N19" s="6" t="s">
        <v>6583</v>
      </c>
      <c r="O19" s="6">
        <v>90</v>
      </c>
      <c r="P19" s="6">
        <v>77</v>
      </c>
      <c r="Q19" s="6">
        <v>69</v>
      </c>
      <c r="R19" s="6">
        <v>77</v>
      </c>
      <c r="S19" s="6">
        <v>75</v>
      </c>
      <c r="T19" s="6">
        <v>79</v>
      </c>
      <c r="U19" s="6">
        <v>76</v>
      </c>
      <c r="V19" s="6">
        <v>75</v>
      </c>
      <c r="W19" s="6">
        <v>78</v>
      </c>
      <c r="X19" s="6">
        <v>84</v>
      </c>
      <c r="Y19" s="6">
        <v>75</v>
      </c>
      <c r="Z19" s="6">
        <v>73</v>
      </c>
      <c r="AA19" s="6">
        <v>68</v>
      </c>
      <c r="AB19" s="6">
        <v>67</v>
      </c>
      <c r="AC19" s="6">
        <v>72</v>
      </c>
      <c r="AD19" s="6">
        <v>58</v>
      </c>
      <c r="AE19" s="6">
        <v>63</v>
      </c>
      <c r="AF19" s="6">
        <v>68</v>
      </c>
      <c r="AG19" s="6" t="s">
        <v>6786</v>
      </c>
      <c r="AH19" s="6" t="s">
        <v>6680</v>
      </c>
    </row>
    <row r="20" spans="1:34" x14ac:dyDescent="0.2">
      <c r="A20" t="s">
        <v>3093</v>
      </c>
      <c r="B20" t="s">
        <v>1357</v>
      </c>
      <c r="C20" t="s">
        <v>61</v>
      </c>
      <c r="D20" s="7" t="s">
        <v>130</v>
      </c>
      <c r="E20" t="s">
        <v>38</v>
      </c>
      <c r="F20">
        <v>30</v>
      </c>
      <c r="G20">
        <v>80</v>
      </c>
      <c r="H20">
        <v>97</v>
      </c>
      <c r="I20" t="s">
        <v>6330</v>
      </c>
      <c r="J20">
        <v>74</v>
      </c>
      <c r="K20">
        <v>180</v>
      </c>
      <c r="L20" t="s">
        <v>4787</v>
      </c>
      <c r="M20" s="6" t="s">
        <v>6558</v>
      </c>
      <c r="N20" s="6" t="s">
        <v>6583</v>
      </c>
      <c r="O20" s="6">
        <v>82</v>
      </c>
      <c r="P20" s="6">
        <v>69</v>
      </c>
      <c r="Q20" s="6">
        <v>84</v>
      </c>
      <c r="R20" s="6">
        <v>78</v>
      </c>
      <c r="S20" s="6">
        <v>87</v>
      </c>
      <c r="T20" s="6">
        <v>78</v>
      </c>
      <c r="U20" s="6">
        <v>73</v>
      </c>
      <c r="V20" s="6">
        <v>77</v>
      </c>
      <c r="W20" s="6">
        <v>83</v>
      </c>
      <c r="X20" s="6">
        <v>84</v>
      </c>
      <c r="Y20" s="6">
        <v>82</v>
      </c>
      <c r="Z20" s="6">
        <v>85</v>
      </c>
      <c r="AA20" s="6">
        <v>75</v>
      </c>
      <c r="AB20" s="6">
        <v>72</v>
      </c>
      <c r="AC20" s="6">
        <v>71</v>
      </c>
      <c r="AD20" s="6">
        <v>64</v>
      </c>
      <c r="AE20" s="6">
        <v>72</v>
      </c>
      <c r="AF20" s="6">
        <v>66</v>
      </c>
      <c r="AG20" s="6" t="s">
        <v>6812</v>
      </c>
      <c r="AH20" s="6" t="s">
        <v>6811</v>
      </c>
    </row>
    <row r="21" spans="1:34" x14ac:dyDescent="0.2">
      <c r="A21" t="s">
        <v>2928</v>
      </c>
      <c r="B21" t="s">
        <v>1192</v>
      </c>
      <c r="C21" t="s">
        <v>2872</v>
      </c>
      <c r="D21" s="7" t="s">
        <v>129</v>
      </c>
      <c r="E21" t="s">
        <v>38</v>
      </c>
      <c r="F21">
        <v>23</v>
      </c>
      <c r="G21">
        <v>82</v>
      </c>
      <c r="H21">
        <v>96</v>
      </c>
      <c r="I21" t="s">
        <v>62</v>
      </c>
      <c r="J21">
        <v>78</v>
      </c>
      <c r="K21">
        <v>317</v>
      </c>
      <c r="L21" t="s">
        <v>4622</v>
      </c>
      <c r="M21" s="6" t="s">
        <v>6558</v>
      </c>
      <c r="N21" s="6" t="s">
        <v>6583</v>
      </c>
      <c r="O21" s="6">
        <v>75</v>
      </c>
      <c r="P21" s="6">
        <v>72</v>
      </c>
      <c r="Q21" s="6">
        <v>64</v>
      </c>
      <c r="R21" s="6">
        <v>81</v>
      </c>
      <c r="S21" s="6">
        <v>70</v>
      </c>
      <c r="T21" s="6">
        <v>78</v>
      </c>
      <c r="U21" s="6">
        <v>74</v>
      </c>
      <c r="V21" s="6">
        <v>64</v>
      </c>
      <c r="W21" s="6">
        <v>89</v>
      </c>
      <c r="X21" s="6">
        <v>73</v>
      </c>
      <c r="Y21" s="6">
        <v>77</v>
      </c>
      <c r="Z21" s="6">
        <v>74</v>
      </c>
      <c r="AA21" s="6">
        <v>71</v>
      </c>
      <c r="AB21" s="6">
        <v>73</v>
      </c>
      <c r="AC21" s="6">
        <v>73</v>
      </c>
      <c r="AD21" s="6">
        <v>69</v>
      </c>
      <c r="AE21" s="6">
        <v>71</v>
      </c>
      <c r="AF21" s="6">
        <v>73</v>
      </c>
      <c r="AG21" s="6" t="s">
        <v>6592</v>
      </c>
      <c r="AH21" s="6" t="s">
        <v>6593</v>
      </c>
    </row>
    <row r="22" spans="1:34" x14ac:dyDescent="0.2">
      <c r="A22" t="s">
        <v>3018</v>
      </c>
      <c r="B22" t="s">
        <v>1282</v>
      </c>
      <c r="C22" t="s">
        <v>2870</v>
      </c>
      <c r="D22" s="7" t="s">
        <v>131</v>
      </c>
      <c r="E22" t="s">
        <v>58</v>
      </c>
      <c r="F22">
        <v>30</v>
      </c>
      <c r="G22">
        <v>65</v>
      </c>
      <c r="H22">
        <v>96</v>
      </c>
      <c r="I22" t="s">
        <v>54</v>
      </c>
      <c r="J22">
        <v>71</v>
      </c>
      <c r="K22">
        <v>197</v>
      </c>
      <c r="L22" t="s">
        <v>4712</v>
      </c>
      <c r="M22" s="6" t="s">
        <v>6558</v>
      </c>
      <c r="N22" s="6" t="s">
        <v>6614</v>
      </c>
      <c r="O22" s="6">
        <v>72</v>
      </c>
      <c r="P22" s="6">
        <v>64</v>
      </c>
      <c r="Q22" s="6">
        <v>61</v>
      </c>
      <c r="R22" s="6">
        <v>58</v>
      </c>
      <c r="S22" s="6">
        <v>78</v>
      </c>
      <c r="T22" s="6">
        <v>66</v>
      </c>
      <c r="U22" s="6">
        <v>71</v>
      </c>
      <c r="V22" s="6">
        <v>70</v>
      </c>
      <c r="W22" s="6">
        <v>61</v>
      </c>
      <c r="X22" s="6">
        <v>67</v>
      </c>
      <c r="Y22" s="6">
        <v>73</v>
      </c>
      <c r="Z22" s="6">
        <v>75</v>
      </c>
      <c r="AA22" s="6">
        <v>65</v>
      </c>
      <c r="AB22" s="6">
        <v>66</v>
      </c>
      <c r="AC22" s="6">
        <v>63</v>
      </c>
      <c r="AD22" s="6">
        <v>69</v>
      </c>
      <c r="AE22" s="6">
        <v>64</v>
      </c>
      <c r="AF22" s="6">
        <v>71</v>
      </c>
      <c r="AG22" s="6" t="s">
        <v>6726</v>
      </c>
      <c r="AH22" s="6" t="s">
        <v>6723</v>
      </c>
    </row>
    <row r="23" spans="1:34" x14ac:dyDescent="0.2">
      <c r="A23" t="s">
        <v>3082</v>
      </c>
      <c r="B23" t="s">
        <v>1346</v>
      </c>
      <c r="C23" t="s">
        <v>2878</v>
      </c>
      <c r="D23" s="7" t="s">
        <v>130</v>
      </c>
      <c r="E23" t="s">
        <v>38</v>
      </c>
      <c r="F23">
        <v>24</v>
      </c>
      <c r="G23">
        <v>77</v>
      </c>
      <c r="H23">
        <v>96</v>
      </c>
      <c r="I23" t="s">
        <v>6319</v>
      </c>
      <c r="J23">
        <v>74</v>
      </c>
      <c r="K23">
        <v>265</v>
      </c>
      <c r="L23" t="s">
        <v>4776</v>
      </c>
      <c r="M23" s="6" t="s">
        <v>6558</v>
      </c>
      <c r="N23" s="6" t="s">
        <v>6565</v>
      </c>
      <c r="O23" s="6">
        <v>71</v>
      </c>
      <c r="P23" s="6">
        <v>66</v>
      </c>
      <c r="Q23" s="6">
        <v>70</v>
      </c>
      <c r="R23" s="6">
        <v>70</v>
      </c>
      <c r="S23" s="6">
        <v>80</v>
      </c>
      <c r="T23" s="6">
        <v>70</v>
      </c>
      <c r="U23" s="6">
        <v>68</v>
      </c>
      <c r="V23" s="6">
        <v>68</v>
      </c>
      <c r="W23" s="6">
        <v>77</v>
      </c>
      <c r="X23" s="6">
        <v>69</v>
      </c>
      <c r="Y23" s="6">
        <v>74</v>
      </c>
      <c r="Z23" s="6">
        <v>72</v>
      </c>
      <c r="AA23" s="6">
        <v>68</v>
      </c>
      <c r="AB23" s="6">
        <v>67</v>
      </c>
      <c r="AC23" s="6">
        <v>69</v>
      </c>
      <c r="AD23" s="6">
        <v>72</v>
      </c>
      <c r="AE23" s="6">
        <v>63</v>
      </c>
      <c r="AF23" s="6">
        <v>69</v>
      </c>
      <c r="AG23" s="6" t="s">
        <v>6799</v>
      </c>
      <c r="AH23" s="6" t="s">
        <v>6612</v>
      </c>
    </row>
    <row r="24" spans="1:34" x14ac:dyDescent="0.2">
      <c r="A24" t="s">
        <v>3159</v>
      </c>
      <c r="B24" t="s">
        <v>1423</v>
      </c>
      <c r="C24" t="s">
        <v>2870</v>
      </c>
      <c r="D24" s="7" t="s">
        <v>134</v>
      </c>
      <c r="E24" t="s">
        <v>38</v>
      </c>
      <c r="F24">
        <v>29</v>
      </c>
      <c r="G24">
        <v>67</v>
      </c>
      <c r="H24">
        <v>96</v>
      </c>
      <c r="I24" t="s">
        <v>6331</v>
      </c>
      <c r="J24">
        <v>68</v>
      </c>
      <c r="K24">
        <v>209</v>
      </c>
      <c r="L24" t="s">
        <v>4853</v>
      </c>
      <c r="M24" s="6" t="s">
        <v>6558</v>
      </c>
      <c r="N24" s="6" t="s">
        <v>6567</v>
      </c>
      <c r="O24" s="6">
        <v>66</v>
      </c>
      <c r="P24" s="6">
        <v>71</v>
      </c>
      <c r="Q24" s="6">
        <v>81</v>
      </c>
      <c r="R24" s="6">
        <v>68</v>
      </c>
      <c r="S24" s="6">
        <v>76</v>
      </c>
      <c r="T24" s="6">
        <v>78</v>
      </c>
      <c r="U24" s="6">
        <v>64</v>
      </c>
      <c r="V24" s="6">
        <v>80</v>
      </c>
      <c r="W24" s="6">
        <v>76</v>
      </c>
      <c r="X24" s="6">
        <v>89</v>
      </c>
      <c r="Y24" s="6">
        <v>78</v>
      </c>
      <c r="Z24" s="6">
        <v>67</v>
      </c>
      <c r="AA24" s="6">
        <v>66</v>
      </c>
      <c r="AB24" s="6">
        <v>69</v>
      </c>
      <c r="AC24" s="6">
        <v>71</v>
      </c>
      <c r="AD24" s="6">
        <v>65</v>
      </c>
      <c r="AE24" s="6">
        <v>64</v>
      </c>
      <c r="AF24" s="6">
        <v>66</v>
      </c>
      <c r="AG24" s="6" t="s">
        <v>6884</v>
      </c>
      <c r="AH24" s="6" t="s">
        <v>6885</v>
      </c>
    </row>
    <row r="25" spans="1:34" x14ac:dyDescent="0.2">
      <c r="A25" t="s">
        <v>2971</v>
      </c>
      <c r="B25" t="s">
        <v>1235</v>
      </c>
      <c r="C25" t="s">
        <v>57</v>
      </c>
      <c r="D25" s="7" t="s">
        <v>146</v>
      </c>
      <c r="E25" t="s">
        <v>58</v>
      </c>
      <c r="F25">
        <v>31</v>
      </c>
      <c r="G25">
        <v>73</v>
      </c>
      <c r="H25">
        <v>95</v>
      </c>
      <c r="I25" t="s">
        <v>6309</v>
      </c>
      <c r="J25">
        <v>74</v>
      </c>
      <c r="K25">
        <v>207</v>
      </c>
      <c r="L25" t="s">
        <v>4665</v>
      </c>
      <c r="M25" s="6" t="s">
        <v>6558</v>
      </c>
      <c r="N25" s="6" t="s">
        <v>6565</v>
      </c>
      <c r="O25" s="6">
        <v>83</v>
      </c>
      <c r="P25" s="6">
        <v>69</v>
      </c>
      <c r="Q25" s="6">
        <v>65</v>
      </c>
      <c r="R25" s="6">
        <v>72</v>
      </c>
      <c r="S25" s="6">
        <v>72</v>
      </c>
      <c r="T25" s="6">
        <v>76</v>
      </c>
      <c r="U25" s="6">
        <v>74</v>
      </c>
      <c r="V25" s="6">
        <v>74</v>
      </c>
      <c r="W25" s="6">
        <v>72</v>
      </c>
      <c r="X25" s="6">
        <v>75</v>
      </c>
      <c r="Y25" s="6">
        <v>79</v>
      </c>
      <c r="Z25" s="6">
        <v>79</v>
      </c>
      <c r="AA25" s="6">
        <v>66</v>
      </c>
      <c r="AB25" s="6">
        <v>65</v>
      </c>
      <c r="AC25" s="6">
        <v>67</v>
      </c>
      <c r="AD25" s="6">
        <v>59</v>
      </c>
      <c r="AE25" s="6">
        <v>61</v>
      </c>
      <c r="AF25" s="6">
        <v>70</v>
      </c>
      <c r="AG25" s="6" t="s">
        <v>6662</v>
      </c>
      <c r="AH25" s="6" t="s">
        <v>6578</v>
      </c>
    </row>
    <row r="26" spans="1:34" x14ac:dyDescent="0.2">
      <c r="A26" t="s">
        <v>3204</v>
      </c>
      <c r="B26" t="s">
        <v>1468</v>
      </c>
      <c r="C26" t="s">
        <v>2885</v>
      </c>
      <c r="D26" s="7" t="s">
        <v>134</v>
      </c>
      <c r="E26" t="s">
        <v>58</v>
      </c>
      <c r="F26">
        <v>29</v>
      </c>
      <c r="G26">
        <v>61</v>
      </c>
      <c r="H26">
        <v>95</v>
      </c>
      <c r="I26" t="s">
        <v>6394</v>
      </c>
      <c r="J26">
        <v>73</v>
      </c>
      <c r="K26">
        <v>249</v>
      </c>
      <c r="L26" t="s">
        <v>4898</v>
      </c>
      <c r="M26" s="6" t="s">
        <v>6558</v>
      </c>
      <c r="N26" s="6" t="s">
        <v>6565</v>
      </c>
      <c r="O26" s="6">
        <v>73</v>
      </c>
      <c r="P26" s="6">
        <v>67</v>
      </c>
      <c r="Q26" s="6">
        <v>72</v>
      </c>
      <c r="R26" s="6">
        <v>71</v>
      </c>
      <c r="S26" s="6">
        <v>80</v>
      </c>
      <c r="T26" s="6">
        <v>79</v>
      </c>
      <c r="U26" s="6">
        <v>71</v>
      </c>
      <c r="V26" s="6">
        <v>75</v>
      </c>
      <c r="W26" s="6">
        <v>68</v>
      </c>
      <c r="X26" s="6">
        <v>71</v>
      </c>
      <c r="Y26" s="6">
        <v>72</v>
      </c>
      <c r="Z26" s="6">
        <v>78</v>
      </c>
      <c r="AA26" s="6">
        <v>68</v>
      </c>
      <c r="AB26" s="6">
        <v>66</v>
      </c>
      <c r="AC26" s="6">
        <v>67</v>
      </c>
      <c r="AD26" s="6">
        <v>65</v>
      </c>
      <c r="AE26" s="6">
        <v>65</v>
      </c>
      <c r="AF26" s="6">
        <v>63</v>
      </c>
      <c r="AG26" s="6" t="s">
        <v>6930</v>
      </c>
      <c r="AH26" s="6" t="s">
        <v>6628</v>
      </c>
    </row>
    <row r="27" spans="1:34" x14ac:dyDescent="0.2">
      <c r="A27" t="s">
        <v>2941</v>
      </c>
      <c r="B27" t="s">
        <v>1205</v>
      </c>
      <c r="C27" t="s">
        <v>2878</v>
      </c>
      <c r="D27" s="7" t="s">
        <v>129</v>
      </c>
      <c r="E27" t="s">
        <v>38</v>
      </c>
      <c r="F27">
        <v>25</v>
      </c>
      <c r="G27">
        <v>84</v>
      </c>
      <c r="H27">
        <v>94</v>
      </c>
      <c r="I27" t="s">
        <v>6328</v>
      </c>
      <c r="J27">
        <v>75</v>
      </c>
      <c r="K27">
        <v>266</v>
      </c>
      <c r="L27" t="s">
        <v>4635</v>
      </c>
      <c r="M27" s="6" t="s">
        <v>6558</v>
      </c>
      <c r="N27" s="6" t="s">
        <v>6567</v>
      </c>
      <c r="O27" s="6">
        <v>68</v>
      </c>
      <c r="P27" s="6">
        <v>72</v>
      </c>
      <c r="Q27" s="6">
        <v>76</v>
      </c>
      <c r="R27" s="6">
        <v>69</v>
      </c>
      <c r="S27" s="6">
        <v>76</v>
      </c>
      <c r="T27" s="6">
        <v>66</v>
      </c>
      <c r="U27" s="6">
        <v>75</v>
      </c>
      <c r="V27" s="6">
        <v>71</v>
      </c>
      <c r="W27" s="6">
        <v>90</v>
      </c>
      <c r="X27" s="6">
        <v>72</v>
      </c>
      <c r="Y27" s="6">
        <v>75</v>
      </c>
      <c r="Z27" s="6">
        <v>76</v>
      </c>
      <c r="AA27" s="6">
        <v>68</v>
      </c>
      <c r="AB27" s="6">
        <v>64</v>
      </c>
      <c r="AC27" s="6">
        <v>70</v>
      </c>
      <c r="AD27" s="6">
        <v>82</v>
      </c>
      <c r="AE27" s="6">
        <v>75</v>
      </c>
      <c r="AF27" s="6">
        <v>77</v>
      </c>
      <c r="AG27" s="6" t="s">
        <v>6613</v>
      </c>
      <c r="AH27" s="6" t="s">
        <v>6612</v>
      </c>
    </row>
    <row r="28" spans="1:34" x14ac:dyDescent="0.2">
      <c r="A28" t="s">
        <v>3030</v>
      </c>
      <c r="B28" t="s">
        <v>1294</v>
      </c>
      <c r="C28" t="s">
        <v>2873</v>
      </c>
      <c r="D28" s="7" t="s">
        <v>131</v>
      </c>
      <c r="E28" t="s">
        <v>38</v>
      </c>
      <c r="F28">
        <v>27</v>
      </c>
      <c r="G28">
        <v>60</v>
      </c>
      <c r="H28">
        <v>94</v>
      </c>
      <c r="I28" t="s">
        <v>6317</v>
      </c>
      <c r="J28">
        <v>76</v>
      </c>
      <c r="K28">
        <v>296</v>
      </c>
      <c r="L28" t="s">
        <v>4724</v>
      </c>
      <c r="M28" s="6" t="s">
        <v>6558</v>
      </c>
      <c r="N28" s="6" t="s">
        <v>6614</v>
      </c>
      <c r="O28" s="6">
        <v>79</v>
      </c>
      <c r="P28" s="6">
        <v>75</v>
      </c>
      <c r="Q28" s="6">
        <v>75</v>
      </c>
      <c r="R28" s="6">
        <v>58</v>
      </c>
      <c r="S28" s="6">
        <v>82</v>
      </c>
      <c r="T28" s="6">
        <v>67</v>
      </c>
      <c r="U28" s="6">
        <v>72</v>
      </c>
      <c r="V28" s="6">
        <v>75</v>
      </c>
      <c r="W28" s="6">
        <v>75</v>
      </c>
      <c r="X28" s="6">
        <v>72</v>
      </c>
      <c r="Y28" s="6">
        <v>76</v>
      </c>
      <c r="Z28" s="6">
        <v>73</v>
      </c>
      <c r="AA28" s="6">
        <v>68</v>
      </c>
      <c r="AB28" s="6">
        <v>80</v>
      </c>
      <c r="AC28" s="6">
        <v>66</v>
      </c>
      <c r="AD28" s="6">
        <v>67</v>
      </c>
      <c r="AE28" s="6">
        <v>63</v>
      </c>
      <c r="AF28" s="6">
        <v>66</v>
      </c>
      <c r="AG28" s="6" t="s">
        <v>6741</v>
      </c>
      <c r="AH28" s="6" t="s">
        <v>6596</v>
      </c>
    </row>
    <row r="29" spans="1:34" x14ac:dyDescent="0.2">
      <c r="A29" t="s">
        <v>2939</v>
      </c>
      <c r="B29" t="s">
        <v>1203</v>
      </c>
      <c r="C29" t="s">
        <v>2877</v>
      </c>
      <c r="D29" s="7" t="s">
        <v>129</v>
      </c>
      <c r="E29" t="s">
        <v>38</v>
      </c>
      <c r="F29">
        <v>25</v>
      </c>
      <c r="G29">
        <v>83</v>
      </c>
      <c r="H29">
        <v>93</v>
      </c>
      <c r="I29" t="s">
        <v>6326</v>
      </c>
      <c r="J29">
        <v>79</v>
      </c>
      <c r="K29">
        <v>324</v>
      </c>
      <c r="L29" t="s">
        <v>4633</v>
      </c>
      <c r="M29" s="6" t="s">
        <v>6558</v>
      </c>
      <c r="N29" s="6" t="s">
        <v>6567</v>
      </c>
      <c r="O29" s="6">
        <v>77</v>
      </c>
      <c r="P29" s="6">
        <v>79</v>
      </c>
      <c r="Q29" s="6">
        <v>74</v>
      </c>
      <c r="R29" s="6">
        <v>69</v>
      </c>
      <c r="S29" s="6">
        <v>78</v>
      </c>
      <c r="T29" s="6">
        <v>78</v>
      </c>
      <c r="U29" s="6">
        <v>77</v>
      </c>
      <c r="V29" s="6">
        <v>70</v>
      </c>
      <c r="W29" s="6">
        <v>81</v>
      </c>
      <c r="X29" s="6">
        <v>69</v>
      </c>
      <c r="Y29" s="6">
        <v>82</v>
      </c>
      <c r="Z29" s="6">
        <v>78</v>
      </c>
      <c r="AA29" s="6">
        <v>81</v>
      </c>
      <c r="AB29" s="6">
        <v>77</v>
      </c>
      <c r="AC29" s="6">
        <v>75</v>
      </c>
      <c r="AD29" s="6">
        <v>78</v>
      </c>
      <c r="AE29" s="6">
        <v>75</v>
      </c>
      <c r="AF29" s="6">
        <v>81</v>
      </c>
      <c r="AG29" s="6" t="s">
        <v>6609</v>
      </c>
      <c r="AH29" s="6" t="s">
        <v>6610</v>
      </c>
    </row>
    <row r="30" spans="1:34" x14ac:dyDescent="0.2">
      <c r="A30" t="s">
        <v>3262</v>
      </c>
      <c r="B30" t="s">
        <v>1526</v>
      </c>
      <c r="C30" t="s">
        <v>53</v>
      </c>
      <c r="D30" s="7" t="s">
        <v>136</v>
      </c>
      <c r="E30" t="s">
        <v>58</v>
      </c>
      <c r="F30">
        <v>21</v>
      </c>
      <c r="G30">
        <v>66</v>
      </c>
      <c r="H30">
        <v>93</v>
      </c>
      <c r="I30" t="s">
        <v>6451</v>
      </c>
      <c r="J30">
        <v>72</v>
      </c>
      <c r="K30">
        <v>219</v>
      </c>
      <c r="L30" t="s">
        <v>4956</v>
      </c>
      <c r="M30" s="6" t="s">
        <v>6733</v>
      </c>
      <c r="N30" s="6" t="s">
        <v>6565</v>
      </c>
      <c r="O30" s="6">
        <v>70</v>
      </c>
      <c r="P30" s="6">
        <v>79</v>
      </c>
      <c r="Q30" s="6">
        <v>72</v>
      </c>
      <c r="R30" s="6">
        <v>73</v>
      </c>
      <c r="S30" s="6">
        <v>71</v>
      </c>
      <c r="T30" s="6">
        <v>60</v>
      </c>
      <c r="U30" s="6">
        <v>59</v>
      </c>
      <c r="V30" s="6">
        <v>64</v>
      </c>
      <c r="W30" s="6">
        <v>76</v>
      </c>
      <c r="X30" s="6">
        <v>64</v>
      </c>
      <c r="Y30" s="6">
        <v>65</v>
      </c>
      <c r="Z30" s="6">
        <v>59</v>
      </c>
      <c r="AA30" s="6">
        <v>70</v>
      </c>
      <c r="AB30" s="6">
        <v>64</v>
      </c>
      <c r="AC30" s="6">
        <v>56</v>
      </c>
      <c r="AD30" s="6">
        <v>63</v>
      </c>
      <c r="AE30" s="6">
        <v>67</v>
      </c>
      <c r="AF30" s="6">
        <v>70</v>
      </c>
      <c r="AG30" s="6" t="s">
        <v>6992</v>
      </c>
      <c r="AH30" s="6" t="s">
        <v>6570</v>
      </c>
    </row>
    <row r="31" spans="1:34" x14ac:dyDescent="0.2">
      <c r="A31" t="s">
        <v>3360</v>
      </c>
      <c r="B31" t="s">
        <v>1624</v>
      </c>
      <c r="C31" t="s">
        <v>53</v>
      </c>
      <c r="D31" s="7" t="s">
        <v>138</v>
      </c>
      <c r="E31" t="s">
        <v>38</v>
      </c>
      <c r="F31">
        <v>34</v>
      </c>
      <c r="G31">
        <v>77</v>
      </c>
      <c r="H31">
        <v>93</v>
      </c>
      <c r="I31" t="s">
        <v>6367</v>
      </c>
      <c r="J31">
        <v>75</v>
      </c>
      <c r="K31">
        <v>224</v>
      </c>
      <c r="L31" t="s">
        <v>5054</v>
      </c>
      <c r="M31" s="6" t="s">
        <v>6558</v>
      </c>
      <c r="N31" s="6" t="s">
        <v>6565</v>
      </c>
      <c r="O31" s="6">
        <v>81</v>
      </c>
      <c r="P31" s="6">
        <v>81</v>
      </c>
      <c r="Q31" s="6">
        <v>73</v>
      </c>
      <c r="R31" s="6">
        <v>75</v>
      </c>
      <c r="S31" s="6">
        <v>95</v>
      </c>
      <c r="T31" s="6">
        <v>86</v>
      </c>
      <c r="U31" s="6">
        <v>93</v>
      </c>
      <c r="V31" s="6">
        <v>81</v>
      </c>
      <c r="W31" s="6">
        <v>81</v>
      </c>
      <c r="X31" s="6">
        <v>79</v>
      </c>
      <c r="Y31" s="6">
        <v>90</v>
      </c>
      <c r="Z31" s="6">
        <v>79</v>
      </c>
      <c r="AA31" s="6">
        <v>62</v>
      </c>
      <c r="AB31" s="6">
        <v>75</v>
      </c>
      <c r="AC31" s="6">
        <v>72</v>
      </c>
      <c r="AD31" s="6">
        <v>71</v>
      </c>
      <c r="AE31" s="6">
        <v>77</v>
      </c>
      <c r="AF31" s="6">
        <v>66</v>
      </c>
      <c r="AG31" s="6" t="s">
        <v>7095</v>
      </c>
      <c r="AH31" s="6" t="s">
        <v>6561</v>
      </c>
    </row>
    <row r="32" spans="1:34" x14ac:dyDescent="0.2">
      <c r="A32" t="s">
        <v>2968</v>
      </c>
      <c r="B32" t="s">
        <v>1232</v>
      </c>
      <c r="C32" t="s">
        <v>57</v>
      </c>
      <c r="D32" s="7" t="s">
        <v>146</v>
      </c>
      <c r="E32" t="s">
        <v>38</v>
      </c>
      <c r="F32">
        <v>30</v>
      </c>
      <c r="G32">
        <v>84</v>
      </c>
      <c r="H32">
        <v>92</v>
      </c>
      <c r="I32" t="s">
        <v>54</v>
      </c>
      <c r="J32">
        <v>70</v>
      </c>
      <c r="K32">
        <v>194</v>
      </c>
      <c r="L32" t="s">
        <v>4662</v>
      </c>
      <c r="M32" s="6" t="s">
        <v>6558</v>
      </c>
      <c r="N32" s="6" t="s">
        <v>6565</v>
      </c>
      <c r="O32" s="6">
        <v>80</v>
      </c>
      <c r="P32" s="6">
        <v>79</v>
      </c>
      <c r="Q32" s="6">
        <v>75</v>
      </c>
      <c r="R32" s="6">
        <v>70</v>
      </c>
      <c r="S32" s="6">
        <v>79</v>
      </c>
      <c r="T32" s="6">
        <v>75</v>
      </c>
      <c r="U32" s="6">
        <v>76</v>
      </c>
      <c r="V32" s="6">
        <v>76</v>
      </c>
      <c r="W32" s="6">
        <v>89</v>
      </c>
      <c r="X32" s="6">
        <v>78</v>
      </c>
      <c r="Y32" s="6">
        <v>79</v>
      </c>
      <c r="Z32" s="6">
        <v>84</v>
      </c>
      <c r="AA32" s="6">
        <v>72</v>
      </c>
      <c r="AB32" s="6">
        <v>73</v>
      </c>
      <c r="AC32" s="6">
        <v>70</v>
      </c>
      <c r="AD32" s="6">
        <v>85</v>
      </c>
      <c r="AE32" s="6">
        <v>71</v>
      </c>
      <c r="AF32" s="6">
        <v>74</v>
      </c>
      <c r="AG32" s="6" t="s">
        <v>6657</v>
      </c>
      <c r="AH32" s="6" t="s">
        <v>6658</v>
      </c>
    </row>
    <row r="33" spans="1:34" x14ac:dyDescent="0.2">
      <c r="A33" t="s">
        <v>2990</v>
      </c>
      <c r="B33" t="s">
        <v>1254</v>
      </c>
      <c r="C33" t="s">
        <v>2878</v>
      </c>
      <c r="D33" s="7" t="s">
        <v>146</v>
      </c>
      <c r="E33" t="s">
        <v>38</v>
      </c>
      <c r="F33">
        <v>22</v>
      </c>
      <c r="G33">
        <v>60</v>
      </c>
      <c r="H33">
        <v>92</v>
      </c>
      <c r="I33" t="s">
        <v>6327</v>
      </c>
      <c r="J33">
        <v>75</v>
      </c>
      <c r="K33">
        <v>266</v>
      </c>
      <c r="L33" t="s">
        <v>4684</v>
      </c>
      <c r="M33" s="6" t="s">
        <v>6558</v>
      </c>
      <c r="N33" s="6" t="s">
        <v>6614</v>
      </c>
      <c r="O33" s="6">
        <v>62</v>
      </c>
      <c r="P33" s="6">
        <v>73</v>
      </c>
      <c r="Q33" s="6">
        <v>61</v>
      </c>
      <c r="R33" s="6">
        <v>50</v>
      </c>
      <c r="S33" s="6">
        <v>71</v>
      </c>
      <c r="T33" s="6">
        <v>66</v>
      </c>
      <c r="U33" s="6">
        <v>83</v>
      </c>
      <c r="V33" s="6">
        <v>64</v>
      </c>
      <c r="W33" s="6">
        <v>61</v>
      </c>
      <c r="X33" s="6">
        <v>50</v>
      </c>
      <c r="Y33" s="6">
        <v>66</v>
      </c>
      <c r="Z33" s="6">
        <v>69</v>
      </c>
      <c r="AA33" s="6">
        <v>64</v>
      </c>
      <c r="AB33" s="6">
        <v>73</v>
      </c>
      <c r="AC33" s="6">
        <v>59</v>
      </c>
      <c r="AD33" s="6">
        <v>59</v>
      </c>
      <c r="AE33" s="6">
        <v>71</v>
      </c>
      <c r="AF33" s="6">
        <v>54</v>
      </c>
      <c r="AG33" s="6" t="s">
        <v>6688</v>
      </c>
      <c r="AH33" s="6" t="s">
        <v>6612</v>
      </c>
    </row>
    <row r="34" spans="1:34" x14ac:dyDescent="0.2">
      <c r="A34" t="s">
        <v>3025</v>
      </c>
      <c r="B34" t="s">
        <v>1289</v>
      </c>
      <c r="C34" t="s">
        <v>57</v>
      </c>
      <c r="D34" s="7" t="s">
        <v>131</v>
      </c>
      <c r="E34" t="s">
        <v>38</v>
      </c>
      <c r="F34">
        <v>25</v>
      </c>
      <c r="G34">
        <v>66</v>
      </c>
      <c r="H34">
        <v>92</v>
      </c>
      <c r="I34" t="s">
        <v>6313</v>
      </c>
      <c r="J34">
        <v>71</v>
      </c>
      <c r="K34">
        <v>201</v>
      </c>
      <c r="L34" t="s">
        <v>4719</v>
      </c>
      <c r="M34" s="6" t="s">
        <v>6558</v>
      </c>
      <c r="N34" s="6" t="s">
        <v>6567</v>
      </c>
      <c r="O34" s="6">
        <v>66</v>
      </c>
      <c r="P34" s="6">
        <v>67</v>
      </c>
      <c r="Q34" s="6">
        <v>68</v>
      </c>
      <c r="R34" s="6">
        <v>64</v>
      </c>
      <c r="S34" s="6">
        <v>64</v>
      </c>
      <c r="T34" s="6">
        <v>58</v>
      </c>
      <c r="U34" s="6">
        <v>72</v>
      </c>
      <c r="V34" s="6">
        <v>72</v>
      </c>
      <c r="W34" s="6">
        <v>64</v>
      </c>
      <c r="X34" s="6">
        <v>72</v>
      </c>
      <c r="Y34" s="6">
        <v>74</v>
      </c>
      <c r="Z34" s="6">
        <v>68</v>
      </c>
      <c r="AA34" s="6">
        <v>70</v>
      </c>
      <c r="AB34" s="6">
        <v>74</v>
      </c>
      <c r="AC34" s="6">
        <v>67</v>
      </c>
      <c r="AD34" s="6">
        <v>71</v>
      </c>
      <c r="AE34" s="6">
        <v>66</v>
      </c>
      <c r="AF34" s="6">
        <v>71</v>
      </c>
      <c r="AG34" s="6" t="s">
        <v>6735</v>
      </c>
      <c r="AH34" s="6" t="s">
        <v>6670</v>
      </c>
    </row>
    <row r="35" spans="1:34" x14ac:dyDescent="0.2">
      <c r="A35" t="s">
        <v>3029</v>
      </c>
      <c r="B35" t="s">
        <v>1293</v>
      </c>
      <c r="C35" t="s">
        <v>2872</v>
      </c>
      <c r="D35" s="7" t="s">
        <v>131</v>
      </c>
      <c r="E35" t="s">
        <v>58</v>
      </c>
      <c r="F35">
        <v>32</v>
      </c>
      <c r="G35">
        <v>69</v>
      </c>
      <c r="H35">
        <v>92</v>
      </c>
      <c r="I35" t="s">
        <v>6316</v>
      </c>
      <c r="J35">
        <v>75</v>
      </c>
      <c r="K35">
        <v>295</v>
      </c>
      <c r="L35" t="s">
        <v>4723</v>
      </c>
      <c r="M35" s="6" t="s">
        <v>6558</v>
      </c>
      <c r="N35" s="6" t="s">
        <v>6565</v>
      </c>
      <c r="O35" s="6">
        <v>77</v>
      </c>
      <c r="P35" s="6">
        <v>69</v>
      </c>
      <c r="Q35" s="6">
        <v>63</v>
      </c>
      <c r="R35" s="6">
        <v>74</v>
      </c>
      <c r="S35" s="6">
        <v>69</v>
      </c>
      <c r="T35" s="6">
        <v>72</v>
      </c>
      <c r="U35" s="6">
        <v>71</v>
      </c>
      <c r="V35" s="6">
        <v>71</v>
      </c>
      <c r="W35" s="6">
        <v>71</v>
      </c>
      <c r="X35" s="6">
        <v>68</v>
      </c>
      <c r="Y35" s="6">
        <v>77</v>
      </c>
      <c r="Z35" s="6">
        <v>72</v>
      </c>
      <c r="AA35" s="6">
        <v>53</v>
      </c>
      <c r="AB35" s="6">
        <v>65</v>
      </c>
      <c r="AC35" s="6">
        <v>62</v>
      </c>
      <c r="AD35" s="6">
        <v>62</v>
      </c>
      <c r="AE35" s="6">
        <v>65</v>
      </c>
      <c r="AF35" s="6">
        <v>61</v>
      </c>
      <c r="AG35" s="6" t="s">
        <v>6740</v>
      </c>
      <c r="AH35" s="6" t="s">
        <v>6680</v>
      </c>
    </row>
    <row r="36" spans="1:34" x14ac:dyDescent="0.2">
      <c r="A36" t="s">
        <v>3100</v>
      </c>
      <c r="B36" t="s">
        <v>1364</v>
      </c>
      <c r="C36" t="s">
        <v>2889</v>
      </c>
      <c r="D36" s="7" t="s">
        <v>130</v>
      </c>
      <c r="E36" t="s">
        <v>58</v>
      </c>
      <c r="F36">
        <v>35</v>
      </c>
      <c r="G36">
        <v>55</v>
      </c>
      <c r="H36">
        <v>92</v>
      </c>
      <c r="I36" t="s">
        <v>6337</v>
      </c>
      <c r="J36">
        <v>73</v>
      </c>
      <c r="K36">
        <v>243</v>
      </c>
      <c r="L36" t="s">
        <v>4794</v>
      </c>
      <c r="M36" s="6" t="s">
        <v>6558</v>
      </c>
      <c r="N36" s="6" t="s">
        <v>6565</v>
      </c>
      <c r="O36" s="6">
        <v>77</v>
      </c>
      <c r="P36" s="6">
        <v>70</v>
      </c>
      <c r="Q36" s="6">
        <v>74</v>
      </c>
      <c r="R36" s="6">
        <v>73</v>
      </c>
      <c r="S36" s="6">
        <v>63</v>
      </c>
      <c r="T36" s="6">
        <v>75</v>
      </c>
      <c r="U36" s="6">
        <v>67</v>
      </c>
      <c r="V36" s="6">
        <v>70</v>
      </c>
      <c r="W36" s="6">
        <v>79</v>
      </c>
      <c r="X36" s="6">
        <v>76</v>
      </c>
      <c r="Y36" s="6">
        <v>76</v>
      </c>
      <c r="Z36" s="6">
        <v>75</v>
      </c>
      <c r="AA36" s="6">
        <v>64</v>
      </c>
      <c r="AB36" s="6">
        <v>64</v>
      </c>
      <c r="AC36" s="6">
        <v>59</v>
      </c>
      <c r="AD36" s="6">
        <v>70</v>
      </c>
      <c r="AE36" s="6">
        <v>61</v>
      </c>
      <c r="AF36" s="6">
        <v>61</v>
      </c>
      <c r="AG36" s="6" t="s">
        <v>6820</v>
      </c>
      <c r="AH36" s="6" t="s">
        <v>6709</v>
      </c>
    </row>
    <row r="37" spans="1:34" x14ac:dyDescent="0.2">
      <c r="A37" t="s">
        <v>3133</v>
      </c>
      <c r="B37" t="s">
        <v>1397</v>
      </c>
      <c r="C37" t="s">
        <v>2879</v>
      </c>
      <c r="D37" s="7" t="s">
        <v>133</v>
      </c>
      <c r="E37" t="s">
        <v>58</v>
      </c>
      <c r="F37">
        <v>32</v>
      </c>
      <c r="G37">
        <v>78</v>
      </c>
      <c r="H37">
        <v>92</v>
      </c>
      <c r="I37" t="s">
        <v>6323</v>
      </c>
      <c r="J37">
        <v>75</v>
      </c>
      <c r="K37">
        <v>316</v>
      </c>
      <c r="L37" t="s">
        <v>4827</v>
      </c>
      <c r="M37" s="6" t="s">
        <v>6558</v>
      </c>
      <c r="N37" s="6" t="s">
        <v>6583</v>
      </c>
      <c r="O37" s="6">
        <v>71</v>
      </c>
      <c r="P37" s="6">
        <v>82</v>
      </c>
      <c r="Q37" s="6">
        <v>77</v>
      </c>
      <c r="R37" s="6">
        <v>78</v>
      </c>
      <c r="S37" s="6">
        <v>84</v>
      </c>
      <c r="T37" s="6">
        <v>76</v>
      </c>
      <c r="U37" s="6">
        <v>84</v>
      </c>
      <c r="V37" s="6">
        <v>73</v>
      </c>
      <c r="W37" s="6">
        <v>87</v>
      </c>
      <c r="X37" s="6">
        <v>87</v>
      </c>
      <c r="Y37" s="6">
        <v>77</v>
      </c>
      <c r="Z37" s="6">
        <v>75</v>
      </c>
      <c r="AA37" s="6">
        <v>69</v>
      </c>
      <c r="AB37" s="6">
        <v>76</v>
      </c>
      <c r="AC37" s="6">
        <v>74</v>
      </c>
      <c r="AD37" s="6">
        <v>69</v>
      </c>
      <c r="AE37" s="6">
        <v>69</v>
      </c>
      <c r="AF37" s="6">
        <v>79</v>
      </c>
      <c r="AG37" s="6" t="s">
        <v>6856</v>
      </c>
      <c r="AH37" s="6" t="s">
        <v>6617</v>
      </c>
    </row>
    <row r="38" spans="1:34" x14ac:dyDescent="0.2">
      <c r="A38" t="s">
        <v>3181</v>
      </c>
      <c r="B38" t="s">
        <v>1445</v>
      </c>
      <c r="C38" t="s">
        <v>2878</v>
      </c>
      <c r="D38" s="7" t="s">
        <v>134</v>
      </c>
      <c r="E38" t="s">
        <v>38</v>
      </c>
      <c r="F38">
        <v>28</v>
      </c>
      <c r="G38">
        <v>71</v>
      </c>
      <c r="H38">
        <v>92</v>
      </c>
      <c r="I38" t="s">
        <v>6371</v>
      </c>
      <c r="J38">
        <v>74</v>
      </c>
      <c r="K38">
        <v>263</v>
      </c>
      <c r="L38" t="s">
        <v>4875</v>
      </c>
      <c r="M38" s="6" t="s">
        <v>6558</v>
      </c>
      <c r="N38" s="6" t="s">
        <v>6567</v>
      </c>
      <c r="O38" s="6">
        <v>70</v>
      </c>
      <c r="P38" s="6">
        <v>68</v>
      </c>
      <c r="Q38" s="6">
        <v>69</v>
      </c>
      <c r="R38" s="6">
        <v>65</v>
      </c>
      <c r="S38" s="6">
        <v>77</v>
      </c>
      <c r="T38" s="6">
        <v>72</v>
      </c>
      <c r="U38" s="6">
        <v>68</v>
      </c>
      <c r="V38" s="6">
        <v>65</v>
      </c>
      <c r="W38" s="6">
        <v>66</v>
      </c>
      <c r="X38" s="6">
        <v>78</v>
      </c>
      <c r="Y38" s="6">
        <v>80</v>
      </c>
      <c r="Z38" s="6">
        <v>78</v>
      </c>
      <c r="AA38" s="6">
        <v>73</v>
      </c>
      <c r="AB38" s="6">
        <v>79</v>
      </c>
      <c r="AC38" s="6">
        <v>69</v>
      </c>
      <c r="AD38" s="6">
        <v>70</v>
      </c>
      <c r="AE38" s="6">
        <v>73</v>
      </c>
      <c r="AF38" s="6">
        <v>69</v>
      </c>
      <c r="AG38" s="6" t="s">
        <v>6907</v>
      </c>
      <c r="AH38" s="6" t="s">
        <v>6682</v>
      </c>
    </row>
    <row r="39" spans="1:34" x14ac:dyDescent="0.2">
      <c r="A39" t="s">
        <v>3366</v>
      </c>
      <c r="B39" t="s">
        <v>1630</v>
      </c>
      <c r="C39" t="s">
        <v>57</v>
      </c>
      <c r="D39" s="7" t="s">
        <v>138</v>
      </c>
      <c r="E39" t="s">
        <v>38</v>
      </c>
      <c r="F39">
        <v>29</v>
      </c>
      <c r="G39">
        <v>89</v>
      </c>
      <c r="H39">
        <v>92</v>
      </c>
      <c r="I39" t="s">
        <v>6373</v>
      </c>
      <c r="J39">
        <v>72</v>
      </c>
      <c r="K39">
        <v>188</v>
      </c>
      <c r="L39" t="s">
        <v>5060</v>
      </c>
      <c r="M39" s="6" t="s">
        <v>6558</v>
      </c>
      <c r="N39" s="6" t="s">
        <v>6559</v>
      </c>
      <c r="O39" s="6">
        <v>82</v>
      </c>
      <c r="P39" s="6">
        <v>91</v>
      </c>
      <c r="Q39" s="6">
        <v>86</v>
      </c>
      <c r="R39" s="6">
        <v>82</v>
      </c>
      <c r="S39" s="6">
        <v>87</v>
      </c>
      <c r="T39" s="6">
        <v>83</v>
      </c>
      <c r="U39" s="6">
        <v>82</v>
      </c>
      <c r="V39" s="6">
        <v>85</v>
      </c>
      <c r="W39" s="6">
        <v>78</v>
      </c>
      <c r="X39" s="6">
        <v>83</v>
      </c>
      <c r="Y39" s="6">
        <v>80</v>
      </c>
      <c r="Z39" s="6">
        <v>77</v>
      </c>
      <c r="AA39" s="6">
        <v>76</v>
      </c>
      <c r="AB39" s="6">
        <v>80</v>
      </c>
      <c r="AC39" s="6">
        <v>78</v>
      </c>
      <c r="AD39" s="6">
        <v>77</v>
      </c>
      <c r="AE39" s="6">
        <v>78</v>
      </c>
      <c r="AF39" s="6">
        <v>84</v>
      </c>
      <c r="AG39" s="6" t="s">
        <v>7101</v>
      </c>
      <c r="AH39" s="6" t="s">
        <v>6576</v>
      </c>
    </row>
    <row r="40" spans="1:34" x14ac:dyDescent="0.2">
      <c r="A40" t="s">
        <v>2948</v>
      </c>
      <c r="B40" t="s">
        <v>1212</v>
      </c>
      <c r="C40" t="s">
        <v>2880</v>
      </c>
      <c r="D40" s="7" t="s">
        <v>129</v>
      </c>
      <c r="E40" t="s">
        <v>38</v>
      </c>
      <c r="F40">
        <v>22</v>
      </c>
      <c r="G40">
        <v>75</v>
      </c>
      <c r="H40">
        <v>91</v>
      </c>
      <c r="I40" t="s">
        <v>6335</v>
      </c>
      <c r="J40">
        <v>75</v>
      </c>
      <c r="K40">
        <v>263</v>
      </c>
      <c r="L40" t="s">
        <v>4642</v>
      </c>
      <c r="M40" s="6" t="s">
        <v>6624</v>
      </c>
      <c r="N40" s="6" t="s">
        <v>6565</v>
      </c>
      <c r="O40" s="6">
        <v>80</v>
      </c>
      <c r="P40" s="6">
        <v>72</v>
      </c>
      <c r="Q40" s="6">
        <v>69</v>
      </c>
      <c r="R40" s="6">
        <v>71</v>
      </c>
      <c r="S40" s="6">
        <v>75</v>
      </c>
      <c r="T40" s="6">
        <v>68</v>
      </c>
      <c r="U40" s="6">
        <v>71</v>
      </c>
      <c r="V40" s="6">
        <v>73</v>
      </c>
      <c r="W40" s="6">
        <v>62</v>
      </c>
      <c r="X40" s="6">
        <v>78</v>
      </c>
      <c r="Y40" s="6">
        <v>55</v>
      </c>
      <c r="Z40" s="6">
        <v>70</v>
      </c>
      <c r="AA40" s="6">
        <v>71</v>
      </c>
      <c r="AB40" s="6">
        <v>63</v>
      </c>
      <c r="AC40" s="6">
        <v>65</v>
      </c>
      <c r="AD40" s="6">
        <v>74</v>
      </c>
      <c r="AE40" s="6">
        <v>68</v>
      </c>
      <c r="AF40" s="6">
        <v>71</v>
      </c>
      <c r="AG40" s="6" t="s">
        <v>6625</v>
      </c>
      <c r="AH40" s="6" t="s">
        <v>6623</v>
      </c>
    </row>
    <row r="41" spans="1:34" x14ac:dyDescent="0.2">
      <c r="A41" t="s">
        <v>2957</v>
      </c>
      <c r="B41" t="s">
        <v>1221</v>
      </c>
      <c r="C41" t="s">
        <v>2883</v>
      </c>
      <c r="D41" s="7" t="s">
        <v>129</v>
      </c>
      <c r="E41" t="s">
        <v>38</v>
      </c>
      <c r="F41">
        <v>22</v>
      </c>
      <c r="G41">
        <v>74</v>
      </c>
      <c r="H41">
        <v>90</v>
      </c>
      <c r="I41" t="s">
        <v>6344</v>
      </c>
      <c r="J41">
        <v>71</v>
      </c>
      <c r="K41">
        <v>214</v>
      </c>
      <c r="L41" t="s">
        <v>4651</v>
      </c>
      <c r="M41" s="6" t="s">
        <v>6558</v>
      </c>
      <c r="N41" s="6" t="s">
        <v>6565</v>
      </c>
      <c r="O41" s="6">
        <v>69</v>
      </c>
      <c r="P41" s="6">
        <v>70</v>
      </c>
      <c r="Q41" s="6">
        <v>72</v>
      </c>
      <c r="R41" s="6">
        <v>72</v>
      </c>
      <c r="S41" s="6">
        <v>68</v>
      </c>
      <c r="T41" s="6">
        <v>80</v>
      </c>
      <c r="U41" s="6">
        <v>70</v>
      </c>
      <c r="V41" s="6">
        <v>76</v>
      </c>
      <c r="W41" s="6">
        <v>77</v>
      </c>
      <c r="X41" s="6">
        <v>71</v>
      </c>
      <c r="Y41" s="6">
        <v>68</v>
      </c>
      <c r="Z41" s="6">
        <v>64</v>
      </c>
      <c r="AA41" s="6">
        <v>70</v>
      </c>
      <c r="AB41" s="6">
        <v>78</v>
      </c>
      <c r="AC41" s="6">
        <v>69</v>
      </c>
      <c r="AD41" s="6">
        <v>75</v>
      </c>
      <c r="AE41" s="6">
        <v>72</v>
      </c>
      <c r="AF41" s="6">
        <v>74</v>
      </c>
      <c r="AG41" s="6" t="s">
        <v>6639</v>
      </c>
      <c r="AH41" s="6" t="s">
        <v>6640</v>
      </c>
    </row>
    <row r="42" spans="1:34" x14ac:dyDescent="0.2">
      <c r="A42" t="s">
        <v>2983</v>
      </c>
      <c r="B42" t="s">
        <v>1247</v>
      </c>
      <c r="C42" t="s">
        <v>2875</v>
      </c>
      <c r="D42" s="7" t="s">
        <v>146</v>
      </c>
      <c r="E42" t="s">
        <v>38</v>
      </c>
      <c r="F42">
        <v>26</v>
      </c>
      <c r="G42">
        <v>70</v>
      </c>
      <c r="H42">
        <v>90</v>
      </c>
      <c r="I42" t="s">
        <v>6320</v>
      </c>
      <c r="J42">
        <v>75</v>
      </c>
      <c r="K42">
        <v>312</v>
      </c>
      <c r="L42" t="s">
        <v>4677</v>
      </c>
      <c r="M42" s="6" t="s">
        <v>6558</v>
      </c>
      <c r="N42" s="6" t="s">
        <v>6583</v>
      </c>
      <c r="O42" s="6">
        <v>78</v>
      </c>
      <c r="P42" s="6">
        <v>73</v>
      </c>
      <c r="Q42" s="6">
        <v>73</v>
      </c>
      <c r="R42" s="6">
        <v>77</v>
      </c>
      <c r="S42" s="6">
        <v>79</v>
      </c>
      <c r="T42" s="6">
        <v>77</v>
      </c>
      <c r="U42" s="6">
        <v>70</v>
      </c>
      <c r="V42" s="6">
        <v>69</v>
      </c>
      <c r="W42" s="6">
        <v>64</v>
      </c>
      <c r="X42" s="6">
        <v>80</v>
      </c>
      <c r="Y42" s="6">
        <v>77</v>
      </c>
      <c r="Z42" s="6">
        <v>77</v>
      </c>
      <c r="AA42" s="6">
        <v>77</v>
      </c>
      <c r="AB42" s="6">
        <v>83</v>
      </c>
      <c r="AC42" s="6">
        <v>68</v>
      </c>
      <c r="AD42" s="6">
        <v>71</v>
      </c>
      <c r="AE42" s="6">
        <v>72</v>
      </c>
      <c r="AF42" s="6">
        <v>75</v>
      </c>
      <c r="AG42" s="6" t="s">
        <v>6677</v>
      </c>
      <c r="AH42" s="6" t="s">
        <v>6606</v>
      </c>
    </row>
    <row r="43" spans="1:34" x14ac:dyDescent="0.2">
      <c r="A43" t="s">
        <v>3007</v>
      </c>
      <c r="B43" t="s">
        <v>1271</v>
      </c>
      <c r="C43" t="s">
        <v>2885</v>
      </c>
      <c r="D43" s="7" t="s">
        <v>146</v>
      </c>
      <c r="E43" t="s">
        <v>58</v>
      </c>
      <c r="F43">
        <v>32</v>
      </c>
      <c r="G43">
        <v>80</v>
      </c>
      <c r="H43">
        <v>90</v>
      </c>
      <c r="I43" t="s">
        <v>6344</v>
      </c>
      <c r="J43">
        <v>76</v>
      </c>
      <c r="K43">
        <v>241</v>
      </c>
      <c r="L43" t="s">
        <v>4701</v>
      </c>
      <c r="M43" s="6" t="s">
        <v>6558</v>
      </c>
      <c r="N43" s="6" t="s">
        <v>6567</v>
      </c>
      <c r="O43" s="6">
        <v>73</v>
      </c>
      <c r="P43" s="6">
        <v>81</v>
      </c>
      <c r="Q43" s="6">
        <v>78</v>
      </c>
      <c r="R43" s="6">
        <v>63</v>
      </c>
      <c r="S43" s="6">
        <v>73</v>
      </c>
      <c r="T43" s="6">
        <v>68</v>
      </c>
      <c r="U43" s="6">
        <v>77</v>
      </c>
      <c r="V43" s="6">
        <v>81</v>
      </c>
      <c r="W43" s="6">
        <v>89</v>
      </c>
      <c r="X43" s="6">
        <v>78</v>
      </c>
      <c r="Y43" s="6">
        <v>93</v>
      </c>
      <c r="Z43" s="6">
        <v>80</v>
      </c>
      <c r="AA43" s="6">
        <v>68</v>
      </c>
      <c r="AB43" s="6">
        <v>70</v>
      </c>
      <c r="AC43" s="6">
        <v>63</v>
      </c>
      <c r="AD43" s="6">
        <v>70</v>
      </c>
      <c r="AE43" s="6">
        <v>70</v>
      </c>
      <c r="AF43" s="6">
        <v>75</v>
      </c>
      <c r="AG43" s="6" t="s">
        <v>6710</v>
      </c>
      <c r="AH43" s="6" t="s">
        <v>6711</v>
      </c>
    </row>
    <row r="44" spans="1:34" x14ac:dyDescent="0.2">
      <c r="A44" t="s">
        <v>3064</v>
      </c>
      <c r="B44" t="s">
        <v>1328</v>
      </c>
      <c r="C44" t="s">
        <v>57</v>
      </c>
      <c r="D44" s="7" t="s">
        <v>130</v>
      </c>
      <c r="E44" t="s">
        <v>38</v>
      </c>
      <c r="F44">
        <v>27</v>
      </c>
      <c r="G44">
        <v>69</v>
      </c>
      <c r="H44">
        <v>90</v>
      </c>
      <c r="I44" t="s">
        <v>6304</v>
      </c>
      <c r="J44">
        <v>71</v>
      </c>
      <c r="K44">
        <v>198</v>
      </c>
      <c r="L44" t="s">
        <v>4758</v>
      </c>
      <c r="M44" s="6" t="s">
        <v>6558</v>
      </c>
      <c r="N44" s="6" t="s">
        <v>6565</v>
      </c>
      <c r="O44" s="6">
        <v>83</v>
      </c>
      <c r="P44" s="6">
        <v>74</v>
      </c>
      <c r="Q44" s="6">
        <v>77</v>
      </c>
      <c r="R44" s="6">
        <v>73</v>
      </c>
      <c r="S44" s="6">
        <v>77</v>
      </c>
      <c r="T44" s="6">
        <v>73</v>
      </c>
      <c r="U44" s="6">
        <v>75</v>
      </c>
      <c r="V44" s="6">
        <v>80</v>
      </c>
      <c r="W44" s="6">
        <v>71</v>
      </c>
      <c r="X44" s="6">
        <v>75</v>
      </c>
      <c r="Y44" s="6">
        <v>79</v>
      </c>
      <c r="Z44" s="6">
        <v>71</v>
      </c>
      <c r="AA44" s="6">
        <v>76</v>
      </c>
      <c r="AB44" s="6">
        <v>73</v>
      </c>
      <c r="AC44" s="6">
        <v>64</v>
      </c>
      <c r="AD44" s="6">
        <v>69</v>
      </c>
      <c r="AE44" s="6">
        <v>69</v>
      </c>
      <c r="AF44" s="6">
        <v>73</v>
      </c>
      <c r="AG44" s="6" t="s">
        <v>6779</v>
      </c>
      <c r="AH44" s="6" t="s">
        <v>6661</v>
      </c>
    </row>
    <row r="45" spans="1:34" x14ac:dyDescent="0.2">
      <c r="A45" t="s">
        <v>3072</v>
      </c>
      <c r="B45" t="s">
        <v>1336</v>
      </c>
      <c r="C45" t="s">
        <v>2873</v>
      </c>
      <c r="D45" s="7" t="s">
        <v>130</v>
      </c>
      <c r="E45" t="s">
        <v>38</v>
      </c>
      <c r="F45">
        <v>32</v>
      </c>
      <c r="G45">
        <v>87</v>
      </c>
      <c r="H45">
        <v>90</v>
      </c>
      <c r="I45" t="s">
        <v>6310</v>
      </c>
      <c r="J45">
        <v>77</v>
      </c>
      <c r="K45">
        <v>324</v>
      </c>
      <c r="L45" t="s">
        <v>4766</v>
      </c>
      <c r="M45" s="6" t="s">
        <v>6558</v>
      </c>
      <c r="N45" s="6" t="s">
        <v>6562</v>
      </c>
      <c r="O45" s="6">
        <v>85</v>
      </c>
      <c r="P45" s="6">
        <v>85</v>
      </c>
      <c r="Q45" s="6">
        <v>81</v>
      </c>
      <c r="R45" s="6">
        <v>88</v>
      </c>
      <c r="S45" s="6">
        <v>82</v>
      </c>
      <c r="T45" s="6">
        <v>82</v>
      </c>
      <c r="U45" s="6">
        <v>85</v>
      </c>
      <c r="V45" s="6">
        <v>83</v>
      </c>
      <c r="W45" s="6">
        <v>86</v>
      </c>
      <c r="X45" s="6">
        <v>84</v>
      </c>
      <c r="Y45" s="6">
        <v>94</v>
      </c>
      <c r="Z45" s="6">
        <v>80</v>
      </c>
      <c r="AA45" s="6">
        <v>69</v>
      </c>
      <c r="AB45" s="6">
        <v>75</v>
      </c>
      <c r="AC45" s="6">
        <v>78</v>
      </c>
      <c r="AD45" s="6">
        <v>71</v>
      </c>
      <c r="AE45" s="6">
        <v>76</v>
      </c>
      <c r="AF45" s="6">
        <v>73</v>
      </c>
      <c r="AG45" s="6" t="s">
        <v>6788</v>
      </c>
      <c r="AH45" s="6" t="s">
        <v>6680</v>
      </c>
    </row>
    <row r="46" spans="1:34" x14ac:dyDescent="0.2">
      <c r="A46" t="s">
        <v>3195</v>
      </c>
      <c r="B46" t="s">
        <v>1459</v>
      </c>
      <c r="C46" t="s">
        <v>2882</v>
      </c>
      <c r="D46" s="7" t="s">
        <v>134</v>
      </c>
      <c r="E46" t="s">
        <v>38</v>
      </c>
      <c r="F46">
        <v>24</v>
      </c>
      <c r="G46">
        <v>78</v>
      </c>
      <c r="H46">
        <v>90</v>
      </c>
      <c r="I46" t="s">
        <v>6385</v>
      </c>
      <c r="J46">
        <v>75</v>
      </c>
      <c r="K46">
        <v>195</v>
      </c>
      <c r="L46" t="s">
        <v>4889</v>
      </c>
      <c r="M46" s="6" t="s">
        <v>6558</v>
      </c>
      <c r="N46" s="6" t="s">
        <v>6583</v>
      </c>
      <c r="O46" s="6">
        <v>77</v>
      </c>
      <c r="P46" s="6">
        <v>76</v>
      </c>
      <c r="Q46" s="6">
        <v>69</v>
      </c>
      <c r="R46" s="6">
        <v>78</v>
      </c>
      <c r="S46" s="6">
        <v>75</v>
      </c>
      <c r="T46" s="6">
        <v>69</v>
      </c>
      <c r="U46" s="6">
        <v>73</v>
      </c>
      <c r="V46" s="6">
        <v>69</v>
      </c>
      <c r="W46" s="6">
        <v>80</v>
      </c>
      <c r="X46" s="6">
        <v>76</v>
      </c>
      <c r="Y46" s="6">
        <v>65</v>
      </c>
      <c r="Z46" s="6">
        <v>69</v>
      </c>
      <c r="AA46" s="6">
        <v>73</v>
      </c>
      <c r="AB46" s="6">
        <v>80</v>
      </c>
      <c r="AC46" s="6">
        <v>76</v>
      </c>
      <c r="AD46" s="6">
        <v>83</v>
      </c>
      <c r="AE46" s="6">
        <v>76</v>
      </c>
      <c r="AF46" s="6">
        <v>80</v>
      </c>
      <c r="AG46" s="6" t="s">
        <v>6921</v>
      </c>
      <c r="AH46" s="6" t="s">
        <v>6636</v>
      </c>
    </row>
    <row r="47" spans="1:34" x14ac:dyDescent="0.2">
      <c r="A47" t="s">
        <v>3335</v>
      </c>
      <c r="B47" t="s">
        <v>1599</v>
      </c>
      <c r="C47" t="s">
        <v>2878</v>
      </c>
      <c r="D47" s="7" t="s">
        <v>137</v>
      </c>
      <c r="E47" t="s">
        <v>58</v>
      </c>
      <c r="F47">
        <v>32</v>
      </c>
      <c r="G47">
        <v>65</v>
      </c>
      <c r="H47">
        <v>90</v>
      </c>
      <c r="I47" t="s">
        <v>6343</v>
      </c>
      <c r="J47">
        <v>77</v>
      </c>
      <c r="K47">
        <v>282</v>
      </c>
      <c r="L47" t="s">
        <v>5029</v>
      </c>
      <c r="M47" s="6" t="s">
        <v>6558</v>
      </c>
      <c r="N47" s="6" t="s">
        <v>6565</v>
      </c>
      <c r="O47" s="6">
        <v>74</v>
      </c>
      <c r="P47" s="6">
        <v>75</v>
      </c>
      <c r="Q47" s="6">
        <v>79</v>
      </c>
      <c r="R47" s="6">
        <v>75</v>
      </c>
      <c r="S47" s="6">
        <v>72</v>
      </c>
      <c r="T47" s="6">
        <v>88</v>
      </c>
      <c r="U47" s="6">
        <v>78</v>
      </c>
      <c r="V47" s="6">
        <v>74</v>
      </c>
      <c r="W47" s="6">
        <v>72</v>
      </c>
      <c r="X47" s="6">
        <v>77</v>
      </c>
      <c r="Y47" s="6">
        <v>78</v>
      </c>
      <c r="Z47" s="6">
        <v>75</v>
      </c>
      <c r="AA47" s="6">
        <v>70</v>
      </c>
      <c r="AB47" s="6">
        <v>71</v>
      </c>
      <c r="AC47" s="6">
        <v>66</v>
      </c>
      <c r="AD47" s="6">
        <v>72</v>
      </c>
      <c r="AE47" s="6">
        <v>63</v>
      </c>
      <c r="AF47" s="6">
        <v>71</v>
      </c>
      <c r="AG47" s="6" t="s">
        <v>7068</v>
      </c>
      <c r="AH47" s="6" t="s">
        <v>6686</v>
      </c>
    </row>
    <row r="48" spans="1:34" x14ac:dyDescent="0.2">
      <c r="A48" t="s">
        <v>3367</v>
      </c>
      <c r="B48" t="s">
        <v>1631</v>
      </c>
      <c r="C48" t="s">
        <v>57</v>
      </c>
      <c r="D48" s="7" t="s">
        <v>138</v>
      </c>
      <c r="E48" t="s">
        <v>38</v>
      </c>
      <c r="F48">
        <v>27</v>
      </c>
      <c r="G48">
        <v>79</v>
      </c>
      <c r="H48">
        <v>90</v>
      </c>
      <c r="I48" t="s">
        <v>6374</v>
      </c>
      <c r="J48">
        <v>74</v>
      </c>
      <c r="K48">
        <v>188</v>
      </c>
      <c r="L48" t="s">
        <v>5061</v>
      </c>
      <c r="M48" s="6" t="s">
        <v>6558</v>
      </c>
      <c r="N48" s="6" t="s">
        <v>6565</v>
      </c>
      <c r="O48" s="6">
        <v>73</v>
      </c>
      <c r="P48" s="6">
        <v>72</v>
      </c>
      <c r="Q48" s="6">
        <v>77</v>
      </c>
      <c r="R48" s="6">
        <v>74</v>
      </c>
      <c r="S48" s="6">
        <v>87</v>
      </c>
      <c r="T48" s="6">
        <v>76</v>
      </c>
      <c r="U48" s="6">
        <v>74</v>
      </c>
      <c r="V48" s="6">
        <v>84</v>
      </c>
      <c r="W48" s="6">
        <v>96</v>
      </c>
      <c r="X48" s="6">
        <v>78</v>
      </c>
      <c r="Y48" s="6">
        <v>81</v>
      </c>
      <c r="Z48" s="6">
        <v>77</v>
      </c>
      <c r="AA48" s="6">
        <v>71</v>
      </c>
      <c r="AB48" s="6">
        <v>78</v>
      </c>
      <c r="AC48" s="6">
        <v>74</v>
      </c>
      <c r="AD48" s="6">
        <v>77</v>
      </c>
      <c r="AE48" s="6">
        <v>79</v>
      </c>
      <c r="AF48" s="6">
        <v>76</v>
      </c>
      <c r="AG48" s="6" t="s">
        <v>7102</v>
      </c>
      <c r="AH48" s="6" t="s">
        <v>6664</v>
      </c>
    </row>
    <row r="49" spans="1:34" x14ac:dyDescent="0.2">
      <c r="A49" t="s">
        <v>3578</v>
      </c>
      <c r="B49" t="s">
        <v>1842</v>
      </c>
      <c r="C49" t="s">
        <v>2891</v>
      </c>
      <c r="D49" s="7" t="s">
        <v>141</v>
      </c>
      <c r="E49" t="s">
        <v>38</v>
      </c>
      <c r="F49">
        <v>27</v>
      </c>
      <c r="G49">
        <v>79</v>
      </c>
      <c r="H49">
        <v>90</v>
      </c>
      <c r="I49" t="s">
        <v>6442</v>
      </c>
      <c r="J49">
        <v>72</v>
      </c>
      <c r="K49">
        <v>235</v>
      </c>
      <c r="L49" t="s">
        <v>5272</v>
      </c>
      <c r="M49" s="6" t="s">
        <v>6558</v>
      </c>
      <c r="N49" s="6" t="s">
        <v>6559</v>
      </c>
      <c r="O49" s="6">
        <v>86</v>
      </c>
      <c r="P49" s="6">
        <v>73</v>
      </c>
      <c r="Q49" s="6">
        <v>80</v>
      </c>
      <c r="R49" s="6">
        <v>86</v>
      </c>
      <c r="S49" s="6">
        <v>82</v>
      </c>
      <c r="T49" s="6">
        <v>78</v>
      </c>
      <c r="U49" s="6">
        <v>83</v>
      </c>
      <c r="V49" s="6">
        <v>88</v>
      </c>
      <c r="W49" s="6">
        <v>63</v>
      </c>
      <c r="X49" s="6">
        <v>80</v>
      </c>
      <c r="Y49" s="6">
        <v>76</v>
      </c>
      <c r="Z49" s="6">
        <v>85</v>
      </c>
      <c r="AA49" s="6">
        <v>81</v>
      </c>
      <c r="AB49" s="6">
        <v>85</v>
      </c>
      <c r="AC49" s="6">
        <v>78</v>
      </c>
      <c r="AD49" s="6">
        <v>81</v>
      </c>
      <c r="AE49" s="6">
        <v>75</v>
      </c>
      <c r="AF49" s="6">
        <v>78</v>
      </c>
      <c r="AG49" s="6" t="s">
        <v>7315</v>
      </c>
      <c r="AH49" s="6" t="s">
        <v>7093</v>
      </c>
    </row>
    <row r="50" spans="1:34" x14ac:dyDescent="0.2">
      <c r="A50" t="s">
        <v>2916</v>
      </c>
      <c r="B50" t="s">
        <v>1180</v>
      </c>
      <c r="C50" t="s">
        <v>2870</v>
      </c>
      <c r="D50" s="7" t="s">
        <v>129</v>
      </c>
      <c r="E50" t="s">
        <v>38</v>
      </c>
      <c r="F50">
        <v>27</v>
      </c>
      <c r="G50">
        <v>83</v>
      </c>
      <c r="H50">
        <v>89</v>
      </c>
      <c r="I50" t="s">
        <v>6306</v>
      </c>
      <c r="J50">
        <v>69</v>
      </c>
      <c r="K50">
        <v>220</v>
      </c>
      <c r="L50" t="s">
        <v>4610</v>
      </c>
      <c r="M50" s="6" t="s">
        <v>6558</v>
      </c>
      <c r="N50" s="6" t="s">
        <v>6559</v>
      </c>
      <c r="O50" s="6">
        <v>70</v>
      </c>
      <c r="P50" s="6">
        <v>85</v>
      </c>
      <c r="Q50" s="6">
        <v>79</v>
      </c>
      <c r="R50" s="6">
        <v>88</v>
      </c>
      <c r="S50" s="6">
        <v>89</v>
      </c>
      <c r="T50" s="6">
        <v>74</v>
      </c>
      <c r="U50" s="6">
        <v>79</v>
      </c>
      <c r="V50" s="6">
        <v>72</v>
      </c>
      <c r="W50" s="6">
        <v>88</v>
      </c>
      <c r="X50" s="6">
        <v>82</v>
      </c>
      <c r="Y50" s="6">
        <v>88</v>
      </c>
      <c r="Z50" s="6">
        <v>81</v>
      </c>
      <c r="AA50" s="6">
        <v>75</v>
      </c>
      <c r="AB50" s="6">
        <v>73</v>
      </c>
      <c r="AC50" s="6">
        <v>73</v>
      </c>
      <c r="AD50" s="6">
        <v>77</v>
      </c>
      <c r="AE50" s="6">
        <v>76</v>
      </c>
      <c r="AF50" s="6">
        <v>79</v>
      </c>
      <c r="AG50" s="6" t="s">
        <v>6571</v>
      </c>
      <c r="AH50" s="6" t="s">
        <v>6572</v>
      </c>
    </row>
    <row r="51" spans="1:34" x14ac:dyDescent="0.2">
      <c r="A51" t="s">
        <v>2944</v>
      </c>
      <c r="B51" t="s">
        <v>1208</v>
      </c>
      <c r="C51" t="s">
        <v>2879</v>
      </c>
      <c r="D51" s="7" t="s">
        <v>129</v>
      </c>
      <c r="E51" t="s">
        <v>38</v>
      </c>
      <c r="F51">
        <v>24</v>
      </c>
      <c r="G51">
        <v>77</v>
      </c>
      <c r="H51">
        <v>89</v>
      </c>
      <c r="I51" t="s">
        <v>6331</v>
      </c>
      <c r="J51">
        <v>73</v>
      </c>
      <c r="K51">
        <v>337</v>
      </c>
      <c r="L51" t="s">
        <v>4638</v>
      </c>
      <c r="M51" s="6" t="s">
        <v>6558</v>
      </c>
      <c r="N51" s="6" t="s">
        <v>6565</v>
      </c>
      <c r="O51" s="6">
        <v>75</v>
      </c>
      <c r="P51" s="6">
        <v>88</v>
      </c>
      <c r="Q51" s="6">
        <v>72</v>
      </c>
      <c r="R51" s="6">
        <v>70</v>
      </c>
      <c r="S51" s="6">
        <v>78</v>
      </c>
      <c r="T51" s="6">
        <v>63</v>
      </c>
      <c r="U51" s="6">
        <v>70</v>
      </c>
      <c r="V51" s="6">
        <v>76</v>
      </c>
      <c r="W51" s="6">
        <v>72</v>
      </c>
      <c r="X51" s="6">
        <v>71</v>
      </c>
      <c r="Y51" s="6">
        <v>91</v>
      </c>
      <c r="Z51" s="6">
        <v>76</v>
      </c>
      <c r="AA51" s="6">
        <v>72</v>
      </c>
      <c r="AB51" s="6">
        <v>71</v>
      </c>
      <c r="AC51" s="6">
        <v>73</v>
      </c>
      <c r="AD51" s="6">
        <v>61</v>
      </c>
      <c r="AE51" s="6">
        <v>68</v>
      </c>
      <c r="AF51" s="6">
        <v>69</v>
      </c>
      <c r="AG51" s="6" t="s">
        <v>6618</v>
      </c>
      <c r="AH51" s="6" t="s">
        <v>6619</v>
      </c>
    </row>
    <row r="52" spans="1:34" x14ac:dyDescent="0.2">
      <c r="A52" t="s">
        <v>2964</v>
      </c>
      <c r="B52" t="s">
        <v>1228</v>
      </c>
      <c r="C52" t="s">
        <v>53</v>
      </c>
      <c r="D52" s="7" t="s">
        <v>146</v>
      </c>
      <c r="E52" t="s">
        <v>38</v>
      </c>
      <c r="F52">
        <v>31</v>
      </c>
      <c r="G52">
        <v>75</v>
      </c>
      <c r="H52">
        <v>89</v>
      </c>
      <c r="I52" t="s">
        <v>6304</v>
      </c>
      <c r="J52">
        <v>73</v>
      </c>
      <c r="K52">
        <v>221</v>
      </c>
      <c r="L52" t="s">
        <v>4658</v>
      </c>
      <c r="M52" s="6" t="s">
        <v>6558</v>
      </c>
      <c r="N52" s="6" t="s">
        <v>6583</v>
      </c>
      <c r="O52" s="6">
        <v>93</v>
      </c>
      <c r="P52" s="6">
        <v>86</v>
      </c>
      <c r="Q52" s="6">
        <v>83</v>
      </c>
      <c r="R52" s="6">
        <v>79</v>
      </c>
      <c r="S52" s="6">
        <v>79</v>
      </c>
      <c r="T52" s="6">
        <v>74</v>
      </c>
      <c r="U52" s="6">
        <v>67</v>
      </c>
      <c r="V52" s="6">
        <v>85</v>
      </c>
      <c r="W52" s="6">
        <v>80</v>
      </c>
      <c r="X52" s="6">
        <v>70</v>
      </c>
      <c r="Y52" s="6">
        <v>74</v>
      </c>
      <c r="Z52" s="6">
        <v>74</v>
      </c>
      <c r="AA52" s="6">
        <v>70</v>
      </c>
      <c r="AB52" s="6">
        <v>82</v>
      </c>
      <c r="AC52" s="6">
        <v>66</v>
      </c>
      <c r="AD52" s="6">
        <v>73</v>
      </c>
      <c r="AE52" s="6">
        <v>64</v>
      </c>
      <c r="AF52" s="6">
        <v>76</v>
      </c>
      <c r="AG52" s="6" t="s">
        <v>6650</v>
      </c>
      <c r="AH52" s="6" t="s">
        <v>6651</v>
      </c>
    </row>
    <row r="53" spans="1:34" x14ac:dyDescent="0.2">
      <c r="A53" t="s">
        <v>2967</v>
      </c>
      <c r="B53" t="s">
        <v>1231</v>
      </c>
      <c r="C53" t="s">
        <v>2870</v>
      </c>
      <c r="D53" s="7" t="s">
        <v>146</v>
      </c>
      <c r="E53" t="s">
        <v>38</v>
      </c>
      <c r="F53">
        <v>25</v>
      </c>
      <c r="G53">
        <v>59</v>
      </c>
      <c r="H53">
        <v>89</v>
      </c>
      <c r="I53" t="s">
        <v>6307</v>
      </c>
      <c r="J53">
        <v>70</v>
      </c>
      <c r="K53">
        <v>228</v>
      </c>
      <c r="L53" t="s">
        <v>4661</v>
      </c>
      <c r="M53" s="6" t="s">
        <v>6558</v>
      </c>
      <c r="N53" s="6" t="s">
        <v>6567</v>
      </c>
      <c r="O53" s="6">
        <v>66</v>
      </c>
      <c r="P53" s="6">
        <v>74</v>
      </c>
      <c r="Q53" s="6">
        <v>68</v>
      </c>
      <c r="R53" s="6">
        <v>66</v>
      </c>
      <c r="S53" s="6">
        <v>72</v>
      </c>
      <c r="T53" s="6">
        <v>72</v>
      </c>
      <c r="U53" s="6">
        <v>64</v>
      </c>
      <c r="V53" s="6">
        <v>69</v>
      </c>
      <c r="W53" s="6">
        <v>78</v>
      </c>
      <c r="X53" s="6">
        <v>67</v>
      </c>
      <c r="Y53" s="6">
        <v>71</v>
      </c>
      <c r="Z53" s="6">
        <v>63</v>
      </c>
      <c r="AA53" s="6">
        <v>64</v>
      </c>
      <c r="AB53" s="6">
        <v>69</v>
      </c>
      <c r="AC53" s="6">
        <v>65</v>
      </c>
      <c r="AD53" s="6">
        <v>63</v>
      </c>
      <c r="AE53" s="6">
        <v>60</v>
      </c>
      <c r="AF53" s="6">
        <v>68</v>
      </c>
      <c r="AG53" s="6" t="s">
        <v>6655</v>
      </c>
      <c r="AH53" s="6" t="s">
        <v>6656</v>
      </c>
    </row>
    <row r="54" spans="1:34" x14ac:dyDescent="0.2">
      <c r="A54" t="s">
        <v>3015</v>
      </c>
      <c r="B54" t="s">
        <v>1279</v>
      </c>
      <c r="C54" t="s">
        <v>2870</v>
      </c>
      <c r="D54" s="7" t="s">
        <v>131</v>
      </c>
      <c r="E54" t="s">
        <v>58</v>
      </c>
      <c r="F54">
        <v>22</v>
      </c>
      <c r="G54">
        <v>70</v>
      </c>
      <c r="H54">
        <v>89</v>
      </c>
      <c r="I54" t="s">
        <v>6305</v>
      </c>
      <c r="J54">
        <v>71</v>
      </c>
      <c r="K54">
        <v>209</v>
      </c>
      <c r="L54" t="s">
        <v>4709</v>
      </c>
      <c r="M54" s="6" t="s">
        <v>6558</v>
      </c>
      <c r="N54" s="6" t="s">
        <v>6567</v>
      </c>
      <c r="O54" s="6">
        <v>67</v>
      </c>
      <c r="P54" s="6">
        <v>66</v>
      </c>
      <c r="Q54" s="6">
        <v>77</v>
      </c>
      <c r="R54" s="6">
        <v>65</v>
      </c>
      <c r="S54" s="6">
        <v>69</v>
      </c>
      <c r="T54" s="6">
        <v>60</v>
      </c>
      <c r="U54" s="6">
        <v>73</v>
      </c>
      <c r="V54" s="6">
        <v>72</v>
      </c>
      <c r="W54" s="6">
        <v>77</v>
      </c>
      <c r="X54" s="6">
        <v>73</v>
      </c>
      <c r="Y54" s="6">
        <v>77</v>
      </c>
      <c r="Z54" s="6">
        <v>71</v>
      </c>
      <c r="AA54" s="6">
        <v>70</v>
      </c>
      <c r="AB54" s="6">
        <v>68</v>
      </c>
      <c r="AC54" s="6">
        <v>71</v>
      </c>
      <c r="AD54" s="6">
        <v>80</v>
      </c>
      <c r="AE54" s="6">
        <v>70</v>
      </c>
      <c r="AF54" s="6">
        <v>70</v>
      </c>
      <c r="AG54" s="6" t="s">
        <v>6720</v>
      </c>
      <c r="AH54" s="6" t="s">
        <v>6721</v>
      </c>
    </row>
    <row r="55" spans="1:34" x14ac:dyDescent="0.2">
      <c r="A55" t="s">
        <v>3059</v>
      </c>
      <c r="B55" t="s">
        <v>1323</v>
      </c>
      <c r="C55" t="s">
        <v>2870</v>
      </c>
      <c r="D55" s="7" t="s">
        <v>130</v>
      </c>
      <c r="E55" t="s">
        <v>38</v>
      </c>
      <c r="F55">
        <v>24</v>
      </c>
      <c r="G55">
        <v>77</v>
      </c>
      <c r="H55">
        <v>89</v>
      </c>
      <c r="I55" t="s">
        <v>6346</v>
      </c>
      <c r="J55">
        <v>69</v>
      </c>
      <c r="K55">
        <v>217</v>
      </c>
      <c r="L55" t="s">
        <v>4753</v>
      </c>
      <c r="M55" s="6" t="s">
        <v>6558</v>
      </c>
      <c r="N55" s="6" t="s">
        <v>6583</v>
      </c>
      <c r="O55" s="6">
        <v>79</v>
      </c>
      <c r="P55" s="6">
        <v>70</v>
      </c>
      <c r="Q55" s="6">
        <v>76</v>
      </c>
      <c r="R55" s="6">
        <v>80</v>
      </c>
      <c r="S55" s="6">
        <v>76</v>
      </c>
      <c r="T55" s="6">
        <v>67</v>
      </c>
      <c r="U55" s="6">
        <v>59</v>
      </c>
      <c r="V55" s="6">
        <v>78</v>
      </c>
      <c r="W55" s="6">
        <v>88</v>
      </c>
      <c r="X55" s="6">
        <v>70</v>
      </c>
      <c r="Y55" s="6">
        <v>77</v>
      </c>
      <c r="Z55" s="6">
        <v>79</v>
      </c>
      <c r="AA55" s="6">
        <v>67</v>
      </c>
      <c r="AB55" s="6">
        <v>78</v>
      </c>
      <c r="AC55" s="6">
        <v>77</v>
      </c>
      <c r="AD55" s="6">
        <v>74</v>
      </c>
      <c r="AE55" s="6">
        <v>77</v>
      </c>
      <c r="AF55" s="6">
        <v>77</v>
      </c>
      <c r="AG55" s="6" t="s">
        <v>6774</v>
      </c>
      <c r="AH55" s="6" t="s">
        <v>6656</v>
      </c>
    </row>
    <row r="56" spans="1:34" x14ac:dyDescent="0.2">
      <c r="A56" t="s">
        <v>3129</v>
      </c>
      <c r="B56" t="s">
        <v>1393</v>
      </c>
      <c r="C56" t="s">
        <v>2878</v>
      </c>
      <c r="D56" s="7" t="s">
        <v>133</v>
      </c>
      <c r="E56" t="s">
        <v>38</v>
      </c>
      <c r="F56">
        <v>28</v>
      </c>
      <c r="G56">
        <v>77</v>
      </c>
      <c r="H56">
        <v>89</v>
      </c>
      <c r="I56" t="s">
        <v>6325</v>
      </c>
      <c r="J56">
        <v>75</v>
      </c>
      <c r="K56">
        <v>280</v>
      </c>
      <c r="L56" t="s">
        <v>4823</v>
      </c>
      <c r="M56" s="6" t="s">
        <v>6558</v>
      </c>
      <c r="N56" s="6" t="s">
        <v>6567</v>
      </c>
      <c r="O56" s="6">
        <v>71</v>
      </c>
      <c r="P56" s="6">
        <v>71</v>
      </c>
      <c r="Q56" s="6">
        <v>76</v>
      </c>
      <c r="R56" s="6">
        <v>67</v>
      </c>
      <c r="S56" s="6">
        <v>81</v>
      </c>
      <c r="T56" s="6">
        <v>81</v>
      </c>
      <c r="U56" s="6">
        <v>73</v>
      </c>
      <c r="V56" s="6">
        <v>70</v>
      </c>
      <c r="W56" s="6">
        <v>63</v>
      </c>
      <c r="X56" s="6">
        <v>74</v>
      </c>
      <c r="Y56" s="6">
        <v>75</v>
      </c>
      <c r="Z56" s="6">
        <v>78</v>
      </c>
      <c r="AA56" s="6">
        <v>74</v>
      </c>
      <c r="AB56" s="6">
        <v>82</v>
      </c>
      <c r="AC56" s="6">
        <v>76</v>
      </c>
      <c r="AD56" s="6">
        <v>70</v>
      </c>
      <c r="AE56" s="6">
        <v>72</v>
      </c>
      <c r="AF56" s="6">
        <v>76</v>
      </c>
      <c r="AG56" s="6" t="s">
        <v>6851</v>
      </c>
      <c r="AH56" s="6" t="s">
        <v>6797</v>
      </c>
    </row>
    <row r="57" spans="1:34" x14ac:dyDescent="0.2">
      <c r="A57" t="s">
        <v>3154</v>
      </c>
      <c r="B57" t="s">
        <v>1418</v>
      </c>
      <c r="C57" t="s">
        <v>2886</v>
      </c>
      <c r="D57" s="7" t="s">
        <v>133</v>
      </c>
      <c r="E57" t="s">
        <v>38</v>
      </c>
      <c r="F57">
        <v>27</v>
      </c>
      <c r="G57">
        <v>71</v>
      </c>
      <c r="H57">
        <v>89</v>
      </c>
      <c r="I57" t="s">
        <v>6347</v>
      </c>
      <c r="J57">
        <v>75</v>
      </c>
      <c r="K57">
        <v>235</v>
      </c>
      <c r="L57" t="s">
        <v>4848</v>
      </c>
      <c r="M57" s="6" t="s">
        <v>6558</v>
      </c>
      <c r="N57" s="6" t="s">
        <v>6583</v>
      </c>
      <c r="O57" s="6">
        <v>75</v>
      </c>
      <c r="P57" s="6">
        <v>80</v>
      </c>
      <c r="Q57" s="6">
        <v>76</v>
      </c>
      <c r="R57" s="6">
        <v>78</v>
      </c>
      <c r="S57" s="6">
        <v>84</v>
      </c>
      <c r="T57" s="6">
        <v>74</v>
      </c>
      <c r="U57" s="6">
        <v>79</v>
      </c>
      <c r="V57" s="6">
        <v>79</v>
      </c>
      <c r="W57" s="6">
        <v>79</v>
      </c>
      <c r="X57" s="6">
        <v>75</v>
      </c>
      <c r="Y57" s="6">
        <v>73</v>
      </c>
      <c r="Z57" s="6">
        <v>82</v>
      </c>
      <c r="AA57" s="6">
        <v>76</v>
      </c>
      <c r="AB57" s="6">
        <v>78</v>
      </c>
      <c r="AC57" s="6">
        <v>68</v>
      </c>
      <c r="AD57" s="6">
        <v>83</v>
      </c>
      <c r="AE57" s="6">
        <v>75</v>
      </c>
      <c r="AF57" s="6">
        <v>79</v>
      </c>
      <c r="AG57" s="6" t="s">
        <v>6878</v>
      </c>
      <c r="AH57" s="6" t="s">
        <v>6649</v>
      </c>
    </row>
    <row r="58" spans="1:34" x14ac:dyDescent="0.2">
      <c r="A58" t="s">
        <v>3314</v>
      </c>
      <c r="B58" t="s">
        <v>1578</v>
      </c>
      <c r="C58" t="s">
        <v>2870</v>
      </c>
      <c r="D58" s="7" t="s">
        <v>137</v>
      </c>
      <c r="E58" t="s">
        <v>38</v>
      </c>
      <c r="F58">
        <v>22</v>
      </c>
      <c r="G58">
        <v>62</v>
      </c>
      <c r="H58">
        <v>89</v>
      </c>
      <c r="I58" t="s">
        <v>6307</v>
      </c>
      <c r="J58">
        <v>71</v>
      </c>
      <c r="K58">
        <v>218</v>
      </c>
      <c r="L58" t="s">
        <v>5008</v>
      </c>
      <c r="M58" s="6" t="s">
        <v>6558</v>
      </c>
      <c r="N58" s="6" t="s">
        <v>6567</v>
      </c>
      <c r="O58" s="6">
        <v>60</v>
      </c>
      <c r="P58" s="6">
        <v>55</v>
      </c>
      <c r="Q58" s="6">
        <v>72</v>
      </c>
      <c r="R58" s="6">
        <v>65</v>
      </c>
      <c r="S58" s="6">
        <v>75</v>
      </c>
      <c r="T58" s="6">
        <v>57</v>
      </c>
      <c r="U58" s="6">
        <v>74</v>
      </c>
      <c r="V58" s="6">
        <v>62</v>
      </c>
      <c r="W58" s="6">
        <v>71</v>
      </c>
      <c r="X58" s="6">
        <v>57</v>
      </c>
      <c r="Y58" s="6">
        <v>67</v>
      </c>
      <c r="Z58" s="6">
        <v>70</v>
      </c>
      <c r="AA58" s="6">
        <v>64</v>
      </c>
      <c r="AB58" s="6">
        <v>72</v>
      </c>
      <c r="AC58" s="6">
        <v>62</v>
      </c>
      <c r="AD58" s="6">
        <v>70</v>
      </c>
      <c r="AE58" s="6">
        <v>66</v>
      </c>
      <c r="AF58" s="6">
        <v>70</v>
      </c>
      <c r="AG58" s="6" t="s">
        <v>7047</v>
      </c>
      <c r="AH58" s="6" t="s">
        <v>7048</v>
      </c>
    </row>
    <row r="59" spans="1:34" x14ac:dyDescent="0.2">
      <c r="A59" t="s">
        <v>3363</v>
      </c>
      <c r="B59" t="s">
        <v>1627</v>
      </c>
      <c r="C59" t="s">
        <v>2870</v>
      </c>
      <c r="D59" s="7" t="s">
        <v>138</v>
      </c>
      <c r="E59" t="s">
        <v>38</v>
      </c>
      <c r="F59">
        <v>25</v>
      </c>
      <c r="G59">
        <v>88</v>
      </c>
      <c r="H59">
        <v>89</v>
      </c>
      <c r="I59" t="s">
        <v>6370</v>
      </c>
      <c r="J59">
        <v>69</v>
      </c>
      <c r="K59">
        <v>218</v>
      </c>
      <c r="L59" t="s">
        <v>5057</v>
      </c>
      <c r="M59" s="6" t="s">
        <v>6558</v>
      </c>
      <c r="N59" s="6" t="s">
        <v>6583</v>
      </c>
      <c r="O59" s="6">
        <v>74</v>
      </c>
      <c r="P59" s="6">
        <v>75</v>
      </c>
      <c r="Q59" s="6">
        <v>80</v>
      </c>
      <c r="R59" s="6">
        <v>77</v>
      </c>
      <c r="S59" s="6">
        <v>77</v>
      </c>
      <c r="T59" s="6">
        <v>74</v>
      </c>
      <c r="U59" s="6">
        <v>85</v>
      </c>
      <c r="V59" s="6">
        <v>88</v>
      </c>
      <c r="W59" s="6">
        <v>83</v>
      </c>
      <c r="X59" s="6">
        <v>69</v>
      </c>
      <c r="Y59" s="6">
        <v>89</v>
      </c>
      <c r="Z59" s="6">
        <v>75</v>
      </c>
      <c r="AA59" s="6">
        <v>81</v>
      </c>
      <c r="AB59" s="6">
        <v>85</v>
      </c>
      <c r="AC59" s="6">
        <v>72</v>
      </c>
      <c r="AD59" s="6">
        <v>83</v>
      </c>
      <c r="AE59" s="6">
        <v>76</v>
      </c>
      <c r="AF59" s="6">
        <v>88</v>
      </c>
      <c r="AG59" s="6" t="s">
        <v>7098</v>
      </c>
      <c r="AH59" s="6" t="s">
        <v>6994</v>
      </c>
    </row>
    <row r="60" spans="1:34" x14ac:dyDescent="0.2">
      <c r="A60" t="s">
        <v>3385</v>
      </c>
      <c r="B60" t="s">
        <v>1649</v>
      </c>
      <c r="C60" t="s">
        <v>2878</v>
      </c>
      <c r="D60" s="7" t="s">
        <v>138</v>
      </c>
      <c r="E60" t="s">
        <v>38</v>
      </c>
      <c r="F60">
        <v>27</v>
      </c>
      <c r="G60">
        <v>80</v>
      </c>
      <c r="H60">
        <v>89</v>
      </c>
      <c r="I60" t="s">
        <v>6392</v>
      </c>
      <c r="J60">
        <v>79</v>
      </c>
      <c r="K60">
        <v>286</v>
      </c>
      <c r="L60" t="s">
        <v>5079</v>
      </c>
      <c r="M60" s="6" t="s">
        <v>6558</v>
      </c>
      <c r="N60" s="6" t="s">
        <v>6583</v>
      </c>
      <c r="O60" s="6">
        <v>87</v>
      </c>
      <c r="P60" s="6">
        <v>68</v>
      </c>
      <c r="Q60" s="6">
        <v>72</v>
      </c>
      <c r="R60" s="6">
        <v>81</v>
      </c>
      <c r="S60" s="6">
        <v>80</v>
      </c>
      <c r="T60" s="6">
        <v>75</v>
      </c>
      <c r="U60" s="6">
        <v>74</v>
      </c>
      <c r="V60" s="6">
        <v>72</v>
      </c>
      <c r="W60" s="6">
        <v>70</v>
      </c>
      <c r="X60" s="6">
        <v>72</v>
      </c>
      <c r="Y60" s="6">
        <v>77</v>
      </c>
      <c r="Z60" s="6">
        <v>91</v>
      </c>
      <c r="AA60" s="6">
        <v>75</v>
      </c>
      <c r="AB60" s="6">
        <v>78</v>
      </c>
      <c r="AC60" s="6">
        <v>70</v>
      </c>
      <c r="AD60" s="6">
        <v>83</v>
      </c>
      <c r="AE60" s="6">
        <v>74</v>
      </c>
      <c r="AF60" s="6">
        <v>82</v>
      </c>
      <c r="AG60" s="6" t="s">
        <v>7120</v>
      </c>
      <c r="AH60" s="6" t="s">
        <v>6684</v>
      </c>
    </row>
    <row r="61" spans="1:34" x14ac:dyDescent="0.2">
      <c r="A61" t="s">
        <v>3427</v>
      </c>
      <c r="B61" t="s">
        <v>1691</v>
      </c>
      <c r="C61" t="s">
        <v>57</v>
      </c>
      <c r="D61" s="7" t="s">
        <v>139</v>
      </c>
      <c r="E61" t="s">
        <v>58</v>
      </c>
      <c r="F61">
        <v>25</v>
      </c>
      <c r="G61">
        <v>63</v>
      </c>
      <c r="H61">
        <v>89</v>
      </c>
      <c r="I61" t="s">
        <v>6439</v>
      </c>
      <c r="J61">
        <v>74</v>
      </c>
      <c r="K61">
        <v>202</v>
      </c>
      <c r="L61" t="s">
        <v>5121</v>
      </c>
      <c r="M61" s="6" t="s">
        <v>6558</v>
      </c>
      <c r="N61" s="6" t="s">
        <v>6567</v>
      </c>
      <c r="O61" s="6">
        <v>65</v>
      </c>
      <c r="P61" s="6">
        <v>63</v>
      </c>
      <c r="Q61" s="6">
        <v>67</v>
      </c>
      <c r="R61" s="6">
        <v>64</v>
      </c>
      <c r="S61" s="6">
        <v>68</v>
      </c>
      <c r="T61" s="6">
        <v>60</v>
      </c>
      <c r="U61" s="6">
        <v>71</v>
      </c>
      <c r="V61" s="6">
        <v>65</v>
      </c>
      <c r="W61" s="6">
        <v>52</v>
      </c>
      <c r="X61" s="6">
        <v>63</v>
      </c>
      <c r="Y61" s="6">
        <v>63</v>
      </c>
      <c r="Z61" s="6">
        <v>65</v>
      </c>
      <c r="AA61" s="6">
        <v>65</v>
      </c>
      <c r="AB61" s="6">
        <v>69</v>
      </c>
      <c r="AC61" s="6">
        <v>68</v>
      </c>
      <c r="AD61" s="6">
        <v>68</v>
      </c>
      <c r="AE61" s="6">
        <v>70</v>
      </c>
      <c r="AF61" s="6">
        <v>66</v>
      </c>
      <c r="AG61" s="6" t="s">
        <v>7162</v>
      </c>
      <c r="AH61" s="6" t="s">
        <v>6664</v>
      </c>
    </row>
    <row r="62" spans="1:34" x14ac:dyDescent="0.2">
      <c r="A62" t="s">
        <v>2979</v>
      </c>
      <c r="B62" t="s">
        <v>1243</v>
      </c>
      <c r="C62" t="s">
        <v>2873</v>
      </c>
      <c r="D62" s="7" t="s">
        <v>146</v>
      </c>
      <c r="E62" t="s">
        <v>38</v>
      </c>
      <c r="F62">
        <v>29</v>
      </c>
      <c r="G62">
        <v>85</v>
      </c>
      <c r="H62">
        <v>88</v>
      </c>
      <c r="I62" t="s">
        <v>6316</v>
      </c>
      <c r="J62">
        <v>76</v>
      </c>
      <c r="K62">
        <v>308</v>
      </c>
      <c r="L62" t="s">
        <v>4673</v>
      </c>
      <c r="M62" s="6" t="s">
        <v>6558</v>
      </c>
      <c r="N62" s="6" t="s">
        <v>6562</v>
      </c>
      <c r="O62" s="6">
        <v>66</v>
      </c>
      <c r="P62" s="6">
        <v>86</v>
      </c>
      <c r="Q62" s="6">
        <v>92</v>
      </c>
      <c r="R62" s="6">
        <v>95</v>
      </c>
      <c r="S62" s="6">
        <v>83</v>
      </c>
      <c r="T62" s="6">
        <v>75</v>
      </c>
      <c r="U62" s="6">
        <v>83</v>
      </c>
      <c r="V62" s="6">
        <v>78</v>
      </c>
      <c r="W62" s="6">
        <v>78</v>
      </c>
      <c r="X62" s="6">
        <v>88</v>
      </c>
      <c r="Y62" s="6">
        <v>89</v>
      </c>
      <c r="Z62" s="6">
        <v>71</v>
      </c>
      <c r="AA62" s="6">
        <v>75</v>
      </c>
      <c r="AB62" s="6">
        <v>78</v>
      </c>
      <c r="AC62" s="6">
        <v>77</v>
      </c>
      <c r="AD62" s="6">
        <v>74</v>
      </c>
      <c r="AE62" s="6">
        <v>74</v>
      </c>
      <c r="AF62" s="6">
        <v>77</v>
      </c>
      <c r="AG62" s="6" t="s">
        <v>6672</v>
      </c>
      <c r="AH62" s="6" t="s">
        <v>6596</v>
      </c>
    </row>
    <row r="63" spans="1:34" x14ac:dyDescent="0.2">
      <c r="A63" t="s">
        <v>3066</v>
      </c>
      <c r="B63" t="s">
        <v>1330</v>
      </c>
      <c r="C63" t="s">
        <v>57</v>
      </c>
      <c r="D63" s="7" t="s">
        <v>130</v>
      </c>
      <c r="E63" t="s">
        <v>38</v>
      </c>
      <c r="F63">
        <v>28</v>
      </c>
      <c r="G63">
        <v>66</v>
      </c>
      <c r="H63">
        <v>88</v>
      </c>
      <c r="I63" t="s">
        <v>6306</v>
      </c>
      <c r="J63">
        <v>71</v>
      </c>
      <c r="K63">
        <v>199</v>
      </c>
      <c r="L63" t="s">
        <v>4760</v>
      </c>
      <c r="M63" s="6" t="s">
        <v>6558</v>
      </c>
      <c r="N63" s="6" t="s">
        <v>6565</v>
      </c>
      <c r="O63" s="6">
        <v>71</v>
      </c>
      <c r="P63" s="6">
        <v>74</v>
      </c>
      <c r="Q63" s="6">
        <v>67</v>
      </c>
      <c r="R63" s="6">
        <v>72</v>
      </c>
      <c r="S63" s="6">
        <v>70</v>
      </c>
      <c r="T63" s="6">
        <v>64</v>
      </c>
      <c r="U63" s="6">
        <v>62</v>
      </c>
      <c r="V63" s="6">
        <v>73</v>
      </c>
      <c r="W63" s="6">
        <v>87</v>
      </c>
      <c r="X63" s="6">
        <v>67</v>
      </c>
      <c r="Y63" s="6">
        <v>78</v>
      </c>
      <c r="Z63" s="6">
        <v>73</v>
      </c>
      <c r="AA63" s="6">
        <v>70</v>
      </c>
      <c r="AB63" s="6">
        <v>69</v>
      </c>
      <c r="AC63" s="6">
        <v>62</v>
      </c>
      <c r="AD63" s="6">
        <v>78</v>
      </c>
      <c r="AE63" s="6">
        <v>67</v>
      </c>
      <c r="AF63" s="6">
        <v>75</v>
      </c>
      <c r="AG63" s="6" t="s">
        <v>6781</v>
      </c>
      <c r="AH63" s="6" t="s">
        <v>6782</v>
      </c>
    </row>
    <row r="64" spans="1:34" x14ac:dyDescent="0.2">
      <c r="A64" t="s">
        <v>3169</v>
      </c>
      <c r="B64" t="s">
        <v>1433</v>
      </c>
      <c r="C64" t="s">
        <v>2872</v>
      </c>
      <c r="D64" s="7" t="s">
        <v>134</v>
      </c>
      <c r="E64" t="s">
        <v>58</v>
      </c>
      <c r="F64">
        <v>34</v>
      </c>
      <c r="G64">
        <v>74</v>
      </c>
      <c r="H64">
        <v>88</v>
      </c>
      <c r="I64" t="s">
        <v>6360</v>
      </c>
      <c r="J64">
        <v>78</v>
      </c>
      <c r="K64">
        <v>314</v>
      </c>
      <c r="L64" t="s">
        <v>4863</v>
      </c>
      <c r="M64" s="6" t="s">
        <v>6558</v>
      </c>
      <c r="N64" s="6" t="s">
        <v>6565</v>
      </c>
      <c r="O64" s="6">
        <v>92</v>
      </c>
      <c r="P64" s="6">
        <v>68</v>
      </c>
      <c r="Q64" s="6">
        <v>78</v>
      </c>
      <c r="R64" s="6">
        <v>75</v>
      </c>
      <c r="S64" s="6">
        <v>73</v>
      </c>
      <c r="T64" s="6">
        <v>75</v>
      </c>
      <c r="U64" s="6">
        <v>81</v>
      </c>
      <c r="V64" s="6">
        <v>69</v>
      </c>
      <c r="W64" s="6">
        <v>74</v>
      </c>
      <c r="X64" s="6">
        <v>59</v>
      </c>
      <c r="Y64" s="6">
        <v>79</v>
      </c>
      <c r="Z64" s="6">
        <v>75</v>
      </c>
      <c r="AA64" s="6">
        <v>63</v>
      </c>
      <c r="AB64" s="6">
        <v>67</v>
      </c>
      <c r="AC64" s="6">
        <v>65</v>
      </c>
      <c r="AD64" s="6">
        <v>65</v>
      </c>
      <c r="AE64" s="6">
        <v>60</v>
      </c>
      <c r="AF64" s="6">
        <v>63</v>
      </c>
      <c r="AG64" s="6" t="s">
        <v>6896</v>
      </c>
      <c r="AH64" s="6" t="s">
        <v>6593</v>
      </c>
    </row>
    <row r="65" spans="1:34" x14ac:dyDescent="0.2">
      <c r="A65" t="s">
        <v>3236</v>
      </c>
      <c r="B65" t="s">
        <v>1500</v>
      </c>
      <c r="C65" t="s">
        <v>2878</v>
      </c>
      <c r="D65" s="7" t="s">
        <v>132</v>
      </c>
      <c r="E65" t="s">
        <v>38</v>
      </c>
      <c r="F65">
        <v>32</v>
      </c>
      <c r="G65">
        <v>67</v>
      </c>
      <c r="H65">
        <v>88</v>
      </c>
      <c r="I65" t="s">
        <v>6425</v>
      </c>
      <c r="J65">
        <v>76</v>
      </c>
      <c r="K65">
        <v>267</v>
      </c>
      <c r="L65" t="s">
        <v>4930</v>
      </c>
      <c r="M65" s="6" t="s">
        <v>6558</v>
      </c>
      <c r="N65" s="6" t="s">
        <v>6565</v>
      </c>
      <c r="O65" s="6">
        <v>77</v>
      </c>
      <c r="P65" s="6">
        <v>66</v>
      </c>
      <c r="Q65" s="6">
        <v>74</v>
      </c>
      <c r="R65" s="6">
        <v>70</v>
      </c>
      <c r="S65" s="6">
        <v>76</v>
      </c>
      <c r="T65" s="6">
        <v>79</v>
      </c>
      <c r="U65" s="6">
        <v>73</v>
      </c>
      <c r="V65" s="6">
        <v>73</v>
      </c>
      <c r="W65" s="6">
        <v>70</v>
      </c>
      <c r="X65" s="6">
        <v>76</v>
      </c>
      <c r="Y65" s="6">
        <v>81</v>
      </c>
      <c r="Z65" s="6">
        <v>74</v>
      </c>
      <c r="AA65" s="6">
        <v>68</v>
      </c>
      <c r="AB65" s="6">
        <v>72</v>
      </c>
      <c r="AC65" s="6">
        <v>69</v>
      </c>
      <c r="AD65" s="6">
        <v>67</v>
      </c>
      <c r="AE65" s="6">
        <v>63</v>
      </c>
      <c r="AF65" s="6">
        <v>66</v>
      </c>
      <c r="AG65" s="6" t="s">
        <v>6964</v>
      </c>
      <c r="AH65" s="6" t="s">
        <v>6686</v>
      </c>
    </row>
    <row r="66" spans="1:34" x14ac:dyDescent="0.2">
      <c r="A66" t="s">
        <v>3300</v>
      </c>
      <c r="B66" t="s">
        <v>1564</v>
      </c>
      <c r="C66" t="s">
        <v>2884</v>
      </c>
      <c r="D66" s="7" t="s">
        <v>136</v>
      </c>
      <c r="E66" t="s">
        <v>38</v>
      </c>
      <c r="F66">
        <v>29</v>
      </c>
      <c r="G66">
        <v>71</v>
      </c>
      <c r="H66">
        <v>88</v>
      </c>
      <c r="I66" t="s">
        <v>6322</v>
      </c>
      <c r="J66">
        <v>76</v>
      </c>
      <c r="K66">
        <v>213</v>
      </c>
      <c r="L66" t="s">
        <v>4994</v>
      </c>
      <c r="M66" s="6" t="s">
        <v>6558</v>
      </c>
      <c r="N66" s="6" t="s">
        <v>6559</v>
      </c>
      <c r="O66" s="6">
        <v>66</v>
      </c>
      <c r="P66" s="6">
        <v>68</v>
      </c>
      <c r="Q66" s="6">
        <v>78</v>
      </c>
      <c r="R66" s="6">
        <v>83</v>
      </c>
      <c r="S66" s="6">
        <v>82</v>
      </c>
      <c r="T66" s="6">
        <v>76</v>
      </c>
      <c r="U66" s="6">
        <v>70</v>
      </c>
      <c r="V66" s="6">
        <v>72</v>
      </c>
      <c r="W66" s="6">
        <v>79</v>
      </c>
      <c r="X66" s="6">
        <v>68</v>
      </c>
      <c r="Y66" s="6">
        <v>74</v>
      </c>
      <c r="Z66" s="6">
        <v>84</v>
      </c>
      <c r="AA66" s="6">
        <v>71</v>
      </c>
      <c r="AB66" s="6">
        <v>69</v>
      </c>
      <c r="AC66" s="6">
        <v>68</v>
      </c>
      <c r="AD66" s="6">
        <v>75</v>
      </c>
      <c r="AE66" s="6">
        <v>69</v>
      </c>
      <c r="AF66" s="6">
        <v>70</v>
      </c>
      <c r="AG66" s="6" t="s">
        <v>7032</v>
      </c>
      <c r="AH66" s="6" t="s">
        <v>6818</v>
      </c>
    </row>
    <row r="67" spans="1:34" x14ac:dyDescent="0.2">
      <c r="A67" t="s">
        <v>3431</v>
      </c>
      <c r="B67" t="s">
        <v>1695</v>
      </c>
      <c r="C67" t="s">
        <v>2872</v>
      </c>
      <c r="D67" s="7" t="s">
        <v>139</v>
      </c>
      <c r="E67" t="s">
        <v>58</v>
      </c>
      <c r="F67">
        <v>22</v>
      </c>
      <c r="G67">
        <v>93</v>
      </c>
      <c r="H67">
        <v>88</v>
      </c>
      <c r="I67" t="s">
        <v>6445</v>
      </c>
      <c r="J67">
        <v>77</v>
      </c>
      <c r="K67">
        <v>295</v>
      </c>
      <c r="L67" t="s">
        <v>5125</v>
      </c>
      <c r="M67" s="6" t="s">
        <v>6558</v>
      </c>
      <c r="N67" s="6" t="s">
        <v>6565</v>
      </c>
      <c r="O67" s="6">
        <v>74</v>
      </c>
      <c r="P67" s="6">
        <v>72</v>
      </c>
      <c r="Q67" s="6">
        <v>61</v>
      </c>
      <c r="R67" s="6">
        <v>72</v>
      </c>
      <c r="S67" s="6">
        <v>71</v>
      </c>
      <c r="T67" s="6">
        <v>74</v>
      </c>
      <c r="U67" s="6">
        <v>74</v>
      </c>
      <c r="V67" s="6">
        <v>73</v>
      </c>
      <c r="W67" s="6">
        <v>75</v>
      </c>
      <c r="X67" s="6">
        <v>70</v>
      </c>
      <c r="Y67" s="6">
        <v>70</v>
      </c>
      <c r="Z67" s="6">
        <v>68</v>
      </c>
      <c r="AA67" s="6">
        <v>75</v>
      </c>
      <c r="AB67" s="6">
        <v>70</v>
      </c>
      <c r="AC67" s="6">
        <v>72</v>
      </c>
      <c r="AD67" s="6">
        <v>78</v>
      </c>
      <c r="AE67" s="6">
        <v>80</v>
      </c>
      <c r="AF67" s="6">
        <v>69</v>
      </c>
      <c r="AG67" s="6" t="s">
        <v>7166</v>
      </c>
      <c r="AH67" s="6" t="s">
        <v>6680</v>
      </c>
    </row>
    <row r="68" spans="1:34" x14ac:dyDescent="0.2">
      <c r="A68" t="s">
        <v>3472</v>
      </c>
      <c r="B68" t="s">
        <v>1736</v>
      </c>
      <c r="C68" t="s">
        <v>53</v>
      </c>
      <c r="D68" s="7" t="s">
        <v>140</v>
      </c>
      <c r="E68" t="s">
        <v>38</v>
      </c>
      <c r="F68">
        <v>28</v>
      </c>
      <c r="G68">
        <v>70</v>
      </c>
      <c r="H68">
        <v>88</v>
      </c>
      <c r="I68" t="s">
        <v>6412</v>
      </c>
      <c r="J68">
        <v>74</v>
      </c>
      <c r="K68">
        <v>221</v>
      </c>
      <c r="L68" t="s">
        <v>5166</v>
      </c>
      <c r="M68" s="6" t="s">
        <v>6558</v>
      </c>
      <c r="N68" s="6" t="s">
        <v>6565</v>
      </c>
      <c r="O68" s="6">
        <v>67</v>
      </c>
      <c r="P68" s="6">
        <v>82</v>
      </c>
      <c r="Q68" s="6">
        <v>66</v>
      </c>
      <c r="R68" s="6">
        <v>70</v>
      </c>
      <c r="S68" s="6">
        <v>71</v>
      </c>
      <c r="T68" s="6">
        <v>75</v>
      </c>
      <c r="U68" s="6">
        <v>75</v>
      </c>
      <c r="V68" s="6">
        <v>79</v>
      </c>
      <c r="W68" s="6">
        <v>76</v>
      </c>
      <c r="X68" s="6">
        <v>72</v>
      </c>
      <c r="Y68" s="6">
        <v>76</v>
      </c>
      <c r="Z68" s="6">
        <v>64</v>
      </c>
      <c r="AA68" s="6">
        <v>66</v>
      </c>
      <c r="AB68" s="6">
        <v>68</v>
      </c>
      <c r="AC68" s="6">
        <v>68</v>
      </c>
      <c r="AD68" s="6">
        <v>72</v>
      </c>
      <c r="AE68" s="6">
        <v>68</v>
      </c>
      <c r="AF68" s="6">
        <v>71</v>
      </c>
      <c r="AG68" s="6" t="s">
        <v>7207</v>
      </c>
      <c r="AH68" s="6" t="s">
        <v>7149</v>
      </c>
    </row>
    <row r="69" spans="1:34" x14ac:dyDescent="0.2">
      <c r="A69" t="s">
        <v>2919</v>
      </c>
      <c r="B69" t="s">
        <v>1183</v>
      </c>
      <c r="C69" t="s">
        <v>57</v>
      </c>
      <c r="D69" s="7" t="s">
        <v>129</v>
      </c>
      <c r="E69" t="s">
        <v>38</v>
      </c>
      <c r="F69">
        <v>24</v>
      </c>
      <c r="G69">
        <v>75</v>
      </c>
      <c r="H69">
        <v>87</v>
      </c>
      <c r="I69" t="s">
        <v>59</v>
      </c>
      <c r="J69">
        <v>75</v>
      </c>
      <c r="K69">
        <v>211</v>
      </c>
      <c r="L69" t="s">
        <v>4613</v>
      </c>
      <c r="M69" s="6" t="s">
        <v>6558</v>
      </c>
      <c r="N69" s="6" t="s">
        <v>6567</v>
      </c>
      <c r="O69" s="6">
        <v>81</v>
      </c>
      <c r="P69" s="6">
        <v>65</v>
      </c>
      <c r="Q69" s="6">
        <v>70</v>
      </c>
      <c r="R69" s="6">
        <v>67</v>
      </c>
      <c r="S69" s="6">
        <v>79</v>
      </c>
      <c r="T69" s="6">
        <v>70</v>
      </c>
      <c r="U69" s="6">
        <v>83</v>
      </c>
      <c r="V69" s="6">
        <v>84</v>
      </c>
      <c r="W69" s="6">
        <v>74</v>
      </c>
      <c r="X69" s="6">
        <v>58</v>
      </c>
      <c r="Y69" s="6">
        <v>66</v>
      </c>
      <c r="Z69" s="6">
        <v>70</v>
      </c>
      <c r="AA69" s="6">
        <v>68</v>
      </c>
      <c r="AB69" s="6">
        <v>70</v>
      </c>
      <c r="AC69" s="6">
        <v>71</v>
      </c>
      <c r="AD69" s="6">
        <v>75</v>
      </c>
      <c r="AE69" s="6">
        <v>74</v>
      </c>
      <c r="AF69" s="6">
        <v>70</v>
      </c>
      <c r="AG69" s="6" t="s">
        <v>6577</v>
      </c>
      <c r="AH69" s="6" t="s">
        <v>6578</v>
      </c>
    </row>
    <row r="70" spans="1:34" x14ac:dyDescent="0.2">
      <c r="A70" t="s">
        <v>3055</v>
      </c>
      <c r="B70" t="s">
        <v>1319</v>
      </c>
      <c r="C70" t="s">
        <v>53</v>
      </c>
      <c r="D70" s="7" t="s">
        <v>130</v>
      </c>
      <c r="E70" t="s">
        <v>38</v>
      </c>
      <c r="F70">
        <v>34</v>
      </c>
      <c r="G70">
        <v>91</v>
      </c>
      <c r="H70">
        <v>87</v>
      </c>
      <c r="I70" t="s">
        <v>6342</v>
      </c>
      <c r="J70">
        <v>75</v>
      </c>
      <c r="K70">
        <v>245</v>
      </c>
      <c r="L70" t="s">
        <v>4749</v>
      </c>
      <c r="M70" s="6" t="s">
        <v>6558</v>
      </c>
      <c r="N70" s="6" t="s">
        <v>6562</v>
      </c>
      <c r="O70" s="6">
        <v>84</v>
      </c>
      <c r="P70" s="6">
        <v>82</v>
      </c>
      <c r="Q70" s="6">
        <v>92</v>
      </c>
      <c r="R70" s="6">
        <v>91</v>
      </c>
      <c r="S70" s="6">
        <v>88</v>
      </c>
      <c r="T70" s="6">
        <v>77</v>
      </c>
      <c r="U70" s="6">
        <v>78</v>
      </c>
      <c r="V70" s="6">
        <v>89</v>
      </c>
      <c r="W70" s="6">
        <v>86</v>
      </c>
      <c r="X70" s="6">
        <v>85</v>
      </c>
      <c r="Y70" s="6">
        <v>88</v>
      </c>
      <c r="Z70" s="6">
        <v>83</v>
      </c>
      <c r="AA70" s="6">
        <v>69</v>
      </c>
      <c r="AB70" s="6">
        <v>80</v>
      </c>
      <c r="AC70" s="6">
        <v>65</v>
      </c>
      <c r="AD70" s="6">
        <v>71</v>
      </c>
      <c r="AE70" s="6">
        <v>67</v>
      </c>
      <c r="AF70" s="6">
        <v>71</v>
      </c>
      <c r="AG70" s="6" t="s">
        <v>6769</v>
      </c>
      <c r="AH70" s="6" t="s">
        <v>6770</v>
      </c>
    </row>
    <row r="71" spans="1:34" x14ac:dyDescent="0.2">
      <c r="A71" t="s">
        <v>3099</v>
      </c>
      <c r="B71" t="s">
        <v>1363</v>
      </c>
      <c r="C71" t="s">
        <v>2889</v>
      </c>
      <c r="D71" s="7" t="s">
        <v>130</v>
      </c>
      <c r="E71" t="s">
        <v>38</v>
      </c>
      <c r="F71">
        <v>22</v>
      </c>
      <c r="G71">
        <v>73</v>
      </c>
      <c r="H71">
        <v>87</v>
      </c>
      <c r="I71" t="s">
        <v>6336</v>
      </c>
      <c r="J71">
        <v>75</v>
      </c>
      <c r="K71">
        <v>257</v>
      </c>
      <c r="L71" t="s">
        <v>4793</v>
      </c>
      <c r="M71" s="6" t="s">
        <v>6558</v>
      </c>
      <c r="N71" s="6" t="s">
        <v>6565</v>
      </c>
      <c r="O71" s="6">
        <v>66</v>
      </c>
      <c r="P71" s="6">
        <v>66</v>
      </c>
      <c r="Q71" s="6">
        <v>64</v>
      </c>
      <c r="R71" s="6">
        <v>71</v>
      </c>
      <c r="S71" s="6">
        <v>68</v>
      </c>
      <c r="T71" s="6">
        <v>63</v>
      </c>
      <c r="U71" s="6">
        <v>72</v>
      </c>
      <c r="V71" s="6">
        <v>68</v>
      </c>
      <c r="W71" s="6">
        <v>72</v>
      </c>
      <c r="X71" s="6">
        <v>61</v>
      </c>
      <c r="Y71" s="6">
        <v>62</v>
      </c>
      <c r="Z71" s="6">
        <v>65</v>
      </c>
      <c r="AA71" s="6">
        <v>65</v>
      </c>
      <c r="AB71" s="6">
        <v>65</v>
      </c>
      <c r="AC71" s="6">
        <v>67</v>
      </c>
      <c r="AD71" s="6">
        <v>68</v>
      </c>
      <c r="AE71" s="6">
        <v>71</v>
      </c>
      <c r="AF71" s="6">
        <v>66</v>
      </c>
      <c r="AG71" s="6" t="s">
        <v>6819</v>
      </c>
      <c r="AH71" s="6" t="s">
        <v>6709</v>
      </c>
    </row>
    <row r="72" spans="1:34" x14ac:dyDescent="0.2">
      <c r="A72" t="s">
        <v>3104</v>
      </c>
      <c r="B72" t="s">
        <v>1368</v>
      </c>
      <c r="C72" t="s">
        <v>53</v>
      </c>
      <c r="D72" s="7" t="s">
        <v>133</v>
      </c>
      <c r="E72" t="s">
        <v>38</v>
      </c>
      <c r="F72">
        <v>29</v>
      </c>
      <c r="G72">
        <v>79</v>
      </c>
      <c r="H72">
        <v>87</v>
      </c>
      <c r="I72" t="s">
        <v>6341</v>
      </c>
      <c r="J72">
        <v>75</v>
      </c>
      <c r="K72">
        <v>221</v>
      </c>
      <c r="L72" t="s">
        <v>4798</v>
      </c>
      <c r="M72" s="6" t="s">
        <v>6558</v>
      </c>
      <c r="N72" s="6" t="s">
        <v>6583</v>
      </c>
      <c r="O72" s="6">
        <v>79</v>
      </c>
      <c r="P72" s="6">
        <v>78</v>
      </c>
      <c r="Q72" s="6">
        <v>86</v>
      </c>
      <c r="R72" s="6">
        <v>79</v>
      </c>
      <c r="S72" s="6">
        <v>74</v>
      </c>
      <c r="T72" s="6">
        <v>77</v>
      </c>
      <c r="U72" s="6">
        <v>87</v>
      </c>
      <c r="V72" s="6">
        <v>78</v>
      </c>
      <c r="W72" s="6">
        <v>79</v>
      </c>
      <c r="X72" s="6">
        <v>84</v>
      </c>
      <c r="Y72" s="6">
        <v>74</v>
      </c>
      <c r="Z72" s="6">
        <v>76</v>
      </c>
      <c r="AA72" s="6">
        <v>74</v>
      </c>
      <c r="AB72" s="6">
        <v>79</v>
      </c>
      <c r="AC72" s="6">
        <v>72</v>
      </c>
      <c r="AD72" s="6">
        <v>76</v>
      </c>
      <c r="AE72" s="6">
        <v>77</v>
      </c>
      <c r="AF72" s="6">
        <v>70</v>
      </c>
      <c r="AG72" s="6" t="s">
        <v>6825</v>
      </c>
      <c r="AH72" s="6" t="s">
        <v>6570</v>
      </c>
    </row>
    <row r="73" spans="1:34" x14ac:dyDescent="0.2">
      <c r="A73" t="s">
        <v>3138</v>
      </c>
      <c r="B73" t="s">
        <v>1402</v>
      </c>
      <c r="C73" t="s">
        <v>2880</v>
      </c>
      <c r="D73" s="7" t="s">
        <v>133</v>
      </c>
      <c r="E73" t="s">
        <v>58</v>
      </c>
      <c r="F73">
        <v>22</v>
      </c>
      <c r="G73">
        <v>75</v>
      </c>
      <c r="H73">
        <v>87</v>
      </c>
      <c r="I73" t="s">
        <v>6320</v>
      </c>
      <c r="J73">
        <v>76</v>
      </c>
      <c r="K73">
        <v>265</v>
      </c>
      <c r="L73" t="s">
        <v>4832</v>
      </c>
      <c r="M73" s="6" t="s">
        <v>6558</v>
      </c>
      <c r="N73" s="6" t="s">
        <v>6565</v>
      </c>
      <c r="O73" s="6">
        <v>66</v>
      </c>
      <c r="P73" s="6">
        <v>71</v>
      </c>
      <c r="Q73" s="6">
        <v>69</v>
      </c>
      <c r="R73" s="6">
        <v>72</v>
      </c>
      <c r="S73" s="6">
        <v>78</v>
      </c>
      <c r="T73" s="6">
        <v>73</v>
      </c>
      <c r="U73" s="6">
        <v>69</v>
      </c>
      <c r="V73" s="6">
        <v>69</v>
      </c>
      <c r="W73" s="6">
        <v>63</v>
      </c>
      <c r="X73" s="6">
        <v>72</v>
      </c>
      <c r="Y73" s="6">
        <v>75</v>
      </c>
      <c r="Z73" s="6">
        <v>67</v>
      </c>
      <c r="AA73" s="6">
        <v>75</v>
      </c>
      <c r="AB73" s="6">
        <v>69</v>
      </c>
      <c r="AC73" s="6">
        <v>77</v>
      </c>
      <c r="AD73" s="6">
        <v>59</v>
      </c>
      <c r="AE73" s="6">
        <v>66</v>
      </c>
      <c r="AF73" s="6">
        <v>71</v>
      </c>
      <c r="AG73" s="6" t="s">
        <v>6862</v>
      </c>
      <c r="AH73" s="6" t="s">
        <v>6623</v>
      </c>
    </row>
    <row r="74" spans="1:34" x14ac:dyDescent="0.2">
      <c r="A74" t="s">
        <v>3230</v>
      </c>
      <c r="B74" t="s">
        <v>1494</v>
      </c>
      <c r="C74" t="s">
        <v>2877</v>
      </c>
      <c r="D74" s="7" t="s">
        <v>132</v>
      </c>
      <c r="E74" t="s">
        <v>38</v>
      </c>
      <c r="F74">
        <v>26</v>
      </c>
      <c r="G74">
        <v>67</v>
      </c>
      <c r="H74">
        <v>87</v>
      </c>
      <c r="I74" t="s">
        <v>6419</v>
      </c>
      <c r="J74">
        <v>77</v>
      </c>
      <c r="K74">
        <v>303</v>
      </c>
      <c r="L74" t="s">
        <v>4924</v>
      </c>
      <c r="M74" s="6" t="s">
        <v>6558</v>
      </c>
      <c r="N74" s="6" t="s">
        <v>6614</v>
      </c>
      <c r="O74" s="6">
        <v>86</v>
      </c>
      <c r="P74" s="6">
        <v>76</v>
      </c>
      <c r="Q74" s="6">
        <v>67</v>
      </c>
      <c r="R74" s="6">
        <v>58</v>
      </c>
      <c r="S74" s="6">
        <v>84</v>
      </c>
      <c r="T74" s="6">
        <v>76</v>
      </c>
      <c r="U74" s="6">
        <v>73</v>
      </c>
      <c r="V74" s="6">
        <v>69</v>
      </c>
      <c r="W74" s="6">
        <v>74</v>
      </c>
      <c r="X74" s="6">
        <v>76</v>
      </c>
      <c r="Y74" s="6">
        <v>71</v>
      </c>
      <c r="Z74" s="6">
        <v>72</v>
      </c>
      <c r="AA74" s="6">
        <v>73</v>
      </c>
      <c r="AB74" s="6">
        <v>78</v>
      </c>
      <c r="AC74" s="6">
        <v>80</v>
      </c>
      <c r="AD74" s="6">
        <v>72</v>
      </c>
      <c r="AE74" s="6">
        <v>70</v>
      </c>
      <c r="AF74" s="6">
        <v>77</v>
      </c>
      <c r="AG74" s="6" t="s">
        <v>6957</v>
      </c>
      <c r="AH74" s="6" t="s">
        <v>6694</v>
      </c>
    </row>
    <row r="75" spans="1:34" x14ac:dyDescent="0.2">
      <c r="A75" t="s">
        <v>3243</v>
      </c>
      <c r="B75" t="s">
        <v>1507</v>
      </c>
      <c r="C75" t="s">
        <v>2881</v>
      </c>
      <c r="D75" s="7" t="s">
        <v>132</v>
      </c>
      <c r="E75" t="s">
        <v>38</v>
      </c>
      <c r="F75">
        <v>25</v>
      </c>
      <c r="G75">
        <v>67</v>
      </c>
      <c r="H75">
        <v>87</v>
      </c>
      <c r="I75" t="s">
        <v>6432</v>
      </c>
      <c r="J75">
        <v>73</v>
      </c>
      <c r="K75">
        <v>231</v>
      </c>
      <c r="L75" t="s">
        <v>4937</v>
      </c>
      <c r="M75" s="6" t="s">
        <v>6558</v>
      </c>
      <c r="N75" s="6" t="s">
        <v>6567</v>
      </c>
      <c r="O75" s="6">
        <v>82</v>
      </c>
      <c r="P75" s="6">
        <v>64</v>
      </c>
      <c r="Q75" s="6">
        <v>75</v>
      </c>
      <c r="R75" s="6">
        <v>67</v>
      </c>
      <c r="S75" s="6">
        <v>77</v>
      </c>
      <c r="T75" s="6">
        <v>66</v>
      </c>
      <c r="U75" s="6">
        <v>81</v>
      </c>
      <c r="V75" s="6">
        <v>69</v>
      </c>
      <c r="W75" s="6">
        <v>78</v>
      </c>
      <c r="X75" s="6">
        <v>72</v>
      </c>
      <c r="Y75" s="6">
        <v>70</v>
      </c>
      <c r="Z75" s="6">
        <v>80</v>
      </c>
      <c r="AA75" s="6">
        <v>74</v>
      </c>
      <c r="AB75" s="6">
        <v>69</v>
      </c>
      <c r="AC75" s="6">
        <v>78</v>
      </c>
      <c r="AD75" s="6">
        <v>68</v>
      </c>
      <c r="AE75" s="6">
        <v>77</v>
      </c>
      <c r="AF75" s="6">
        <v>76</v>
      </c>
      <c r="AG75" s="6" t="s">
        <v>6971</v>
      </c>
      <c r="AH75" s="6" t="s">
        <v>6692</v>
      </c>
    </row>
    <row r="76" spans="1:34" x14ac:dyDescent="0.2">
      <c r="A76" t="s">
        <v>3244</v>
      </c>
      <c r="B76" t="s">
        <v>1508</v>
      </c>
      <c r="C76" t="s">
        <v>61</v>
      </c>
      <c r="D76" s="7" t="s">
        <v>132</v>
      </c>
      <c r="E76" t="s">
        <v>38</v>
      </c>
      <c r="F76">
        <v>28</v>
      </c>
      <c r="G76">
        <v>87</v>
      </c>
      <c r="H76">
        <v>87</v>
      </c>
      <c r="I76" t="s">
        <v>6433</v>
      </c>
      <c r="J76">
        <v>72</v>
      </c>
      <c r="K76">
        <v>186</v>
      </c>
      <c r="L76" t="s">
        <v>4938</v>
      </c>
      <c r="M76" s="6" t="s">
        <v>6558</v>
      </c>
      <c r="N76" s="6" t="s">
        <v>6583</v>
      </c>
      <c r="O76" s="6">
        <v>95</v>
      </c>
      <c r="P76" s="6">
        <v>76</v>
      </c>
      <c r="Q76" s="6">
        <v>90</v>
      </c>
      <c r="R76" s="6">
        <v>78</v>
      </c>
      <c r="S76" s="6">
        <v>92</v>
      </c>
      <c r="T76" s="6">
        <v>78</v>
      </c>
      <c r="U76" s="6">
        <v>67</v>
      </c>
      <c r="V76" s="6">
        <v>77</v>
      </c>
      <c r="W76" s="6">
        <v>76</v>
      </c>
      <c r="X76" s="6">
        <v>84</v>
      </c>
      <c r="Y76" s="6">
        <v>89</v>
      </c>
      <c r="Z76" s="6">
        <v>78</v>
      </c>
      <c r="AA76" s="6">
        <v>75</v>
      </c>
      <c r="AB76" s="6">
        <v>74</v>
      </c>
      <c r="AC76" s="6">
        <v>75</v>
      </c>
      <c r="AD76" s="6">
        <v>69</v>
      </c>
      <c r="AE76" s="6">
        <v>80</v>
      </c>
      <c r="AF76" s="6">
        <v>74</v>
      </c>
      <c r="AG76" s="6" t="s">
        <v>6972</v>
      </c>
      <c r="AH76" s="6" t="s">
        <v>6811</v>
      </c>
    </row>
    <row r="77" spans="1:34" x14ac:dyDescent="0.2">
      <c r="A77" t="s">
        <v>3307</v>
      </c>
      <c r="B77" t="s">
        <v>1571</v>
      </c>
      <c r="C77" t="s">
        <v>2886</v>
      </c>
      <c r="D77" s="7" t="s">
        <v>136</v>
      </c>
      <c r="E77" t="s">
        <v>58</v>
      </c>
      <c r="F77">
        <v>31</v>
      </c>
      <c r="G77">
        <v>68</v>
      </c>
      <c r="H77">
        <v>87</v>
      </c>
      <c r="I77" t="s">
        <v>6303</v>
      </c>
      <c r="J77">
        <v>75</v>
      </c>
      <c r="K77">
        <v>250</v>
      </c>
      <c r="L77" t="s">
        <v>5001</v>
      </c>
      <c r="M77" s="6" t="s">
        <v>6558</v>
      </c>
      <c r="N77" s="6" t="s">
        <v>6565</v>
      </c>
      <c r="O77" s="6">
        <v>71</v>
      </c>
      <c r="P77" s="6">
        <v>68</v>
      </c>
      <c r="Q77" s="6">
        <v>81</v>
      </c>
      <c r="R77" s="6">
        <v>74</v>
      </c>
      <c r="S77" s="6">
        <v>65</v>
      </c>
      <c r="T77" s="6">
        <v>68</v>
      </c>
      <c r="U77" s="6">
        <v>76</v>
      </c>
      <c r="V77" s="6">
        <v>79</v>
      </c>
      <c r="W77" s="6">
        <v>72</v>
      </c>
      <c r="X77" s="6">
        <v>73</v>
      </c>
      <c r="Y77" s="6">
        <v>64</v>
      </c>
      <c r="Z77" s="6">
        <v>84</v>
      </c>
      <c r="AA77" s="6">
        <v>68</v>
      </c>
      <c r="AB77" s="6">
        <v>66</v>
      </c>
      <c r="AC77" s="6">
        <v>70</v>
      </c>
      <c r="AD77" s="6">
        <v>74</v>
      </c>
      <c r="AE77" s="6">
        <v>69</v>
      </c>
      <c r="AF77" s="6">
        <v>61</v>
      </c>
      <c r="AG77" s="6" t="s">
        <v>7039</v>
      </c>
      <c r="AH77" s="6" t="s">
        <v>6711</v>
      </c>
    </row>
    <row r="78" spans="1:34" x14ac:dyDescent="0.2">
      <c r="A78" t="s">
        <v>3375</v>
      </c>
      <c r="B78" t="s">
        <v>1639</v>
      </c>
      <c r="C78" t="s">
        <v>2872</v>
      </c>
      <c r="D78" s="7" t="s">
        <v>138</v>
      </c>
      <c r="E78" t="s">
        <v>58</v>
      </c>
      <c r="F78">
        <v>23</v>
      </c>
      <c r="G78">
        <v>84</v>
      </c>
      <c r="H78">
        <v>87</v>
      </c>
      <c r="I78" t="s">
        <v>6382</v>
      </c>
      <c r="J78">
        <v>78</v>
      </c>
      <c r="K78">
        <v>329</v>
      </c>
      <c r="L78" t="s">
        <v>5069</v>
      </c>
      <c r="M78" s="6" t="s">
        <v>6558</v>
      </c>
      <c r="N78" s="6" t="s">
        <v>6565</v>
      </c>
      <c r="O78" s="6">
        <v>71</v>
      </c>
      <c r="P78" s="6">
        <v>73</v>
      </c>
      <c r="Q78" s="6">
        <v>75</v>
      </c>
      <c r="R78" s="6">
        <v>71</v>
      </c>
      <c r="S78" s="6">
        <v>75</v>
      </c>
      <c r="T78" s="6">
        <v>71</v>
      </c>
      <c r="U78" s="6">
        <v>63</v>
      </c>
      <c r="V78" s="6">
        <v>66</v>
      </c>
      <c r="W78" s="6">
        <v>70</v>
      </c>
      <c r="X78" s="6">
        <v>66</v>
      </c>
      <c r="Y78" s="6">
        <v>77</v>
      </c>
      <c r="Z78" s="6">
        <v>68</v>
      </c>
      <c r="AA78" s="6">
        <v>73</v>
      </c>
      <c r="AB78" s="6">
        <v>80</v>
      </c>
      <c r="AC78" s="6">
        <v>76</v>
      </c>
      <c r="AD78" s="6">
        <v>70</v>
      </c>
      <c r="AE78" s="6">
        <v>74</v>
      </c>
      <c r="AF78" s="6">
        <v>80</v>
      </c>
      <c r="AG78" s="6" t="s">
        <v>7110</v>
      </c>
      <c r="AH78" s="6" t="s">
        <v>6593</v>
      </c>
    </row>
    <row r="79" spans="1:34" x14ac:dyDescent="0.2">
      <c r="A79" t="s">
        <v>3422</v>
      </c>
      <c r="B79" t="s">
        <v>1686</v>
      </c>
      <c r="C79" t="s">
        <v>57</v>
      </c>
      <c r="D79" s="7" t="s">
        <v>139</v>
      </c>
      <c r="E79" t="s">
        <v>38</v>
      </c>
      <c r="F79">
        <v>26</v>
      </c>
      <c r="G79">
        <v>79</v>
      </c>
      <c r="H79">
        <v>87</v>
      </c>
      <c r="I79" t="s">
        <v>6433</v>
      </c>
      <c r="J79">
        <v>72</v>
      </c>
      <c r="K79">
        <v>195</v>
      </c>
      <c r="L79" t="s">
        <v>5116</v>
      </c>
      <c r="M79" s="6" t="s">
        <v>6558</v>
      </c>
      <c r="N79" s="6" t="s">
        <v>6614</v>
      </c>
      <c r="O79" s="6">
        <v>83</v>
      </c>
      <c r="P79" s="6">
        <v>82</v>
      </c>
      <c r="Q79" s="6">
        <v>87</v>
      </c>
      <c r="R79" s="6">
        <v>60</v>
      </c>
      <c r="S79" s="6">
        <v>97</v>
      </c>
      <c r="T79" s="6">
        <v>81</v>
      </c>
      <c r="U79" s="6">
        <v>81</v>
      </c>
      <c r="V79" s="6">
        <v>80</v>
      </c>
      <c r="W79" s="6">
        <v>91</v>
      </c>
      <c r="X79" s="6">
        <v>80</v>
      </c>
      <c r="Y79" s="6">
        <v>77</v>
      </c>
      <c r="Z79" s="6">
        <v>73</v>
      </c>
      <c r="AA79" s="6">
        <v>75</v>
      </c>
      <c r="AB79" s="6">
        <v>83</v>
      </c>
      <c r="AC79" s="6">
        <v>83</v>
      </c>
      <c r="AD79" s="6">
        <v>74</v>
      </c>
      <c r="AE79" s="6">
        <v>74</v>
      </c>
      <c r="AF79" s="6">
        <v>87</v>
      </c>
      <c r="AG79" s="6" t="s">
        <v>7157</v>
      </c>
      <c r="AH79" s="6" t="s">
        <v>6574</v>
      </c>
    </row>
    <row r="80" spans="1:34" x14ac:dyDescent="0.2">
      <c r="A80" t="s">
        <v>2915</v>
      </c>
      <c r="B80" t="s">
        <v>1179</v>
      </c>
      <c r="C80" t="s">
        <v>53</v>
      </c>
      <c r="D80" s="7" t="s">
        <v>129</v>
      </c>
      <c r="E80" t="s">
        <v>38</v>
      </c>
      <c r="F80">
        <v>21</v>
      </c>
      <c r="G80">
        <v>68</v>
      </c>
      <c r="H80">
        <v>86</v>
      </c>
      <c r="I80" t="s">
        <v>6305</v>
      </c>
      <c r="J80">
        <v>74</v>
      </c>
      <c r="K80">
        <v>240</v>
      </c>
      <c r="L80" t="s">
        <v>4609</v>
      </c>
      <c r="M80" s="6" t="s">
        <v>6558</v>
      </c>
      <c r="N80" s="6" t="s">
        <v>6565</v>
      </c>
      <c r="O80" s="6">
        <v>78</v>
      </c>
      <c r="P80" s="6">
        <v>72</v>
      </c>
      <c r="Q80" s="6">
        <v>73</v>
      </c>
      <c r="R80" s="6">
        <v>71</v>
      </c>
      <c r="S80" s="6">
        <v>65</v>
      </c>
      <c r="T80" s="6">
        <v>65</v>
      </c>
      <c r="U80" s="6">
        <v>63</v>
      </c>
      <c r="V80" s="6">
        <v>67</v>
      </c>
      <c r="W80" s="6">
        <v>74</v>
      </c>
      <c r="X80" s="6">
        <v>60</v>
      </c>
      <c r="Y80" s="6">
        <v>75</v>
      </c>
      <c r="Z80" s="6">
        <v>72</v>
      </c>
      <c r="AA80" s="6">
        <v>68</v>
      </c>
      <c r="AB80" s="6">
        <v>69</v>
      </c>
      <c r="AC80" s="6">
        <v>71</v>
      </c>
      <c r="AD80" s="6">
        <v>67</v>
      </c>
      <c r="AE80" s="6">
        <v>62</v>
      </c>
      <c r="AF80" s="6">
        <v>70</v>
      </c>
      <c r="AG80" s="6" t="s">
        <v>6569</v>
      </c>
      <c r="AH80" s="6" t="s">
        <v>6570</v>
      </c>
    </row>
    <row r="81" spans="1:34" x14ac:dyDescent="0.2">
      <c r="A81" t="s">
        <v>2918</v>
      </c>
      <c r="B81" t="s">
        <v>1182</v>
      </c>
      <c r="C81" t="s">
        <v>57</v>
      </c>
      <c r="D81" s="7" t="s">
        <v>129</v>
      </c>
      <c r="E81" t="s">
        <v>38</v>
      </c>
      <c r="F81">
        <v>27</v>
      </c>
      <c r="G81">
        <v>80</v>
      </c>
      <c r="H81">
        <v>86</v>
      </c>
      <c r="I81" t="s">
        <v>54</v>
      </c>
      <c r="J81">
        <v>74</v>
      </c>
      <c r="K81">
        <v>218</v>
      </c>
      <c r="L81" t="s">
        <v>4612</v>
      </c>
      <c r="M81" s="6" t="s">
        <v>6558</v>
      </c>
      <c r="N81" s="6" t="s">
        <v>6567</v>
      </c>
      <c r="O81" s="6">
        <v>77</v>
      </c>
      <c r="P81" s="6">
        <v>81</v>
      </c>
      <c r="Q81" s="6">
        <v>89</v>
      </c>
      <c r="R81" s="6">
        <v>66</v>
      </c>
      <c r="S81" s="6">
        <v>86</v>
      </c>
      <c r="T81" s="6">
        <v>71</v>
      </c>
      <c r="U81" s="6">
        <v>78</v>
      </c>
      <c r="V81" s="6">
        <v>87</v>
      </c>
      <c r="W81" s="6">
        <v>77</v>
      </c>
      <c r="X81" s="6">
        <v>71</v>
      </c>
      <c r="Y81" s="6">
        <v>83</v>
      </c>
      <c r="Z81" s="6">
        <v>78</v>
      </c>
      <c r="AA81" s="6">
        <v>78</v>
      </c>
      <c r="AB81" s="6">
        <v>79</v>
      </c>
      <c r="AC81" s="6">
        <v>79</v>
      </c>
      <c r="AD81" s="6">
        <v>85</v>
      </c>
      <c r="AE81" s="6">
        <v>80</v>
      </c>
      <c r="AF81" s="6">
        <v>82</v>
      </c>
      <c r="AG81" s="6" t="s">
        <v>6575</v>
      </c>
      <c r="AH81" s="6" t="s">
        <v>6576</v>
      </c>
    </row>
    <row r="82" spans="1:34" x14ac:dyDescent="0.2">
      <c r="A82" t="s">
        <v>2989</v>
      </c>
      <c r="B82" t="s">
        <v>1253</v>
      </c>
      <c r="C82" t="s">
        <v>2878</v>
      </c>
      <c r="D82" s="7" t="s">
        <v>146</v>
      </c>
      <c r="E82" t="s">
        <v>58</v>
      </c>
      <c r="F82">
        <v>27</v>
      </c>
      <c r="G82">
        <v>65</v>
      </c>
      <c r="H82">
        <v>86</v>
      </c>
      <c r="I82" t="s">
        <v>6326</v>
      </c>
      <c r="J82">
        <v>76</v>
      </c>
      <c r="K82">
        <v>260</v>
      </c>
      <c r="L82" t="s">
        <v>4683</v>
      </c>
      <c r="M82" s="6" t="s">
        <v>6558</v>
      </c>
      <c r="N82" s="6" t="s">
        <v>6567</v>
      </c>
      <c r="O82" s="6">
        <v>74</v>
      </c>
      <c r="P82" s="6">
        <v>70</v>
      </c>
      <c r="Q82" s="6">
        <v>72</v>
      </c>
      <c r="R82" s="6">
        <v>63</v>
      </c>
      <c r="S82" s="6">
        <v>71</v>
      </c>
      <c r="T82" s="6">
        <v>69</v>
      </c>
      <c r="U82" s="6">
        <v>74</v>
      </c>
      <c r="V82" s="6">
        <v>68</v>
      </c>
      <c r="W82" s="6">
        <v>72</v>
      </c>
      <c r="X82" s="6">
        <v>63</v>
      </c>
      <c r="Y82" s="6">
        <v>76</v>
      </c>
      <c r="Z82" s="6">
        <v>67</v>
      </c>
      <c r="AA82" s="6">
        <v>69</v>
      </c>
      <c r="AB82" s="6">
        <v>68</v>
      </c>
      <c r="AC82" s="6">
        <v>63</v>
      </c>
      <c r="AD82" s="6">
        <v>72</v>
      </c>
      <c r="AE82" s="6">
        <v>69</v>
      </c>
      <c r="AF82" s="6">
        <v>61</v>
      </c>
      <c r="AG82" s="6" t="s">
        <v>6687</v>
      </c>
      <c r="AH82" s="6" t="s">
        <v>6612</v>
      </c>
    </row>
    <row r="83" spans="1:34" x14ac:dyDescent="0.2">
      <c r="A83" t="s">
        <v>2997</v>
      </c>
      <c r="B83" t="s">
        <v>1261</v>
      </c>
      <c r="C83" t="s">
        <v>61</v>
      </c>
      <c r="D83" s="7" t="s">
        <v>146</v>
      </c>
      <c r="E83" t="s">
        <v>38</v>
      </c>
      <c r="F83">
        <v>24</v>
      </c>
      <c r="G83">
        <v>69</v>
      </c>
      <c r="H83">
        <v>86</v>
      </c>
      <c r="I83" t="s">
        <v>6334</v>
      </c>
      <c r="J83">
        <v>71</v>
      </c>
      <c r="K83">
        <v>210</v>
      </c>
      <c r="L83" t="s">
        <v>4691</v>
      </c>
      <c r="M83" s="6" t="s">
        <v>6558</v>
      </c>
      <c r="N83" s="6" t="s">
        <v>6614</v>
      </c>
      <c r="O83" s="6">
        <v>65</v>
      </c>
      <c r="P83" s="6">
        <v>66</v>
      </c>
      <c r="Q83" s="6">
        <v>62</v>
      </c>
      <c r="R83" s="6">
        <v>62</v>
      </c>
      <c r="S83" s="6">
        <v>77</v>
      </c>
      <c r="T83" s="6">
        <v>71</v>
      </c>
      <c r="U83" s="6">
        <v>81</v>
      </c>
      <c r="V83" s="6">
        <v>79</v>
      </c>
      <c r="W83" s="6">
        <v>76</v>
      </c>
      <c r="X83" s="6">
        <v>72</v>
      </c>
      <c r="Y83" s="6">
        <v>70</v>
      </c>
      <c r="Z83" s="6">
        <v>67</v>
      </c>
      <c r="AA83" s="6">
        <v>72</v>
      </c>
      <c r="AB83" s="6">
        <v>74</v>
      </c>
      <c r="AC83" s="6">
        <v>74</v>
      </c>
      <c r="AD83" s="6">
        <v>65</v>
      </c>
      <c r="AE83" s="6">
        <v>75</v>
      </c>
      <c r="AF83" s="6">
        <v>67</v>
      </c>
      <c r="AG83" s="6" t="s">
        <v>6698</v>
      </c>
      <c r="AH83" s="6" t="s">
        <v>6630</v>
      </c>
    </row>
    <row r="84" spans="1:34" x14ac:dyDescent="0.2">
      <c r="A84" t="s">
        <v>3042</v>
      </c>
      <c r="B84" t="s">
        <v>1306</v>
      </c>
      <c r="C84" t="s">
        <v>61</v>
      </c>
      <c r="D84" s="7" t="s">
        <v>131</v>
      </c>
      <c r="E84" t="s">
        <v>38</v>
      </c>
      <c r="F84">
        <v>25</v>
      </c>
      <c r="G84">
        <v>70</v>
      </c>
      <c r="H84">
        <v>86</v>
      </c>
      <c r="I84" t="s">
        <v>6329</v>
      </c>
      <c r="J84">
        <v>71</v>
      </c>
      <c r="K84">
        <v>188</v>
      </c>
      <c r="L84" t="s">
        <v>4736</v>
      </c>
      <c r="M84" s="6" t="s">
        <v>6558</v>
      </c>
      <c r="N84" s="6" t="s">
        <v>6567</v>
      </c>
      <c r="O84" s="6">
        <v>79</v>
      </c>
      <c r="P84" s="6">
        <v>75</v>
      </c>
      <c r="Q84" s="6">
        <v>67</v>
      </c>
      <c r="R84" s="6">
        <v>67</v>
      </c>
      <c r="S84" s="6">
        <v>80</v>
      </c>
      <c r="T84" s="6">
        <v>66</v>
      </c>
      <c r="U84" s="6">
        <v>70</v>
      </c>
      <c r="V84" s="6">
        <v>73</v>
      </c>
      <c r="W84" s="6">
        <v>77</v>
      </c>
      <c r="X84" s="6">
        <v>76</v>
      </c>
      <c r="Y84" s="6">
        <v>73</v>
      </c>
      <c r="Z84" s="6">
        <v>78</v>
      </c>
      <c r="AA84" s="6">
        <v>69</v>
      </c>
      <c r="AB84" s="6">
        <v>78</v>
      </c>
      <c r="AC84" s="6">
        <v>68</v>
      </c>
      <c r="AD84" s="6">
        <v>71</v>
      </c>
      <c r="AE84" s="6">
        <v>67</v>
      </c>
      <c r="AF84" s="6">
        <v>77</v>
      </c>
      <c r="AG84" s="6" t="s">
        <v>6755</v>
      </c>
      <c r="AH84" s="6" t="s">
        <v>6630</v>
      </c>
    </row>
    <row r="85" spans="1:34" x14ac:dyDescent="0.2">
      <c r="A85" t="s">
        <v>3071</v>
      </c>
      <c r="B85" t="s">
        <v>1335</v>
      </c>
      <c r="C85" t="s">
        <v>2872</v>
      </c>
      <c r="D85" s="7" t="s">
        <v>130</v>
      </c>
      <c r="E85" t="s">
        <v>58</v>
      </c>
      <c r="F85">
        <v>32</v>
      </c>
      <c r="G85">
        <v>69</v>
      </c>
      <c r="H85">
        <v>86</v>
      </c>
      <c r="I85" t="s">
        <v>6309</v>
      </c>
      <c r="J85">
        <v>76</v>
      </c>
      <c r="K85">
        <v>310</v>
      </c>
      <c r="L85" t="s">
        <v>4765</v>
      </c>
      <c r="M85" s="6" t="s">
        <v>6558</v>
      </c>
      <c r="N85" s="6" t="s">
        <v>6583</v>
      </c>
      <c r="O85" s="6">
        <v>86</v>
      </c>
      <c r="P85" s="6">
        <v>69</v>
      </c>
      <c r="Q85" s="6">
        <v>70</v>
      </c>
      <c r="R85" s="6">
        <v>77</v>
      </c>
      <c r="S85" s="6">
        <v>76</v>
      </c>
      <c r="T85" s="6">
        <v>74</v>
      </c>
      <c r="U85" s="6">
        <v>70</v>
      </c>
      <c r="V85" s="6">
        <v>76</v>
      </c>
      <c r="W85" s="6">
        <v>84</v>
      </c>
      <c r="X85" s="6">
        <v>61</v>
      </c>
      <c r="Y85" s="6">
        <v>74</v>
      </c>
      <c r="Z85" s="6">
        <v>69</v>
      </c>
      <c r="AA85" s="6">
        <v>60</v>
      </c>
      <c r="AB85" s="6">
        <v>63</v>
      </c>
      <c r="AC85" s="6">
        <v>65</v>
      </c>
      <c r="AD85" s="6">
        <v>65</v>
      </c>
      <c r="AE85" s="6">
        <v>61</v>
      </c>
      <c r="AF85" s="6">
        <v>71</v>
      </c>
      <c r="AG85" s="6" t="s">
        <v>6787</v>
      </c>
      <c r="AH85" s="6" t="s">
        <v>6680</v>
      </c>
    </row>
    <row r="86" spans="1:34" x14ac:dyDescent="0.2">
      <c r="A86" t="s">
        <v>3081</v>
      </c>
      <c r="B86" t="s">
        <v>1345</v>
      </c>
      <c r="C86" t="s">
        <v>2878</v>
      </c>
      <c r="D86" s="7" t="s">
        <v>130</v>
      </c>
      <c r="E86" t="s">
        <v>58</v>
      </c>
      <c r="F86">
        <v>30</v>
      </c>
      <c r="G86">
        <v>77</v>
      </c>
      <c r="H86">
        <v>86</v>
      </c>
      <c r="I86" t="s">
        <v>6318</v>
      </c>
      <c r="J86">
        <v>76</v>
      </c>
      <c r="K86">
        <v>272</v>
      </c>
      <c r="L86" t="s">
        <v>4775</v>
      </c>
      <c r="M86" s="6" t="s">
        <v>6558</v>
      </c>
      <c r="N86" s="6" t="s">
        <v>6583</v>
      </c>
      <c r="O86" s="6">
        <v>81</v>
      </c>
      <c r="P86" s="6">
        <v>69</v>
      </c>
      <c r="Q86" s="6">
        <v>76</v>
      </c>
      <c r="R86" s="6">
        <v>76</v>
      </c>
      <c r="S86" s="6">
        <v>82</v>
      </c>
      <c r="T86" s="6">
        <v>69</v>
      </c>
      <c r="U86" s="6">
        <v>79</v>
      </c>
      <c r="V86" s="6">
        <v>71</v>
      </c>
      <c r="W86" s="6">
        <v>64</v>
      </c>
      <c r="X86" s="6">
        <v>76</v>
      </c>
      <c r="Y86" s="6">
        <v>80</v>
      </c>
      <c r="Z86" s="6">
        <v>80</v>
      </c>
      <c r="AA86" s="6">
        <v>71</v>
      </c>
      <c r="AB86" s="6">
        <v>75</v>
      </c>
      <c r="AC86" s="6">
        <v>67</v>
      </c>
      <c r="AD86" s="6">
        <v>67</v>
      </c>
      <c r="AE86" s="6">
        <v>71</v>
      </c>
      <c r="AF86" s="6">
        <v>77</v>
      </c>
      <c r="AG86" s="6" t="s">
        <v>6798</v>
      </c>
      <c r="AH86" s="6" t="s">
        <v>6682</v>
      </c>
    </row>
    <row r="87" spans="1:34" x14ac:dyDescent="0.2">
      <c r="A87" t="s">
        <v>3128</v>
      </c>
      <c r="B87" t="s">
        <v>1392</v>
      </c>
      <c r="C87" t="s">
        <v>2878</v>
      </c>
      <c r="D87" s="7" t="s">
        <v>133</v>
      </c>
      <c r="E87" t="s">
        <v>38</v>
      </c>
      <c r="F87">
        <v>24</v>
      </c>
      <c r="G87">
        <v>83</v>
      </c>
      <c r="H87">
        <v>86</v>
      </c>
      <c r="I87" t="s">
        <v>6330</v>
      </c>
      <c r="J87">
        <v>79</v>
      </c>
      <c r="K87">
        <v>275</v>
      </c>
      <c r="L87" t="s">
        <v>4822</v>
      </c>
      <c r="M87" s="6" t="s">
        <v>6558</v>
      </c>
      <c r="N87" s="6" t="s">
        <v>6565</v>
      </c>
      <c r="O87" s="6">
        <v>85</v>
      </c>
      <c r="P87" s="6">
        <v>70</v>
      </c>
      <c r="Q87" s="6">
        <v>69</v>
      </c>
      <c r="R87" s="6">
        <v>74</v>
      </c>
      <c r="S87" s="6">
        <v>80</v>
      </c>
      <c r="T87" s="6">
        <v>79</v>
      </c>
      <c r="U87" s="6">
        <v>70</v>
      </c>
      <c r="V87" s="6">
        <v>78</v>
      </c>
      <c r="W87" s="6">
        <v>77</v>
      </c>
      <c r="X87" s="6">
        <v>61</v>
      </c>
      <c r="Y87" s="6">
        <v>83</v>
      </c>
      <c r="Z87" s="6">
        <v>74</v>
      </c>
      <c r="AA87" s="6">
        <v>72</v>
      </c>
      <c r="AB87" s="6">
        <v>72</v>
      </c>
      <c r="AC87" s="6">
        <v>81</v>
      </c>
      <c r="AD87" s="6">
        <v>75</v>
      </c>
      <c r="AE87" s="6">
        <v>73</v>
      </c>
      <c r="AF87" s="6">
        <v>86</v>
      </c>
      <c r="AG87" s="6" t="s">
        <v>6850</v>
      </c>
      <c r="AH87" s="6" t="s">
        <v>6797</v>
      </c>
    </row>
    <row r="88" spans="1:34" x14ac:dyDescent="0.2">
      <c r="A88" t="s">
        <v>3160</v>
      </c>
      <c r="B88" t="s">
        <v>1424</v>
      </c>
      <c r="C88" t="s">
        <v>2870</v>
      </c>
      <c r="D88" s="7" t="s">
        <v>134</v>
      </c>
      <c r="E88" t="s">
        <v>38</v>
      </c>
      <c r="F88">
        <v>23</v>
      </c>
      <c r="G88">
        <v>67</v>
      </c>
      <c r="H88">
        <v>86</v>
      </c>
      <c r="I88" t="s">
        <v>6352</v>
      </c>
      <c r="J88">
        <v>70</v>
      </c>
      <c r="K88">
        <v>215</v>
      </c>
      <c r="L88" t="s">
        <v>4854</v>
      </c>
      <c r="M88" s="6" t="s">
        <v>6558</v>
      </c>
      <c r="N88" s="6" t="s">
        <v>6614</v>
      </c>
      <c r="O88" s="6">
        <v>75</v>
      </c>
      <c r="P88" s="6">
        <v>66</v>
      </c>
      <c r="Q88" s="6">
        <v>62</v>
      </c>
      <c r="R88" s="6">
        <v>62</v>
      </c>
      <c r="S88" s="6">
        <v>76</v>
      </c>
      <c r="T88" s="6">
        <v>68</v>
      </c>
      <c r="U88" s="6">
        <v>67</v>
      </c>
      <c r="V88" s="6">
        <v>72</v>
      </c>
      <c r="W88" s="6">
        <v>70</v>
      </c>
      <c r="X88" s="6">
        <v>58</v>
      </c>
      <c r="Y88" s="6">
        <v>67</v>
      </c>
      <c r="Z88" s="6">
        <v>71</v>
      </c>
      <c r="AA88" s="6">
        <v>68</v>
      </c>
      <c r="AB88" s="6">
        <v>68</v>
      </c>
      <c r="AC88" s="6">
        <v>70</v>
      </c>
      <c r="AD88" s="6">
        <v>73</v>
      </c>
      <c r="AE88" s="6">
        <v>69</v>
      </c>
      <c r="AF88" s="6">
        <v>69</v>
      </c>
      <c r="AG88" s="6" t="s">
        <v>6886</v>
      </c>
      <c r="AH88" s="6" t="s">
        <v>6887</v>
      </c>
    </row>
    <row r="89" spans="1:34" x14ac:dyDescent="0.2">
      <c r="A89" t="s">
        <v>3227</v>
      </c>
      <c r="B89" t="s">
        <v>1491</v>
      </c>
      <c r="C89" t="s">
        <v>2874</v>
      </c>
      <c r="D89" s="7" t="s">
        <v>132</v>
      </c>
      <c r="E89" t="s">
        <v>58</v>
      </c>
      <c r="F89">
        <v>33</v>
      </c>
      <c r="G89">
        <v>61</v>
      </c>
      <c r="H89">
        <v>86</v>
      </c>
      <c r="I89" t="s">
        <v>6416</v>
      </c>
      <c r="J89">
        <v>74</v>
      </c>
      <c r="K89">
        <v>314</v>
      </c>
      <c r="L89" t="s">
        <v>4921</v>
      </c>
      <c r="M89" s="6" t="s">
        <v>6558</v>
      </c>
      <c r="N89" s="6" t="s">
        <v>6567</v>
      </c>
      <c r="O89" s="6">
        <v>69</v>
      </c>
      <c r="P89" s="6">
        <v>64</v>
      </c>
      <c r="Q89" s="6">
        <v>71</v>
      </c>
      <c r="R89" s="6">
        <v>64</v>
      </c>
      <c r="S89" s="6">
        <v>68</v>
      </c>
      <c r="T89" s="6">
        <v>70</v>
      </c>
      <c r="U89" s="6">
        <v>66</v>
      </c>
      <c r="V89" s="6">
        <v>83</v>
      </c>
      <c r="W89" s="6">
        <v>74</v>
      </c>
      <c r="X89" s="6">
        <v>70</v>
      </c>
      <c r="Y89" s="6">
        <v>85</v>
      </c>
      <c r="Z89" s="6">
        <v>70</v>
      </c>
      <c r="AA89" s="6">
        <v>59</v>
      </c>
      <c r="AB89" s="6">
        <v>69</v>
      </c>
      <c r="AC89" s="6">
        <v>58</v>
      </c>
      <c r="AD89" s="6">
        <v>58</v>
      </c>
      <c r="AE89" s="6">
        <v>56</v>
      </c>
      <c r="AF89" s="6">
        <v>56</v>
      </c>
      <c r="AG89" s="6" t="s">
        <v>6954</v>
      </c>
      <c r="AH89" s="6" t="s">
        <v>6674</v>
      </c>
    </row>
    <row r="90" spans="1:34" x14ac:dyDescent="0.2">
      <c r="A90" t="s">
        <v>3308</v>
      </c>
      <c r="B90" t="s">
        <v>1572</v>
      </c>
      <c r="C90" t="s">
        <v>53</v>
      </c>
      <c r="D90" s="7" t="s">
        <v>137</v>
      </c>
      <c r="E90" t="s">
        <v>38</v>
      </c>
      <c r="F90">
        <v>27</v>
      </c>
      <c r="G90">
        <v>77</v>
      </c>
      <c r="H90">
        <v>86</v>
      </c>
      <c r="I90" t="s">
        <v>6306</v>
      </c>
      <c r="J90">
        <v>75</v>
      </c>
      <c r="K90">
        <v>222</v>
      </c>
      <c r="L90" t="s">
        <v>5002</v>
      </c>
      <c r="M90" s="6" t="s">
        <v>6558</v>
      </c>
      <c r="N90" s="6" t="s">
        <v>6565</v>
      </c>
      <c r="O90" s="6">
        <v>89</v>
      </c>
      <c r="P90" s="6">
        <v>82</v>
      </c>
      <c r="Q90" s="6">
        <v>76</v>
      </c>
      <c r="R90" s="6">
        <v>71</v>
      </c>
      <c r="S90" s="6">
        <v>81</v>
      </c>
      <c r="T90" s="6">
        <v>70</v>
      </c>
      <c r="U90" s="6">
        <v>92</v>
      </c>
      <c r="V90" s="6">
        <v>87</v>
      </c>
      <c r="W90" s="6">
        <v>89</v>
      </c>
      <c r="X90" s="6">
        <v>88</v>
      </c>
      <c r="Y90" s="6">
        <v>79</v>
      </c>
      <c r="Z90" s="6">
        <v>80</v>
      </c>
      <c r="AA90" s="6">
        <v>80</v>
      </c>
      <c r="AB90" s="6">
        <v>85</v>
      </c>
      <c r="AC90" s="6">
        <v>73</v>
      </c>
      <c r="AD90" s="6">
        <v>75</v>
      </c>
      <c r="AE90" s="6">
        <v>70</v>
      </c>
      <c r="AF90" s="6">
        <v>75</v>
      </c>
      <c r="AG90" s="6" t="s">
        <v>7040</v>
      </c>
      <c r="AH90" s="6" t="s">
        <v>7041</v>
      </c>
    </row>
    <row r="91" spans="1:34" x14ac:dyDescent="0.2">
      <c r="A91" t="s">
        <v>3372</v>
      </c>
      <c r="B91" t="s">
        <v>1636</v>
      </c>
      <c r="C91" t="s">
        <v>2871</v>
      </c>
      <c r="D91" s="7" t="s">
        <v>138</v>
      </c>
      <c r="E91" t="s">
        <v>38</v>
      </c>
      <c r="F91">
        <v>27</v>
      </c>
      <c r="G91">
        <v>76</v>
      </c>
      <c r="H91">
        <v>86</v>
      </c>
      <c r="I91" t="s">
        <v>6379</v>
      </c>
      <c r="J91">
        <v>75</v>
      </c>
      <c r="K91">
        <v>242</v>
      </c>
      <c r="L91" t="s">
        <v>5066</v>
      </c>
      <c r="M91" s="6" t="s">
        <v>6558</v>
      </c>
      <c r="N91" s="6" t="s">
        <v>6565</v>
      </c>
      <c r="O91" s="6">
        <v>76</v>
      </c>
      <c r="P91" s="6">
        <v>85</v>
      </c>
      <c r="Q91" s="6">
        <v>84</v>
      </c>
      <c r="R91" s="6">
        <v>75</v>
      </c>
      <c r="S91" s="6">
        <v>90</v>
      </c>
      <c r="T91" s="6">
        <v>81</v>
      </c>
      <c r="U91" s="6">
        <v>87</v>
      </c>
      <c r="V91" s="6">
        <v>79</v>
      </c>
      <c r="W91" s="6">
        <v>77</v>
      </c>
      <c r="X91" s="6">
        <v>87</v>
      </c>
      <c r="Y91" s="6">
        <v>85</v>
      </c>
      <c r="Z91" s="6">
        <v>79</v>
      </c>
      <c r="AA91" s="6">
        <v>75</v>
      </c>
      <c r="AB91" s="6">
        <v>74</v>
      </c>
      <c r="AC91" s="6">
        <v>73</v>
      </c>
      <c r="AD91" s="6">
        <v>82</v>
      </c>
      <c r="AE91" s="6">
        <v>79</v>
      </c>
      <c r="AF91" s="6">
        <v>77</v>
      </c>
      <c r="AG91" s="6" t="s">
        <v>7107</v>
      </c>
      <c r="AH91" s="6" t="s">
        <v>6838</v>
      </c>
    </row>
    <row r="92" spans="1:34" x14ac:dyDescent="0.2">
      <c r="A92" t="s">
        <v>3406</v>
      </c>
      <c r="B92" t="s">
        <v>1670</v>
      </c>
      <c r="C92" t="s">
        <v>2885</v>
      </c>
      <c r="D92" s="7" t="s">
        <v>138</v>
      </c>
      <c r="E92" t="s">
        <v>58</v>
      </c>
      <c r="F92">
        <v>22</v>
      </c>
      <c r="G92">
        <v>81</v>
      </c>
      <c r="H92">
        <v>86</v>
      </c>
      <c r="I92" t="s">
        <v>6413</v>
      </c>
      <c r="J92">
        <v>74</v>
      </c>
      <c r="K92">
        <v>238</v>
      </c>
      <c r="L92" t="s">
        <v>5100</v>
      </c>
      <c r="M92" s="6" t="s">
        <v>6558</v>
      </c>
      <c r="N92" s="6" t="s">
        <v>6614</v>
      </c>
      <c r="O92" s="6">
        <v>72</v>
      </c>
      <c r="P92" s="6">
        <v>64</v>
      </c>
      <c r="Q92" s="6">
        <v>75</v>
      </c>
      <c r="R92" s="6">
        <v>56</v>
      </c>
      <c r="S92" s="6">
        <v>73</v>
      </c>
      <c r="T92" s="6">
        <v>70</v>
      </c>
      <c r="U92" s="6">
        <v>81</v>
      </c>
      <c r="V92" s="6">
        <v>73</v>
      </c>
      <c r="W92" s="6">
        <v>70</v>
      </c>
      <c r="X92" s="6">
        <v>71</v>
      </c>
      <c r="Y92" s="6">
        <v>75</v>
      </c>
      <c r="Z92" s="6">
        <v>72</v>
      </c>
      <c r="AA92" s="6">
        <v>76</v>
      </c>
      <c r="AB92" s="6">
        <v>76</v>
      </c>
      <c r="AC92" s="6">
        <v>58</v>
      </c>
      <c r="AD92" s="6">
        <v>73</v>
      </c>
      <c r="AE92" s="6">
        <v>68</v>
      </c>
      <c r="AF92" s="6">
        <v>73</v>
      </c>
      <c r="AG92" s="6" t="s">
        <v>7140</v>
      </c>
      <c r="AH92" s="6" t="s">
        <v>6628</v>
      </c>
    </row>
    <row r="93" spans="1:34" x14ac:dyDescent="0.2">
      <c r="A93" t="s">
        <v>3568</v>
      </c>
      <c r="B93" t="s">
        <v>1832</v>
      </c>
      <c r="C93" t="s">
        <v>2882</v>
      </c>
      <c r="D93" s="7" t="s">
        <v>141</v>
      </c>
      <c r="E93" t="s">
        <v>38</v>
      </c>
      <c r="F93">
        <v>27</v>
      </c>
      <c r="G93">
        <v>83</v>
      </c>
      <c r="H93">
        <v>86</v>
      </c>
      <c r="I93" t="s">
        <v>6420</v>
      </c>
      <c r="J93">
        <v>75</v>
      </c>
      <c r="K93">
        <v>194</v>
      </c>
      <c r="L93" t="s">
        <v>5262</v>
      </c>
      <c r="M93" s="6" t="s">
        <v>6558</v>
      </c>
      <c r="N93" s="6" t="s">
        <v>6583</v>
      </c>
      <c r="O93" s="6">
        <v>79</v>
      </c>
      <c r="P93" s="6">
        <v>76</v>
      </c>
      <c r="Q93" s="6">
        <v>75</v>
      </c>
      <c r="R93" s="6">
        <v>77</v>
      </c>
      <c r="S93" s="6">
        <v>69</v>
      </c>
      <c r="T93" s="6">
        <v>82</v>
      </c>
      <c r="U93" s="6">
        <v>74</v>
      </c>
      <c r="V93" s="6">
        <v>76</v>
      </c>
      <c r="W93" s="6">
        <v>71</v>
      </c>
      <c r="X93" s="6">
        <v>71</v>
      </c>
      <c r="Y93" s="6">
        <v>80</v>
      </c>
      <c r="Z93" s="6">
        <v>82</v>
      </c>
      <c r="AA93" s="6">
        <v>73</v>
      </c>
      <c r="AB93" s="6">
        <v>78</v>
      </c>
      <c r="AC93" s="6">
        <v>70</v>
      </c>
      <c r="AD93" s="6">
        <v>70</v>
      </c>
      <c r="AE93" s="6">
        <v>78</v>
      </c>
      <c r="AF93" s="6">
        <v>83</v>
      </c>
      <c r="AG93" s="6" t="s">
        <v>7305</v>
      </c>
      <c r="AH93" s="6" t="s">
        <v>6636</v>
      </c>
    </row>
    <row r="94" spans="1:34" x14ac:dyDescent="0.2">
      <c r="A94" t="s">
        <v>3640</v>
      </c>
      <c r="B94" t="s">
        <v>1904</v>
      </c>
      <c r="C94" t="s">
        <v>57</v>
      </c>
      <c r="D94" s="7" t="s">
        <v>143</v>
      </c>
      <c r="E94" t="s">
        <v>58</v>
      </c>
      <c r="F94">
        <v>30</v>
      </c>
      <c r="G94">
        <v>74</v>
      </c>
      <c r="H94">
        <v>86</v>
      </c>
      <c r="I94" t="s">
        <v>6478</v>
      </c>
      <c r="J94">
        <v>74</v>
      </c>
      <c r="K94">
        <v>187</v>
      </c>
      <c r="L94" t="s">
        <v>5334</v>
      </c>
      <c r="M94" s="6" t="s">
        <v>6558</v>
      </c>
      <c r="N94" s="6" t="s">
        <v>6614</v>
      </c>
      <c r="O94" s="6">
        <v>84</v>
      </c>
      <c r="P94" s="6">
        <v>75</v>
      </c>
      <c r="Q94" s="6">
        <v>85</v>
      </c>
      <c r="R94" s="6">
        <v>62</v>
      </c>
      <c r="S94" s="6">
        <v>81</v>
      </c>
      <c r="T94" s="6">
        <v>69</v>
      </c>
      <c r="U94" s="6">
        <v>74</v>
      </c>
      <c r="V94" s="6">
        <v>73</v>
      </c>
      <c r="W94" s="6">
        <v>69</v>
      </c>
      <c r="X94" s="6">
        <v>74</v>
      </c>
      <c r="Y94" s="6">
        <v>76</v>
      </c>
      <c r="Z94" s="6">
        <v>78</v>
      </c>
      <c r="AA94" s="6">
        <v>73</v>
      </c>
      <c r="AB94" s="6">
        <v>67</v>
      </c>
      <c r="AC94" s="6">
        <v>69</v>
      </c>
      <c r="AD94" s="6">
        <v>77</v>
      </c>
      <c r="AE94" s="6">
        <v>70</v>
      </c>
      <c r="AF94" s="6">
        <v>63</v>
      </c>
      <c r="AG94" s="6" t="s">
        <v>7375</v>
      </c>
      <c r="AH94" s="6" t="s">
        <v>6574</v>
      </c>
    </row>
    <row r="95" spans="1:34" x14ac:dyDescent="0.2">
      <c r="A95" t="s">
        <v>3648</v>
      </c>
      <c r="B95" t="s">
        <v>1912</v>
      </c>
      <c r="C95" t="s">
        <v>2871</v>
      </c>
      <c r="D95" s="7" t="s">
        <v>143</v>
      </c>
      <c r="E95" t="s">
        <v>38</v>
      </c>
      <c r="F95">
        <v>28</v>
      </c>
      <c r="G95">
        <v>68</v>
      </c>
      <c r="H95">
        <v>86</v>
      </c>
      <c r="I95" t="s">
        <v>6418</v>
      </c>
      <c r="J95">
        <v>76</v>
      </c>
      <c r="K95">
        <v>269</v>
      </c>
      <c r="L95" t="s">
        <v>5342</v>
      </c>
      <c r="M95" s="6" t="s">
        <v>6558</v>
      </c>
      <c r="N95" s="6" t="s">
        <v>6559</v>
      </c>
      <c r="O95" s="6">
        <v>75</v>
      </c>
      <c r="P95" s="6">
        <v>68</v>
      </c>
      <c r="Q95" s="6">
        <v>77</v>
      </c>
      <c r="R95" s="6">
        <v>83</v>
      </c>
      <c r="S95" s="6">
        <v>72</v>
      </c>
      <c r="T95" s="6">
        <v>70</v>
      </c>
      <c r="U95" s="6">
        <v>61</v>
      </c>
      <c r="V95" s="6">
        <v>74</v>
      </c>
      <c r="W95" s="6">
        <v>73</v>
      </c>
      <c r="X95" s="6">
        <v>65</v>
      </c>
      <c r="Y95" s="6">
        <v>64</v>
      </c>
      <c r="Z95" s="6">
        <v>71</v>
      </c>
      <c r="AA95" s="6">
        <v>68</v>
      </c>
      <c r="AB95" s="6">
        <v>73</v>
      </c>
      <c r="AC95" s="6">
        <v>63</v>
      </c>
      <c r="AD95" s="6">
        <v>79</v>
      </c>
      <c r="AE95" s="6">
        <v>70</v>
      </c>
      <c r="AF95" s="6">
        <v>68</v>
      </c>
      <c r="AG95" s="6" t="s">
        <v>7383</v>
      </c>
      <c r="AH95" s="6" t="s">
        <v>6591</v>
      </c>
    </row>
    <row r="96" spans="1:34" x14ac:dyDescent="0.2">
      <c r="A96" t="s">
        <v>2943</v>
      </c>
      <c r="B96" t="s">
        <v>1207</v>
      </c>
      <c r="C96" t="s">
        <v>2879</v>
      </c>
      <c r="D96" s="7" t="s">
        <v>129</v>
      </c>
      <c r="E96" t="s">
        <v>38</v>
      </c>
      <c r="F96">
        <v>26</v>
      </c>
      <c r="G96">
        <v>77</v>
      </c>
      <c r="H96">
        <v>85</v>
      </c>
      <c r="I96" t="s">
        <v>6330</v>
      </c>
      <c r="J96">
        <v>76</v>
      </c>
      <c r="K96">
        <v>306</v>
      </c>
      <c r="L96" t="s">
        <v>4637</v>
      </c>
      <c r="M96" s="6" t="s">
        <v>6558</v>
      </c>
      <c r="N96" s="6" t="s">
        <v>6559</v>
      </c>
      <c r="O96" s="6">
        <v>73</v>
      </c>
      <c r="P96" s="6">
        <v>79</v>
      </c>
      <c r="Q96" s="6">
        <v>70</v>
      </c>
      <c r="R96" s="6">
        <v>83</v>
      </c>
      <c r="S96" s="6">
        <v>86</v>
      </c>
      <c r="T96" s="6">
        <v>72</v>
      </c>
      <c r="U96" s="6">
        <v>92</v>
      </c>
      <c r="V96" s="6">
        <v>76</v>
      </c>
      <c r="W96" s="6">
        <v>79</v>
      </c>
      <c r="X96" s="6">
        <v>78</v>
      </c>
      <c r="Y96" s="6">
        <v>87</v>
      </c>
      <c r="Z96" s="6">
        <v>75</v>
      </c>
      <c r="AA96" s="6">
        <v>75</v>
      </c>
      <c r="AB96" s="6">
        <v>82</v>
      </c>
      <c r="AC96" s="6">
        <v>69</v>
      </c>
      <c r="AD96" s="6">
        <v>73</v>
      </c>
      <c r="AE96" s="6">
        <v>72</v>
      </c>
      <c r="AF96" s="6">
        <v>71</v>
      </c>
      <c r="AG96" s="6" t="s">
        <v>6616</v>
      </c>
      <c r="AH96" s="6" t="s">
        <v>6617</v>
      </c>
    </row>
    <row r="97" spans="1:34" x14ac:dyDescent="0.2">
      <c r="A97" t="s">
        <v>2966</v>
      </c>
      <c r="B97" t="s">
        <v>1230</v>
      </c>
      <c r="C97" t="s">
        <v>2870</v>
      </c>
      <c r="D97" s="7" t="s">
        <v>146</v>
      </c>
      <c r="E97" t="s">
        <v>58</v>
      </c>
      <c r="F97">
        <v>28</v>
      </c>
      <c r="G97">
        <v>80</v>
      </c>
      <c r="H97">
        <v>85</v>
      </c>
      <c r="I97" t="s">
        <v>6306</v>
      </c>
      <c r="J97">
        <v>70</v>
      </c>
      <c r="K97">
        <v>217</v>
      </c>
      <c r="L97" t="s">
        <v>4660</v>
      </c>
      <c r="M97" s="6" t="s">
        <v>6558</v>
      </c>
      <c r="N97" s="6" t="s">
        <v>6565</v>
      </c>
      <c r="O97" s="6">
        <v>67</v>
      </c>
      <c r="P97" s="6">
        <v>73</v>
      </c>
      <c r="Q97" s="6">
        <v>72</v>
      </c>
      <c r="R97" s="6">
        <v>74</v>
      </c>
      <c r="S97" s="6">
        <v>72</v>
      </c>
      <c r="T97" s="6">
        <v>69</v>
      </c>
      <c r="U97" s="6">
        <v>77</v>
      </c>
      <c r="V97" s="6">
        <v>76</v>
      </c>
      <c r="W97" s="6">
        <v>82</v>
      </c>
      <c r="X97" s="6">
        <v>65</v>
      </c>
      <c r="Y97" s="6">
        <v>77</v>
      </c>
      <c r="Z97" s="6">
        <v>76</v>
      </c>
      <c r="AA97" s="6">
        <v>75</v>
      </c>
      <c r="AB97" s="6">
        <v>78</v>
      </c>
      <c r="AC97" s="6">
        <v>70</v>
      </c>
      <c r="AD97" s="6">
        <v>83</v>
      </c>
      <c r="AE97" s="6">
        <v>69</v>
      </c>
      <c r="AF97" s="6">
        <v>79</v>
      </c>
      <c r="AG97" s="6" t="s">
        <v>6653</v>
      </c>
      <c r="AH97" s="6" t="s">
        <v>6654</v>
      </c>
    </row>
    <row r="98" spans="1:34" x14ac:dyDescent="0.2">
      <c r="A98" t="s">
        <v>3095</v>
      </c>
      <c r="B98" t="s">
        <v>1359</v>
      </c>
      <c r="C98" t="s">
        <v>2882</v>
      </c>
      <c r="D98" s="7" t="s">
        <v>130</v>
      </c>
      <c r="E98" t="s">
        <v>38</v>
      </c>
      <c r="F98">
        <v>23</v>
      </c>
      <c r="G98">
        <v>70</v>
      </c>
      <c r="H98">
        <v>85</v>
      </c>
      <c r="I98" t="s">
        <v>6332</v>
      </c>
      <c r="J98">
        <v>75</v>
      </c>
      <c r="K98">
        <v>210</v>
      </c>
      <c r="L98" t="s">
        <v>4789</v>
      </c>
      <c r="M98" s="6" t="s">
        <v>6558</v>
      </c>
      <c r="N98" s="6" t="s">
        <v>6565</v>
      </c>
      <c r="O98" s="6">
        <v>66</v>
      </c>
      <c r="P98" s="6">
        <v>73</v>
      </c>
      <c r="Q98" s="6">
        <v>64</v>
      </c>
      <c r="R98" s="6">
        <v>75</v>
      </c>
      <c r="S98" s="6">
        <v>71</v>
      </c>
      <c r="T98" s="6">
        <v>69</v>
      </c>
      <c r="U98" s="6">
        <v>68</v>
      </c>
      <c r="V98" s="6">
        <v>70</v>
      </c>
      <c r="W98" s="6">
        <v>68</v>
      </c>
      <c r="X98" s="6">
        <v>67</v>
      </c>
      <c r="Y98" s="6">
        <v>72</v>
      </c>
      <c r="Z98" s="6">
        <v>76</v>
      </c>
      <c r="AA98" s="6">
        <v>67</v>
      </c>
      <c r="AB98" s="6">
        <v>67</v>
      </c>
      <c r="AC98" s="6">
        <v>66</v>
      </c>
      <c r="AD98" s="6">
        <v>72</v>
      </c>
      <c r="AE98" s="6">
        <v>66</v>
      </c>
      <c r="AF98" s="6">
        <v>72</v>
      </c>
      <c r="AG98" s="6" t="s">
        <v>6814</v>
      </c>
      <c r="AH98" s="6" t="s">
        <v>6636</v>
      </c>
    </row>
    <row r="99" spans="1:34" x14ac:dyDescent="0.2">
      <c r="A99" t="s">
        <v>3163</v>
      </c>
      <c r="B99" t="s">
        <v>1427</v>
      </c>
      <c r="C99" t="s">
        <v>57</v>
      </c>
      <c r="D99" s="7" t="s">
        <v>134</v>
      </c>
      <c r="E99" t="s">
        <v>58</v>
      </c>
      <c r="F99">
        <v>30</v>
      </c>
      <c r="G99">
        <v>79</v>
      </c>
      <c r="H99">
        <v>85</v>
      </c>
      <c r="I99" t="s">
        <v>6355</v>
      </c>
      <c r="J99">
        <v>74</v>
      </c>
      <c r="K99">
        <v>202</v>
      </c>
      <c r="L99" t="s">
        <v>4857</v>
      </c>
      <c r="M99" s="6" t="s">
        <v>6558</v>
      </c>
      <c r="N99" s="6" t="s">
        <v>6583</v>
      </c>
      <c r="O99" s="6">
        <v>82</v>
      </c>
      <c r="P99" s="6">
        <v>87</v>
      </c>
      <c r="Q99" s="6">
        <v>73</v>
      </c>
      <c r="R99" s="6">
        <v>77</v>
      </c>
      <c r="S99" s="6">
        <v>85</v>
      </c>
      <c r="T99" s="6">
        <v>74</v>
      </c>
      <c r="U99" s="6">
        <v>76</v>
      </c>
      <c r="V99" s="6">
        <v>80</v>
      </c>
      <c r="W99" s="6">
        <v>75</v>
      </c>
      <c r="X99" s="6">
        <v>81</v>
      </c>
      <c r="Y99" s="6">
        <v>78</v>
      </c>
      <c r="Z99" s="6">
        <v>77</v>
      </c>
      <c r="AA99" s="6">
        <v>69</v>
      </c>
      <c r="AB99" s="6">
        <v>78</v>
      </c>
      <c r="AC99" s="6">
        <v>72</v>
      </c>
      <c r="AD99" s="6">
        <v>74</v>
      </c>
      <c r="AE99" s="6">
        <v>71</v>
      </c>
      <c r="AF99" s="6">
        <v>71</v>
      </c>
      <c r="AG99" s="6" t="s">
        <v>6890</v>
      </c>
      <c r="AH99" s="6" t="s">
        <v>6664</v>
      </c>
    </row>
    <row r="100" spans="1:34" x14ac:dyDescent="0.2">
      <c r="A100" t="s">
        <v>3379</v>
      </c>
      <c r="B100" t="s">
        <v>1643</v>
      </c>
      <c r="C100" t="s">
        <v>2887</v>
      </c>
      <c r="D100" s="7" t="s">
        <v>138</v>
      </c>
      <c r="E100" t="s">
        <v>58</v>
      </c>
      <c r="F100">
        <v>30</v>
      </c>
      <c r="G100">
        <v>75</v>
      </c>
      <c r="H100">
        <v>85</v>
      </c>
      <c r="I100" t="s">
        <v>6386</v>
      </c>
      <c r="J100">
        <v>74</v>
      </c>
      <c r="K100">
        <v>309</v>
      </c>
      <c r="L100" t="s">
        <v>5073</v>
      </c>
      <c r="M100" s="6" t="s">
        <v>6558</v>
      </c>
      <c r="N100" s="6" t="s">
        <v>6559</v>
      </c>
      <c r="O100" s="6">
        <v>86</v>
      </c>
      <c r="P100" s="6">
        <v>77</v>
      </c>
      <c r="Q100" s="6">
        <v>69</v>
      </c>
      <c r="R100" s="6">
        <v>83</v>
      </c>
      <c r="S100" s="6">
        <v>85</v>
      </c>
      <c r="T100" s="6">
        <v>83</v>
      </c>
      <c r="U100" s="6">
        <v>67</v>
      </c>
      <c r="V100" s="6">
        <v>67</v>
      </c>
      <c r="W100" s="6">
        <v>85</v>
      </c>
      <c r="X100" s="6">
        <v>84</v>
      </c>
      <c r="Y100" s="6">
        <v>85</v>
      </c>
      <c r="Z100" s="6">
        <v>82</v>
      </c>
      <c r="AA100" s="6">
        <v>68</v>
      </c>
      <c r="AB100" s="6">
        <v>73</v>
      </c>
      <c r="AC100" s="6">
        <v>69</v>
      </c>
      <c r="AD100" s="6">
        <v>66</v>
      </c>
      <c r="AE100" s="6">
        <v>76</v>
      </c>
      <c r="AF100" s="6">
        <v>68</v>
      </c>
      <c r="AG100" s="6" t="s">
        <v>7114</v>
      </c>
      <c r="AH100" s="6" t="s">
        <v>6598</v>
      </c>
    </row>
    <row r="101" spans="1:34" x14ac:dyDescent="0.2">
      <c r="A101" t="s">
        <v>2956</v>
      </c>
      <c r="B101" t="s">
        <v>1220</v>
      </c>
      <c r="C101" t="s">
        <v>2882</v>
      </c>
      <c r="D101" s="7" t="s">
        <v>129</v>
      </c>
      <c r="E101" t="s">
        <v>38</v>
      </c>
      <c r="F101">
        <v>22</v>
      </c>
      <c r="G101">
        <v>68</v>
      </c>
      <c r="H101">
        <v>84</v>
      </c>
      <c r="I101" t="s">
        <v>6343</v>
      </c>
      <c r="J101">
        <v>72</v>
      </c>
      <c r="K101">
        <v>190</v>
      </c>
      <c r="L101" t="s">
        <v>4650</v>
      </c>
      <c r="M101" s="6" t="s">
        <v>6558</v>
      </c>
      <c r="N101" s="6" t="s">
        <v>6565</v>
      </c>
      <c r="O101" s="6">
        <v>67</v>
      </c>
      <c r="P101" s="6">
        <v>63</v>
      </c>
      <c r="Q101" s="6">
        <v>70</v>
      </c>
      <c r="R101" s="6">
        <v>75</v>
      </c>
      <c r="S101" s="6">
        <v>80</v>
      </c>
      <c r="T101" s="6">
        <v>60</v>
      </c>
      <c r="U101" s="6">
        <v>66</v>
      </c>
      <c r="V101" s="6">
        <v>64</v>
      </c>
      <c r="W101" s="6">
        <v>62</v>
      </c>
      <c r="X101" s="6">
        <v>55</v>
      </c>
      <c r="Y101" s="6">
        <v>63</v>
      </c>
      <c r="Z101" s="6">
        <v>68</v>
      </c>
      <c r="AA101" s="6">
        <v>60</v>
      </c>
      <c r="AB101" s="6">
        <v>70</v>
      </c>
      <c r="AC101" s="6">
        <v>57</v>
      </c>
      <c r="AD101" s="6">
        <v>62</v>
      </c>
      <c r="AE101" s="6">
        <v>69</v>
      </c>
      <c r="AF101" s="6">
        <v>71</v>
      </c>
      <c r="AG101" s="6" t="s">
        <v>6637</v>
      </c>
      <c r="AH101" s="6" t="s">
        <v>6638</v>
      </c>
    </row>
    <row r="102" spans="1:34" x14ac:dyDescent="0.2">
      <c r="A102" t="s">
        <v>2965</v>
      </c>
      <c r="B102" t="s">
        <v>1229</v>
      </c>
      <c r="C102" t="s">
        <v>53</v>
      </c>
      <c r="D102" s="7" t="s">
        <v>146</v>
      </c>
      <c r="E102" t="s">
        <v>38</v>
      </c>
      <c r="F102">
        <v>21</v>
      </c>
      <c r="G102">
        <v>71</v>
      </c>
      <c r="H102">
        <v>84</v>
      </c>
      <c r="I102" t="s">
        <v>6305</v>
      </c>
      <c r="J102">
        <v>75</v>
      </c>
      <c r="K102">
        <v>219</v>
      </c>
      <c r="L102" t="s">
        <v>4659</v>
      </c>
      <c r="M102" s="6" t="s">
        <v>6558</v>
      </c>
      <c r="N102" s="6" t="s">
        <v>6559</v>
      </c>
      <c r="O102" s="6">
        <v>77</v>
      </c>
      <c r="P102" s="6">
        <v>72</v>
      </c>
      <c r="Q102" s="6">
        <v>67</v>
      </c>
      <c r="R102" s="6">
        <v>84</v>
      </c>
      <c r="S102" s="6">
        <v>69</v>
      </c>
      <c r="T102" s="6">
        <v>69</v>
      </c>
      <c r="U102" s="6">
        <v>69</v>
      </c>
      <c r="V102" s="6">
        <v>65</v>
      </c>
      <c r="W102" s="6">
        <v>78</v>
      </c>
      <c r="X102" s="6">
        <v>71</v>
      </c>
      <c r="Y102" s="6">
        <v>63</v>
      </c>
      <c r="Z102" s="6">
        <v>69</v>
      </c>
      <c r="AA102" s="6">
        <v>69</v>
      </c>
      <c r="AB102" s="6">
        <v>76</v>
      </c>
      <c r="AC102" s="6">
        <v>69</v>
      </c>
      <c r="AD102" s="6">
        <v>58</v>
      </c>
      <c r="AE102" s="6">
        <v>74</v>
      </c>
      <c r="AF102" s="6">
        <v>64</v>
      </c>
      <c r="AG102" s="6" t="s">
        <v>6652</v>
      </c>
      <c r="AH102" s="6" t="s">
        <v>6570</v>
      </c>
    </row>
    <row r="103" spans="1:34" x14ac:dyDescent="0.2">
      <c r="A103" t="s">
        <v>2972</v>
      </c>
      <c r="B103" t="s">
        <v>1236</v>
      </c>
      <c r="C103" t="s">
        <v>57</v>
      </c>
      <c r="D103" s="7" t="s">
        <v>146</v>
      </c>
      <c r="E103" t="s">
        <v>58</v>
      </c>
      <c r="F103">
        <v>30</v>
      </c>
      <c r="G103">
        <v>72</v>
      </c>
      <c r="H103">
        <v>84</v>
      </c>
      <c r="I103" t="s">
        <v>6310</v>
      </c>
      <c r="J103">
        <v>75</v>
      </c>
      <c r="K103">
        <v>208</v>
      </c>
      <c r="L103" t="s">
        <v>4666</v>
      </c>
      <c r="M103" s="6" t="s">
        <v>6558</v>
      </c>
      <c r="N103" s="6" t="s">
        <v>6567</v>
      </c>
      <c r="O103" s="6">
        <v>84</v>
      </c>
      <c r="P103" s="6">
        <v>71</v>
      </c>
      <c r="Q103" s="6">
        <v>67</v>
      </c>
      <c r="R103" s="6">
        <v>65</v>
      </c>
      <c r="S103" s="6">
        <v>73</v>
      </c>
      <c r="T103" s="6">
        <v>83</v>
      </c>
      <c r="U103" s="6">
        <v>74</v>
      </c>
      <c r="V103" s="6">
        <v>75</v>
      </c>
      <c r="W103" s="6">
        <v>76</v>
      </c>
      <c r="X103" s="6">
        <v>68</v>
      </c>
      <c r="Y103" s="6">
        <v>63</v>
      </c>
      <c r="Z103" s="6">
        <v>69</v>
      </c>
      <c r="AA103" s="6">
        <v>66</v>
      </c>
      <c r="AB103" s="6">
        <v>68</v>
      </c>
      <c r="AC103" s="6">
        <v>64</v>
      </c>
      <c r="AD103" s="6">
        <v>75</v>
      </c>
      <c r="AE103" s="6">
        <v>65</v>
      </c>
      <c r="AF103" s="6">
        <v>71</v>
      </c>
      <c r="AG103" s="6" t="s">
        <v>6663</v>
      </c>
      <c r="AH103" s="6" t="s">
        <v>6664</v>
      </c>
    </row>
    <row r="104" spans="1:34" x14ac:dyDescent="0.2">
      <c r="A104" t="s">
        <v>2973</v>
      </c>
      <c r="B104" t="s">
        <v>1237</v>
      </c>
      <c r="C104" t="s">
        <v>57</v>
      </c>
      <c r="D104" s="7" t="s">
        <v>146</v>
      </c>
      <c r="E104" t="s">
        <v>58</v>
      </c>
      <c r="F104">
        <v>30</v>
      </c>
      <c r="G104">
        <v>72</v>
      </c>
      <c r="H104">
        <v>84</v>
      </c>
      <c r="I104" t="s">
        <v>6311</v>
      </c>
      <c r="J104">
        <v>73</v>
      </c>
      <c r="K104">
        <v>192</v>
      </c>
      <c r="L104" t="s">
        <v>4667</v>
      </c>
      <c r="M104" s="6" t="s">
        <v>6558</v>
      </c>
      <c r="N104" s="6" t="s">
        <v>6565</v>
      </c>
      <c r="O104" s="6">
        <v>72</v>
      </c>
      <c r="P104" s="6">
        <v>76</v>
      </c>
      <c r="Q104" s="6">
        <v>78</v>
      </c>
      <c r="R104" s="6">
        <v>73</v>
      </c>
      <c r="S104" s="6">
        <v>79</v>
      </c>
      <c r="T104" s="6">
        <v>78</v>
      </c>
      <c r="U104" s="6">
        <v>72</v>
      </c>
      <c r="V104" s="6">
        <v>71</v>
      </c>
      <c r="W104" s="6">
        <v>81</v>
      </c>
      <c r="X104" s="6">
        <v>64</v>
      </c>
      <c r="Y104" s="6">
        <v>80</v>
      </c>
      <c r="Z104" s="6">
        <v>78</v>
      </c>
      <c r="AA104" s="6">
        <v>67</v>
      </c>
      <c r="AB104" s="6">
        <v>75</v>
      </c>
      <c r="AC104" s="6">
        <v>73</v>
      </c>
      <c r="AD104" s="6">
        <v>67</v>
      </c>
      <c r="AE104" s="6">
        <v>66</v>
      </c>
      <c r="AF104" s="6">
        <v>71</v>
      </c>
      <c r="AG104" s="6" t="s">
        <v>6665</v>
      </c>
      <c r="AH104" s="6" t="s">
        <v>6661</v>
      </c>
    </row>
    <row r="105" spans="1:34" x14ac:dyDescent="0.2">
      <c r="A105" t="s">
        <v>2998</v>
      </c>
      <c r="B105" t="s">
        <v>1262</v>
      </c>
      <c r="C105" t="s">
        <v>2882</v>
      </c>
      <c r="D105" s="7" t="s">
        <v>146</v>
      </c>
      <c r="E105" t="s">
        <v>38</v>
      </c>
      <c r="F105">
        <v>26</v>
      </c>
      <c r="G105">
        <v>78</v>
      </c>
      <c r="H105">
        <v>84</v>
      </c>
      <c r="I105" t="s">
        <v>6335</v>
      </c>
      <c r="J105">
        <v>72</v>
      </c>
      <c r="K105">
        <v>201</v>
      </c>
      <c r="L105" t="s">
        <v>4692</v>
      </c>
      <c r="M105" s="6" t="s">
        <v>6558</v>
      </c>
      <c r="N105" s="6" t="s">
        <v>6565</v>
      </c>
      <c r="O105" s="6">
        <v>86</v>
      </c>
      <c r="P105" s="6">
        <v>75</v>
      </c>
      <c r="Q105" s="6">
        <v>81</v>
      </c>
      <c r="R105" s="6">
        <v>72</v>
      </c>
      <c r="S105" s="6">
        <v>71</v>
      </c>
      <c r="T105" s="6">
        <v>75</v>
      </c>
      <c r="U105" s="6">
        <v>76</v>
      </c>
      <c r="V105" s="6">
        <v>84</v>
      </c>
      <c r="W105" s="6">
        <v>62</v>
      </c>
      <c r="X105" s="6">
        <v>81</v>
      </c>
      <c r="Y105" s="6">
        <v>77</v>
      </c>
      <c r="Z105" s="6">
        <v>75</v>
      </c>
      <c r="AA105" s="6">
        <v>72</v>
      </c>
      <c r="AB105" s="6">
        <v>80</v>
      </c>
      <c r="AC105" s="6">
        <v>80</v>
      </c>
      <c r="AD105" s="6">
        <v>75</v>
      </c>
      <c r="AE105" s="6">
        <v>72</v>
      </c>
      <c r="AF105" s="6">
        <v>76</v>
      </c>
      <c r="AG105" s="6" t="s">
        <v>6699</v>
      </c>
      <c r="AH105" s="6" t="s">
        <v>6636</v>
      </c>
    </row>
    <row r="106" spans="1:34" x14ac:dyDescent="0.2">
      <c r="A106" t="s">
        <v>3017</v>
      </c>
      <c r="B106" t="s">
        <v>1281</v>
      </c>
      <c r="C106" t="s">
        <v>2870</v>
      </c>
      <c r="D106" s="7" t="s">
        <v>131</v>
      </c>
      <c r="E106" t="s">
        <v>38</v>
      </c>
      <c r="F106">
        <v>21</v>
      </c>
      <c r="G106">
        <v>67</v>
      </c>
      <c r="H106">
        <v>84</v>
      </c>
      <c r="I106" t="s">
        <v>6307</v>
      </c>
      <c r="J106">
        <v>70</v>
      </c>
      <c r="K106">
        <v>203</v>
      </c>
      <c r="L106" t="s">
        <v>4711</v>
      </c>
      <c r="M106" s="6" t="s">
        <v>6558</v>
      </c>
      <c r="N106" s="6" t="s">
        <v>6567</v>
      </c>
      <c r="O106" s="6">
        <v>72</v>
      </c>
      <c r="P106" s="6">
        <v>53</v>
      </c>
      <c r="Q106" s="6">
        <v>63</v>
      </c>
      <c r="R106" s="6">
        <v>64</v>
      </c>
      <c r="S106" s="6">
        <v>69</v>
      </c>
      <c r="T106" s="6">
        <v>63</v>
      </c>
      <c r="U106" s="6">
        <v>60</v>
      </c>
      <c r="V106" s="6">
        <v>64</v>
      </c>
      <c r="W106" s="6">
        <v>65</v>
      </c>
      <c r="X106" s="6">
        <v>67</v>
      </c>
      <c r="Y106" s="6">
        <v>67</v>
      </c>
      <c r="Z106" s="6">
        <v>60</v>
      </c>
      <c r="AA106" s="6">
        <v>69</v>
      </c>
      <c r="AB106" s="6">
        <v>68</v>
      </c>
      <c r="AC106" s="6">
        <v>61</v>
      </c>
      <c r="AD106" s="6">
        <v>61</v>
      </c>
      <c r="AE106" s="6">
        <v>67</v>
      </c>
      <c r="AF106" s="6">
        <v>69</v>
      </c>
      <c r="AG106" s="6" t="s">
        <v>6724</v>
      </c>
      <c r="AH106" s="6" t="s">
        <v>6725</v>
      </c>
    </row>
    <row r="107" spans="1:34" x14ac:dyDescent="0.2">
      <c r="A107" t="s">
        <v>3050</v>
      </c>
      <c r="B107" t="s">
        <v>1314</v>
      </c>
      <c r="C107" t="s">
        <v>2889</v>
      </c>
      <c r="D107" s="7" t="s">
        <v>131</v>
      </c>
      <c r="E107" t="s">
        <v>38</v>
      </c>
      <c r="F107">
        <v>24</v>
      </c>
      <c r="G107">
        <v>58</v>
      </c>
      <c r="H107">
        <v>84</v>
      </c>
      <c r="I107" t="s">
        <v>6337</v>
      </c>
      <c r="J107">
        <v>76</v>
      </c>
      <c r="K107">
        <v>260</v>
      </c>
      <c r="L107" t="s">
        <v>4744</v>
      </c>
      <c r="M107" s="6" t="s">
        <v>6558</v>
      </c>
      <c r="N107" s="6" t="s">
        <v>6567</v>
      </c>
      <c r="O107" s="6">
        <v>74</v>
      </c>
      <c r="P107" s="6">
        <v>67</v>
      </c>
      <c r="Q107" s="6">
        <v>62</v>
      </c>
      <c r="R107" s="6">
        <v>68</v>
      </c>
      <c r="S107" s="6">
        <v>64</v>
      </c>
      <c r="T107" s="6">
        <v>73</v>
      </c>
      <c r="U107" s="6">
        <v>61</v>
      </c>
      <c r="V107" s="6">
        <v>69</v>
      </c>
      <c r="W107" s="6">
        <v>61</v>
      </c>
      <c r="X107" s="6">
        <v>67</v>
      </c>
      <c r="Y107" s="6">
        <v>58</v>
      </c>
      <c r="Z107" s="6">
        <v>63</v>
      </c>
      <c r="AA107" s="6">
        <v>60</v>
      </c>
      <c r="AB107" s="6">
        <v>70</v>
      </c>
      <c r="AC107" s="6">
        <v>64</v>
      </c>
      <c r="AD107" s="6">
        <v>73</v>
      </c>
      <c r="AE107" s="6">
        <v>69</v>
      </c>
      <c r="AF107" s="6">
        <v>61</v>
      </c>
      <c r="AG107" s="6" t="s">
        <v>6764</v>
      </c>
      <c r="AH107" s="6" t="s">
        <v>6709</v>
      </c>
    </row>
    <row r="108" spans="1:34" x14ac:dyDescent="0.2">
      <c r="A108" t="s">
        <v>3063</v>
      </c>
      <c r="B108" t="s">
        <v>1327</v>
      </c>
      <c r="C108" t="s">
        <v>57</v>
      </c>
      <c r="D108" s="7" t="s">
        <v>130</v>
      </c>
      <c r="E108" t="s">
        <v>38</v>
      </c>
      <c r="F108">
        <v>28</v>
      </c>
      <c r="G108">
        <v>69</v>
      </c>
      <c r="H108">
        <v>84</v>
      </c>
      <c r="I108" t="s">
        <v>6303</v>
      </c>
      <c r="J108">
        <v>72</v>
      </c>
      <c r="K108">
        <v>192</v>
      </c>
      <c r="L108" t="s">
        <v>4757</v>
      </c>
      <c r="M108" s="6" t="s">
        <v>6558</v>
      </c>
      <c r="N108" s="6" t="s">
        <v>6567</v>
      </c>
      <c r="O108" s="6">
        <v>80</v>
      </c>
      <c r="P108" s="6">
        <v>74</v>
      </c>
      <c r="Q108" s="6">
        <v>75</v>
      </c>
      <c r="R108" s="6">
        <v>66</v>
      </c>
      <c r="S108" s="6">
        <v>78</v>
      </c>
      <c r="T108" s="6">
        <v>71</v>
      </c>
      <c r="U108" s="6">
        <v>74</v>
      </c>
      <c r="V108" s="6">
        <v>72</v>
      </c>
      <c r="W108" s="6">
        <v>86</v>
      </c>
      <c r="X108" s="6">
        <v>87</v>
      </c>
      <c r="Y108" s="6">
        <v>81</v>
      </c>
      <c r="Z108" s="6">
        <v>74</v>
      </c>
      <c r="AA108" s="6">
        <v>71</v>
      </c>
      <c r="AB108" s="6">
        <v>66</v>
      </c>
      <c r="AC108" s="6">
        <v>69</v>
      </c>
      <c r="AD108" s="6">
        <v>75</v>
      </c>
      <c r="AE108" s="6">
        <v>74</v>
      </c>
      <c r="AF108" s="6">
        <v>71</v>
      </c>
      <c r="AG108" s="6" t="s">
        <v>6778</v>
      </c>
      <c r="AH108" s="6" t="s">
        <v>6574</v>
      </c>
    </row>
    <row r="109" spans="1:34" x14ac:dyDescent="0.2">
      <c r="A109" t="s">
        <v>3074</v>
      </c>
      <c r="B109" t="s">
        <v>1338</v>
      </c>
      <c r="C109" t="s">
        <v>2874</v>
      </c>
      <c r="D109" s="7" t="s">
        <v>130</v>
      </c>
      <c r="E109" t="s">
        <v>38</v>
      </c>
      <c r="F109">
        <v>22</v>
      </c>
      <c r="G109">
        <v>71</v>
      </c>
      <c r="H109">
        <v>84</v>
      </c>
      <c r="I109" t="s">
        <v>6312</v>
      </c>
      <c r="J109">
        <v>73</v>
      </c>
      <c r="K109">
        <v>304</v>
      </c>
      <c r="L109" t="s">
        <v>4768</v>
      </c>
      <c r="M109" s="6" t="s">
        <v>6558</v>
      </c>
      <c r="N109" s="6" t="s">
        <v>6567</v>
      </c>
      <c r="O109" s="6">
        <v>76</v>
      </c>
      <c r="P109" s="6">
        <v>68</v>
      </c>
      <c r="Q109" s="6">
        <v>77</v>
      </c>
      <c r="R109" s="6">
        <v>67</v>
      </c>
      <c r="S109" s="6">
        <v>69</v>
      </c>
      <c r="T109" s="6">
        <v>61</v>
      </c>
      <c r="U109" s="6">
        <v>74</v>
      </c>
      <c r="V109" s="6">
        <v>60</v>
      </c>
      <c r="W109" s="6">
        <v>71</v>
      </c>
      <c r="X109" s="6">
        <v>61</v>
      </c>
      <c r="Y109" s="6">
        <v>68</v>
      </c>
      <c r="Z109" s="6">
        <v>62</v>
      </c>
      <c r="AA109" s="6">
        <v>68</v>
      </c>
      <c r="AB109" s="6">
        <v>72</v>
      </c>
      <c r="AC109" s="6">
        <v>70</v>
      </c>
      <c r="AD109" s="6">
        <v>59</v>
      </c>
      <c r="AE109" s="6">
        <v>66</v>
      </c>
      <c r="AF109" s="6">
        <v>62</v>
      </c>
      <c r="AG109" s="6" t="s">
        <v>6790</v>
      </c>
      <c r="AH109" s="6" t="s">
        <v>6598</v>
      </c>
    </row>
    <row r="110" spans="1:34" x14ac:dyDescent="0.2">
      <c r="A110" t="s">
        <v>3114</v>
      </c>
      <c r="B110" t="s">
        <v>1378</v>
      </c>
      <c r="C110" t="s">
        <v>2871</v>
      </c>
      <c r="D110" s="7" t="s">
        <v>133</v>
      </c>
      <c r="E110" t="s">
        <v>38</v>
      </c>
      <c r="F110">
        <v>26</v>
      </c>
      <c r="G110">
        <v>90</v>
      </c>
      <c r="H110">
        <v>84</v>
      </c>
      <c r="I110" t="s">
        <v>6312</v>
      </c>
      <c r="J110">
        <v>78</v>
      </c>
      <c r="K110">
        <v>240</v>
      </c>
      <c r="L110" t="s">
        <v>4808</v>
      </c>
      <c r="M110" s="6" t="s">
        <v>6558</v>
      </c>
      <c r="N110" s="6" t="s">
        <v>6559</v>
      </c>
      <c r="O110" s="6">
        <v>81</v>
      </c>
      <c r="P110" s="6">
        <v>85</v>
      </c>
      <c r="Q110" s="6">
        <v>76</v>
      </c>
      <c r="R110" s="6">
        <v>96</v>
      </c>
      <c r="S110" s="6">
        <v>77</v>
      </c>
      <c r="T110" s="6">
        <v>82</v>
      </c>
      <c r="U110" s="6">
        <v>81</v>
      </c>
      <c r="V110" s="6">
        <v>82</v>
      </c>
      <c r="W110" s="6">
        <v>74</v>
      </c>
      <c r="X110" s="6">
        <v>75</v>
      </c>
      <c r="Y110" s="6">
        <v>82</v>
      </c>
      <c r="Z110" s="6">
        <v>74</v>
      </c>
      <c r="AA110" s="6">
        <v>73</v>
      </c>
      <c r="AB110" s="6">
        <v>81</v>
      </c>
      <c r="AC110" s="6">
        <v>82</v>
      </c>
      <c r="AD110" s="6">
        <v>68</v>
      </c>
      <c r="AE110" s="6">
        <v>76</v>
      </c>
      <c r="AF110" s="6">
        <v>74</v>
      </c>
      <c r="AG110" s="6" t="s">
        <v>6835</v>
      </c>
      <c r="AH110" s="6" t="s">
        <v>6587</v>
      </c>
    </row>
    <row r="111" spans="1:34" x14ac:dyDescent="0.2">
      <c r="A111" t="s">
        <v>3141</v>
      </c>
      <c r="B111" t="s">
        <v>1405</v>
      </c>
      <c r="C111" t="s">
        <v>2881</v>
      </c>
      <c r="D111" s="7" t="s">
        <v>133</v>
      </c>
      <c r="E111" t="s">
        <v>38</v>
      </c>
      <c r="F111">
        <v>31</v>
      </c>
      <c r="G111">
        <v>66</v>
      </c>
      <c r="H111">
        <v>84</v>
      </c>
      <c r="I111" t="s">
        <v>6334</v>
      </c>
      <c r="J111">
        <v>74</v>
      </c>
      <c r="K111">
        <v>250</v>
      </c>
      <c r="L111" t="s">
        <v>4835</v>
      </c>
      <c r="M111" s="6" t="s">
        <v>6558</v>
      </c>
      <c r="N111" s="6" t="s">
        <v>6559</v>
      </c>
      <c r="O111" s="6">
        <v>87</v>
      </c>
      <c r="P111" s="6">
        <v>79</v>
      </c>
      <c r="Q111" s="6">
        <v>78</v>
      </c>
      <c r="R111" s="6">
        <v>84</v>
      </c>
      <c r="S111" s="6">
        <v>65</v>
      </c>
      <c r="T111" s="6">
        <v>73</v>
      </c>
      <c r="U111" s="6">
        <v>72</v>
      </c>
      <c r="V111" s="6">
        <v>71</v>
      </c>
      <c r="W111" s="6">
        <v>78</v>
      </c>
      <c r="X111" s="6">
        <v>72</v>
      </c>
      <c r="Y111" s="6">
        <v>72</v>
      </c>
      <c r="Z111" s="6">
        <v>72</v>
      </c>
      <c r="AA111" s="6">
        <v>67</v>
      </c>
      <c r="AB111" s="6">
        <v>64</v>
      </c>
      <c r="AC111" s="6">
        <v>71</v>
      </c>
      <c r="AD111" s="6">
        <v>69</v>
      </c>
      <c r="AE111" s="6">
        <v>72</v>
      </c>
      <c r="AF111" s="6">
        <v>64</v>
      </c>
      <c r="AG111" s="6" t="s">
        <v>6865</v>
      </c>
      <c r="AH111" s="6" t="s">
        <v>6692</v>
      </c>
    </row>
    <row r="112" spans="1:34" x14ac:dyDescent="0.2">
      <c r="A112" t="s">
        <v>3178</v>
      </c>
      <c r="B112" t="s">
        <v>1442</v>
      </c>
      <c r="C112" t="s">
        <v>2878</v>
      </c>
      <c r="D112" s="7" t="s">
        <v>134</v>
      </c>
      <c r="E112" t="s">
        <v>38</v>
      </c>
      <c r="F112">
        <v>27</v>
      </c>
      <c r="G112">
        <v>79</v>
      </c>
      <c r="H112">
        <v>84</v>
      </c>
      <c r="I112" t="s">
        <v>6368</v>
      </c>
      <c r="J112">
        <v>79</v>
      </c>
      <c r="K112">
        <v>260</v>
      </c>
      <c r="L112" t="s">
        <v>4872</v>
      </c>
      <c r="M112" s="6" t="s">
        <v>6558</v>
      </c>
      <c r="N112" s="6" t="s">
        <v>6565</v>
      </c>
      <c r="O112" s="6">
        <v>75</v>
      </c>
      <c r="P112" s="6">
        <v>81</v>
      </c>
      <c r="Q112" s="6">
        <v>73</v>
      </c>
      <c r="R112" s="6">
        <v>75</v>
      </c>
      <c r="S112" s="6">
        <v>89</v>
      </c>
      <c r="T112" s="6">
        <v>74</v>
      </c>
      <c r="U112" s="6">
        <v>79</v>
      </c>
      <c r="V112" s="6">
        <v>72</v>
      </c>
      <c r="W112" s="6">
        <v>71</v>
      </c>
      <c r="X112" s="6">
        <v>71</v>
      </c>
      <c r="Y112" s="6">
        <v>73</v>
      </c>
      <c r="Z112" s="6">
        <v>76</v>
      </c>
      <c r="AA112" s="6">
        <v>73</v>
      </c>
      <c r="AB112" s="6">
        <v>70</v>
      </c>
      <c r="AC112" s="6">
        <v>73</v>
      </c>
      <c r="AD112" s="6">
        <v>74</v>
      </c>
      <c r="AE112" s="6">
        <v>68</v>
      </c>
      <c r="AF112" s="6">
        <v>71</v>
      </c>
      <c r="AG112" s="6" t="s">
        <v>6904</v>
      </c>
      <c r="AH112" s="6" t="s">
        <v>6684</v>
      </c>
    </row>
    <row r="113" spans="1:34" x14ac:dyDescent="0.2">
      <c r="A113" t="s">
        <v>3182</v>
      </c>
      <c r="B113" t="s">
        <v>1446</v>
      </c>
      <c r="C113" t="s">
        <v>2878</v>
      </c>
      <c r="D113" s="7" t="s">
        <v>134</v>
      </c>
      <c r="E113" t="s">
        <v>58</v>
      </c>
      <c r="F113">
        <v>31</v>
      </c>
      <c r="G113">
        <v>69</v>
      </c>
      <c r="H113">
        <v>84</v>
      </c>
      <c r="I113" t="s">
        <v>6372</v>
      </c>
      <c r="J113">
        <v>77</v>
      </c>
      <c r="K113">
        <v>259</v>
      </c>
      <c r="L113" t="s">
        <v>4876</v>
      </c>
      <c r="M113" s="6" t="s">
        <v>6558</v>
      </c>
      <c r="N113" s="6" t="s">
        <v>6567</v>
      </c>
      <c r="O113" s="6">
        <v>65</v>
      </c>
      <c r="P113" s="6">
        <v>64</v>
      </c>
      <c r="Q113" s="6">
        <v>73</v>
      </c>
      <c r="R113" s="6">
        <v>67</v>
      </c>
      <c r="S113" s="6">
        <v>76</v>
      </c>
      <c r="T113" s="6">
        <v>73</v>
      </c>
      <c r="U113" s="6">
        <v>82</v>
      </c>
      <c r="V113" s="6">
        <v>72</v>
      </c>
      <c r="W113" s="6">
        <v>65</v>
      </c>
      <c r="X113" s="6">
        <v>72</v>
      </c>
      <c r="Y113" s="6">
        <v>75</v>
      </c>
      <c r="Z113" s="6">
        <v>74</v>
      </c>
      <c r="AA113" s="6">
        <v>66</v>
      </c>
      <c r="AB113" s="6">
        <v>75</v>
      </c>
      <c r="AC113" s="6">
        <v>66</v>
      </c>
      <c r="AD113" s="6">
        <v>64</v>
      </c>
      <c r="AE113" s="6">
        <v>65</v>
      </c>
      <c r="AF113" s="6">
        <v>64</v>
      </c>
      <c r="AG113" s="6" t="s">
        <v>6908</v>
      </c>
      <c r="AH113" s="6" t="s">
        <v>6684</v>
      </c>
    </row>
    <row r="114" spans="1:34" x14ac:dyDescent="0.2">
      <c r="A114" t="s">
        <v>3219</v>
      </c>
      <c r="B114" t="s">
        <v>1483</v>
      </c>
      <c r="C114" t="s">
        <v>57</v>
      </c>
      <c r="D114" s="7" t="s">
        <v>132</v>
      </c>
      <c r="E114" t="s">
        <v>38</v>
      </c>
      <c r="F114">
        <v>28</v>
      </c>
      <c r="G114">
        <v>74</v>
      </c>
      <c r="H114">
        <v>84</v>
      </c>
      <c r="I114" t="s">
        <v>6409</v>
      </c>
      <c r="J114">
        <v>77</v>
      </c>
      <c r="K114">
        <v>221</v>
      </c>
      <c r="L114" t="s">
        <v>4913</v>
      </c>
      <c r="M114" s="6" t="s">
        <v>6558</v>
      </c>
      <c r="N114" s="6" t="s">
        <v>6565</v>
      </c>
      <c r="O114" s="6">
        <v>70</v>
      </c>
      <c r="P114" s="6">
        <v>76</v>
      </c>
      <c r="Q114" s="6">
        <v>75</v>
      </c>
      <c r="R114" s="6">
        <v>71</v>
      </c>
      <c r="S114" s="6">
        <v>76</v>
      </c>
      <c r="T114" s="6">
        <v>70</v>
      </c>
      <c r="U114" s="6">
        <v>68</v>
      </c>
      <c r="V114" s="6">
        <v>75</v>
      </c>
      <c r="W114" s="6">
        <v>61</v>
      </c>
      <c r="X114" s="6">
        <v>73</v>
      </c>
      <c r="Y114" s="6">
        <v>88</v>
      </c>
      <c r="Z114" s="6">
        <v>77</v>
      </c>
      <c r="AA114" s="6">
        <v>70</v>
      </c>
      <c r="AB114" s="6">
        <v>71</v>
      </c>
      <c r="AC114" s="6">
        <v>72</v>
      </c>
      <c r="AD114" s="6">
        <v>73</v>
      </c>
      <c r="AE114" s="6">
        <v>87</v>
      </c>
      <c r="AF114" s="6">
        <v>76</v>
      </c>
      <c r="AG114" s="6" t="s">
        <v>6946</v>
      </c>
      <c r="AH114" s="6" t="s">
        <v>6664</v>
      </c>
    </row>
    <row r="115" spans="1:34" x14ac:dyDescent="0.2">
      <c r="A115" t="s">
        <v>3249</v>
      </c>
      <c r="B115" t="s">
        <v>1513</v>
      </c>
      <c r="C115" t="s">
        <v>2888</v>
      </c>
      <c r="D115" s="7" t="s">
        <v>132</v>
      </c>
      <c r="E115" t="s">
        <v>58</v>
      </c>
      <c r="F115">
        <v>35</v>
      </c>
      <c r="G115">
        <v>78</v>
      </c>
      <c r="H115">
        <v>84</v>
      </c>
      <c r="I115" t="s">
        <v>6438</v>
      </c>
      <c r="J115">
        <v>73</v>
      </c>
      <c r="K115">
        <v>191</v>
      </c>
      <c r="L115" t="s">
        <v>4943</v>
      </c>
      <c r="M115" s="6" t="s">
        <v>6558</v>
      </c>
      <c r="N115" s="6" t="s">
        <v>6565</v>
      </c>
      <c r="O115" s="6">
        <v>78</v>
      </c>
      <c r="P115" s="6">
        <v>79</v>
      </c>
      <c r="Q115" s="6">
        <v>75</v>
      </c>
      <c r="R115" s="6">
        <v>75</v>
      </c>
      <c r="S115" s="6">
        <v>81</v>
      </c>
      <c r="T115" s="6">
        <v>89</v>
      </c>
      <c r="U115" s="6">
        <v>81</v>
      </c>
      <c r="V115" s="6">
        <v>88</v>
      </c>
      <c r="W115" s="6">
        <v>91</v>
      </c>
      <c r="X115" s="6">
        <v>84</v>
      </c>
      <c r="Y115" s="6">
        <v>82</v>
      </c>
      <c r="Z115" s="6">
        <v>77</v>
      </c>
      <c r="AA115" s="6">
        <v>72</v>
      </c>
      <c r="AB115" s="6">
        <v>71</v>
      </c>
      <c r="AC115" s="6">
        <v>69</v>
      </c>
      <c r="AD115" s="6">
        <v>71</v>
      </c>
      <c r="AE115" s="6">
        <v>68</v>
      </c>
      <c r="AF115" s="6">
        <v>77</v>
      </c>
      <c r="AG115" s="6" t="s">
        <v>6977</v>
      </c>
      <c r="AH115" s="6" t="s">
        <v>6707</v>
      </c>
    </row>
    <row r="116" spans="1:34" x14ac:dyDescent="0.2">
      <c r="A116" t="s">
        <v>3279</v>
      </c>
      <c r="B116" t="s">
        <v>1543</v>
      </c>
      <c r="C116" t="s">
        <v>2874</v>
      </c>
      <c r="D116" s="7" t="s">
        <v>136</v>
      </c>
      <c r="E116" t="s">
        <v>38</v>
      </c>
      <c r="F116">
        <v>22</v>
      </c>
      <c r="G116">
        <v>73</v>
      </c>
      <c r="H116">
        <v>84</v>
      </c>
      <c r="I116" t="s">
        <v>6468</v>
      </c>
      <c r="J116">
        <v>75</v>
      </c>
      <c r="K116">
        <v>305</v>
      </c>
      <c r="L116" t="s">
        <v>4973</v>
      </c>
      <c r="M116" s="6" t="s">
        <v>6558</v>
      </c>
      <c r="N116" s="6" t="s">
        <v>6565</v>
      </c>
      <c r="O116" s="6">
        <v>70</v>
      </c>
      <c r="P116" s="6">
        <v>66</v>
      </c>
      <c r="Q116" s="6">
        <v>59</v>
      </c>
      <c r="R116" s="6">
        <v>70</v>
      </c>
      <c r="S116" s="6">
        <v>65</v>
      </c>
      <c r="T116" s="6">
        <v>55</v>
      </c>
      <c r="U116" s="6">
        <v>59</v>
      </c>
      <c r="V116" s="6">
        <v>70</v>
      </c>
      <c r="W116" s="6">
        <v>65</v>
      </c>
      <c r="X116" s="6">
        <v>61</v>
      </c>
      <c r="Y116" s="6">
        <v>75</v>
      </c>
      <c r="Z116" s="6">
        <v>65</v>
      </c>
      <c r="AA116" s="6">
        <v>63</v>
      </c>
      <c r="AB116" s="6">
        <v>68</v>
      </c>
      <c r="AC116" s="6">
        <v>74</v>
      </c>
      <c r="AD116" s="6">
        <v>69</v>
      </c>
      <c r="AE116" s="6">
        <v>71</v>
      </c>
      <c r="AF116" s="6">
        <v>67</v>
      </c>
      <c r="AG116" s="6" t="s">
        <v>7010</v>
      </c>
      <c r="AH116" s="6" t="s">
        <v>6598</v>
      </c>
    </row>
    <row r="117" spans="1:34" x14ac:dyDescent="0.2">
      <c r="A117" t="s">
        <v>3289</v>
      </c>
      <c r="B117" t="s">
        <v>1553</v>
      </c>
      <c r="C117" t="s">
        <v>2879</v>
      </c>
      <c r="D117" s="7" t="s">
        <v>136</v>
      </c>
      <c r="E117" t="s">
        <v>38</v>
      </c>
      <c r="F117">
        <v>24</v>
      </c>
      <c r="G117">
        <v>81</v>
      </c>
      <c r="H117">
        <v>84</v>
      </c>
      <c r="I117" t="s">
        <v>6478</v>
      </c>
      <c r="J117">
        <v>74</v>
      </c>
      <c r="K117">
        <v>295</v>
      </c>
      <c r="L117" t="s">
        <v>4983</v>
      </c>
      <c r="M117" s="6" t="s">
        <v>6558</v>
      </c>
      <c r="N117" s="6" t="s">
        <v>6565</v>
      </c>
      <c r="O117" s="6">
        <v>78</v>
      </c>
      <c r="P117" s="6">
        <v>72</v>
      </c>
      <c r="Q117" s="6">
        <v>77</v>
      </c>
      <c r="R117" s="6">
        <v>71</v>
      </c>
      <c r="S117" s="6">
        <v>89</v>
      </c>
      <c r="T117" s="6">
        <v>77</v>
      </c>
      <c r="U117" s="6">
        <v>75</v>
      </c>
      <c r="V117" s="6">
        <v>71</v>
      </c>
      <c r="W117" s="6">
        <v>74</v>
      </c>
      <c r="X117" s="6">
        <v>75</v>
      </c>
      <c r="Y117" s="6">
        <v>75</v>
      </c>
      <c r="Z117" s="6">
        <v>85</v>
      </c>
      <c r="AA117" s="6">
        <v>75</v>
      </c>
      <c r="AB117" s="6">
        <v>75</v>
      </c>
      <c r="AC117" s="6">
        <v>68</v>
      </c>
      <c r="AD117" s="6">
        <v>73</v>
      </c>
      <c r="AE117" s="6">
        <v>84</v>
      </c>
      <c r="AF117" s="6">
        <v>79</v>
      </c>
      <c r="AG117" s="6" t="s">
        <v>7020</v>
      </c>
      <c r="AH117" s="6" t="s">
        <v>6855</v>
      </c>
    </row>
    <row r="118" spans="1:34" x14ac:dyDescent="0.2">
      <c r="A118" t="s">
        <v>3319</v>
      </c>
      <c r="B118" t="s">
        <v>1583</v>
      </c>
      <c r="C118" t="s">
        <v>57</v>
      </c>
      <c r="D118" s="7" t="s">
        <v>137</v>
      </c>
      <c r="E118" t="s">
        <v>58</v>
      </c>
      <c r="F118">
        <v>30</v>
      </c>
      <c r="G118">
        <v>66</v>
      </c>
      <c r="H118">
        <v>84</v>
      </c>
      <c r="I118" t="s">
        <v>6311</v>
      </c>
      <c r="J118">
        <v>70</v>
      </c>
      <c r="K118">
        <v>196</v>
      </c>
      <c r="L118" t="s">
        <v>5013</v>
      </c>
      <c r="M118" s="6" t="s">
        <v>6558</v>
      </c>
      <c r="N118" s="6" t="s">
        <v>6583</v>
      </c>
      <c r="O118" s="6">
        <v>77</v>
      </c>
      <c r="P118" s="6">
        <v>58</v>
      </c>
      <c r="Q118" s="6">
        <v>75</v>
      </c>
      <c r="R118" s="6">
        <v>80</v>
      </c>
      <c r="S118" s="6">
        <v>74</v>
      </c>
      <c r="T118" s="6">
        <v>74</v>
      </c>
      <c r="U118" s="6">
        <v>74</v>
      </c>
      <c r="V118" s="6">
        <v>78</v>
      </c>
      <c r="W118" s="6">
        <v>73</v>
      </c>
      <c r="X118" s="6">
        <v>76</v>
      </c>
      <c r="Y118" s="6">
        <v>89</v>
      </c>
      <c r="Z118" s="6">
        <v>75</v>
      </c>
      <c r="AA118" s="6">
        <v>67</v>
      </c>
      <c r="AB118" s="6">
        <v>68</v>
      </c>
      <c r="AC118" s="6">
        <v>63</v>
      </c>
      <c r="AD118" s="6">
        <v>71</v>
      </c>
      <c r="AE118" s="6">
        <v>60</v>
      </c>
      <c r="AF118" s="6">
        <v>65</v>
      </c>
      <c r="AG118" s="6" t="s">
        <v>7053</v>
      </c>
      <c r="AH118" s="6" t="s">
        <v>6730</v>
      </c>
    </row>
    <row r="119" spans="1:34" x14ac:dyDescent="0.2">
      <c r="A119" t="s">
        <v>3324</v>
      </c>
      <c r="B119" t="s">
        <v>1588</v>
      </c>
      <c r="C119" t="s">
        <v>2872</v>
      </c>
      <c r="D119" s="7" t="s">
        <v>137</v>
      </c>
      <c r="E119" t="s">
        <v>58</v>
      </c>
      <c r="F119">
        <v>33</v>
      </c>
      <c r="G119">
        <v>75</v>
      </c>
      <c r="H119">
        <v>84</v>
      </c>
      <c r="I119" t="s">
        <v>6332</v>
      </c>
      <c r="J119">
        <v>78</v>
      </c>
      <c r="K119">
        <v>304</v>
      </c>
      <c r="L119" t="s">
        <v>5018</v>
      </c>
      <c r="M119" s="6" t="s">
        <v>6558</v>
      </c>
      <c r="N119" s="6" t="s">
        <v>6565</v>
      </c>
      <c r="O119" s="6">
        <v>77</v>
      </c>
      <c r="P119" s="6">
        <v>71</v>
      </c>
      <c r="Q119" s="6">
        <v>77</v>
      </c>
      <c r="R119" s="6">
        <v>75</v>
      </c>
      <c r="S119" s="6">
        <v>70</v>
      </c>
      <c r="T119" s="6">
        <v>68</v>
      </c>
      <c r="U119" s="6">
        <v>89</v>
      </c>
      <c r="V119" s="6">
        <v>68</v>
      </c>
      <c r="W119" s="6">
        <v>74</v>
      </c>
      <c r="X119" s="6">
        <v>74</v>
      </c>
      <c r="Y119" s="6">
        <v>75</v>
      </c>
      <c r="Z119" s="6">
        <v>73</v>
      </c>
      <c r="AA119" s="6">
        <v>64</v>
      </c>
      <c r="AB119" s="6">
        <v>64</v>
      </c>
      <c r="AC119" s="6">
        <v>63</v>
      </c>
      <c r="AD119" s="6">
        <v>66</v>
      </c>
      <c r="AE119" s="6">
        <v>60</v>
      </c>
      <c r="AF119" s="6">
        <v>64</v>
      </c>
      <c r="AG119" s="6" t="s">
        <v>7057</v>
      </c>
      <c r="AH119" s="6" t="s">
        <v>6694</v>
      </c>
    </row>
    <row r="120" spans="1:34" x14ac:dyDescent="0.2">
      <c r="A120" t="s">
        <v>3334</v>
      </c>
      <c r="B120" t="s">
        <v>1598</v>
      </c>
      <c r="C120" t="s">
        <v>2878</v>
      </c>
      <c r="D120" s="7" t="s">
        <v>137</v>
      </c>
      <c r="E120" t="s">
        <v>58</v>
      </c>
      <c r="F120">
        <v>28</v>
      </c>
      <c r="G120">
        <v>71</v>
      </c>
      <c r="H120">
        <v>84</v>
      </c>
      <c r="I120" t="s">
        <v>6344</v>
      </c>
      <c r="J120">
        <v>76</v>
      </c>
      <c r="K120">
        <v>287</v>
      </c>
      <c r="L120" t="s">
        <v>5028</v>
      </c>
      <c r="M120" s="6" t="s">
        <v>6558</v>
      </c>
      <c r="N120" s="6" t="s">
        <v>6559</v>
      </c>
      <c r="O120" s="6">
        <v>75</v>
      </c>
      <c r="P120" s="6">
        <v>68</v>
      </c>
      <c r="Q120" s="6">
        <v>72</v>
      </c>
      <c r="R120" s="6">
        <v>82</v>
      </c>
      <c r="S120" s="6">
        <v>76</v>
      </c>
      <c r="T120" s="6">
        <v>69</v>
      </c>
      <c r="U120" s="6">
        <v>61</v>
      </c>
      <c r="V120" s="6">
        <v>72</v>
      </c>
      <c r="W120" s="6">
        <v>79</v>
      </c>
      <c r="X120" s="6">
        <v>67</v>
      </c>
      <c r="Y120" s="6">
        <v>67</v>
      </c>
      <c r="Z120" s="6">
        <v>76</v>
      </c>
      <c r="AA120" s="6">
        <v>65</v>
      </c>
      <c r="AB120" s="6">
        <v>72</v>
      </c>
      <c r="AC120" s="6">
        <v>74</v>
      </c>
      <c r="AD120" s="6">
        <v>78</v>
      </c>
      <c r="AE120" s="6">
        <v>64</v>
      </c>
      <c r="AF120" s="6">
        <v>75</v>
      </c>
      <c r="AG120" s="6" t="s">
        <v>7067</v>
      </c>
      <c r="AH120" s="6" t="s">
        <v>6612</v>
      </c>
    </row>
    <row r="121" spans="1:34" x14ac:dyDescent="0.2">
      <c r="A121" t="s">
        <v>3350</v>
      </c>
      <c r="B121" t="s">
        <v>1614</v>
      </c>
      <c r="C121" t="s">
        <v>2882</v>
      </c>
      <c r="D121" s="7" t="s">
        <v>137</v>
      </c>
      <c r="E121" t="s">
        <v>58</v>
      </c>
      <c r="F121">
        <v>25</v>
      </c>
      <c r="G121">
        <v>64</v>
      </c>
      <c r="H121">
        <v>84</v>
      </c>
      <c r="I121" t="s">
        <v>6358</v>
      </c>
      <c r="J121">
        <v>72</v>
      </c>
      <c r="K121">
        <v>204</v>
      </c>
      <c r="L121" t="s">
        <v>5044</v>
      </c>
      <c r="M121" s="6" t="s">
        <v>6558</v>
      </c>
      <c r="N121" s="6" t="s">
        <v>6567</v>
      </c>
      <c r="O121" s="6">
        <v>75</v>
      </c>
      <c r="P121" s="6">
        <v>66</v>
      </c>
      <c r="Q121" s="6">
        <v>75</v>
      </c>
      <c r="R121" s="6">
        <v>64</v>
      </c>
      <c r="S121" s="6">
        <v>78</v>
      </c>
      <c r="T121" s="6">
        <v>67</v>
      </c>
      <c r="U121" s="6">
        <v>71</v>
      </c>
      <c r="V121" s="6">
        <v>64</v>
      </c>
      <c r="W121" s="6">
        <v>66</v>
      </c>
      <c r="X121" s="6">
        <v>62</v>
      </c>
      <c r="Y121" s="6">
        <v>77</v>
      </c>
      <c r="Z121" s="6">
        <v>76</v>
      </c>
      <c r="AA121" s="6">
        <v>69</v>
      </c>
      <c r="AB121" s="6">
        <v>67</v>
      </c>
      <c r="AC121" s="6">
        <v>66</v>
      </c>
      <c r="AD121" s="6">
        <v>72</v>
      </c>
      <c r="AE121" s="6">
        <v>70</v>
      </c>
      <c r="AF121" s="6">
        <v>69</v>
      </c>
      <c r="AG121" s="6" t="s">
        <v>7084</v>
      </c>
      <c r="AH121" s="6" t="s">
        <v>6636</v>
      </c>
    </row>
    <row r="122" spans="1:34" x14ac:dyDescent="0.2">
      <c r="A122" t="s">
        <v>3374</v>
      </c>
      <c r="B122" t="s">
        <v>1638</v>
      </c>
      <c r="C122" t="s">
        <v>2871</v>
      </c>
      <c r="D122" s="7" t="s">
        <v>138</v>
      </c>
      <c r="E122" t="s">
        <v>38</v>
      </c>
      <c r="F122">
        <v>22</v>
      </c>
      <c r="G122">
        <v>63</v>
      </c>
      <c r="H122">
        <v>84</v>
      </c>
      <c r="I122" t="s">
        <v>6381</v>
      </c>
      <c r="J122">
        <v>74</v>
      </c>
      <c r="K122">
        <v>265</v>
      </c>
      <c r="L122" t="s">
        <v>5068</v>
      </c>
      <c r="M122" s="6" t="s">
        <v>6558</v>
      </c>
      <c r="N122" s="6" t="s">
        <v>6567</v>
      </c>
      <c r="O122" s="6">
        <v>70</v>
      </c>
      <c r="P122" s="6">
        <v>61</v>
      </c>
      <c r="Q122" s="6">
        <v>60</v>
      </c>
      <c r="R122" s="6">
        <v>68</v>
      </c>
      <c r="S122" s="6">
        <v>63</v>
      </c>
      <c r="T122" s="6">
        <v>71</v>
      </c>
      <c r="U122" s="6">
        <v>68</v>
      </c>
      <c r="V122" s="6">
        <v>71</v>
      </c>
      <c r="W122" s="6">
        <v>61</v>
      </c>
      <c r="X122" s="6">
        <v>71</v>
      </c>
      <c r="Y122" s="6">
        <v>64</v>
      </c>
      <c r="Z122" s="6">
        <v>75</v>
      </c>
      <c r="AA122" s="6">
        <v>66</v>
      </c>
      <c r="AB122" s="6">
        <v>66</v>
      </c>
      <c r="AC122" s="6">
        <v>68</v>
      </c>
      <c r="AD122" s="6">
        <v>65</v>
      </c>
      <c r="AE122" s="6">
        <v>59</v>
      </c>
      <c r="AF122" s="6">
        <v>61</v>
      </c>
      <c r="AG122" s="6" t="s">
        <v>7109</v>
      </c>
      <c r="AH122" s="6" t="s">
        <v>6737</v>
      </c>
    </row>
    <row r="123" spans="1:34" x14ac:dyDescent="0.2">
      <c r="A123" t="s">
        <v>3418</v>
      </c>
      <c r="B123" t="s">
        <v>1682</v>
      </c>
      <c r="C123" t="s">
        <v>2870</v>
      </c>
      <c r="D123" s="7" t="s">
        <v>139</v>
      </c>
      <c r="E123" t="s">
        <v>38</v>
      </c>
      <c r="F123">
        <v>23</v>
      </c>
      <c r="G123">
        <v>77</v>
      </c>
      <c r="H123">
        <v>84</v>
      </c>
      <c r="I123" t="s">
        <v>6429</v>
      </c>
      <c r="J123">
        <v>71</v>
      </c>
      <c r="K123">
        <v>211</v>
      </c>
      <c r="L123" t="s">
        <v>5112</v>
      </c>
      <c r="M123" s="6" t="s">
        <v>6558</v>
      </c>
      <c r="N123" s="6" t="s">
        <v>6567</v>
      </c>
      <c r="O123" s="6">
        <v>69</v>
      </c>
      <c r="P123" s="6">
        <v>74</v>
      </c>
      <c r="Q123" s="6">
        <v>75</v>
      </c>
      <c r="R123" s="6">
        <v>63</v>
      </c>
      <c r="S123" s="6">
        <v>70</v>
      </c>
      <c r="T123" s="6">
        <v>82</v>
      </c>
      <c r="U123" s="6">
        <v>79</v>
      </c>
      <c r="V123" s="6">
        <v>75</v>
      </c>
      <c r="W123" s="6">
        <v>67</v>
      </c>
      <c r="X123" s="6">
        <v>68</v>
      </c>
      <c r="Y123" s="6">
        <v>71</v>
      </c>
      <c r="Z123" s="6">
        <v>78</v>
      </c>
      <c r="AA123" s="6">
        <v>77</v>
      </c>
      <c r="AB123" s="6">
        <v>74</v>
      </c>
      <c r="AC123" s="6">
        <v>75</v>
      </c>
      <c r="AD123" s="6">
        <v>72</v>
      </c>
      <c r="AE123" s="6">
        <v>69</v>
      </c>
      <c r="AF123" s="6">
        <v>78</v>
      </c>
      <c r="AG123" s="6" t="s">
        <v>7153</v>
      </c>
      <c r="AH123" s="6" t="s">
        <v>6725</v>
      </c>
    </row>
    <row r="124" spans="1:34" x14ac:dyDescent="0.2">
      <c r="A124" t="s">
        <v>3442</v>
      </c>
      <c r="B124" t="s">
        <v>1706</v>
      </c>
      <c r="C124" t="s">
        <v>2877</v>
      </c>
      <c r="D124" s="7" t="s">
        <v>139</v>
      </c>
      <c r="E124" t="s">
        <v>58</v>
      </c>
      <c r="F124">
        <v>30</v>
      </c>
      <c r="G124">
        <v>61</v>
      </c>
      <c r="H124">
        <v>84</v>
      </c>
      <c r="I124" t="s">
        <v>6463</v>
      </c>
      <c r="J124">
        <v>76</v>
      </c>
      <c r="K124">
        <v>298</v>
      </c>
      <c r="L124" t="s">
        <v>5136</v>
      </c>
      <c r="M124" s="6" t="s">
        <v>6558</v>
      </c>
      <c r="N124" s="6" t="s">
        <v>6567</v>
      </c>
      <c r="O124" s="6">
        <v>79</v>
      </c>
      <c r="P124" s="6">
        <v>80</v>
      </c>
      <c r="Q124" s="6">
        <v>76</v>
      </c>
      <c r="R124" s="6">
        <v>66</v>
      </c>
      <c r="S124" s="6">
        <v>70</v>
      </c>
      <c r="T124" s="6">
        <v>72</v>
      </c>
      <c r="U124" s="6">
        <v>85</v>
      </c>
      <c r="V124" s="6">
        <v>72</v>
      </c>
      <c r="W124" s="6">
        <v>72</v>
      </c>
      <c r="X124" s="6">
        <v>73</v>
      </c>
      <c r="Y124" s="6">
        <v>85</v>
      </c>
      <c r="Z124" s="6">
        <v>75</v>
      </c>
      <c r="AA124" s="6">
        <v>69</v>
      </c>
      <c r="AB124" s="6">
        <v>70</v>
      </c>
      <c r="AC124" s="6">
        <v>69</v>
      </c>
      <c r="AD124" s="6">
        <v>68</v>
      </c>
      <c r="AE124" s="6">
        <v>68</v>
      </c>
      <c r="AF124" s="6">
        <v>67</v>
      </c>
      <c r="AG124" s="6" t="s">
        <v>7177</v>
      </c>
      <c r="AH124" s="6" t="s">
        <v>6694</v>
      </c>
    </row>
    <row r="125" spans="1:34" x14ac:dyDescent="0.2">
      <c r="A125" t="s">
        <v>3471</v>
      </c>
      <c r="B125" t="s">
        <v>1735</v>
      </c>
      <c r="C125" t="s">
        <v>53</v>
      </c>
      <c r="D125" s="7" t="s">
        <v>140</v>
      </c>
      <c r="E125" t="s">
        <v>38</v>
      </c>
      <c r="F125">
        <v>25</v>
      </c>
      <c r="G125">
        <v>77</v>
      </c>
      <c r="H125">
        <v>84</v>
      </c>
      <c r="I125" t="s">
        <v>6375</v>
      </c>
      <c r="J125">
        <v>74</v>
      </c>
      <c r="K125">
        <v>242</v>
      </c>
      <c r="L125" t="s">
        <v>5165</v>
      </c>
      <c r="M125" s="6" t="s">
        <v>6558</v>
      </c>
      <c r="N125" s="6" t="s">
        <v>6559</v>
      </c>
      <c r="O125" s="6">
        <v>85</v>
      </c>
      <c r="P125" s="6">
        <v>74</v>
      </c>
      <c r="Q125" s="6">
        <v>80</v>
      </c>
      <c r="R125" s="6">
        <v>91</v>
      </c>
      <c r="S125" s="6">
        <v>78</v>
      </c>
      <c r="T125" s="6">
        <v>64</v>
      </c>
      <c r="U125" s="6">
        <v>67</v>
      </c>
      <c r="V125" s="6">
        <v>80</v>
      </c>
      <c r="W125" s="6">
        <v>78</v>
      </c>
      <c r="X125" s="6">
        <v>65</v>
      </c>
      <c r="Y125" s="6">
        <v>71</v>
      </c>
      <c r="Z125" s="6">
        <v>86</v>
      </c>
      <c r="AA125" s="6">
        <v>70</v>
      </c>
      <c r="AB125" s="6">
        <v>77</v>
      </c>
      <c r="AC125" s="6">
        <v>76</v>
      </c>
      <c r="AD125" s="6">
        <v>76</v>
      </c>
      <c r="AE125" s="6">
        <v>72</v>
      </c>
      <c r="AF125" s="6">
        <v>78</v>
      </c>
      <c r="AG125" s="6" t="s">
        <v>7206</v>
      </c>
      <c r="AH125" s="6" t="s">
        <v>6651</v>
      </c>
    </row>
    <row r="126" spans="1:34" x14ac:dyDescent="0.2">
      <c r="A126" t="s">
        <v>3476</v>
      </c>
      <c r="B126" t="s">
        <v>1740</v>
      </c>
      <c r="C126" t="s">
        <v>2870</v>
      </c>
      <c r="D126" s="7" t="s">
        <v>140</v>
      </c>
      <c r="E126" t="s">
        <v>58</v>
      </c>
      <c r="F126">
        <v>21</v>
      </c>
      <c r="G126">
        <v>74</v>
      </c>
      <c r="H126">
        <v>84</v>
      </c>
      <c r="I126" t="s">
        <v>6344</v>
      </c>
      <c r="J126">
        <v>68</v>
      </c>
      <c r="K126">
        <v>198</v>
      </c>
      <c r="L126" t="s">
        <v>5170</v>
      </c>
      <c r="M126" s="6" t="s">
        <v>6558</v>
      </c>
      <c r="N126" s="6" t="s">
        <v>6614</v>
      </c>
      <c r="O126" s="6">
        <v>67</v>
      </c>
      <c r="P126" s="6">
        <v>69</v>
      </c>
      <c r="Q126" s="6">
        <v>68</v>
      </c>
      <c r="R126" s="6">
        <v>58</v>
      </c>
      <c r="S126" s="6">
        <v>78</v>
      </c>
      <c r="T126" s="6">
        <v>65</v>
      </c>
      <c r="U126" s="6">
        <v>77</v>
      </c>
      <c r="V126" s="6">
        <v>71</v>
      </c>
      <c r="W126" s="6">
        <v>66</v>
      </c>
      <c r="X126" s="6">
        <v>70</v>
      </c>
      <c r="Y126" s="6">
        <v>63</v>
      </c>
      <c r="Z126" s="6">
        <v>66</v>
      </c>
      <c r="AA126" s="6">
        <v>69</v>
      </c>
      <c r="AB126" s="6">
        <v>66</v>
      </c>
      <c r="AC126" s="6">
        <v>62</v>
      </c>
      <c r="AD126" s="6">
        <v>76</v>
      </c>
      <c r="AE126" s="6">
        <v>73</v>
      </c>
      <c r="AF126" s="6">
        <v>72</v>
      </c>
      <c r="AG126" s="6" t="s">
        <v>7211</v>
      </c>
      <c r="AH126" s="6" t="s">
        <v>6656</v>
      </c>
    </row>
    <row r="127" spans="1:34" x14ac:dyDescent="0.2">
      <c r="A127" t="s">
        <v>3488</v>
      </c>
      <c r="B127" t="s">
        <v>1752</v>
      </c>
      <c r="C127" t="s">
        <v>2872</v>
      </c>
      <c r="D127" s="7" t="s">
        <v>140</v>
      </c>
      <c r="E127" t="s">
        <v>38</v>
      </c>
      <c r="F127">
        <v>28</v>
      </c>
      <c r="G127">
        <v>68</v>
      </c>
      <c r="H127">
        <v>84</v>
      </c>
      <c r="I127" t="s">
        <v>6367</v>
      </c>
      <c r="J127">
        <v>77</v>
      </c>
      <c r="K127">
        <v>309</v>
      </c>
      <c r="L127" t="s">
        <v>5182</v>
      </c>
      <c r="M127" s="6" t="s">
        <v>6558</v>
      </c>
      <c r="N127" s="6" t="s">
        <v>6567</v>
      </c>
      <c r="O127" s="6">
        <v>74</v>
      </c>
      <c r="P127" s="6">
        <v>74</v>
      </c>
      <c r="Q127" s="6">
        <v>74</v>
      </c>
      <c r="R127" s="6">
        <v>66</v>
      </c>
      <c r="S127" s="6">
        <v>75</v>
      </c>
      <c r="T127" s="6">
        <v>67</v>
      </c>
      <c r="U127" s="6">
        <v>77</v>
      </c>
      <c r="V127" s="6">
        <v>75</v>
      </c>
      <c r="W127" s="6">
        <v>74</v>
      </c>
      <c r="X127" s="6">
        <v>67</v>
      </c>
      <c r="Y127" s="6">
        <v>66</v>
      </c>
      <c r="Z127" s="6">
        <v>67</v>
      </c>
      <c r="AA127" s="6">
        <v>70</v>
      </c>
      <c r="AB127" s="6">
        <v>69</v>
      </c>
      <c r="AC127" s="6">
        <v>62</v>
      </c>
      <c r="AD127" s="6">
        <v>66</v>
      </c>
      <c r="AE127" s="6">
        <v>71</v>
      </c>
      <c r="AF127" s="6">
        <v>72</v>
      </c>
      <c r="AG127" s="6" t="s">
        <v>7224</v>
      </c>
      <c r="AH127" s="6" t="s">
        <v>6610</v>
      </c>
    </row>
    <row r="128" spans="1:34" x14ac:dyDescent="0.2">
      <c r="A128" t="s">
        <v>3490</v>
      </c>
      <c r="B128" t="s">
        <v>1754</v>
      </c>
      <c r="C128" t="s">
        <v>2887</v>
      </c>
      <c r="D128" s="7" t="s">
        <v>140</v>
      </c>
      <c r="E128" t="s">
        <v>38</v>
      </c>
      <c r="F128">
        <v>26</v>
      </c>
      <c r="G128">
        <v>82</v>
      </c>
      <c r="H128">
        <v>84</v>
      </c>
      <c r="I128" t="s">
        <v>6336</v>
      </c>
      <c r="J128">
        <v>74</v>
      </c>
      <c r="K128">
        <v>322</v>
      </c>
      <c r="L128" t="s">
        <v>5184</v>
      </c>
      <c r="M128" s="6" t="s">
        <v>6558</v>
      </c>
      <c r="N128" s="6" t="s">
        <v>6583</v>
      </c>
      <c r="O128" s="6">
        <v>87</v>
      </c>
      <c r="P128" s="6">
        <v>74</v>
      </c>
      <c r="Q128" s="6">
        <v>77</v>
      </c>
      <c r="R128" s="6">
        <v>78</v>
      </c>
      <c r="S128" s="6">
        <v>84</v>
      </c>
      <c r="T128" s="6">
        <v>77</v>
      </c>
      <c r="U128" s="6">
        <v>88</v>
      </c>
      <c r="V128" s="6">
        <v>80</v>
      </c>
      <c r="W128" s="6">
        <v>78</v>
      </c>
      <c r="X128" s="6">
        <v>82</v>
      </c>
      <c r="Y128" s="6">
        <v>75</v>
      </c>
      <c r="Z128" s="6">
        <v>79</v>
      </c>
      <c r="AA128" s="6">
        <v>81</v>
      </c>
      <c r="AB128" s="6">
        <v>78</v>
      </c>
      <c r="AC128" s="6">
        <v>70</v>
      </c>
      <c r="AD128" s="6">
        <v>78</v>
      </c>
      <c r="AE128" s="6">
        <v>76</v>
      </c>
      <c r="AF128" s="6">
        <v>81</v>
      </c>
      <c r="AG128" s="6" t="s">
        <v>7226</v>
      </c>
      <c r="AH128" s="6" t="s">
        <v>6598</v>
      </c>
    </row>
    <row r="129" spans="1:34" x14ac:dyDescent="0.2">
      <c r="A129" t="s">
        <v>3561</v>
      </c>
      <c r="B129" t="s">
        <v>1825</v>
      </c>
      <c r="C129" t="s">
        <v>2880</v>
      </c>
      <c r="D129" s="7" t="s">
        <v>141</v>
      </c>
      <c r="E129" t="s">
        <v>38</v>
      </c>
      <c r="F129">
        <v>28</v>
      </c>
      <c r="G129">
        <v>77</v>
      </c>
      <c r="H129">
        <v>84</v>
      </c>
      <c r="I129" t="s">
        <v>6412</v>
      </c>
      <c r="J129">
        <v>74</v>
      </c>
      <c r="K129">
        <v>261</v>
      </c>
      <c r="L129" t="s">
        <v>5255</v>
      </c>
      <c r="M129" s="6" t="s">
        <v>6558</v>
      </c>
      <c r="N129" s="6" t="s">
        <v>6583</v>
      </c>
      <c r="O129" s="6">
        <v>78</v>
      </c>
      <c r="P129" s="6">
        <v>74</v>
      </c>
      <c r="Q129" s="6">
        <v>72</v>
      </c>
      <c r="R129" s="6">
        <v>77</v>
      </c>
      <c r="S129" s="6">
        <v>91</v>
      </c>
      <c r="T129" s="6">
        <v>81</v>
      </c>
      <c r="U129" s="6">
        <v>76</v>
      </c>
      <c r="V129" s="6">
        <v>75</v>
      </c>
      <c r="W129" s="6">
        <v>71</v>
      </c>
      <c r="X129" s="6">
        <v>77</v>
      </c>
      <c r="Y129" s="6">
        <v>85</v>
      </c>
      <c r="Z129" s="6">
        <v>73</v>
      </c>
      <c r="AA129" s="6">
        <v>72</v>
      </c>
      <c r="AB129" s="6">
        <v>75</v>
      </c>
      <c r="AC129" s="6">
        <v>69</v>
      </c>
      <c r="AD129" s="6">
        <v>79</v>
      </c>
      <c r="AE129" s="6">
        <v>72</v>
      </c>
      <c r="AF129" s="6">
        <v>76</v>
      </c>
      <c r="AG129" s="6" t="s">
        <v>7298</v>
      </c>
      <c r="AH129" s="6" t="s">
        <v>6623</v>
      </c>
    </row>
    <row r="130" spans="1:34" x14ac:dyDescent="0.2">
      <c r="A130" t="s">
        <v>3573</v>
      </c>
      <c r="B130" t="s">
        <v>1837</v>
      </c>
      <c r="C130" t="s">
        <v>2884</v>
      </c>
      <c r="D130" s="7" t="s">
        <v>141</v>
      </c>
      <c r="E130" t="s">
        <v>38</v>
      </c>
      <c r="F130">
        <v>24</v>
      </c>
      <c r="G130">
        <v>66</v>
      </c>
      <c r="H130">
        <v>84</v>
      </c>
      <c r="I130" t="s">
        <v>6439</v>
      </c>
      <c r="J130">
        <v>74</v>
      </c>
      <c r="K130">
        <v>206</v>
      </c>
      <c r="L130" t="s">
        <v>5267</v>
      </c>
      <c r="M130" s="6" t="s">
        <v>6558</v>
      </c>
      <c r="N130" s="6" t="s">
        <v>6567</v>
      </c>
      <c r="O130" s="6">
        <v>70</v>
      </c>
      <c r="P130" s="6">
        <v>67</v>
      </c>
      <c r="Q130" s="6">
        <v>63</v>
      </c>
      <c r="R130" s="6">
        <v>67</v>
      </c>
      <c r="S130" s="6">
        <v>73</v>
      </c>
      <c r="T130" s="6">
        <v>78</v>
      </c>
      <c r="U130" s="6">
        <v>66</v>
      </c>
      <c r="V130" s="6">
        <v>76</v>
      </c>
      <c r="W130" s="6">
        <v>71</v>
      </c>
      <c r="X130" s="6">
        <v>75</v>
      </c>
      <c r="Y130" s="6">
        <v>74</v>
      </c>
      <c r="Z130" s="6">
        <v>76</v>
      </c>
      <c r="AA130" s="6">
        <v>72</v>
      </c>
      <c r="AB130" s="6">
        <v>69</v>
      </c>
      <c r="AC130" s="6">
        <v>68</v>
      </c>
      <c r="AD130" s="6">
        <v>76</v>
      </c>
      <c r="AE130" s="6">
        <v>70</v>
      </c>
      <c r="AF130" s="6">
        <v>76</v>
      </c>
      <c r="AG130" s="6" t="s">
        <v>7310</v>
      </c>
      <c r="AH130" s="6" t="s">
        <v>6644</v>
      </c>
    </row>
    <row r="131" spans="1:34" x14ac:dyDescent="0.2">
      <c r="A131" t="s">
        <v>3575</v>
      </c>
      <c r="B131" t="s">
        <v>1839</v>
      </c>
      <c r="C131" t="s">
        <v>2885</v>
      </c>
      <c r="D131" s="7" t="s">
        <v>141</v>
      </c>
      <c r="E131" t="s">
        <v>58</v>
      </c>
      <c r="F131">
        <v>29</v>
      </c>
      <c r="G131">
        <v>82</v>
      </c>
      <c r="H131">
        <v>84</v>
      </c>
      <c r="I131" t="s">
        <v>6441</v>
      </c>
      <c r="J131">
        <v>75</v>
      </c>
      <c r="K131">
        <v>247</v>
      </c>
      <c r="L131" t="s">
        <v>5269</v>
      </c>
      <c r="M131" s="6" t="s">
        <v>6558</v>
      </c>
      <c r="N131" s="6" t="s">
        <v>6565</v>
      </c>
      <c r="O131" s="6">
        <v>67</v>
      </c>
      <c r="P131" s="6">
        <v>74</v>
      </c>
      <c r="Q131" s="6">
        <v>75</v>
      </c>
      <c r="R131" s="6">
        <v>71</v>
      </c>
      <c r="S131" s="6">
        <v>82</v>
      </c>
      <c r="T131" s="6">
        <v>69</v>
      </c>
      <c r="U131" s="6">
        <v>67</v>
      </c>
      <c r="V131" s="6">
        <v>68</v>
      </c>
      <c r="W131" s="6">
        <v>73</v>
      </c>
      <c r="X131" s="6">
        <v>67</v>
      </c>
      <c r="Y131" s="6">
        <v>77</v>
      </c>
      <c r="Z131" s="6">
        <v>81</v>
      </c>
      <c r="AA131" s="6">
        <v>67</v>
      </c>
      <c r="AB131" s="6">
        <v>67</v>
      </c>
      <c r="AC131" s="6">
        <v>71</v>
      </c>
      <c r="AD131" s="6">
        <v>69</v>
      </c>
      <c r="AE131" s="6">
        <v>61</v>
      </c>
      <c r="AF131" s="6">
        <v>78</v>
      </c>
      <c r="AG131" s="6" t="s">
        <v>7312</v>
      </c>
      <c r="AH131" s="6" t="s">
        <v>6628</v>
      </c>
    </row>
    <row r="132" spans="1:34" x14ac:dyDescent="0.2">
      <c r="A132" t="s">
        <v>3577</v>
      </c>
      <c r="B132" t="s">
        <v>1841</v>
      </c>
      <c r="C132" t="s">
        <v>2890</v>
      </c>
      <c r="D132" s="7" t="s">
        <v>141</v>
      </c>
      <c r="E132" t="s">
        <v>58</v>
      </c>
      <c r="F132">
        <v>28</v>
      </c>
      <c r="G132">
        <v>81</v>
      </c>
      <c r="H132">
        <v>84</v>
      </c>
      <c r="I132" t="s">
        <v>6446</v>
      </c>
      <c r="J132">
        <v>73</v>
      </c>
      <c r="K132">
        <v>204</v>
      </c>
      <c r="L132" t="s">
        <v>5271</v>
      </c>
      <c r="M132" s="6" t="s">
        <v>6558</v>
      </c>
      <c r="N132" s="6" t="s">
        <v>6565</v>
      </c>
      <c r="O132" s="6">
        <v>76</v>
      </c>
      <c r="P132" s="6">
        <v>68</v>
      </c>
      <c r="Q132" s="6">
        <v>66</v>
      </c>
      <c r="R132" s="6">
        <v>70</v>
      </c>
      <c r="S132" s="6">
        <v>67</v>
      </c>
      <c r="T132" s="6">
        <v>77</v>
      </c>
      <c r="U132" s="6">
        <v>76</v>
      </c>
      <c r="V132" s="6">
        <v>72</v>
      </c>
      <c r="W132" s="6">
        <v>75</v>
      </c>
      <c r="X132" s="6">
        <v>69</v>
      </c>
      <c r="Y132" s="6">
        <v>79</v>
      </c>
      <c r="Z132" s="6">
        <v>75</v>
      </c>
      <c r="AA132" s="6">
        <v>67</v>
      </c>
      <c r="AB132" s="6">
        <v>70</v>
      </c>
      <c r="AC132" s="6">
        <v>73</v>
      </c>
      <c r="AD132" s="6">
        <v>69</v>
      </c>
      <c r="AE132" s="6">
        <v>66</v>
      </c>
      <c r="AF132" s="6">
        <v>66</v>
      </c>
      <c r="AG132" s="6" t="s">
        <v>7314</v>
      </c>
      <c r="AH132" s="6" t="s">
        <v>7082</v>
      </c>
    </row>
    <row r="133" spans="1:34" x14ac:dyDescent="0.2">
      <c r="A133" t="s">
        <v>3592</v>
      </c>
      <c r="B133" t="s">
        <v>1856</v>
      </c>
      <c r="C133" t="s">
        <v>57</v>
      </c>
      <c r="D133" s="7" t="s">
        <v>142</v>
      </c>
      <c r="E133" t="s">
        <v>58</v>
      </c>
      <c r="F133">
        <v>21</v>
      </c>
      <c r="G133">
        <v>59</v>
      </c>
      <c r="H133">
        <v>84</v>
      </c>
      <c r="I133" t="s">
        <v>6431</v>
      </c>
      <c r="J133">
        <v>70</v>
      </c>
      <c r="K133">
        <v>199</v>
      </c>
      <c r="L133" t="s">
        <v>5286</v>
      </c>
      <c r="M133" s="6" t="s">
        <v>6558</v>
      </c>
      <c r="N133" s="6" t="s">
        <v>6567</v>
      </c>
      <c r="O133" s="6">
        <v>67</v>
      </c>
      <c r="P133" s="6">
        <v>67</v>
      </c>
      <c r="Q133" s="6">
        <v>64</v>
      </c>
      <c r="R133" s="6">
        <v>66</v>
      </c>
      <c r="S133" s="6">
        <v>65</v>
      </c>
      <c r="T133" s="6">
        <v>68</v>
      </c>
      <c r="U133" s="6">
        <v>69</v>
      </c>
      <c r="V133" s="6">
        <v>67</v>
      </c>
      <c r="W133" s="6">
        <v>72</v>
      </c>
      <c r="X133" s="6">
        <v>66</v>
      </c>
      <c r="Y133" s="6">
        <v>74</v>
      </c>
      <c r="Z133" s="6">
        <v>68</v>
      </c>
      <c r="AA133" s="6">
        <v>64</v>
      </c>
      <c r="AB133" s="6">
        <v>68</v>
      </c>
      <c r="AC133" s="6">
        <v>65</v>
      </c>
      <c r="AD133" s="6">
        <v>65</v>
      </c>
      <c r="AE133" s="6">
        <v>59</v>
      </c>
      <c r="AF133" s="6">
        <v>69</v>
      </c>
      <c r="AG133" s="6" t="s">
        <v>7328</v>
      </c>
      <c r="AH133" s="6" t="s">
        <v>6581</v>
      </c>
    </row>
    <row r="134" spans="1:34" x14ac:dyDescent="0.2">
      <c r="A134" t="s">
        <v>3611</v>
      </c>
      <c r="B134" t="s">
        <v>1875</v>
      </c>
      <c r="C134" t="s">
        <v>2879</v>
      </c>
      <c r="D134" s="7" t="s">
        <v>142</v>
      </c>
      <c r="E134" t="s">
        <v>38</v>
      </c>
      <c r="F134">
        <v>31</v>
      </c>
      <c r="G134">
        <v>67</v>
      </c>
      <c r="H134">
        <v>84</v>
      </c>
      <c r="I134" t="s">
        <v>6401</v>
      </c>
      <c r="J134">
        <v>75</v>
      </c>
      <c r="K134">
        <v>307</v>
      </c>
      <c r="L134" t="s">
        <v>5305</v>
      </c>
      <c r="M134" s="6" t="s">
        <v>6558</v>
      </c>
      <c r="N134" s="6" t="s">
        <v>6567</v>
      </c>
      <c r="O134" s="6">
        <v>60</v>
      </c>
      <c r="P134" s="6">
        <v>76</v>
      </c>
      <c r="Q134" s="6">
        <v>70</v>
      </c>
      <c r="R134" s="6">
        <v>65</v>
      </c>
      <c r="S134" s="6">
        <v>76</v>
      </c>
      <c r="T134" s="6">
        <v>72</v>
      </c>
      <c r="U134" s="6">
        <v>71</v>
      </c>
      <c r="V134" s="6">
        <v>71</v>
      </c>
      <c r="W134" s="6">
        <v>82</v>
      </c>
      <c r="X134" s="6">
        <v>72</v>
      </c>
      <c r="Y134" s="6">
        <v>70</v>
      </c>
      <c r="Z134" s="6">
        <v>66</v>
      </c>
      <c r="AA134" s="6">
        <v>66</v>
      </c>
      <c r="AB134" s="6">
        <v>61</v>
      </c>
      <c r="AC134" s="6">
        <v>60</v>
      </c>
      <c r="AD134" s="6">
        <v>79</v>
      </c>
      <c r="AE134" s="6">
        <v>63</v>
      </c>
      <c r="AF134" s="6">
        <v>70</v>
      </c>
      <c r="AG134" s="6" t="s">
        <v>7346</v>
      </c>
      <c r="AH134" s="6" t="s">
        <v>6617</v>
      </c>
    </row>
    <row r="135" spans="1:34" x14ac:dyDescent="0.2">
      <c r="A135" t="s">
        <v>3630</v>
      </c>
      <c r="B135" t="s">
        <v>1894</v>
      </c>
      <c r="C135" t="s">
        <v>2890</v>
      </c>
      <c r="D135" s="7" t="s">
        <v>142</v>
      </c>
      <c r="E135" t="s">
        <v>38</v>
      </c>
      <c r="F135">
        <v>28</v>
      </c>
      <c r="G135">
        <v>84</v>
      </c>
      <c r="H135">
        <v>84</v>
      </c>
      <c r="I135" t="s">
        <v>6467</v>
      </c>
      <c r="J135">
        <v>70</v>
      </c>
      <c r="K135">
        <v>180</v>
      </c>
      <c r="L135" t="s">
        <v>5324</v>
      </c>
      <c r="M135" s="6" t="s">
        <v>6558</v>
      </c>
      <c r="N135" s="6" t="s">
        <v>6562</v>
      </c>
      <c r="O135" s="6">
        <v>68</v>
      </c>
      <c r="P135" s="6">
        <v>71</v>
      </c>
      <c r="Q135" s="6">
        <v>86</v>
      </c>
      <c r="R135" s="6">
        <v>86</v>
      </c>
      <c r="S135" s="6">
        <v>77</v>
      </c>
      <c r="T135" s="6">
        <v>74</v>
      </c>
      <c r="U135" s="6">
        <v>75</v>
      </c>
      <c r="V135" s="6">
        <v>80</v>
      </c>
      <c r="W135" s="6">
        <v>70</v>
      </c>
      <c r="X135" s="6">
        <v>86</v>
      </c>
      <c r="Y135" s="6">
        <v>73</v>
      </c>
      <c r="Z135" s="6">
        <v>77</v>
      </c>
      <c r="AA135" s="6">
        <v>67</v>
      </c>
      <c r="AB135" s="6">
        <v>77</v>
      </c>
      <c r="AC135" s="6">
        <v>72</v>
      </c>
      <c r="AD135" s="6">
        <v>74</v>
      </c>
      <c r="AE135" s="6">
        <v>73</v>
      </c>
      <c r="AF135" s="6">
        <v>70</v>
      </c>
      <c r="AG135" s="6" t="s">
        <v>7365</v>
      </c>
      <c r="AH135" s="6" t="s">
        <v>6630</v>
      </c>
    </row>
    <row r="136" spans="1:34" x14ac:dyDescent="0.2">
      <c r="A136" t="s">
        <v>4101</v>
      </c>
      <c r="B136" t="s">
        <v>2365</v>
      </c>
      <c r="C136" t="s">
        <v>2877</v>
      </c>
      <c r="D136" s="7" t="s">
        <v>25</v>
      </c>
      <c r="E136" t="s">
        <v>38</v>
      </c>
      <c r="F136">
        <v>30</v>
      </c>
      <c r="G136">
        <v>84</v>
      </c>
      <c r="H136">
        <v>84</v>
      </c>
      <c r="I136" t="s">
        <v>6354</v>
      </c>
      <c r="J136">
        <v>77</v>
      </c>
      <c r="K136">
        <v>308</v>
      </c>
      <c r="L136" t="s">
        <v>5795</v>
      </c>
      <c r="M136" s="6" t="s">
        <v>6558</v>
      </c>
      <c r="N136" s="6" t="s">
        <v>6583</v>
      </c>
      <c r="O136" s="6">
        <v>88</v>
      </c>
      <c r="P136" s="6">
        <v>80</v>
      </c>
      <c r="Q136" s="6">
        <v>80</v>
      </c>
      <c r="R136" s="6">
        <v>80</v>
      </c>
      <c r="S136" s="6">
        <v>88</v>
      </c>
      <c r="T136" s="6">
        <v>73</v>
      </c>
      <c r="U136" s="6">
        <v>85</v>
      </c>
      <c r="V136" s="6">
        <v>75</v>
      </c>
      <c r="W136" s="6">
        <v>80</v>
      </c>
      <c r="X136" s="6">
        <v>80</v>
      </c>
      <c r="Y136" s="6">
        <v>83</v>
      </c>
      <c r="Z136" s="6">
        <v>77</v>
      </c>
      <c r="AA136" s="6">
        <v>79</v>
      </c>
      <c r="AB136" s="6">
        <v>72</v>
      </c>
      <c r="AC136" s="6">
        <v>76</v>
      </c>
      <c r="AD136" s="6">
        <v>80</v>
      </c>
      <c r="AE136" s="6">
        <v>73</v>
      </c>
      <c r="AF136" s="6">
        <v>81</v>
      </c>
      <c r="AG136" s="6" t="s">
        <v>7832</v>
      </c>
      <c r="AH136" s="6" t="s">
        <v>6610</v>
      </c>
    </row>
    <row r="137" spans="1:34" x14ac:dyDescent="0.2">
      <c r="A137" t="s">
        <v>2935</v>
      </c>
      <c r="B137" t="s">
        <v>1199</v>
      </c>
      <c r="C137" t="s">
        <v>2874</v>
      </c>
      <c r="D137" s="7" t="s">
        <v>129</v>
      </c>
      <c r="E137" t="s">
        <v>58</v>
      </c>
      <c r="F137">
        <v>22</v>
      </c>
      <c r="G137">
        <v>67</v>
      </c>
      <c r="H137">
        <v>83</v>
      </c>
      <c r="I137" t="s">
        <v>6322</v>
      </c>
      <c r="J137">
        <v>76</v>
      </c>
      <c r="K137">
        <v>308</v>
      </c>
      <c r="L137" t="s">
        <v>4629</v>
      </c>
      <c r="M137" s="6" t="s">
        <v>6603</v>
      </c>
      <c r="N137" s="6" t="s">
        <v>6567</v>
      </c>
      <c r="O137" s="6">
        <v>64</v>
      </c>
      <c r="P137" s="6">
        <v>67</v>
      </c>
      <c r="Q137" s="6">
        <v>65</v>
      </c>
      <c r="R137" s="6">
        <v>64</v>
      </c>
      <c r="S137" s="6">
        <v>66</v>
      </c>
      <c r="T137" s="6">
        <v>72</v>
      </c>
      <c r="U137" s="6">
        <v>57</v>
      </c>
      <c r="V137" s="6">
        <v>73</v>
      </c>
      <c r="W137" s="6">
        <v>56</v>
      </c>
      <c r="X137" s="6">
        <v>61</v>
      </c>
      <c r="Y137" s="6">
        <v>63</v>
      </c>
      <c r="Z137" s="6">
        <v>71</v>
      </c>
      <c r="AA137" s="6">
        <v>65</v>
      </c>
      <c r="AB137" s="6">
        <v>63</v>
      </c>
      <c r="AC137" s="6">
        <v>70</v>
      </c>
      <c r="AD137" s="6">
        <v>67</v>
      </c>
      <c r="AE137" s="6">
        <v>65</v>
      </c>
      <c r="AF137" s="6">
        <v>72</v>
      </c>
      <c r="AG137" s="6" t="s">
        <v>6604</v>
      </c>
      <c r="AH137" s="6" t="s">
        <v>6598</v>
      </c>
    </row>
    <row r="138" spans="1:34" x14ac:dyDescent="0.2">
      <c r="A138" t="s">
        <v>2936</v>
      </c>
      <c r="B138" t="s">
        <v>1200</v>
      </c>
      <c r="C138" t="s">
        <v>2875</v>
      </c>
      <c r="D138" s="7" t="s">
        <v>129</v>
      </c>
      <c r="E138" t="s">
        <v>58</v>
      </c>
      <c r="F138">
        <v>30</v>
      </c>
      <c r="G138">
        <v>81</v>
      </c>
      <c r="H138">
        <v>83</v>
      </c>
      <c r="I138" t="s">
        <v>6323</v>
      </c>
      <c r="J138">
        <v>76</v>
      </c>
      <c r="K138">
        <v>320</v>
      </c>
      <c r="L138" t="s">
        <v>4630</v>
      </c>
      <c r="M138" s="6" t="s">
        <v>6558</v>
      </c>
      <c r="N138" s="6" t="s">
        <v>6559</v>
      </c>
      <c r="O138" s="6">
        <v>89</v>
      </c>
      <c r="P138" s="6">
        <v>82</v>
      </c>
      <c r="Q138" s="6">
        <v>74</v>
      </c>
      <c r="R138" s="6">
        <v>84</v>
      </c>
      <c r="S138" s="6">
        <v>72</v>
      </c>
      <c r="T138" s="6">
        <v>76</v>
      </c>
      <c r="U138" s="6">
        <v>92</v>
      </c>
      <c r="V138" s="6">
        <v>82</v>
      </c>
      <c r="W138" s="6">
        <v>67</v>
      </c>
      <c r="X138" s="6">
        <v>77</v>
      </c>
      <c r="Y138" s="6">
        <v>73</v>
      </c>
      <c r="Z138" s="6">
        <v>87</v>
      </c>
      <c r="AA138" s="6">
        <v>72</v>
      </c>
      <c r="AB138" s="6">
        <v>82</v>
      </c>
      <c r="AC138" s="6">
        <v>69</v>
      </c>
      <c r="AD138" s="6">
        <v>70</v>
      </c>
      <c r="AE138" s="6">
        <v>74</v>
      </c>
      <c r="AF138" s="6">
        <v>72</v>
      </c>
      <c r="AG138" s="6" t="s">
        <v>6605</v>
      </c>
      <c r="AH138" s="6" t="s">
        <v>6606</v>
      </c>
    </row>
    <row r="139" spans="1:34" x14ac:dyDescent="0.2">
      <c r="A139" t="s">
        <v>2974</v>
      </c>
      <c r="B139" t="s">
        <v>1238</v>
      </c>
      <c r="C139" t="s">
        <v>57</v>
      </c>
      <c r="D139" s="7" t="s">
        <v>146</v>
      </c>
      <c r="E139" t="s">
        <v>58</v>
      </c>
      <c r="F139">
        <v>30</v>
      </c>
      <c r="G139">
        <v>69</v>
      </c>
      <c r="H139">
        <v>83</v>
      </c>
      <c r="I139" t="s">
        <v>6312</v>
      </c>
      <c r="J139">
        <v>72</v>
      </c>
      <c r="K139">
        <v>205</v>
      </c>
      <c r="L139" t="s">
        <v>4668</v>
      </c>
      <c r="M139" s="6" t="s">
        <v>6558</v>
      </c>
      <c r="N139" s="6" t="s">
        <v>6567</v>
      </c>
      <c r="O139" s="6">
        <v>72</v>
      </c>
      <c r="P139" s="6">
        <v>71</v>
      </c>
      <c r="Q139" s="6">
        <v>73</v>
      </c>
      <c r="R139" s="6">
        <v>63</v>
      </c>
      <c r="S139" s="6">
        <v>69</v>
      </c>
      <c r="T139" s="6">
        <v>70</v>
      </c>
      <c r="U139" s="6">
        <v>76</v>
      </c>
      <c r="V139" s="6">
        <v>80</v>
      </c>
      <c r="W139" s="6">
        <v>77</v>
      </c>
      <c r="X139" s="6">
        <v>67</v>
      </c>
      <c r="Y139" s="6">
        <v>64</v>
      </c>
      <c r="Z139" s="6">
        <v>69</v>
      </c>
      <c r="AA139" s="6">
        <v>66</v>
      </c>
      <c r="AB139" s="6">
        <v>67</v>
      </c>
      <c r="AC139" s="6">
        <v>61</v>
      </c>
      <c r="AD139" s="6">
        <v>70</v>
      </c>
      <c r="AE139" s="6">
        <v>65</v>
      </c>
      <c r="AF139" s="6">
        <v>68</v>
      </c>
      <c r="AG139" s="6" t="s">
        <v>6666</v>
      </c>
      <c r="AH139" s="6" t="s">
        <v>6574</v>
      </c>
    </row>
    <row r="140" spans="1:34" x14ac:dyDescent="0.2">
      <c r="A140" t="s">
        <v>3086</v>
      </c>
      <c r="B140" t="s">
        <v>1350</v>
      </c>
      <c r="C140" t="s">
        <v>2878</v>
      </c>
      <c r="D140" s="7" t="s">
        <v>130</v>
      </c>
      <c r="E140" t="s">
        <v>58</v>
      </c>
      <c r="F140">
        <v>22</v>
      </c>
      <c r="G140">
        <v>59</v>
      </c>
      <c r="H140">
        <v>83</v>
      </c>
      <c r="I140" t="s">
        <v>6323</v>
      </c>
      <c r="J140">
        <v>76</v>
      </c>
      <c r="K140">
        <v>261</v>
      </c>
      <c r="L140" t="s">
        <v>4780</v>
      </c>
      <c r="M140" s="6" t="s">
        <v>6733</v>
      </c>
      <c r="N140" s="6" t="s">
        <v>6567</v>
      </c>
      <c r="O140" s="6">
        <v>61</v>
      </c>
      <c r="P140" s="6">
        <v>60</v>
      </c>
      <c r="Q140" s="6">
        <v>67</v>
      </c>
      <c r="R140" s="6">
        <v>67</v>
      </c>
      <c r="S140" s="6">
        <v>67</v>
      </c>
      <c r="T140" s="6">
        <v>60</v>
      </c>
      <c r="U140" s="6">
        <v>65</v>
      </c>
      <c r="V140" s="6">
        <v>73</v>
      </c>
      <c r="W140" s="6">
        <v>64</v>
      </c>
      <c r="X140" s="6">
        <v>56</v>
      </c>
      <c r="Y140" s="6">
        <v>65</v>
      </c>
      <c r="Z140" s="6">
        <v>57</v>
      </c>
      <c r="AA140" s="6">
        <v>61</v>
      </c>
      <c r="AB140" s="6">
        <v>66</v>
      </c>
      <c r="AC140" s="6">
        <v>70</v>
      </c>
      <c r="AD140" s="6">
        <v>61</v>
      </c>
      <c r="AE140" s="6">
        <v>66</v>
      </c>
      <c r="AF140" s="6">
        <v>71</v>
      </c>
      <c r="AG140" s="6" t="s">
        <v>6803</v>
      </c>
      <c r="AH140" s="6" t="s">
        <v>6797</v>
      </c>
    </row>
    <row r="141" spans="1:34" x14ac:dyDescent="0.2">
      <c r="A141" t="s">
        <v>3092</v>
      </c>
      <c r="B141" t="s">
        <v>1356</v>
      </c>
      <c r="C141" t="s">
        <v>61</v>
      </c>
      <c r="D141" s="7" t="s">
        <v>130</v>
      </c>
      <c r="E141" t="s">
        <v>38</v>
      </c>
      <c r="F141">
        <v>24</v>
      </c>
      <c r="G141">
        <v>82</v>
      </c>
      <c r="H141">
        <v>83</v>
      </c>
      <c r="I141" t="s">
        <v>6329</v>
      </c>
      <c r="J141">
        <v>72</v>
      </c>
      <c r="K141">
        <v>200</v>
      </c>
      <c r="L141" t="s">
        <v>4786</v>
      </c>
      <c r="M141" s="6" t="s">
        <v>6558</v>
      </c>
      <c r="N141" s="6" t="s">
        <v>6565</v>
      </c>
      <c r="O141" s="6">
        <v>79</v>
      </c>
      <c r="P141" s="6">
        <v>75</v>
      </c>
      <c r="Q141" s="6">
        <v>78</v>
      </c>
      <c r="R141" s="6">
        <v>72</v>
      </c>
      <c r="S141" s="6">
        <v>88</v>
      </c>
      <c r="T141" s="6">
        <v>73</v>
      </c>
      <c r="U141" s="6">
        <v>66</v>
      </c>
      <c r="V141" s="6">
        <v>78</v>
      </c>
      <c r="W141" s="6">
        <v>80</v>
      </c>
      <c r="X141" s="6">
        <v>80</v>
      </c>
      <c r="Y141" s="6">
        <v>94</v>
      </c>
      <c r="Z141" s="6">
        <v>84</v>
      </c>
      <c r="AA141" s="6">
        <v>75</v>
      </c>
      <c r="AB141" s="6">
        <v>78</v>
      </c>
      <c r="AC141" s="6">
        <v>69</v>
      </c>
      <c r="AD141" s="6">
        <v>79</v>
      </c>
      <c r="AE141" s="6">
        <v>73</v>
      </c>
      <c r="AF141" s="6">
        <v>80</v>
      </c>
      <c r="AG141" s="6" t="s">
        <v>6810</v>
      </c>
      <c r="AH141" s="6" t="s">
        <v>6811</v>
      </c>
    </row>
    <row r="142" spans="1:34" x14ac:dyDescent="0.2">
      <c r="A142" t="s">
        <v>3137</v>
      </c>
      <c r="B142" t="s">
        <v>1401</v>
      </c>
      <c r="C142" t="s">
        <v>2879</v>
      </c>
      <c r="D142" s="7" t="s">
        <v>133</v>
      </c>
      <c r="E142" t="s">
        <v>58</v>
      </c>
      <c r="F142">
        <v>25</v>
      </c>
      <c r="G142">
        <v>67</v>
      </c>
      <c r="H142">
        <v>83</v>
      </c>
      <c r="I142" t="s">
        <v>6319</v>
      </c>
      <c r="J142">
        <v>73</v>
      </c>
      <c r="K142">
        <v>296</v>
      </c>
      <c r="L142" t="s">
        <v>4831</v>
      </c>
      <c r="M142" s="6" t="s">
        <v>6558</v>
      </c>
      <c r="N142" s="6" t="s">
        <v>6565</v>
      </c>
      <c r="O142" s="6">
        <v>61</v>
      </c>
      <c r="P142" s="6">
        <v>64</v>
      </c>
      <c r="Q142" s="6">
        <v>61</v>
      </c>
      <c r="R142" s="6">
        <v>70</v>
      </c>
      <c r="S142" s="6">
        <v>76</v>
      </c>
      <c r="T142" s="6">
        <v>79</v>
      </c>
      <c r="U142" s="6">
        <v>65</v>
      </c>
      <c r="V142" s="6">
        <v>69</v>
      </c>
      <c r="W142" s="6">
        <v>61</v>
      </c>
      <c r="X142" s="6">
        <v>73</v>
      </c>
      <c r="Y142" s="6">
        <v>83</v>
      </c>
      <c r="Z142" s="6">
        <v>71</v>
      </c>
      <c r="AA142" s="6">
        <v>72</v>
      </c>
      <c r="AB142" s="6">
        <v>65</v>
      </c>
      <c r="AC142" s="6">
        <v>71</v>
      </c>
      <c r="AD142" s="6">
        <v>78</v>
      </c>
      <c r="AE142" s="6">
        <v>73</v>
      </c>
      <c r="AF142" s="6">
        <v>66</v>
      </c>
      <c r="AG142" s="6" t="s">
        <v>6860</v>
      </c>
      <c r="AH142" s="6" t="s">
        <v>6861</v>
      </c>
    </row>
    <row r="143" spans="1:34" x14ac:dyDescent="0.2">
      <c r="A143" t="s">
        <v>3146</v>
      </c>
      <c r="B143" t="s">
        <v>1410</v>
      </c>
      <c r="C143" t="s">
        <v>61</v>
      </c>
      <c r="D143" s="7" t="s">
        <v>133</v>
      </c>
      <c r="E143" t="s">
        <v>58</v>
      </c>
      <c r="F143">
        <v>24</v>
      </c>
      <c r="G143">
        <v>63</v>
      </c>
      <c r="H143">
        <v>83</v>
      </c>
      <c r="I143" t="s">
        <v>6339</v>
      </c>
      <c r="J143">
        <v>70</v>
      </c>
      <c r="K143">
        <v>198</v>
      </c>
      <c r="L143" t="s">
        <v>4840</v>
      </c>
      <c r="M143" s="6" t="s">
        <v>6603</v>
      </c>
      <c r="N143" s="6" t="s">
        <v>6565</v>
      </c>
      <c r="O143" s="6">
        <v>76</v>
      </c>
      <c r="P143" s="6">
        <v>70</v>
      </c>
      <c r="Q143" s="6">
        <v>68</v>
      </c>
      <c r="R143" s="6">
        <v>72</v>
      </c>
      <c r="S143" s="6">
        <v>70</v>
      </c>
      <c r="T143" s="6">
        <v>65</v>
      </c>
      <c r="U143" s="6">
        <v>57</v>
      </c>
      <c r="V143" s="6">
        <v>76</v>
      </c>
      <c r="W143" s="6">
        <v>68</v>
      </c>
      <c r="X143" s="6">
        <v>76</v>
      </c>
      <c r="Y143" s="6">
        <v>79</v>
      </c>
      <c r="Z143" s="6">
        <v>71</v>
      </c>
      <c r="AA143" s="6">
        <v>66</v>
      </c>
      <c r="AB143" s="6">
        <v>72</v>
      </c>
      <c r="AC143" s="6">
        <v>75</v>
      </c>
      <c r="AD143" s="6">
        <v>67</v>
      </c>
      <c r="AE143" s="6">
        <v>71</v>
      </c>
      <c r="AF143" s="6">
        <v>69</v>
      </c>
      <c r="AG143" s="6" t="s">
        <v>6870</v>
      </c>
      <c r="AH143" s="6" t="s">
        <v>6630</v>
      </c>
    </row>
    <row r="144" spans="1:34" x14ac:dyDescent="0.2">
      <c r="A144" t="s">
        <v>3152</v>
      </c>
      <c r="B144" t="s">
        <v>1416</v>
      </c>
      <c r="C144" t="s">
        <v>2885</v>
      </c>
      <c r="D144" s="7" t="s">
        <v>133</v>
      </c>
      <c r="E144" t="s">
        <v>38</v>
      </c>
      <c r="F144">
        <v>29</v>
      </c>
      <c r="G144">
        <v>71</v>
      </c>
      <c r="H144">
        <v>83</v>
      </c>
      <c r="I144" t="s">
        <v>6345</v>
      </c>
      <c r="J144">
        <v>73</v>
      </c>
      <c r="K144">
        <v>233</v>
      </c>
      <c r="L144" t="s">
        <v>4846</v>
      </c>
      <c r="M144" s="6" t="s">
        <v>6558</v>
      </c>
      <c r="N144" s="6" t="s">
        <v>6583</v>
      </c>
      <c r="O144" s="6">
        <v>74</v>
      </c>
      <c r="P144" s="6">
        <v>72</v>
      </c>
      <c r="Q144" s="6">
        <v>72</v>
      </c>
      <c r="R144" s="6">
        <v>77</v>
      </c>
      <c r="S144" s="6">
        <v>70</v>
      </c>
      <c r="T144" s="6">
        <v>76</v>
      </c>
      <c r="U144" s="6">
        <v>72</v>
      </c>
      <c r="V144" s="6">
        <v>72</v>
      </c>
      <c r="W144" s="6">
        <v>72</v>
      </c>
      <c r="X144" s="6">
        <v>65</v>
      </c>
      <c r="Y144" s="6">
        <v>86</v>
      </c>
      <c r="Z144" s="6">
        <v>73</v>
      </c>
      <c r="AA144" s="6">
        <v>68</v>
      </c>
      <c r="AB144" s="6">
        <v>65</v>
      </c>
      <c r="AC144" s="6">
        <v>60</v>
      </c>
      <c r="AD144" s="6">
        <v>65</v>
      </c>
      <c r="AE144" s="6">
        <v>69</v>
      </c>
      <c r="AF144" s="6">
        <v>67</v>
      </c>
      <c r="AG144" s="6" t="s">
        <v>6876</v>
      </c>
      <c r="AH144" s="6" t="s">
        <v>6628</v>
      </c>
    </row>
    <row r="145" spans="1:34" x14ac:dyDescent="0.2">
      <c r="A145" t="s">
        <v>3176</v>
      </c>
      <c r="B145" t="s">
        <v>1440</v>
      </c>
      <c r="C145" t="s">
        <v>2878</v>
      </c>
      <c r="D145" s="7" t="s">
        <v>134</v>
      </c>
      <c r="E145" t="s">
        <v>38</v>
      </c>
      <c r="F145">
        <v>28</v>
      </c>
      <c r="G145">
        <v>80</v>
      </c>
      <c r="H145">
        <v>83</v>
      </c>
      <c r="I145" t="s">
        <v>6366</v>
      </c>
      <c r="J145">
        <v>77</v>
      </c>
      <c r="K145">
        <v>272</v>
      </c>
      <c r="L145" t="s">
        <v>4870</v>
      </c>
      <c r="M145" s="6" t="s">
        <v>6558</v>
      </c>
      <c r="N145" s="6" t="s">
        <v>6565</v>
      </c>
      <c r="O145" s="6">
        <v>71</v>
      </c>
      <c r="P145" s="6">
        <v>80</v>
      </c>
      <c r="Q145" s="6">
        <v>74</v>
      </c>
      <c r="R145" s="6">
        <v>74</v>
      </c>
      <c r="S145" s="6">
        <v>82</v>
      </c>
      <c r="T145" s="6">
        <v>80</v>
      </c>
      <c r="U145" s="6">
        <v>78</v>
      </c>
      <c r="V145" s="6">
        <v>81</v>
      </c>
      <c r="W145" s="6">
        <v>72</v>
      </c>
      <c r="X145" s="6">
        <v>78</v>
      </c>
      <c r="Y145" s="6">
        <v>82</v>
      </c>
      <c r="Z145" s="6">
        <v>77</v>
      </c>
      <c r="AA145" s="6">
        <v>79</v>
      </c>
      <c r="AB145" s="6">
        <v>70</v>
      </c>
      <c r="AC145" s="6">
        <v>69</v>
      </c>
      <c r="AD145" s="6">
        <v>75</v>
      </c>
      <c r="AE145" s="6">
        <v>70</v>
      </c>
      <c r="AF145" s="6">
        <v>74</v>
      </c>
      <c r="AG145" s="6" t="s">
        <v>6902</v>
      </c>
      <c r="AH145" s="6" t="s">
        <v>6682</v>
      </c>
    </row>
    <row r="146" spans="1:34" x14ac:dyDescent="0.2">
      <c r="A146" t="s">
        <v>3196</v>
      </c>
      <c r="B146" t="s">
        <v>1460</v>
      </c>
      <c r="C146" t="s">
        <v>2882</v>
      </c>
      <c r="D146" s="7" t="s">
        <v>134</v>
      </c>
      <c r="E146" t="s">
        <v>58</v>
      </c>
      <c r="F146">
        <v>30</v>
      </c>
      <c r="G146">
        <v>72</v>
      </c>
      <c r="H146">
        <v>83</v>
      </c>
      <c r="I146" t="s">
        <v>6386</v>
      </c>
      <c r="J146">
        <v>73</v>
      </c>
      <c r="K146">
        <v>198</v>
      </c>
      <c r="L146" t="s">
        <v>4890</v>
      </c>
      <c r="M146" s="6" t="s">
        <v>6558</v>
      </c>
      <c r="N146" s="6" t="s">
        <v>6565</v>
      </c>
      <c r="O146" s="6">
        <v>75</v>
      </c>
      <c r="P146" s="6">
        <v>72</v>
      </c>
      <c r="Q146" s="6">
        <v>74</v>
      </c>
      <c r="R146" s="6">
        <v>74</v>
      </c>
      <c r="S146" s="6">
        <v>69</v>
      </c>
      <c r="T146" s="6">
        <v>80</v>
      </c>
      <c r="U146" s="6">
        <v>76</v>
      </c>
      <c r="V146" s="6">
        <v>76</v>
      </c>
      <c r="W146" s="6">
        <v>76</v>
      </c>
      <c r="X146" s="6">
        <v>72</v>
      </c>
      <c r="Y146" s="6">
        <v>80</v>
      </c>
      <c r="Z146" s="6">
        <v>68</v>
      </c>
      <c r="AA146" s="6">
        <v>72</v>
      </c>
      <c r="AB146" s="6">
        <v>76</v>
      </c>
      <c r="AC146" s="6">
        <v>64</v>
      </c>
      <c r="AD146" s="6">
        <v>63</v>
      </c>
      <c r="AE146" s="6">
        <v>63</v>
      </c>
      <c r="AF146" s="6">
        <v>68</v>
      </c>
      <c r="AG146" s="6" t="s">
        <v>6922</v>
      </c>
      <c r="AH146" s="6" t="s">
        <v>6636</v>
      </c>
    </row>
    <row r="147" spans="1:34" x14ac:dyDescent="0.2">
      <c r="A147" t="s">
        <v>3199</v>
      </c>
      <c r="B147" t="s">
        <v>1463</v>
      </c>
      <c r="C147" t="s">
        <v>2883</v>
      </c>
      <c r="D147" s="7" t="s">
        <v>134</v>
      </c>
      <c r="E147" t="s">
        <v>58</v>
      </c>
      <c r="F147">
        <v>23</v>
      </c>
      <c r="G147">
        <v>67</v>
      </c>
      <c r="H147">
        <v>83</v>
      </c>
      <c r="I147" t="s">
        <v>6389</v>
      </c>
      <c r="J147">
        <v>75</v>
      </c>
      <c r="K147">
        <v>219</v>
      </c>
      <c r="L147" t="s">
        <v>4893</v>
      </c>
      <c r="M147" s="6" t="s">
        <v>6558</v>
      </c>
      <c r="N147" s="6" t="s">
        <v>6565</v>
      </c>
      <c r="O147" s="6">
        <v>69</v>
      </c>
      <c r="P147" s="6">
        <v>64</v>
      </c>
      <c r="Q147" s="6">
        <v>68</v>
      </c>
      <c r="R147" s="6">
        <v>75</v>
      </c>
      <c r="S147" s="6">
        <v>76</v>
      </c>
      <c r="T147" s="6">
        <v>75</v>
      </c>
      <c r="U147" s="6">
        <v>60</v>
      </c>
      <c r="V147" s="6">
        <v>67</v>
      </c>
      <c r="W147" s="6">
        <v>67</v>
      </c>
      <c r="X147" s="6">
        <v>62</v>
      </c>
      <c r="Y147" s="6">
        <v>65</v>
      </c>
      <c r="Z147" s="6">
        <v>62</v>
      </c>
      <c r="AA147" s="6">
        <v>69</v>
      </c>
      <c r="AB147" s="6">
        <v>74</v>
      </c>
      <c r="AC147" s="6">
        <v>62</v>
      </c>
      <c r="AD147" s="6">
        <v>75</v>
      </c>
      <c r="AE147" s="6">
        <v>66</v>
      </c>
      <c r="AF147" s="6">
        <v>74</v>
      </c>
      <c r="AG147" s="6" t="s">
        <v>6925</v>
      </c>
      <c r="AH147" s="6" t="s">
        <v>6640</v>
      </c>
    </row>
    <row r="148" spans="1:34" x14ac:dyDescent="0.2">
      <c r="A148" t="s">
        <v>3202</v>
      </c>
      <c r="B148" t="s">
        <v>1466</v>
      </c>
      <c r="C148" t="s">
        <v>2884</v>
      </c>
      <c r="D148" s="7" t="s">
        <v>134</v>
      </c>
      <c r="E148" t="s">
        <v>58</v>
      </c>
      <c r="F148">
        <v>26</v>
      </c>
      <c r="G148">
        <v>65</v>
      </c>
      <c r="H148">
        <v>83</v>
      </c>
      <c r="I148" t="s">
        <v>6392</v>
      </c>
      <c r="J148">
        <v>71</v>
      </c>
      <c r="K148">
        <v>180</v>
      </c>
      <c r="L148" t="s">
        <v>4896</v>
      </c>
      <c r="M148" s="6" t="s">
        <v>6558</v>
      </c>
      <c r="N148" s="6" t="s">
        <v>6567</v>
      </c>
      <c r="O148" s="6">
        <v>66</v>
      </c>
      <c r="P148" s="6">
        <v>73</v>
      </c>
      <c r="Q148" s="6">
        <v>73</v>
      </c>
      <c r="R148" s="6">
        <v>64</v>
      </c>
      <c r="S148" s="6">
        <v>79</v>
      </c>
      <c r="T148" s="6">
        <v>68</v>
      </c>
      <c r="U148" s="6">
        <v>78</v>
      </c>
      <c r="V148" s="6">
        <v>75</v>
      </c>
      <c r="W148" s="6">
        <v>76</v>
      </c>
      <c r="X148" s="6">
        <v>67</v>
      </c>
      <c r="Y148" s="6">
        <v>75</v>
      </c>
      <c r="Z148" s="6">
        <v>71</v>
      </c>
      <c r="AA148" s="6">
        <v>75</v>
      </c>
      <c r="AB148" s="6">
        <v>63</v>
      </c>
      <c r="AC148" s="6">
        <v>73</v>
      </c>
      <c r="AD148" s="6">
        <v>82</v>
      </c>
      <c r="AE148" s="6">
        <v>68</v>
      </c>
      <c r="AF148" s="6">
        <v>75</v>
      </c>
      <c r="AG148" s="6" t="s">
        <v>6928</v>
      </c>
      <c r="AH148" s="6" t="s">
        <v>6644</v>
      </c>
    </row>
    <row r="149" spans="1:34" x14ac:dyDescent="0.2">
      <c r="A149" t="s">
        <v>3207</v>
      </c>
      <c r="B149" t="s">
        <v>1471</v>
      </c>
      <c r="C149" t="s">
        <v>2891</v>
      </c>
      <c r="D149" s="7" t="s">
        <v>134</v>
      </c>
      <c r="E149" t="s">
        <v>58</v>
      </c>
      <c r="F149">
        <v>25</v>
      </c>
      <c r="G149">
        <v>64</v>
      </c>
      <c r="H149">
        <v>83</v>
      </c>
      <c r="I149" t="s">
        <v>6397</v>
      </c>
      <c r="J149">
        <v>72</v>
      </c>
      <c r="K149">
        <v>250</v>
      </c>
      <c r="L149" t="s">
        <v>4901</v>
      </c>
      <c r="M149" s="6" t="s">
        <v>6558</v>
      </c>
      <c r="N149" s="6" t="s">
        <v>6567</v>
      </c>
      <c r="O149" s="6">
        <v>64</v>
      </c>
      <c r="P149" s="6">
        <v>74</v>
      </c>
      <c r="Q149" s="6">
        <v>65</v>
      </c>
      <c r="R149" s="6">
        <v>65</v>
      </c>
      <c r="S149" s="6">
        <v>71</v>
      </c>
      <c r="T149" s="6">
        <v>71</v>
      </c>
      <c r="U149" s="6">
        <v>78</v>
      </c>
      <c r="V149" s="6">
        <v>72</v>
      </c>
      <c r="W149" s="6">
        <v>67</v>
      </c>
      <c r="X149" s="6">
        <v>76</v>
      </c>
      <c r="Y149" s="6">
        <v>76</v>
      </c>
      <c r="Z149" s="6">
        <v>76</v>
      </c>
      <c r="AA149" s="6">
        <v>67</v>
      </c>
      <c r="AB149" s="6">
        <v>70</v>
      </c>
      <c r="AC149" s="6">
        <v>77</v>
      </c>
      <c r="AD149" s="6">
        <v>68</v>
      </c>
      <c r="AE149" s="6">
        <v>69</v>
      </c>
      <c r="AF149" s="6">
        <v>73</v>
      </c>
      <c r="AG149" s="6" t="s">
        <v>6933</v>
      </c>
      <c r="AH149" s="6" t="s">
        <v>6824</v>
      </c>
    </row>
    <row r="150" spans="1:34" x14ac:dyDescent="0.2">
      <c r="A150" t="s">
        <v>3226</v>
      </c>
      <c r="B150" t="s">
        <v>1490</v>
      </c>
      <c r="C150" t="s">
        <v>2874</v>
      </c>
      <c r="D150" s="7" t="s">
        <v>132</v>
      </c>
      <c r="E150" t="s">
        <v>38</v>
      </c>
      <c r="F150">
        <v>28</v>
      </c>
      <c r="G150">
        <v>76</v>
      </c>
      <c r="H150">
        <v>83</v>
      </c>
      <c r="I150" t="s">
        <v>6415</v>
      </c>
      <c r="J150">
        <v>74</v>
      </c>
      <c r="K150">
        <v>320</v>
      </c>
      <c r="L150" t="s">
        <v>4920</v>
      </c>
      <c r="M150" s="6" t="s">
        <v>6558</v>
      </c>
      <c r="N150" s="6" t="s">
        <v>6567</v>
      </c>
      <c r="O150" s="6">
        <v>76</v>
      </c>
      <c r="P150" s="6">
        <v>68</v>
      </c>
      <c r="Q150" s="6">
        <v>69</v>
      </c>
      <c r="R150" s="6">
        <v>66</v>
      </c>
      <c r="S150" s="6">
        <v>75</v>
      </c>
      <c r="T150" s="6">
        <v>72</v>
      </c>
      <c r="U150" s="6">
        <v>74</v>
      </c>
      <c r="V150" s="6">
        <v>78</v>
      </c>
      <c r="W150" s="6">
        <v>72</v>
      </c>
      <c r="X150" s="6">
        <v>71</v>
      </c>
      <c r="Y150" s="6">
        <v>77</v>
      </c>
      <c r="Z150" s="6">
        <v>80</v>
      </c>
      <c r="AA150" s="6">
        <v>73</v>
      </c>
      <c r="AB150" s="6">
        <v>71</v>
      </c>
      <c r="AC150" s="6">
        <v>72</v>
      </c>
      <c r="AD150" s="6">
        <v>74</v>
      </c>
      <c r="AE150" s="6">
        <v>69</v>
      </c>
      <c r="AF150" s="6">
        <v>72</v>
      </c>
      <c r="AG150" s="6" t="s">
        <v>6953</v>
      </c>
      <c r="AH150" s="6" t="s">
        <v>6598</v>
      </c>
    </row>
    <row r="151" spans="1:34" x14ac:dyDescent="0.2">
      <c r="A151" t="s">
        <v>3228</v>
      </c>
      <c r="B151" t="s">
        <v>1492</v>
      </c>
      <c r="C151" t="s">
        <v>2887</v>
      </c>
      <c r="D151" s="7" t="s">
        <v>132</v>
      </c>
      <c r="E151" t="s">
        <v>38</v>
      </c>
      <c r="F151">
        <v>24</v>
      </c>
      <c r="G151">
        <v>73</v>
      </c>
      <c r="H151">
        <v>83</v>
      </c>
      <c r="I151" t="s">
        <v>6417</v>
      </c>
      <c r="J151">
        <v>77</v>
      </c>
      <c r="K151">
        <v>315</v>
      </c>
      <c r="L151" t="s">
        <v>4922</v>
      </c>
      <c r="M151" s="6" t="s">
        <v>6558</v>
      </c>
      <c r="N151" s="6" t="s">
        <v>6583</v>
      </c>
      <c r="O151" s="6">
        <v>68</v>
      </c>
      <c r="P151" s="6">
        <v>80</v>
      </c>
      <c r="Q151" s="6">
        <v>73</v>
      </c>
      <c r="R151" s="6">
        <v>76</v>
      </c>
      <c r="S151" s="6">
        <v>69</v>
      </c>
      <c r="T151" s="6">
        <v>65</v>
      </c>
      <c r="U151" s="6">
        <v>67</v>
      </c>
      <c r="V151" s="6">
        <v>75</v>
      </c>
      <c r="W151" s="6">
        <v>78</v>
      </c>
      <c r="X151" s="6">
        <v>69</v>
      </c>
      <c r="Y151" s="6">
        <v>76</v>
      </c>
      <c r="Z151" s="6">
        <v>76</v>
      </c>
      <c r="AA151" s="6">
        <v>71</v>
      </c>
      <c r="AB151" s="6">
        <v>78</v>
      </c>
      <c r="AC151" s="6">
        <v>72</v>
      </c>
      <c r="AD151" s="6">
        <v>72</v>
      </c>
      <c r="AE151" s="6">
        <v>72</v>
      </c>
      <c r="AF151" s="6">
        <v>76</v>
      </c>
      <c r="AG151" s="6" t="s">
        <v>6955</v>
      </c>
      <c r="AH151" s="6" t="s">
        <v>6600</v>
      </c>
    </row>
    <row r="152" spans="1:34" x14ac:dyDescent="0.2">
      <c r="A152" t="s">
        <v>3239</v>
      </c>
      <c r="B152" t="s">
        <v>1503</v>
      </c>
      <c r="C152" t="s">
        <v>2879</v>
      </c>
      <c r="D152" s="7" t="s">
        <v>132</v>
      </c>
      <c r="E152" t="s">
        <v>58</v>
      </c>
      <c r="F152">
        <v>26</v>
      </c>
      <c r="G152">
        <v>71</v>
      </c>
      <c r="H152">
        <v>83</v>
      </c>
      <c r="I152" t="s">
        <v>6428</v>
      </c>
      <c r="J152">
        <v>75</v>
      </c>
      <c r="K152">
        <v>300</v>
      </c>
      <c r="L152" t="s">
        <v>4933</v>
      </c>
      <c r="M152" s="6" t="s">
        <v>6558</v>
      </c>
      <c r="N152" s="6" t="s">
        <v>6614</v>
      </c>
      <c r="O152" s="6">
        <v>78</v>
      </c>
      <c r="P152" s="6">
        <v>69</v>
      </c>
      <c r="Q152" s="6">
        <v>68</v>
      </c>
      <c r="R152" s="6">
        <v>61</v>
      </c>
      <c r="S152" s="6">
        <v>77</v>
      </c>
      <c r="T152" s="6">
        <v>68</v>
      </c>
      <c r="U152" s="6">
        <v>68</v>
      </c>
      <c r="V152" s="6">
        <v>70</v>
      </c>
      <c r="W152" s="6">
        <v>75</v>
      </c>
      <c r="X152" s="6">
        <v>65</v>
      </c>
      <c r="Y152" s="6">
        <v>71</v>
      </c>
      <c r="Z152" s="6">
        <v>68</v>
      </c>
      <c r="AA152" s="6">
        <v>66</v>
      </c>
      <c r="AB152" s="6">
        <v>73</v>
      </c>
      <c r="AC152" s="6">
        <v>70</v>
      </c>
      <c r="AD152" s="6">
        <v>64</v>
      </c>
      <c r="AE152" s="6">
        <v>74</v>
      </c>
      <c r="AF152" s="6">
        <v>73</v>
      </c>
      <c r="AG152" s="6" t="s">
        <v>6967</v>
      </c>
      <c r="AH152" s="6" t="s">
        <v>6617</v>
      </c>
    </row>
    <row r="153" spans="1:34" x14ac:dyDescent="0.2">
      <c r="A153" t="s">
        <v>3272</v>
      </c>
      <c r="B153" t="s">
        <v>1536</v>
      </c>
      <c r="C153" t="s">
        <v>2871</v>
      </c>
      <c r="D153" s="7" t="s">
        <v>136</v>
      </c>
      <c r="E153" t="s">
        <v>38</v>
      </c>
      <c r="F153">
        <v>33</v>
      </c>
      <c r="G153">
        <v>75</v>
      </c>
      <c r="H153">
        <v>83</v>
      </c>
      <c r="I153" t="s">
        <v>6461</v>
      </c>
      <c r="J153">
        <v>75</v>
      </c>
      <c r="K153">
        <v>240</v>
      </c>
      <c r="L153" t="s">
        <v>4966</v>
      </c>
      <c r="M153" s="6" t="s">
        <v>6558</v>
      </c>
      <c r="N153" s="6" t="s">
        <v>6565</v>
      </c>
      <c r="O153" s="6">
        <v>78</v>
      </c>
      <c r="P153" s="6">
        <v>73</v>
      </c>
      <c r="Q153" s="6">
        <v>83</v>
      </c>
      <c r="R153" s="6">
        <v>73</v>
      </c>
      <c r="S153" s="6">
        <v>86</v>
      </c>
      <c r="T153" s="6">
        <v>71</v>
      </c>
      <c r="U153" s="6">
        <v>85</v>
      </c>
      <c r="V153" s="6">
        <v>74</v>
      </c>
      <c r="W153" s="6">
        <v>77</v>
      </c>
      <c r="X153" s="6">
        <v>83</v>
      </c>
      <c r="Y153" s="6">
        <v>78</v>
      </c>
      <c r="Z153" s="6">
        <v>87</v>
      </c>
      <c r="AA153" s="6">
        <v>63</v>
      </c>
      <c r="AB153" s="6">
        <v>61</v>
      </c>
      <c r="AC153" s="6">
        <v>62</v>
      </c>
      <c r="AD153" s="6">
        <v>66</v>
      </c>
      <c r="AE153" s="6">
        <v>72</v>
      </c>
      <c r="AF153" s="6">
        <v>69</v>
      </c>
      <c r="AG153" s="6" t="s">
        <v>7003</v>
      </c>
      <c r="AH153" s="6" t="s">
        <v>6587</v>
      </c>
    </row>
    <row r="154" spans="1:34" x14ac:dyDescent="0.2">
      <c r="A154" t="s">
        <v>3293</v>
      </c>
      <c r="B154" t="s">
        <v>1557</v>
      </c>
      <c r="C154" t="s">
        <v>2881</v>
      </c>
      <c r="D154" s="7" t="s">
        <v>136</v>
      </c>
      <c r="E154" t="s">
        <v>38</v>
      </c>
      <c r="F154">
        <v>28</v>
      </c>
      <c r="G154">
        <v>70</v>
      </c>
      <c r="H154">
        <v>83</v>
      </c>
      <c r="I154" t="s">
        <v>6481</v>
      </c>
      <c r="J154">
        <v>73</v>
      </c>
      <c r="K154">
        <v>237</v>
      </c>
      <c r="L154" t="s">
        <v>4987</v>
      </c>
      <c r="M154" s="6" t="s">
        <v>6558</v>
      </c>
      <c r="N154" s="6" t="s">
        <v>6562</v>
      </c>
      <c r="O154" s="6">
        <v>86</v>
      </c>
      <c r="P154" s="6">
        <v>60</v>
      </c>
      <c r="Q154" s="6">
        <v>71</v>
      </c>
      <c r="R154" s="6">
        <v>86</v>
      </c>
      <c r="S154" s="6">
        <v>80</v>
      </c>
      <c r="T154" s="6">
        <v>73</v>
      </c>
      <c r="U154" s="6">
        <v>80</v>
      </c>
      <c r="V154" s="6">
        <v>84</v>
      </c>
      <c r="W154" s="6">
        <v>72</v>
      </c>
      <c r="X154" s="6">
        <v>76</v>
      </c>
      <c r="Y154" s="6">
        <v>79</v>
      </c>
      <c r="Z154" s="6">
        <v>71</v>
      </c>
      <c r="AA154" s="6">
        <v>72</v>
      </c>
      <c r="AB154" s="6">
        <v>74</v>
      </c>
      <c r="AC154" s="6">
        <v>66</v>
      </c>
      <c r="AD154" s="6">
        <v>79</v>
      </c>
      <c r="AE154" s="6">
        <v>75</v>
      </c>
      <c r="AF154" s="6">
        <v>79</v>
      </c>
      <c r="AG154" s="6" t="s">
        <v>7024</v>
      </c>
      <c r="AH154" s="6" t="s">
        <v>6628</v>
      </c>
    </row>
    <row r="155" spans="1:34" x14ac:dyDescent="0.2">
      <c r="A155" t="s">
        <v>3309</v>
      </c>
      <c r="B155" t="s">
        <v>1573</v>
      </c>
      <c r="C155" t="s">
        <v>53</v>
      </c>
      <c r="D155" s="7" t="s">
        <v>137</v>
      </c>
      <c r="E155" t="s">
        <v>38</v>
      </c>
      <c r="F155">
        <v>23</v>
      </c>
      <c r="G155">
        <v>74</v>
      </c>
      <c r="H155">
        <v>83</v>
      </c>
      <c r="I155" t="s">
        <v>6315</v>
      </c>
      <c r="J155">
        <v>75</v>
      </c>
      <c r="K155">
        <v>227</v>
      </c>
      <c r="L155" t="s">
        <v>5003</v>
      </c>
      <c r="M155" s="6" t="s">
        <v>6558</v>
      </c>
      <c r="N155" s="6" t="s">
        <v>6567</v>
      </c>
      <c r="O155" s="6">
        <v>73</v>
      </c>
      <c r="P155" s="6">
        <v>70</v>
      </c>
      <c r="Q155" s="6">
        <v>75</v>
      </c>
      <c r="R155" s="6">
        <v>67</v>
      </c>
      <c r="S155" s="6">
        <v>74</v>
      </c>
      <c r="T155" s="6">
        <v>67</v>
      </c>
      <c r="U155" s="6">
        <v>71</v>
      </c>
      <c r="V155" s="6">
        <v>66</v>
      </c>
      <c r="W155" s="6">
        <v>78</v>
      </c>
      <c r="X155" s="6">
        <v>62</v>
      </c>
      <c r="Y155" s="6">
        <v>81</v>
      </c>
      <c r="Z155" s="6">
        <v>66</v>
      </c>
      <c r="AA155" s="6">
        <v>78</v>
      </c>
      <c r="AB155" s="6">
        <v>73</v>
      </c>
      <c r="AC155" s="6">
        <v>70</v>
      </c>
      <c r="AD155" s="6">
        <v>76</v>
      </c>
      <c r="AE155" s="6">
        <v>70</v>
      </c>
      <c r="AF155" s="6">
        <v>77</v>
      </c>
      <c r="AG155" s="6" t="s">
        <v>7042</v>
      </c>
      <c r="AH155" s="6" t="s">
        <v>6570</v>
      </c>
    </row>
    <row r="156" spans="1:34" x14ac:dyDescent="0.2">
      <c r="A156" t="s">
        <v>3312</v>
      </c>
      <c r="B156" t="s">
        <v>1576</v>
      </c>
      <c r="C156" t="s">
        <v>2870</v>
      </c>
      <c r="D156" s="7" t="s">
        <v>137</v>
      </c>
      <c r="E156" t="s">
        <v>58</v>
      </c>
      <c r="F156">
        <v>26</v>
      </c>
      <c r="G156">
        <v>72</v>
      </c>
      <c r="H156">
        <v>83</v>
      </c>
      <c r="I156" t="s">
        <v>6313</v>
      </c>
      <c r="J156">
        <v>71</v>
      </c>
      <c r="K156">
        <v>223</v>
      </c>
      <c r="L156" t="s">
        <v>5006</v>
      </c>
      <c r="M156" s="6" t="s">
        <v>6558</v>
      </c>
      <c r="N156" s="6" t="s">
        <v>6565</v>
      </c>
      <c r="O156" s="6">
        <v>81</v>
      </c>
      <c r="P156" s="6">
        <v>67</v>
      </c>
      <c r="Q156" s="6">
        <v>70</v>
      </c>
      <c r="R156" s="6">
        <v>72</v>
      </c>
      <c r="S156" s="6">
        <v>78</v>
      </c>
      <c r="T156" s="6">
        <v>72</v>
      </c>
      <c r="U156" s="6">
        <v>60</v>
      </c>
      <c r="V156" s="6">
        <v>65</v>
      </c>
      <c r="W156" s="6">
        <v>79</v>
      </c>
      <c r="X156" s="6">
        <v>81</v>
      </c>
      <c r="Y156" s="6">
        <v>70</v>
      </c>
      <c r="Z156" s="6">
        <v>77</v>
      </c>
      <c r="AA156" s="6">
        <v>69</v>
      </c>
      <c r="AB156" s="6">
        <v>75</v>
      </c>
      <c r="AC156" s="6">
        <v>66</v>
      </c>
      <c r="AD156" s="6">
        <v>68</v>
      </c>
      <c r="AE156" s="6">
        <v>65</v>
      </c>
      <c r="AF156" s="6">
        <v>67</v>
      </c>
      <c r="AG156" s="6" t="s">
        <v>7045</v>
      </c>
      <c r="AH156" s="6" t="s">
        <v>6656</v>
      </c>
    </row>
    <row r="157" spans="1:34" x14ac:dyDescent="0.2">
      <c r="A157" t="s">
        <v>3344</v>
      </c>
      <c r="B157" t="s">
        <v>1608</v>
      </c>
      <c r="C157" t="s">
        <v>61</v>
      </c>
      <c r="D157" s="7" t="s">
        <v>137</v>
      </c>
      <c r="E157" t="s">
        <v>58</v>
      </c>
      <c r="F157">
        <v>28</v>
      </c>
      <c r="G157">
        <v>78</v>
      </c>
      <c r="H157">
        <v>83</v>
      </c>
      <c r="I157" t="s">
        <v>6353</v>
      </c>
      <c r="J157">
        <v>73</v>
      </c>
      <c r="K157">
        <v>194</v>
      </c>
      <c r="L157" t="s">
        <v>5038</v>
      </c>
      <c r="M157" s="6" t="s">
        <v>6558</v>
      </c>
      <c r="N157" s="6" t="s">
        <v>6565</v>
      </c>
      <c r="O157" s="6">
        <v>66</v>
      </c>
      <c r="P157" s="6">
        <v>75</v>
      </c>
      <c r="Q157" s="6">
        <v>73</v>
      </c>
      <c r="R157" s="6">
        <v>73</v>
      </c>
      <c r="S157" s="6">
        <v>91</v>
      </c>
      <c r="T157" s="6">
        <v>68</v>
      </c>
      <c r="U157" s="6">
        <v>80</v>
      </c>
      <c r="V157" s="6">
        <v>78</v>
      </c>
      <c r="W157" s="6">
        <v>79</v>
      </c>
      <c r="X157" s="6">
        <v>78</v>
      </c>
      <c r="Y157" s="6">
        <v>79</v>
      </c>
      <c r="Z157" s="6">
        <v>72</v>
      </c>
      <c r="AA157" s="6">
        <v>73</v>
      </c>
      <c r="AB157" s="6">
        <v>76</v>
      </c>
      <c r="AC157" s="6">
        <v>75</v>
      </c>
      <c r="AD157" s="6">
        <v>82</v>
      </c>
      <c r="AE157" s="6">
        <v>75</v>
      </c>
      <c r="AF157" s="6">
        <v>85</v>
      </c>
      <c r="AG157" s="6" t="s">
        <v>7077</v>
      </c>
      <c r="AH157" s="6" t="s">
        <v>6696</v>
      </c>
    </row>
    <row r="158" spans="1:34" x14ac:dyDescent="0.2">
      <c r="A158" t="s">
        <v>3370</v>
      </c>
      <c r="B158" t="s">
        <v>1634</v>
      </c>
      <c r="C158" t="s">
        <v>57</v>
      </c>
      <c r="D158" s="7" t="s">
        <v>138</v>
      </c>
      <c r="E158" t="s">
        <v>38</v>
      </c>
      <c r="F158">
        <v>26</v>
      </c>
      <c r="G158">
        <v>69</v>
      </c>
      <c r="H158">
        <v>83</v>
      </c>
      <c r="I158" t="s">
        <v>6377</v>
      </c>
      <c r="J158">
        <v>71</v>
      </c>
      <c r="K158">
        <v>201</v>
      </c>
      <c r="L158" t="s">
        <v>5064</v>
      </c>
      <c r="M158" s="6" t="s">
        <v>6558</v>
      </c>
      <c r="N158" s="6" t="s">
        <v>6567</v>
      </c>
      <c r="O158" s="6">
        <v>64</v>
      </c>
      <c r="P158" s="6">
        <v>70</v>
      </c>
      <c r="Q158" s="6">
        <v>69</v>
      </c>
      <c r="R158" s="6">
        <v>64</v>
      </c>
      <c r="S158" s="6">
        <v>79</v>
      </c>
      <c r="T158" s="6">
        <v>80</v>
      </c>
      <c r="U158" s="6">
        <v>68</v>
      </c>
      <c r="V158" s="6">
        <v>76</v>
      </c>
      <c r="W158" s="6">
        <v>77</v>
      </c>
      <c r="X158" s="6">
        <v>79</v>
      </c>
      <c r="Y158" s="6">
        <v>75</v>
      </c>
      <c r="Z158" s="6">
        <v>66</v>
      </c>
      <c r="AA158" s="6">
        <v>65</v>
      </c>
      <c r="AB158" s="6">
        <v>69</v>
      </c>
      <c r="AC158" s="6">
        <v>62</v>
      </c>
      <c r="AD158" s="6">
        <v>72</v>
      </c>
      <c r="AE158" s="6">
        <v>69</v>
      </c>
      <c r="AF158" s="6">
        <v>65</v>
      </c>
      <c r="AG158" s="6" t="s">
        <v>7105</v>
      </c>
      <c r="AH158" s="6" t="s">
        <v>6574</v>
      </c>
    </row>
    <row r="159" spans="1:34" x14ac:dyDescent="0.2">
      <c r="A159" t="s">
        <v>3384</v>
      </c>
      <c r="B159" t="s">
        <v>1648</v>
      </c>
      <c r="C159" t="s">
        <v>2878</v>
      </c>
      <c r="D159" s="7" t="s">
        <v>138</v>
      </c>
      <c r="E159" t="s">
        <v>38</v>
      </c>
      <c r="F159">
        <v>23</v>
      </c>
      <c r="G159">
        <v>95</v>
      </c>
      <c r="H159">
        <v>83</v>
      </c>
      <c r="I159" t="s">
        <v>6391</v>
      </c>
      <c r="J159">
        <v>77</v>
      </c>
      <c r="K159">
        <v>290</v>
      </c>
      <c r="L159" t="s">
        <v>5078</v>
      </c>
      <c r="M159" s="6" t="s">
        <v>6558</v>
      </c>
      <c r="N159" s="6" t="s">
        <v>6583</v>
      </c>
      <c r="O159" s="6">
        <v>76</v>
      </c>
      <c r="P159" s="6">
        <v>78</v>
      </c>
      <c r="Q159" s="6">
        <v>82</v>
      </c>
      <c r="R159" s="6">
        <v>76</v>
      </c>
      <c r="S159" s="6">
        <v>77</v>
      </c>
      <c r="T159" s="6">
        <v>80</v>
      </c>
      <c r="U159" s="6">
        <v>75</v>
      </c>
      <c r="V159" s="6">
        <v>81</v>
      </c>
      <c r="W159" s="6">
        <v>72</v>
      </c>
      <c r="X159" s="6">
        <v>70</v>
      </c>
      <c r="Y159" s="6">
        <v>68</v>
      </c>
      <c r="Z159" s="6">
        <v>77</v>
      </c>
      <c r="AA159" s="6">
        <v>77</v>
      </c>
      <c r="AB159" s="6">
        <v>78</v>
      </c>
      <c r="AC159" s="6">
        <v>69</v>
      </c>
      <c r="AD159" s="6">
        <v>84</v>
      </c>
      <c r="AE159" s="6">
        <v>74</v>
      </c>
      <c r="AF159" s="6">
        <v>78</v>
      </c>
      <c r="AG159" s="6" t="s">
        <v>7119</v>
      </c>
      <c r="AH159" s="6" t="s">
        <v>6612</v>
      </c>
    </row>
    <row r="160" spans="1:34" x14ac:dyDescent="0.2">
      <c r="A160" t="s">
        <v>3408</v>
      </c>
      <c r="B160" t="s">
        <v>1672</v>
      </c>
      <c r="C160" t="s">
        <v>2885</v>
      </c>
      <c r="D160" s="7" t="s">
        <v>138</v>
      </c>
      <c r="E160" t="s">
        <v>58</v>
      </c>
      <c r="F160">
        <v>29</v>
      </c>
      <c r="G160">
        <v>72</v>
      </c>
      <c r="H160">
        <v>83</v>
      </c>
      <c r="I160" t="s">
        <v>6415</v>
      </c>
      <c r="J160">
        <v>72</v>
      </c>
      <c r="K160">
        <v>236</v>
      </c>
      <c r="L160" t="s">
        <v>5102</v>
      </c>
      <c r="M160" s="6" t="s">
        <v>6558</v>
      </c>
      <c r="N160" s="6" t="s">
        <v>6565</v>
      </c>
      <c r="O160" s="6">
        <v>78</v>
      </c>
      <c r="P160" s="6">
        <v>86</v>
      </c>
      <c r="Q160" s="6">
        <v>68</v>
      </c>
      <c r="R160" s="6">
        <v>70</v>
      </c>
      <c r="S160" s="6">
        <v>81</v>
      </c>
      <c r="T160" s="6">
        <v>67</v>
      </c>
      <c r="U160" s="6">
        <v>73</v>
      </c>
      <c r="V160" s="6">
        <v>69</v>
      </c>
      <c r="W160" s="6">
        <v>74</v>
      </c>
      <c r="X160" s="6">
        <v>76</v>
      </c>
      <c r="Y160" s="6">
        <v>74</v>
      </c>
      <c r="Z160" s="6">
        <v>72</v>
      </c>
      <c r="AA160" s="6">
        <v>70</v>
      </c>
      <c r="AB160" s="6">
        <v>70</v>
      </c>
      <c r="AC160" s="6">
        <v>65</v>
      </c>
      <c r="AD160" s="6">
        <v>73</v>
      </c>
      <c r="AE160" s="6">
        <v>65</v>
      </c>
      <c r="AF160" s="6">
        <v>64</v>
      </c>
      <c r="AG160" s="6" t="s">
        <v>7142</v>
      </c>
      <c r="AH160" s="6" t="s">
        <v>6692</v>
      </c>
    </row>
    <row r="161" spans="1:34" x14ac:dyDescent="0.2">
      <c r="A161" t="s">
        <v>3526</v>
      </c>
      <c r="B161" t="s">
        <v>1790</v>
      </c>
      <c r="C161" t="s">
        <v>2870</v>
      </c>
      <c r="D161" s="7" t="s">
        <v>141</v>
      </c>
      <c r="E161" t="s">
        <v>58</v>
      </c>
      <c r="F161">
        <v>27</v>
      </c>
      <c r="G161">
        <v>78</v>
      </c>
      <c r="H161">
        <v>83</v>
      </c>
      <c r="I161" t="s">
        <v>6328</v>
      </c>
      <c r="J161">
        <v>71</v>
      </c>
      <c r="K161">
        <v>222</v>
      </c>
      <c r="L161" t="s">
        <v>5220</v>
      </c>
      <c r="M161" s="6" t="s">
        <v>6558</v>
      </c>
      <c r="N161" s="6" t="s">
        <v>6565</v>
      </c>
      <c r="O161" s="6">
        <v>80</v>
      </c>
      <c r="P161" s="6">
        <v>75</v>
      </c>
      <c r="Q161" s="6">
        <v>79</v>
      </c>
      <c r="R161" s="6">
        <v>72</v>
      </c>
      <c r="S161" s="6">
        <v>72</v>
      </c>
      <c r="T161" s="6">
        <v>79</v>
      </c>
      <c r="U161" s="6">
        <v>77</v>
      </c>
      <c r="V161" s="6">
        <v>79</v>
      </c>
      <c r="W161" s="6">
        <v>91</v>
      </c>
      <c r="X161" s="6">
        <v>68</v>
      </c>
      <c r="Y161" s="6">
        <v>73</v>
      </c>
      <c r="Z161" s="6">
        <v>79</v>
      </c>
      <c r="AA161" s="6">
        <v>73</v>
      </c>
      <c r="AB161" s="6">
        <v>73</v>
      </c>
      <c r="AC161" s="6">
        <v>73</v>
      </c>
      <c r="AD161" s="6">
        <v>73</v>
      </c>
      <c r="AE161" s="6">
        <v>79</v>
      </c>
      <c r="AF161" s="6">
        <v>75</v>
      </c>
      <c r="AG161" s="6" t="s">
        <v>7263</v>
      </c>
      <c r="AH161" s="6" t="s">
        <v>6656</v>
      </c>
    </row>
    <row r="162" spans="1:34" x14ac:dyDescent="0.2">
      <c r="A162" t="s">
        <v>3531</v>
      </c>
      <c r="B162" t="s">
        <v>1795</v>
      </c>
      <c r="C162" t="s">
        <v>57</v>
      </c>
      <c r="D162" s="7" t="s">
        <v>141</v>
      </c>
      <c r="E162" t="s">
        <v>38</v>
      </c>
      <c r="F162">
        <v>24</v>
      </c>
      <c r="G162">
        <v>84</v>
      </c>
      <c r="H162">
        <v>83</v>
      </c>
      <c r="I162" t="s">
        <v>6325</v>
      </c>
      <c r="J162">
        <v>73</v>
      </c>
      <c r="K162">
        <v>199</v>
      </c>
      <c r="L162" t="s">
        <v>5225</v>
      </c>
      <c r="M162" s="6" t="s">
        <v>6558</v>
      </c>
      <c r="N162" s="6" t="s">
        <v>6567</v>
      </c>
      <c r="O162" s="6">
        <v>71</v>
      </c>
      <c r="P162" s="6">
        <v>72</v>
      </c>
      <c r="Q162" s="6">
        <v>78</v>
      </c>
      <c r="R162" s="6">
        <v>66</v>
      </c>
      <c r="S162" s="6">
        <v>75</v>
      </c>
      <c r="T162" s="6">
        <v>73</v>
      </c>
      <c r="U162" s="6">
        <v>74</v>
      </c>
      <c r="V162" s="6">
        <v>71</v>
      </c>
      <c r="W162" s="6">
        <v>73</v>
      </c>
      <c r="X162" s="6">
        <v>63</v>
      </c>
      <c r="Y162" s="6">
        <v>77</v>
      </c>
      <c r="Z162" s="6">
        <v>82</v>
      </c>
      <c r="AA162" s="6">
        <v>75</v>
      </c>
      <c r="AB162" s="6">
        <v>71</v>
      </c>
      <c r="AC162" s="6">
        <v>77</v>
      </c>
      <c r="AD162" s="6">
        <v>75</v>
      </c>
      <c r="AE162" s="6">
        <v>65</v>
      </c>
      <c r="AF162" s="6">
        <v>72</v>
      </c>
      <c r="AG162" s="6" t="s">
        <v>7268</v>
      </c>
      <c r="AH162" s="6" t="s">
        <v>6782</v>
      </c>
    </row>
    <row r="163" spans="1:34" x14ac:dyDescent="0.2">
      <c r="A163" t="s">
        <v>3546</v>
      </c>
      <c r="B163" t="s">
        <v>1810</v>
      </c>
      <c r="C163" t="s">
        <v>2874</v>
      </c>
      <c r="D163" s="7" t="s">
        <v>141</v>
      </c>
      <c r="E163" t="s">
        <v>58</v>
      </c>
      <c r="F163">
        <v>30</v>
      </c>
      <c r="G163">
        <v>80</v>
      </c>
      <c r="H163">
        <v>83</v>
      </c>
      <c r="I163" t="s">
        <v>6317</v>
      </c>
      <c r="J163">
        <v>75</v>
      </c>
      <c r="K163">
        <v>335</v>
      </c>
      <c r="L163" t="s">
        <v>5240</v>
      </c>
      <c r="M163" s="6" t="s">
        <v>6558</v>
      </c>
      <c r="N163" s="6" t="s">
        <v>6559</v>
      </c>
      <c r="O163" s="6">
        <v>84</v>
      </c>
      <c r="P163" s="6">
        <v>66</v>
      </c>
      <c r="Q163" s="6">
        <v>80</v>
      </c>
      <c r="R163" s="6">
        <v>82</v>
      </c>
      <c r="S163" s="6">
        <v>86</v>
      </c>
      <c r="T163" s="6">
        <v>72</v>
      </c>
      <c r="U163" s="6">
        <v>76</v>
      </c>
      <c r="V163" s="6">
        <v>89</v>
      </c>
      <c r="W163" s="6">
        <v>68</v>
      </c>
      <c r="X163" s="6">
        <v>82</v>
      </c>
      <c r="Y163" s="6">
        <v>70</v>
      </c>
      <c r="Z163" s="6">
        <v>75</v>
      </c>
      <c r="AA163" s="6">
        <v>63</v>
      </c>
      <c r="AB163" s="6">
        <v>76</v>
      </c>
      <c r="AC163" s="6">
        <v>69</v>
      </c>
      <c r="AD163" s="6">
        <v>75</v>
      </c>
      <c r="AE163" s="6">
        <v>79</v>
      </c>
      <c r="AF163" s="6">
        <v>77</v>
      </c>
      <c r="AG163" s="6" t="s">
        <v>7283</v>
      </c>
      <c r="AH163" s="6" t="s">
        <v>6598</v>
      </c>
    </row>
    <row r="164" spans="1:34" x14ac:dyDescent="0.2">
      <c r="A164" t="s">
        <v>3576</v>
      </c>
      <c r="B164" t="s">
        <v>1840</v>
      </c>
      <c r="C164" t="s">
        <v>2885</v>
      </c>
      <c r="D164" s="7" t="s">
        <v>141</v>
      </c>
      <c r="E164" t="s">
        <v>58</v>
      </c>
      <c r="F164">
        <v>24</v>
      </c>
      <c r="G164">
        <v>67</v>
      </c>
      <c r="H164">
        <v>83</v>
      </c>
      <c r="I164" t="s">
        <v>6445</v>
      </c>
      <c r="J164">
        <v>73</v>
      </c>
      <c r="K164">
        <v>242</v>
      </c>
      <c r="L164" t="s">
        <v>5270</v>
      </c>
      <c r="M164" s="6" t="s">
        <v>6558</v>
      </c>
      <c r="N164" s="6" t="s">
        <v>6567</v>
      </c>
      <c r="O164" s="6">
        <v>65</v>
      </c>
      <c r="P164" s="6">
        <v>72</v>
      </c>
      <c r="Q164" s="6">
        <v>68</v>
      </c>
      <c r="R164" s="6">
        <v>67</v>
      </c>
      <c r="S164" s="6">
        <v>71</v>
      </c>
      <c r="T164" s="6">
        <v>69</v>
      </c>
      <c r="U164" s="6">
        <v>58</v>
      </c>
      <c r="V164" s="6">
        <v>66</v>
      </c>
      <c r="W164" s="6">
        <v>67</v>
      </c>
      <c r="X164" s="6">
        <v>77</v>
      </c>
      <c r="Y164" s="6">
        <v>69</v>
      </c>
      <c r="Z164" s="6">
        <v>69</v>
      </c>
      <c r="AA164" s="6">
        <v>70</v>
      </c>
      <c r="AB164" s="6">
        <v>67</v>
      </c>
      <c r="AC164" s="6">
        <v>67</v>
      </c>
      <c r="AD164" s="6">
        <v>70</v>
      </c>
      <c r="AE164" s="6">
        <v>66</v>
      </c>
      <c r="AF164" s="6">
        <v>63</v>
      </c>
      <c r="AG164" s="6" t="s">
        <v>7313</v>
      </c>
      <c r="AH164" s="6" t="s">
        <v>6711</v>
      </c>
    </row>
    <row r="165" spans="1:34" x14ac:dyDescent="0.2">
      <c r="A165" t="s">
        <v>3628</v>
      </c>
      <c r="B165" t="s">
        <v>1892</v>
      </c>
      <c r="C165" t="s">
        <v>2889</v>
      </c>
      <c r="D165" s="7" t="s">
        <v>142</v>
      </c>
      <c r="E165" t="s">
        <v>58</v>
      </c>
      <c r="F165">
        <v>26</v>
      </c>
      <c r="G165">
        <v>62</v>
      </c>
      <c r="H165">
        <v>83</v>
      </c>
      <c r="I165" t="s">
        <v>6464</v>
      </c>
      <c r="J165">
        <v>75</v>
      </c>
      <c r="K165">
        <v>255</v>
      </c>
      <c r="L165" t="s">
        <v>5322</v>
      </c>
      <c r="M165" s="6" t="s">
        <v>6558</v>
      </c>
      <c r="N165" s="6" t="s">
        <v>6565</v>
      </c>
      <c r="O165" s="6">
        <v>74</v>
      </c>
      <c r="P165" s="6">
        <v>70</v>
      </c>
      <c r="Q165" s="6">
        <v>66</v>
      </c>
      <c r="R165" s="6">
        <v>74</v>
      </c>
      <c r="S165" s="6">
        <v>68</v>
      </c>
      <c r="T165" s="6">
        <v>73</v>
      </c>
      <c r="U165" s="6">
        <v>65</v>
      </c>
      <c r="V165" s="6">
        <v>73</v>
      </c>
      <c r="W165" s="6">
        <v>60</v>
      </c>
      <c r="X165" s="6">
        <v>61</v>
      </c>
      <c r="Y165" s="6">
        <v>75</v>
      </c>
      <c r="Z165" s="6">
        <v>72</v>
      </c>
      <c r="AA165" s="6">
        <v>69</v>
      </c>
      <c r="AB165" s="6">
        <v>57</v>
      </c>
      <c r="AC165" s="6">
        <v>73</v>
      </c>
      <c r="AD165" s="6">
        <v>68</v>
      </c>
      <c r="AE165" s="6">
        <v>67</v>
      </c>
      <c r="AF165" s="6">
        <v>69</v>
      </c>
      <c r="AG165" s="6" t="s">
        <v>7363</v>
      </c>
      <c r="AH165" s="6" t="s">
        <v>6709</v>
      </c>
    </row>
    <row r="166" spans="1:34" x14ac:dyDescent="0.2">
      <c r="A166" t="s">
        <v>3638</v>
      </c>
      <c r="B166" t="s">
        <v>1902</v>
      </c>
      <c r="C166" t="s">
        <v>57</v>
      </c>
      <c r="D166" s="7" t="s">
        <v>143</v>
      </c>
      <c r="E166" t="s">
        <v>38</v>
      </c>
      <c r="F166">
        <v>29</v>
      </c>
      <c r="G166">
        <v>85</v>
      </c>
      <c r="H166">
        <v>83</v>
      </c>
      <c r="I166" t="s">
        <v>6498</v>
      </c>
      <c r="J166">
        <v>74</v>
      </c>
      <c r="K166">
        <v>186</v>
      </c>
      <c r="L166" t="s">
        <v>5332</v>
      </c>
      <c r="M166" s="6" t="s">
        <v>6558</v>
      </c>
      <c r="N166" s="6" t="s">
        <v>6567</v>
      </c>
      <c r="O166" s="6">
        <v>76</v>
      </c>
      <c r="P166" s="6">
        <v>78</v>
      </c>
      <c r="Q166" s="6">
        <v>81</v>
      </c>
      <c r="R166" s="6">
        <v>66</v>
      </c>
      <c r="S166" s="6">
        <v>81</v>
      </c>
      <c r="T166" s="6">
        <v>67</v>
      </c>
      <c r="U166" s="6">
        <v>70</v>
      </c>
      <c r="V166" s="6">
        <v>70</v>
      </c>
      <c r="W166" s="6">
        <v>76</v>
      </c>
      <c r="X166" s="6">
        <v>74</v>
      </c>
      <c r="Y166" s="6">
        <v>76</v>
      </c>
      <c r="Z166" s="6">
        <v>83</v>
      </c>
      <c r="AA166" s="6">
        <v>70</v>
      </c>
      <c r="AB166" s="6">
        <v>74</v>
      </c>
      <c r="AC166" s="6">
        <v>68</v>
      </c>
      <c r="AD166" s="6">
        <v>69</v>
      </c>
      <c r="AE166" s="6">
        <v>71</v>
      </c>
      <c r="AF166" s="6">
        <v>77</v>
      </c>
      <c r="AG166" s="6" t="s">
        <v>7373</v>
      </c>
      <c r="AH166" s="6" t="s">
        <v>6661</v>
      </c>
    </row>
    <row r="167" spans="1:34" x14ac:dyDescent="0.2">
      <c r="A167" t="s">
        <v>3653</v>
      </c>
      <c r="B167" t="s">
        <v>1917</v>
      </c>
      <c r="C167" t="s">
        <v>2874</v>
      </c>
      <c r="D167" s="7" t="s">
        <v>143</v>
      </c>
      <c r="E167" t="s">
        <v>58</v>
      </c>
      <c r="F167">
        <v>24</v>
      </c>
      <c r="G167">
        <v>70</v>
      </c>
      <c r="H167">
        <v>83</v>
      </c>
      <c r="I167" t="s">
        <v>6443</v>
      </c>
      <c r="J167">
        <v>76</v>
      </c>
      <c r="K167">
        <v>320</v>
      </c>
      <c r="L167" t="s">
        <v>5347</v>
      </c>
      <c r="M167" s="6" t="s">
        <v>6558</v>
      </c>
      <c r="N167" s="6" t="s">
        <v>6614</v>
      </c>
      <c r="O167" s="6">
        <v>66</v>
      </c>
      <c r="P167" s="6">
        <v>64</v>
      </c>
      <c r="Q167" s="6">
        <v>67</v>
      </c>
      <c r="R167" s="6">
        <v>60</v>
      </c>
      <c r="S167" s="6">
        <v>58</v>
      </c>
      <c r="T167" s="6">
        <v>72</v>
      </c>
      <c r="U167" s="6">
        <v>64</v>
      </c>
      <c r="V167" s="6">
        <v>64</v>
      </c>
      <c r="W167" s="6">
        <v>66</v>
      </c>
      <c r="X167" s="6">
        <v>68</v>
      </c>
      <c r="Y167" s="6">
        <v>80</v>
      </c>
      <c r="Z167" s="6">
        <v>75</v>
      </c>
      <c r="AA167" s="6">
        <v>64</v>
      </c>
      <c r="AB167" s="6">
        <v>69</v>
      </c>
      <c r="AC167" s="6">
        <v>70</v>
      </c>
      <c r="AD167" s="6">
        <v>60</v>
      </c>
      <c r="AE167" s="6">
        <v>65</v>
      </c>
      <c r="AF167" s="6">
        <v>64</v>
      </c>
      <c r="AG167" s="6" t="s">
        <v>7388</v>
      </c>
      <c r="AH167" s="6" t="s">
        <v>6674</v>
      </c>
    </row>
    <row r="168" spans="1:34" x14ac:dyDescent="0.2">
      <c r="A168" t="s">
        <v>3705</v>
      </c>
      <c r="B168" t="s">
        <v>1969</v>
      </c>
      <c r="C168" t="s">
        <v>2871</v>
      </c>
      <c r="D168" s="7" t="s">
        <v>154</v>
      </c>
      <c r="E168" t="s">
        <v>38</v>
      </c>
      <c r="F168">
        <v>28</v>
      </c>
      <c r="G168">
        <v>82</v>
      </c>
      <c r="H168">
        <v>83</v>
      </c>
      <c r="I168" t="s">
        <v>6363</v>
      </c>
      <c r="J168">
        <v>74</v>
      </c>
      <c r="K168">
        <v>257</v>
      </c>
      <c r="L168" t="s">
        <v>5399</v>
      </c>
      <c r="M168" s="6" t="s">
        <v>6558</v>
      </c>
      <c r="N168" s="6" t="s">
        <v>6583</v>
      </c>
      <c r="O168" s="6">
        <v>76</v>
      </c>
      <c r="P168" s="6">
        <v>80</v>
      </c>
      <c r="Q168" s="6">
        <v>79</v>
      </c>
      <c r="R168" s="6">
        <v>79</v>
      </c>
      <c r="S168" s="6">
        <v>83</v>
      </c>
      <c r="T168" s="6">
        <v>70</v>
      </c>
      <c r="U168" s="6">
        <v>83</v>
      </c>
      <c r="V168" s="6">
        <v>77</v>
      </c>
      <c r="W168" s="6">
        <v>80</v>
      </c>
      <c r="X168" s="6">
        <v>88</v>
      </c>
      <c r="Y168" s="6">
        <v>81</v>
      </c>
      <c r="Z168" s="6">
        <v>86</v>
      </c>
      <c r="AA168" s="6">
        <v>75</v>
      </c>
      <c r="AB168" s="6">
        <v>81</v>
      </c>
      <c r="AC168" s="6">
        <v>76</v>
      </c>
      <c r="AD168" s="6">
        <v>83</v>
      </c>
      <c r="AE168" s="6">
        <v>75</v>
      </c>
      <c r="AF168" s="6">
        <v>76</v>
      </c>
      <c r="AG168" s="6" t="s">
        <v>7441</v>
      </c>
      <c r="AH168" s="6" t="s">
        <v>6838</v>
      </c>
    </row>
    <row r="169" spans="1:34" x14ac:dyDescent="0.2">
      <c r="A169" t="s">
        <v>3760</v>
      </c>
      <c r="B169" t="s">
        <v>2024</v>
      </c>
      <c r="C169" t="s">
        <v>2871</v>
      </c>
      <c r="D169" s="7" t="s">
        <v>155</v>
      </c>
      <c r="E169" t="s">
        <v>38</v>
      </c>
      <c r="F169">
        <v>23</v>
      </c>
      <c r="G169">
        <v>62</v>
      </c>
      <c r="H169">
        <v>83</v>
      </c>
      <c r="I169" t="s">
        <v>6413</v>
      </c>
      <c r="J169">
        <v>79</v>
      </c>
      <c r="K169">
        <v>264</v>
      </c>
      <c r="L169" t="s">
        <v>5454</v>
      </c>
      <c r="M169" s="6" t="s">
        <v>6558</v>
      </c>
      <c r="N169" s="6" t="s">
        <v>6565</v>
      </c>
      <c r="O169" s="6">
        <v>63</v>
      </c>
      <c r="P169" s="6">
        <v>69</v>
      </c>
      <c r="Q169" s="6">
        <v>69</v>
      </c>
      <c r="R169" s="6">
        <v>71</v>
      </c>
      <c r="S169" s="6">
        <v>68</v>
      </c>
      <c r="T169" s="6">
        <v>67</v>
      </c>
      <c r="U169" s="6">
        <v>80</v>
      </c>
      <c r="V169" s="6">
        <v>65</v>
      </c>
      <c r="W169" s="6">
        <v>62</v>
      </c>
      <c r="X169" s="6">
        <v>61</v>
      </c>
      <c r="Y169" s="6">
        <v>69</v>
      </c>
      <c r="Z169" s="6">
        <v>71</v>
      </c>
      <c r="AA169" s="6">
        <v>76</v>
      </c>
      <c r="AB169" s="6">
        <v>77</v>
      </c>
      <c r="AC169" s="6">
        <v>67</v>
      </c>
      <c r="AD169" s="6">
        <v>69</v>
      </c>
      <c r="AE169" s="6">
        <v>67</v>
      </c>
      <c r="AF169" s="6">
        <v>75</v>
      </c>
      <c r="AG169" s="6" t="s">
        <v>7496</v>
      </c>
      <c r="AH169" s="6" t="s">
        <v>6737</v>
      </c>
    </row>
    <row r="170" spans="1:34" x14ac:dyDescent="0.2">
      <c r="A170" t="s">
        <v>3850</v>
      </c>
      <c r="B170" t="s">
        <v>2114</v>
      </c>
      <c r="C170" t="s">
        <v>2886</v>
      </c>
      <c r="D170" s="7" t="s">
        <v>148</v>
      </c>
      <c r="E170" t="s">
        <v>38</v>
      </c>
      <c r="F170">
        <v>26</v>
      </c>
      <c r="G170">
        <v>85</v>
      </c>
      <c r="H170">
        <v>83</v>
      </c>
      <c r="I170" t="s">
        <v>6520</v>
      </c>
      <c r="J170">
        <v>74</v>
      </c>
      <c r="K170">
        <v>255</v>
      </c>
      <c r="L170" t="s">
        <v>5544</v>
      </c>
      <c r="M170" s="6" t="s">
        <v>6558</v>
      </c>
      <c r="N170" s="6" t="s">
        <v>6583</v>
      </c>
      <c r="O170" s="6">
        <v>78</v>
      </c>
      <c r="P170" s="6">
        <v>91</v>
      </c>
      <c r="Q170" s="6">
        <v>82</v>
      </c>
      <c r="R170" s="6">
        <v>78</v>
      </c>
      <c r="S170" s="6">
        <v>91</v>
      </c>
      <c r="T170" s="6">
        <v>78</v>
      </c>
      <c r="U170" s="6">
        <v>78</v>
      </c>
      <c r="V170" s="6">
        <v>76</v>
      </c>
      <c r="W170" s="6">
        <v>75</v>
      </c>
      <c r="X170" s="6">
        <v>87</v>
      </c>
      <c r="Y170" s="6">
        <v>86</v>
      </c>
      <c r="Z170" s="6">
        <v>83</v>
      </c>
      <c r="AA170" s="6">
        <v>78</v>
      </c>
      <c r="AB170" s="6">
        <v>80</v>
      </c>
      <c r="AC170" s="6">
        <v>71</v>
      </c>
      <c r="AD170" s="6">
        <v>78</v>
      </c>
      <c r="AE170" s="6">
        <v>76</v>
      </c>
      <c r="AF170" s="6">
        <v>79</v>
      </c>
      <c r="AG170" s="6" t="s">
        <v>7586</v>
      </c>
      <c r="AH170" s="6" t="s">
        <v>6711</v>
      </c>
    </row>
    <row r="171" spans="1:34" x14ac:dyDescent="0.2">
      <c r="A171" t="s">
        <v>3873</v>
      </c>
      <c r="B171" t="s">
        <v>2137</v>
      </c>
      <c r="C171" t="s">
        <v>2878</v>
      </c>
      <c r="D171" s="7" t="s">
        <v>147</v>
      </c>
      <c r="E171" t="s">
        <v>38</v>
      </c>
      <c r="F171">
        <v>30</v>
      </c>
      <c r="G171">
        <v>90</v>
      </c>
      <c r="H171">
        <v>83</v>
      </c>
      <c r="I171" t="s">
        <v>6432</v>
      </c>
      <c r="J171">
        <v>76</v>
      </c>
      <c r="K171">
        <v>276</v>
      </c>
      <c r="L171" t="s">
        <v>5567</v>
      </c>
      <c r="M171" s="6" t="s">
        <v>6558</v>
      </c>
      <c r="N171" s="6" t="s">
        <v>6583</v>
      </c>
      <c r="O171" s="6">
        <v>89</v>
      </c>
      <c r="P171" s="6">
        <v>82</v>
      </c>
      <c r="Q171" s="6">
        <v>75</v>
      </c>
      <c r="R171" s="6">
        <v>78</v>
      </c>
      <c r="S171" s="6">
        <v>90</v>
      </c>
      <c r="T171" s="6">
        <v>81</v>
      </c>
      <c r="U171" s="6">
        <v>80</v>
      </c>
      <c r="V171" s="6">
        <v>86</v>
      </c>
      <c r="W171" s="6">
        <v>80</v>
      </c>
      <c r="X171" s="6">
        <v>77</v>
      </c>
      <c r="Y171" s="6">
        <v>82</v>
      </c>
      <c r="Z171" s="6">
        <v>88</v>
      </c>
      <c r="AA171" s="6">
        <v>76</v>
      </c>
      <c r="AB171" s="6">
        <v>75</v>
      </c>
      <c r="AC171" s="6">
        <v>77</v>
      </c>
      <c r="AD171" s="6">
        <v>76</v>
      </c>
      <c r="AE171" s="6">
        <v>70</v>
      </c>
      <c r="AF171" s="6">
        <v>74</v>
      </c>
      <c r="AG171" s="6" t="s">
        <v>7608</v>
      </c>
      <c r="AH171" s="6" t="s">
        <v>6682</v>
      </c>
    </row>
    <row r="172" spans="1:34" x14ac:dyDescent="0.2">
      <c r="A172" t="s">
        <v>3946</v>
      </c>
      <c r="B172" t="s">
        <v>2210</v>
      </c>
      <c r="C172" t="s">
        <v>2882</v>
      </c>
      <c r="D172" s="7" t="s">
        <v>144</v>
      </c>
      <c r="E172" t="s">
        <v>38</v>
      </c>
      <c r="F172">
        <v>25</v>
      </c>
      <c r="G172">
        <v>73</v>
      </c>
      <c r="H172">
        <v>83</v>
      </c>
      <c r="I172" t="s">
        <v>8326</v>
      </c>
      <c r="J172">
        <v>74</v>
      </c>
      <c r="K172">
        <v>215</v>
      </c>
      <c r="L172" t="s">
        <v>5640</v>
      </c>
      <c r="M172" s="6" t="s">
        <v>6558</v>
      </c>
      <c r="N172" s="6" t="s">
        <v>6567</v>
      </c>
      <c r="O172" s="6">
        <v>79</v>
      </c>
      <c r="P172" s="6">
        <v>80</v>
      </c>
      <c r="Q172" s="6">
        <v>79</v>
      </c>
      <c r="R172" s="6">
        <v>67</v>
      </c>
      <c r="S172" s="6">
        <v>74</v>
      </c>
      <c r="T172" s="6">
        <v>76</v>
      </c>
      <c r="U172" s="6">
        <v>79</v>
      </c>
      <c r="V172" s="6">
        <v>71</v>
      </c>
      <c r="W172" s="6">
        <v>57</v>
      </c>
      <c r="X172" s="6">
        <v>72</v>
      </c>
      <c r="Y172" s="6">
        <v>71</v>
      </c>
      <c r="Z172" s="6">
        <v>78</v>
      </c>
      <c r="AA172" s="6">
        <v>74</v>
      </c>
      <c r="AB172" s="6">
        <v>78</v>
      </c>
      <c r="AC172" s="6">
        <v>80</v>
      </c>
      <c r="AD172" s="6">
        <v>72</v>
      </c>
      <c r="AE172" s="6">
        <v>72</v>
      </c>
      <c r="AF172" s="6">
        <v>74</v>
      </c>
      <c r="AG172" s="6" t="s">
        <v>7680</v>
      </c>
      <c r="AH172" s="6" t="s">
        <v>6636</v>
      </c>
    </row>
    <row r="173" spans="1:34" x14ac:dyDescent="0.2">
      <c r="A173" t="s">
        <v>4000</v>
      </c>
      <c r="B173" t="s">
        <v>2264</v>
      </c>
      <c r="C173" t="s">
        <v>2879</v>
      </c>
      <c r="D173" s="7" t="s">
        <v>149</v>
      </c>
      <c r="E173" t="s">
        <v>38</v>
      </c>
      <c r="F173">
        <v>25</v>
      </c>
      <c r="G173">
        <v>70</v>
      </c>
      <c r="H173">
        <v>83</v>
      </c>
      <c r="I173" t="s">
        <v>6459</v>
      </c>
      <c r="J173">
        <v>73</v>
      </c>
      <c r="K173">
        <v>318</v>
      </c>
      <c r="L173" t="s">
        <v>5694</v>
      </c>
      <c r="M173" s="6" t="s">
        <v>6558</v>
      </c>
      <c r="N173" s="6" t="s">
        <v>6567</v>
      </c>
      <c r="O173" s="6">
        <v>60</v>
      </c>
      <c r="P173" s="6">
        <v>67</v>
      </c>
      <c r="Q173" s="6">
        <v>71</v>
      </c>
      <c r="R173" s="6">
        <v>63</v>
      </c>
      <c r="S173" s="6">
        <v>75</v>
      </c>
      <c r="T173" s="6">
        <v>67</v>
      </c>
      <c r="U173" s="6">
        <v>75</v>
      </c>
      <c r="V173" s="6">
        <v>72</v>
      </c>
      <c r="W173" s="6">
        <v>68</v>
      </c>
      <c r="X173" s="6">
        <v>74</v>
      </c>
      <c r="Y173" s="6">
        <v>79</v>
      </c>
      <c r="Z173" s="6">
        <v>74</v>
      </c>
      <c r="AA173" s="6">
        <v>71</v>
      </c>
      <c r="AB173" s="6">
        <v>71</v>
      </c>
      <c r="AC173" s="6">
        <v>77</v>
      </c>
      <c r="AD173" s="6">
        <v>67</v>
      </c>
      <c r="AE173" s="6">
        <v>68</v>
      </c>
      <c r="AF173" s="6">
        <v>74</v>
      </c>
      <c r="AG173" s="6" t="s">
        <v>7733</v>
      </c>
      <c r="AH173" s="6" t="s">
        <v>6617</v>
      </c>
    </row>
    <row r="174" spans="1:34" x14ac:dyDescent="0.2">
      <c r="A174" t="s">
        <v>4005</v>
      </c>
      <c r="B174" t="s">
        <v>2269</v>
      </c>
      <c r="C174" t="s">
        <v>61</v>
      </c>
      <c r="D174" s="7" t="s">
        <v>149</v>
      </c>
      <c r="E174" t="s">
        <v>38</v>
      </c>
      <c r="F174">
        <v>25</v>
      </c>
      <c r="G174">
        <v>85</v>
      </c>
      <c r="H174">
        <v>83</v>
      </c>
      <c r="I174" t="s">
        <v>8333</v>
      </c>
      <c r="J174">
        <v>71</v>
      </c>
      <c r="K174">
        <v>199</v>
      </c>
      <c r="L174" t="s">
        <v>5699</v>
      </c>
      <c r="M174" s="6" t="s">
        <v>6558</v>
      </c>
      <c r="N174" s="6" t="s">
        <v>6567</v>
      </c>
      <c r="O174" s="6">
        <v>74</v>
      </c>
      <c r="P174" s="6">
        <v>78</v>
      </c>
      <c r="Q174" s="6">
        <v>77</v>
      </c>
      <c r="R174" s="6">
        <v>68</v>
      </c>
      <c r="S174" s="6">
        <v>76</v>
      </c>
      <c r="T174" s="6">
        <v>72</v>
      </c>
      <c r="U174" s="6">
        <v>84</v>
      </c>
      <c r="V174" s="6">
        <v>80</v>
      </c>
      <c r="W174" s="6">
        <v>81</v>
      </c>
      <c r="X174" s="6">
        <v>69</v>
      </c>
      <c r="Y174" s="6">
        <v>78</v>
      </c>
      <c r="Z174" s="6">
        <v>76</v>
      </c>
      <c r="AA174" s="6">
        <v>81</v>
      </c>
      <c r="AB174" s="6">
        <v>78</v>
      </c>
      <c r="AC174" s="6">
        <v>77</v>
      </c>
      <c r="AD174" s="6">
        <v>77</v>
      </c>
      <c r="AE174" s="6">
        <v>74</v>
      </c>
      <c r="AF174" s="6">
        <v>79</v>
      </c>
      <c r="AG174" s="6" t="s">
        <v>7738</v>
      </c>
      <c r="AH174" s="6" t="s">
        <v>6630</v>
      </c>
    </row>
    <row r="175" spans="1:34" x14ac:dyDescent="0.2">
      <c r="A175" t="s">
        <v>4082</v>
      </c>
      <c r="B175" t="s">
        <v>2346</v>
      </c>
      <c r="C175" t="s">
        <v>2870</v>
      </c>
      <c r="D175" s="7" t="s">
        <v>25</v>
      </c>
      <c r="E175" t="s">
        <v>38</v>
      </c>
      <c r="F175">
        <v>26</v>
      </c>
      <c r="G175">
        <v>78</v>
      </c>
      <c r="H175">
        <v>83</v>
      </c>
      <c r="I175" t="s">
        <v>6349</v>
      </c>
      <c r="J175">
        <v>70</v>
      </c>
      <c r="K175">
        <v>215</v>
      </c>
      <c r="L175" t="s">
        <v>5776</v>
      </c>
      <c r="M175" s="6" t="s">
        <v>6558</v>
      </c>
      <c r="N175" s="6" t="s">
        <v>6567</v>
      </c>
      <c r="O175" s="6">
        <v>71</v>
      </c>
      <c r="P175" s="6">
        <v>68</v>
      </c>
      <c r="Q175" s="6">
        <v>76</v>
      </c>
      <c r="R175" s="6">
        <v>65</v>
      </c>
      <c r="S175" s="6">
        <v>78</v>
      </c>
      <c r="T175" s="6">
        <v>73</v>
      </c>
      <c r="U175" s="6">
        <v>82</v>
      </c>
      <c r="V175" s="6">
        <v>75</v>
      </c>
      <c r="W175" s="6">
        <v>74</v>
      </c>
      <c r="X175" s="6">
        <v>70</v>
      </c>
      <c r="Y175" s="6">
        <v>78</v>
      </c>
      <c r="Z175" s="6">
        <v>79</v>
      </c>
      <c r="AA175" s="6">
        <v>78</v>
      </c>
      <c r="AB175" s="6">
        <v>70</v>
      </c>
      <c r="AC175" s="6">
        <v>67</v>
      </c>
      <c r="AD175" s="6">
        <v>75</v>
      </c>
      <c r="AE175" s="6">
        <v>70</v>
      </c>
      <c r="AF175" s="6">
        <v>76</v>
      </c>
      <c r="AG175" s="6" t="s">
        <v>7813</v>
      </c>
      <c r="AH175" s="6" t="s">
        <v>7048</v>
      </c>
    </row>
    <row r="176" spans="1:34" x14ac:dyDescent="0.2">
      <c r="A176" t="s">
        <v>4121</v>
      </c>
      <c r="B176" t="s">
        <v>2385</v>
      </c>
      <c r="C176" t="s">
        <v>2884</v>
      </c>
      <c r="D176" s="7" t="s">
        <v>25</v>
      </c>
      <c r="E176" t="s">
        <v>38</v>
      </c>
      <c r="F176">
        <v>32</v>
      </c>
      <c r="G176">
        <v>75</v>
      </c>
      <c r="H176">
        <v>83</v>
      </c>
      <c r="I176" t="s">
        <v>6348</v>
      </c>
      <c r="J176">
        <v>70</v>
      </c>
      <c r="K176">
        <v>180</v>
      </c>
      <c r="L176" t="s">
        <v>5815</v>
      </c>
      <c r="M176" s="6" t="s">
        <v>6558</v>
      </c>
      <c r="N176" s="6" t="s">
        <v>6583</v>
      </c>
      <c r="O176" s="6">
        <v>81</v>
      </c>
      <c r="P176" s="6">
        <v>88</v>
      </c>
      <c r="Q176" s="6">
        <v>78</v>
      </c>
      <c r="R176" s="6">
        <v>78</v>
      </c>
      <c r="S176" s="6">
        <v>85</v>
      </c>
      <c r="T176" s="6">
        <v>81</v>
      </c>
      <c r="U176" s="6">
        <v>73</v>
      </c>
      <c r="V176" s="6">
        <v>79</v>
      </c>
      <c r="W176" s="6">
        <v>81</v>
      </c>
      <c r="X176" s="6">
        <v>84</v>
      </c>
      <c r="Y176" s="6">
        <v>88</v>
      </c>
      <c r="Z176" s="6">
        <v>87</v>
      </c>
      <c r="AA176" s="6">
        <v>74</v>
      </c>
      <c r="AB176" s="6">
        <v>78</v>
      </c>
      <c r="AC176" s="6">
        <v>71</v>
      </c>
      <c r="AD176" s="6">
        <v>74</v>
      </c>
      <c r="AE176" s="6">
        <v>69</v>
      </c>
      <c r="AF176" s="6">
        <v>67</v>
      </c>
      <c r="AG176" s="6" t="s">
        <v>7853</v>
      </c>
      <c r="AH176" s="6" t="s">
        <v>6644</v>
      </c>
    </row>
    <row r="177" spans="1:34" x14ac:dyDescent="0.2">
      <c r="A177" t="s">
        <v>4138</v>
      </c>
      <c r="B177" t="s">
        <v>2402</v>
      </c>
      <c r="C177" t="s">
        <v>2871</v>
      </c>
      <c r="D177" s="7" t="s">
        <v>150</v>
      </c>
      <c r="E177" t="s">
        <v>38</v>
      </c>
      <c r="F177">
        <v>24</v>
      </c>
      <c r="G177">
        <v>76</v>
      </c>
      <c r="H177">
        <v>83</v>
      </c>
      <c r="I177" t="s">
        <v>6430</v>
      </c>
      <c r="J177">
        <v>77</v>
      </c>
      <c r="K177">
        <v>252</v>
      </c>
      <c r="L177" t="s">
        <v>5832</v>
      </c>
      <c r="M177" s="6" t="s">
        <v>6558</v>
      </c>
      <c r="N177" s="6" t="s">
        <v>6583</v>
      </c>
      <c r="O177" s="6">
        <v>84</v>
      </c>
      <c r="P177" s="6">
        <v>68</v>
      </c>
      <c r="Q177" s="6">
        <v>82</v>
      </c>
      <c r="R177" s="6">
        <v>76</v>
      </c>
      <c r="S177" s="6">
        <v>63</v>
      </c>
      <c r="T177" s="6">
        <v>74</v>
      </c>
      <c r="U177" s="6">
        <v>73</v>
      </c>
      <c r="V177" s="6">
        <v>67</v>
      </c>
      <c r="W177" s="6">
        <v>78</v>
      </c>
      <c r="X177" s="6">
        <v>78</v>
      </c>
      <c r="Y177" s="6">
        <v>85</v>
      </c>
      <c r="Z177" s="6">
        <v>71</v>
      </c>
      <c r="AA177" s="6">
        <v>72</v>
      </c>
      <c r="AB177" s="6">
        <v>78</v>
      </c>
      <c r="AC177" s="6">
        <v>69</v>
      </c>
      <c r="AD177" s="6">
        <v>77</v>
      </c>
      <c r="AE177" s="6">
        <v>77</v>
      </c>
      <c r="AF177" s="6">
        <v>74</v>
      </c>
      <c r="AG177" s="6" t="s">
        <v>7869</v>
      </c>
      <c r="AH177" s="6" t="s">
        <v>6838</v>
      </c>
    </row>
    <row r="178" spans="1:34" x14ac:dyDescent="0.2">
      <c r="A178" t="s">
        <v>4145</v>
      </c>
      <c r="B178" t="s">
        <v>2409</v>
      </c>
      <c r="C178" t="s">
        <v>2874</v>
      </c>
      <c r="D178" s="7" t="s">
        <v>150</v>
      </c>
      <c r="E178" t="s">
        <v>58</v>
      </c>
      <c r="F178">
        <v>34</v>
      </c>
      <c r="G178">
        <v>71</v>
      </c>
      <c r="H178">
        <v>83</v>
      </c>
      <c r="I178" t="s">
        <v>8330</v>
      </c>
      <c r="J178">
        <v>73</v>
      </c>
      <c r="K178">
        <v>322</v>
      </c>
      <c r="L178" t="s">
        <v>5839</v>
      </c>
      <c r="M178" s="6" t="s">
        <v>6558</v>
      </c>
      <c r="N178" s="6" t="s">
        <v>6583</v>
      </c>
      <c r="O178" s="6">
        <v>72</v>
      </c>
      <c r="P178" s="6">
        <v>80</v>
      </c>
      <c r="Q178" s="6">
        <v>78</v>
      </c>
      <c r="R178" s="6">
        <v>79</v>
      </c>
      <c r="S178" s="6">
        <v>70</v>
      </c>
      <c r="T178" s="6">
        <v>73</v>
      </c>
      <c r="U178" s="6">
        <v>76</v>
      </c>
      <c r="V178" s="6">
        <v>70</v>
      </c>
      <c r="W178" s="6">
        <v>70</v>
      </c>
      <c r="X178" s="6">
        <v>73</v>
      </c>
      <c r="Y178" s="6">
        <v>78</v>
      </c>
      <c r="Z178" s="6">
        <v>67</v>
      </c>
      <c r="AA178" s="6">
        <v>65</v>
      </c>
      <c r="AB178" s="6">
        <v>68</v>
      </c>
      <c r="AC178" s="6">
        <v>55</v>
      </c>
      <c r="AD178" s="6">
        <v>59</v>
      </c>
      <c r="AE178" s="6">
        <v>57</v>
      </c>
      <c r="AF178" s="6">
        <v>57</v>
      </c>
      <c r="AG178" s="6" t="s">
        <v>7876</v>
      </c>
      <c r="AH178" s="6" t="s">
        <v>6674</v>
      </c>
    </row>
    <row r="179" spans="1:34" x14ac:dyDescent="0.2">
      <c r="A179" t="s">
        <v>4191</v>
      </c>
      <c r="B179" t="s">
        <v>2455</v>
      </c>
      <c r="C179" t="s">
        <v>57</v>
      </c>
      <c r="D179" s="7" t="s">
        <v>151</v>
      </c>
      <c r="E179" t="s">
        <v>58</v>
      </c>
      <c r="F179">
        <v>30</v>
      </c>
      <c r="G179">
        <v>65</v>
      </c>
      <c r="H179">
        <v>83</v>
      </c>
      <c r="I179" t="s">
        <v>6359</v>
      </c>
      <c r="J179">
        <v>72</v>
      </c>
      <c r="K179">
        <v>201</v>
      </c>
      <c r="L179" t="s">
        <v>5885</v>
      </c>
      <c r="M179" s="6" t="s">
        <v>6558</v>
      </c>
      <c r="N179" s="6" t="s">
        <v>6565</v>
      </c>
      <c r="O179" s="6">
        <v>66</v>
      </c>
      <c r="P179" s="6">
        <v>73</v>
      </c>
      <c r="Q179" s="6">
        <v>66</v>
      </c>
      <c r="R179" s="6">
        <v>71</v>
      </c>
      <c r="S179" s="6">
        <v>69</v>
      </c>
      <c r="T179" s="6">
        <v>63</v>
      </c>
      <c r="U179" s="6">
        <v>87</v>
      </c>
      <c r="V179" s="6">
        <v>70</v>
      </c>
      <c r="W179" s="6">
        <v>77</v>
      </c>
      <c r="X179" s="6">
        <v>74</v>
      </c>
      <c r="Y179" s="6">
        <v>71</v>
      </c>
      <c r="Z179" s="6">
        <v>82</v>
      </c>
      <c r="AA179" s="6">
        <v>66</v>
      </c>
      <c r="AB179" s="6">
        <v>67</v>
      </c>
      <c r="AC179" s="6">
        <v>61</v>
      </c>
      <c r="AD179" s="6">
        <v>66</v>
      </c>
      <c r="AE179" s="6">
        <v>63</v>
      </c>
      <c r="AF179" s="6">
        <v>65</v>
      </c>
      <c r="AG179" s="6" t="s">
        <v>7923</v>
      </c>
      <c r="AH179" s="6" t="s">
        <v>6658</v>
      </c>
    </row>
    <row r="180" spans="1:34" x14ac:dyDescent="0.2">
      <c r="A180" t="s">
        <v>4246</v>
      </c>
      <c r="B180" t="s">
        <v>2510</v>
      </c>
      <c r="C180" t="s">
        <v>57</v>
      </c>
      <c r="D180" s="7" t="s">
        <v>152</v>
      </c>
      <c r="E180" t="s">
        <v>58</v>
      </c>
      <c r="F180">
        <v>25</v>
      </c>
      <c r="G180">
        <v>60</v>
      </c>
      <c r="H180">
        <v>83</v>
      </c>
      <c r="I180" t="s">
        <v>6457</v>
      </c>
      <c r="J180">
        <v>73</v>
      </c>
      <c r="K180">
        <v>203</v>
      </c>
      <c r="L180" t="s">
        <v>5940</v>
      </c>
      <c r="M180" s="6" t="s">
        <v>6558</v>
      </c>
      <c r="N180" s="6" t="s">
        <v>6614</v>
      </c>
      <c r="O180" s="6">
        <v>73</v>
      </c>
      <c r="P180" s="6">
        <v>71</v>
      </c>
      <c r="Q180" s="6">
        <v>72</v>
      </c>
      <c r="R180" s="6">
        <v>60</v>
      </c>
      <c r="S180" s="6">
        <v>75</v>
      </c>
      <c r="T180" s="6">
        <v>70</v>
      </c>
      <c r="U180" s="6">
        <v>73</v>
      </c>
      <c r="V180" s="6">
        <v>69</v>
      </c>
      <c r="W180" s="6">
        <v>69</v>
      </c>
      <c r="X180" s="6">
        <v>72</v>
      </c>
      <c r="Y180" s="6">
        <v>76</v>
      </c>
      <c r="Z180" s="6">
        <v>68</v>
      </c>
      <c r="AA180" s="6">
        <v>59</v>
      </c>
      <c r="AB180" s="6">
        <v>66</v>
      </c>
      <c r="AC180" s="6">
        <v>69</v>
      </c>
      <c r="AD180" s="6">
        <v>66</v>
      </c>
      <c r="AE180" s="6">
        <v>56</v>
      </c>
      <c r="AF180" s="6">
        <v>71</v>
      </c>
      <c r="AG180" s="6" t="s">
        <v>7977</v>
      </c>
      <c r="AH180" s="6" t="s">
        <v>6730</v>
      </c>
    </row>
    <row r="181" spans="1:34" x14ac:dyDescent="0.2">
      <c r="A181" t="s">
        <v>4255</v>
      </c>
      <c r="B181" t="s">
        <v>2519</v>
      </c>
      <c r="C181" t="s">
        <v>2875</v>
      </c>
      <c r="D181" s="7" t="s">
        <v>152</v>
      </c>
      <c r="E181" t="s">
        <v>38</v>
      </c>
      <c r="F181">
        <v>33</v>
      </c>
      <c r="G181">
        <v>77</v>
      </c>
      <c r="H181">
        <v>83</v>
      </c>
      <c r="I181" t="s">
        <v>6323</v>
      </c>
      <c r="J181">
        <v>74</v>
      </c>
      <c r="K181">
        <v>293</v>
      </c>
      <c r="L181" t="s">
        <v>5949</v>
      </c>
      <c r="M181" s="6" t="s">
        <v>6558</v>
      </c>
      <c r="N181" s="6" t="s">
        <v>6559</v>
      </c>
      <c r="O181" s="6">
        <v>80</v>
      </c>
      <c r="P181" s="6">
        <v>77</v>
      </c>
      <c r="Q181" s="6">
        <v>77</v>
      </c>
      <c r="R181" s="6">
        <v>82</v>
      </c>
      <c r="S181" s="6">
        <v>74</v>
      </c>
      <c r="T181" s="6">
        <v>74</v>
      </c>
      <c r="U181" s="6">
        <v>82</v>
      </c>
      <c r="V181" s="6">
        <v>89</v>
      </c>
      <c r="W181" s="6">
        <v>80</v>
      </c>
      <c r="X181" s="6">
        <v>74</v>
      </c>
      <c r="Y181" s="6">
        <v>75</v>
      </c>
      <c r="Z181" s="6">
        <v>80</v>
      </c>
      <c r="AA181" s="6">
        <v>65</v>
      </c>
      <c r="AB181" s="6">
        <v>72</v>
      </c>
      <c r="AC181" s="6">
        <v>66</v>
      </c>
      <c r="AD181" s="6">
        <v>65</v>
      </c>
      <c r="AE181" s="6">
        <v>64</v>
      </c>
      <c r="AF181" s="6">
        <v>63</v>
      </c>
      <c r="AG181" s="6" t="s">
        <v>7985</v>
      </c>
      <c r="AH181" s="6" t="s">
        <v>6606</v>
      </c>
    </row>
    <row r="182" spans="1:34" x14ac:dyDescent="0.2">
      <c r="A182" t="s">
        <v>4375</v>
      </c>
      <c r="B182" t="s">
        <v>2638</v>
      </c>
      <c r="C182" t="s">
        <v>61</v>
      </c>
      <c r="D182" s="7" t="s">
        <v>156</v>
      </c>
      <c r="E182" t="s">
        <v>38</v>
      </c>
      <c r="F182">
        <v>28</v>
      </c>
      <c r="G182">
        <v>88</v>
      </c>
      <c r="H182">
        <v>83</v>
      </c>
      <c r="I182" t="s">
        <v>6329</v>
      </c>
      <c r="J182">
        <v>69</v>
      </c>
      <c r="K182">
        <v>193</v>
      </c>
      <c r="L182" t="s">
        <v>6069</v>
      </c>
      <c r="M182" s="6" t="s">
        <v>6558</v>
      </c>
      <c r="N182" s="6" t="s">
        <v>6583</v>
      </c>
      <c r="O182" s="6">
        <v>77</v>
      </c>
      <c r="P182" s="6">
        <v>77</v>
      </c>
      <c r="Q182" s="6">
        <v>80</v>
      </c>
      <c r="R182" s="6">
        <v>78</v>
      </c>
      <c r="S182" s="6">
        <v>91</v>
      </c>
      <c r="T182" s="6">
        <v>90</v>
      </c>
      <c r="U182" s="6">
        <v>84</v>
      </c>
      <c r="V182" s="6">
        <v>74</v>
      </c>
      <c r="W182" s="6">
        <v>77</v>
      </c>
      <c r="X182" s="6">
        <v>79</v>
      </c>
      <c r="Y182" s="6">
        <v>79</v>
      </c>
      <c r="Z182" s="6">
        <v>71</v>
      </c>
      <c r="AA182" s="6">
        <v>75</v>
      </c>
      <c r="AB182" s="6">
        <v>73</v>
      </c>
      <c r="AC182" s="6">
        <v>77</v>
      </c>
      <c r="AD182" s="6">
        <v>77</v>
      </c>
      <c r="AE182" s="6">
        <v>70</v>
      </c>
      <c r="AF182" s="6">
        <v>80</v>
      </c>
      <c r="AG182" s="6" t="s">
        <v>8102</v>
      </c>
      <c r="AH182" s="6" t="s">
        <v>6630</v>
      </c>
    </row>
    <row r="183" spans="1:34" x14ac:dyDescent="0.2">
      <c r="A183" t="s">
        <v>2923</v>
      </c>
      <c r="B183" t="s">
        <v>1187</v>
      </c>
      <c r="C183" t="s">
        <v>2871</v>
      </c>
      <c r="D183" s="7" t="s">
        <v>129</v>
      </c>
      <c r="E183" t="s">
        <v>38</v>
      </c>
      <c r="F183">
        <v>26</v>
      </c>
      <c r="G183">
        <v>74</v>
      </c>
      <c r="H183">
        <v>82</v>
      </c>
      <c r="I183" t="s">
        <v>6311</v>
      </c>
      <c r="J183">
        <v>74</v>
      </c>
      <c r="K183">
        <v>247</v>
      </c>
      <c r="L183" t="s">
        <v>4617</v>
      </c>
      <c r="M183" s="6" t="s">
        <v>6558</v>
      </c>
      <c r="N183" s="6" t="s">
        <v>6583</v>
      </c>
      <c r="O183" s="6">
        <v>83</v>
      </c>
      <c r="P183" s="6">
        <v>69</v>
      </c>
      <c r="Q183" s="6">
        <v>83</v>
      </c>
      <c r="R183" s="6">
        <v>77</v>
      </c>
      <c r="S183" s="6">
        <v>67</v>
      </c>
      <c r="T183" s="6">
        <v>66</v>
      </c>
      <c r="U183" s="6">
        <v>87</v>
      </c>
      <c r="V183" s="6">
        <v>78</v>
      </c>
      <c r="W183" s="6">
        <v>74</v>
      </c>
      <c r="X183" s="6">
        <v>84</v>
      </c>
      <c r="Y183" s="6">
        <v>80</v>
      </c>
      <c r="Z183" s="6">
        <v>81</v>
      </c>
      <c r="AA183" s="6">
        <v>75</v>
      </c>
      <c r="AB183" s="6">
        <v>70</v>
      </c>
      <c r="AC183" s="6">
        <v>72</v>
      </c>
      <c r="AD183" s="6">
        <v>74</v>
      </c>
      <c r="AE183" s="6">
        <v>70</v>
      </c>
      <c r="AF183" s="6">
        <v>69</v>
      </c>
      <c r="AG183" s="6" t="s">
        <v>6584</v>
      </c>
      <c r="AH183" s="6" t="s">
        <v>6585</v>
      </c>
    </row>
    <row r="184" spans="1:34" x14ac:dyDescent="0.2">
      <c r="A184" t="s">
        <v>2931</v>
      </c>
      <c r="B184" t="s">
        <v>1195</v>
      </c>
      <c r="C184" t="s">
        <v>2874</v>
      </c>
      <c r="D184" s="7" t="s">
        <v>129</v>
      </c>
      <c r="E184" t="s">
        <v>38</v>
      </c>
      <c r="F184">
        <v>29</v>
      </c>
      <c r="G184">
        <v>79</v>
      </c>
      <c r="H184">
        <v>82</v>
      </c>
      <c r="I184" t="s">
        <v>6318</v>
      </c>
      <c r="J184">
        <v>74</v>
      </c>
      <c r="K184">
        <v>313</v>
      </c>
      <c r="L184" t="s">
        <v>4625</v>
      </c>
      <c r="M184" s="6" t="s">
        <v>6558</v>
      </c>
      <c r="N184" s="6" t="s">
        <v>6567</v>
      </c>
      <c r="O184" s="6">
        <v>75</v>
      </c>
      <c r="P184" s="6">
        <v>82</v>
      </c>
      <c r="Q184" s="6">
        <v>73</v>
      </c>
      <c r="R184" s="6">
        <v>67</v>
      </c>
      <c r="S184" s="6">
        <v>75</v>
      </c>
      <c r="T184" s="6">
        <v>71</v>
      </c>
      <c r="U184" s="6">
        <v>76</v>
      </c>
      <c r="V184" s="6">
        <v>81</v>
      </c>
      <c r="W184" s="6">
        <v>69</v>
      </c>
      <c r="X184" s="6">
        <v>73</v>
      </c>
      <c r="Y184" s="6">
        <v>71</v>
      </c>
      <c r="Z184" s="6">
        <v>72</v>
      </c>
      <c r="AA184" s="6">
        <v>68</v>
      </c>
      <c r="AB184" s="6">
        <v>69</v>
      </c>
      <c r="AC184" s="6">
        <v>67</v>
      </c>
      <c r="AD184" s="6">
        <v>78</v>
      </c>
      <c r="AE184" s="6">
        <v>64</v>
      </c>
      <c r="AF184" s="6">
        <v>70</v>
      </c>
      <c r="AG184" s="6" t="s">
        <v>6597</v>
      </c>
      <c r="AH184" s="6" t="s">
        <v>6598</v>
      </c>
    </row>
    <row r="185" spans="1:34" x14ac:dyDescent="0.2">
      <c r="A185" t="s">
        <v>2952</v>
      </c>
      <c r="B185" t="s">
        <v>1216</v>
      </c>
      <c r="C185" t="s">
        <v>61</v>
      </c>
      <c r="D185" s="7" t="s">
        <v>129</v>
      </c>
      <c r="E185" t="s">
        <v>38</v>
      </c>
      <c r="F185">
        <v>22</v>
      </c>
      <c r="G185">
        <v>66</v>
      </c>
      <c r="H185">
        <v>82</v>
      </c>
      <c r="I185" t="s">
        <v>6339</v>
      </c>
      <c r="J185">
        <v>71</v>
      </c>
      <c r="K185">
        <v>180</v>
      </c>
      <c r="L185" t="s">
        <v>4646</v>
      </c>
      <c r="M185" s="6" t="s">
        <v>6558</v>
      </c>
      <c r="N185" s="6" t="s">
        <v>6565</v>
      </c>
      <c r="O185" s="6">
        <v>76</v>
      </c>
      <c r="P185" s="6">
        <v>73</v>
      </c>
      <c r="Q185" s="6">
        <v>80</v>
      </c>
      <c r="R185" s="6">
        <v>73</v>
      </c>
      <c r="S185" s="6">
        <v>70</v>
      </c>
      <c r="T185" s="6">
        <v>74</v>
      </c>
      <c r="U185" s="6">
        <v>73</v>
      </c>
      <c r="V185" s="6">
        <v>72</v>
      </c>
      <c r="W185" s="6">
        <v>73</v>
      </c>
      <c r="X185" s="6">
        <v>75</v>
      </c>
      <c r="Y185" s="6">
        <v>68</v>
      </c>
      <c r="Z185" s="6">
        <v>67</v>
      </c>
      <c r="AA185" s="6">
        <v>70</v>
      </c>
      <c r="AB185" s="6">
        <v>67</v>
      </c>
      <c r="AC185" s="6">
        <v>71</v>
      </c>
      <c r="AD185" s="6">
        <v>77</v>
      </c>
      <c r="AE185" s="6">
        <v>73</v>
      </c>
      <c r="AF185" s="6">
        <v>76</v>
      </c>
      <c r="AG185" s="6" t="s">
        <v>6631</v>
      </c>
      <c r="AH185" s="6" t="s">
        <v>6632</v>
      </c>
    </row>
    <row r="186" spans="1:34" x14ac:dyDescent="0.2">
      <c r="A186" t="s">
        <v>2958</v>
      </c>
      <c r="B186" t="s">
        <v>1222</v>
      </c>
      <c r="C186" t="s">
        <v>2883</v>
      </c>
      <c r="D186" s="7" t="s">
        <v>129</v>
      </c>
      <c r="E186" t="s">
        <v>58</v>
      </c>
      <c r="F186">
        <v>24</v>
      </c>
      <c r="G186">
        <v>70</v>
      </c>
      <c r="H186">
        <v>82</v>
      </c>
      <c r="I186" t="s">
        <v>6345</v>
      </c>
      <c r="J186">
        <v>72</v>
      </c>
      <c r="K186">
        <v>213</v>
      </c>
      <c r="L186" t="s">
        <v>4652</v>
      </c>
      <c r="M186" s="6" t="s">
        <v>6558</v>
      </c>
      <c r="N186" s="6" t="s">
        <v>6567</v>
      </c>
      <c r="O186" s="6">
        <v>82</v>
      </c>
      <c r="P186" s="6">
        <v>71</v>
      </c>
      <c r="Q186" s="6">
        <v>67</v>
      </c>
      <c r="R186" s="6">
        <v>65</v>
      </c>
      <c r="S186" s="6">
        <v>74</v>
      </c>
      <c r="T186" s="6">
        <v>72</v>
      </c>
      <c r="U186" s="6">
        <v>70</v>
      </c>
      <c r="V186" s="6">
        <v>69</v>
      </c>
      <c r="W186" s="6">
        <v>71</v>
      </c>
      <c r="X186" s="6">
        <v>70</v>
      </c>
      <c r="Y186" s="6">
        <v>66</v>
      </c>
      <c r="Z186" s="6">
        <v>73</v>
      </c>
      <c r="AA186" s="6">
        <v>70</v>
      </c>
      <c r="AB186" s="6">
        <v>76</v>
      </c>
      <c r="AC186" s="6">
        <v>66</v>
      </c>
      <c r="AD186" s="6">
        <v>70</v>
      </c>
      <c r="AE186" s="6">
        <v>62</v>
      </c>
      <c r="AF186" s="6">
        <v>69</v>
      </c>
      <c r="AG186" s="6" t="s">
        <v>6641</v>
      </c>
      <c r="AH186" s="6" t="s">
        <v>6640</v>
      </c>
    </row>
    <row r="187" spans="1:34" x14ac:dyDescent="0.2">
      <c r="A187" t="s">
        <v>3000</v>
      </c>
      <c r="B187" t="s">
        <v>1264</v>
      </c>
      <c r="C187" t="s">
        <v>2882</v>
      </c>
      <c r="D187" s="7" t="s">
        <v>146</v>
      </c>
      <c r="E187" t="s">
        <v>38</v>
      </c>
      <c r="F187">
        <v>25</v>
      </c>
      <c r="G187">
        <v>67</v>
      </c>
      <c r="H187">
        <v>82</v>
      </c>
      <c r="I187" t="s">
        <v>6337</v>
      </c>
      <c r="J187">
        <v>70</v>
      </c>
      <c r="K187">
        <v>205</v>
      </c>
      <c r="L187" t="s">
        <v>4694</v>
      </c>
      <c r="M187" s="6" t="s">
        <v>6558</v>
      </c>
      <c r="N187" s="6" t="s">
        <v>6567</v>
      </c>
      <c r="O187" s="6">
        <v>67</v>
      </c>
      <c r="P187" s="6">
        <v>71</v>
      </c>
      <c r="Q187" s="6">
        <v>65</v>
      </c>
      <c r="R187" s="6">
        <v>68</v>
      </c>
      <c r="S187" s="6">
        <v>68</v>
      </c>
      <c r="T187" s="6">
        <v>63</v>
      </c>
      <c r="U187" s="6">
        <v>68</v>
      </c>
      <c r="V187" s="6">
        <v>68</v>
      </c>
      <c r="W187" s="6">
        <v>73</v>
      </c>
      <c r="X187" s="6">
        <v>66</v>
      </c>
      <c r="Y187" s="6">
        <v>76</v>
      </c>
      <c r="Z187" s="6">
        <v>75</v>
      </c>
      <c r="AA187" s="6">
        <v>66</v>
      </c>
      <c r="AB187" s="6">
        <v>65</v>
      </c>
      <c r="AC187" s="6">
        <v>74</v>
      </c>
      <c r="AD187" s="6">
        <v>73</v>
      </c>
      <c r="AE187" s="6">
        <v>69</v>
      </c>
      <c r="AF187" s="6">
        <v>74</v>
      </c>
      <c r="AG187" s="6" t="s">
        <v>6701</v>
      </c>
      <c r="AH187" s="6" t="s">
        <v>6636</v>
      </c>
    </row>
    <row r="188" spans="1:34" x14ac:dyDescent="0.2">
      <c r="A188" t="s">
        <v>3048</v>
      </c>
      <c r="B188" t="s">
        <v>1312</v>
      </c>
      <c r="C188" t="s">
        <v>2888</v>
      </c>
      <c r="D188" s="7" t="s">
        <v>131</v>
      </c>
      <c r="E188" t="s">
        <v>38</v>
      </c>
      <c r="F188">
        <v>24</v>
      </c>
      <c r="G188">
        <v>72</v>
      </c>
      <c r="H188">
        <v>82</v>
      </c>
      <c r="I188" t="s">
        <v>6335</v>
      </c>
      <c r="J188">
        <v>72</v>
      </c>
      <c r="K188">
        <v>200</v>
      </c>
      <c r="L188" t="s">
        <v>4742</v>
      </c>
      <c r="M188" s="6" t="s">
        <v>6558</v>
      </c>
      <c r="N188" s="6" t="s">
        <v>6567</v>
      </c>
      <c r="O188" s="6">
        <v>79</v>
      </c>
      <c r="P188" s="6">
        <v>76</v>
      </c>
      <c r="Q188" s="6">
        <v>77</v>
      </c>
      <c r="R188" s="6">
        <v>67</v>
      </c>
      <c r="S188" s="6">
        <v>76</v>
      </c>
      <c r="T188" s="6">
        <v>71</v>
      </c>
      <c r="U188" s="6">
        <v>64</v>
      </c>
      <c r="V188" s="6">
        <v>85</v>
      </c>
      <c r="W188" s="6">
        <v>74</v>
      </c>
      <c r="X188" s="6">
        <v>75</v>
      </c>
      <c r="Y188" s="6">
        <v>78</v>
      </c>
      <c r="Z188" s="6">
        <v>75</v>
      </c>
      <c r="AA188" s="6">
        <v>82</v>
      </c>
      <c r="AB188" s="6">
        <v>73</v>
      </c>
      <c r="AC188" s="6">
        <v>68</v>
      </c>
      <c r="AD188" s="6">
        <v>80</v>
      </c>
      <c r="AE188" s="6">
        <v>78</v>
      </c>
      <c r="AF188" s="6">
        <v>74</v>
      </c>
      <c r="AG188" s="6" t="s">
        <v>6761</v>
      </c>
      <c r="AH188" s="6" t="s">
        <v>6762</v>
      </c>
    </row>
    <row r="189" spans="1:34" x14ac:dyDescent="0.2">
      <c r="A189" t="s">
        <v>3075</v>
      </c>
      <c r="B189" t="s">
        <v>1339</v>
      </c>
      <c r="C189" t="s">
        <v>2875</v>
      </c>
      <c r="D189" s="7" t="s">
        <v>130</v>
      </c>
      <c r="E189" t="s">
        <v>58</v>
      </c>
      <c r="F189">
        <v>31</v>
      </c>
      <c r="G189">
        <v>79</v>
      </c>
      <c r="H189">
        <v>82</v>
      </c>
      <c r="I189" t="s">
        <v>6313</v>
      </c>
      <c r="J189">
        <v>73</v>
      </c>
      <c r="K189">
        <v>302</v>
      </c>
      <c r="L189" t="s">
        <v>4769</v>
      </c>
      <c r="M189" s="6" t="s">
        <v>6558</v>
      </c>
      <c r="N189" s="6" t="s">
        <v>6583</v>
      </c>
      <c r="O189" s="6">
        <v>92</v>
      </c>
      <c r="P189" s="6">
        <v>87</v>
      </c>
      <c r="Q189" s="6">
        <v>76</v>
      </c>
      <c r="R189" s="6">
        <v>81</v>
      </c>
      <c r="S189" s="6">
        <v>81</v>
      </c>
      <c r="T189" s="6">
        <v>76</v>
      </c>
      <c r="U189" s="6">
        <v>88</v>
      </c>
      <c r="V189" s="6">
        <v>89</v>
      </c>
      <c r="W189" s="6">
        <v>78</v>
      </c>
      <c r="X189" s="6">
        <v>79</v>
      </c>
      <c r="Y189" s="6">
        <v>76</v>
      </c>
      <c r="Z189" s="6">
        <v>71</v>
      </c>
      <c r="AA189" s="6">
        <v>70</v>
      </c>
      <c r="AB189" s="6">
        <v>72</v>
      </c>
      <c r="AC189" s="6">
        <v>77</v>
      </c>
      <c r="AD189" s="6">
        <v>65</v>
      </c>
      <c r="AE189" s="6">
        <v>71</v>
      </c>
      <c r="AF189" s="6">
        <v>71</v>
      </c>
      <c r="AG189" s="6" t="s">
        <v>6791</v>
      </c>
      <c r="AH189" s="6" t="s">
        <v>6606</v>
      </c>
    </row>
    <row r="190" spans="1:34" x14ac:dyDescent="0.2">
      <c r="A190" t="s">
        <v>3103</v>
      </c>
      <c r="B190" t="s">
        <v>1367</v>
      </c>
      <c r="C190" t="s">
        <v>2891</v>
      </c>
      <c r="D190" s="7" t="s">
        <v>130</v>
      </c>
      <c r="E190" t="s">
        <v>38</v>
      </c>
      <c r="F190">
        <v>25</v>
      </c>
      <c r="G190">
        <v>60</v>
      </c>
      <c r="H190">
        <v>82</v>
      </c>
      <c r="I190" t="s">
        <v>6340</v>
      </c>
      <c r="J190">
        <v>75</v>
      </c>
      <c r="K190">
        <v>230</v>
      </c>
      <c r="L190" t="s">
        <v>4797</v>
      </c>
      <c r="M190" s="6" t="s">
        <v>6558</v>
      </c>
      <c r="N190" s="6" t="s">
        <v>6567</v>
      </c>
      <c r="O190" s="6">
        <v>69</v>
      </c>
      <c r="P190" s="6">
        <v>76</v>
      </c>
      <c r="Q190" s="6">
        <v>67</v>
      </c>
      <c r="R190" s="6">
        <v>66</v>
      </c>
      <c r="S190" s="6">
        <v>70</v>
      </c>
      <c r="T190" s="6">
        <v>72</v>
      </c>
      <c r="U190" s="6">
        <v>64</v>
      </c>
      <c r="V190" s="6">
        <v>67</v>
      </c>
      <c r="W190" s="6">
        <v>76</v>
      </c>
      <c r="X190" s="6">
        <v>71</v>
      </c>
      <c r="Y190" s="6">
        <v>66</v>
      </c>
      <c r="Z190" s="6">
        <v>70</v>
      </c>
      <c r="AA190" s="6">
        <v>67</v>
      </c>
      <c r="AB190" s="6">
        <v>71</v>
      </c>
      <c r="AC190" s="6">
        <v>69</v>
      </c>
      <c r="AD190" s="6">
        <v>66</v>
      </c>
      <c r="AE190" s="6">
        <v>73</v>
      </c>
      <c r="AF190" s="6">
        <v>66</v>
      </c>
      <c r="AG190" s="6" t="s">
        <v>6823</v>
      </c>
      <c r="AH190" s="6" t="s">
        <v>6824</v>
      </c>
    </row>
    <row r="191" spans="1:34" x14ac:dyDescent="0.2">
      <c r="A191" t="s">
        <v>3105</v>
      </c>
      <c r="B191" t="s">
        <v>1369</v>
      </c>
      <c r="C191" t="s">
        <v>53</v>
      </c>
      <c r="D191" s="7" t="s">
        <v>133</v>
      </c>
      <c r="E191" t="s">
        <v>38</v>
      </c>
      <c r="F191">
        <v>23</v>
      </c>
      <c r="G191">
        <v>61</v>
      </c>
      <c r="H191">
        <v>82</v>
      </c>
      <c r="I191" t="s">
        <v>6342</v>
      </c>
      <c r="J191">
        <v>75</v>
      </c>
      <c r="K191">
        <v>219</v>
      </c>
      <c r="L191" t="s">
        <v>4799</v>
      </c>
      <c r="M191" s="6" t="s">
        <v>6558</v>
      </c>
      <c r="N191" s="6" t="s">
        <v>6565</v>
      </c>
      <c r="O191" s="6">
        <v>74</v>
      </c>
      <c r="P191" s="6">
        <v>68</v>
      </c>
      <c r="Q191" s="6">
        <v>57</v>
      </c>
      <c r="R191" s="6">
        <v>72</v>
      </c>
      <c r="S191" s="6">
        <v>73</v>
      </c>
      <c r="T191" s="6">
        <v>70</v>
      </c>
      <c r="U191" s="6">
        <v>77</v>
      </c>
      <c r="V191" s="6">
        <v>70</v>
      </c>
      <c r="W191" s="6">
        <v>71</v>
      </c>
      <c r="X191" s="6">
        <v>64</v>
      </c>
      <c r="Y191" s="6">
        <v>72</v>
      </c>
      <c r="Z191" s="6">
        <v>61</v>
      </c>
      <c r="AA191" s="6">
        <v>66</v>
      </c>
      <c r="AB191" s="6">
        <v>67</v>
      </c>
      <c r="AC191" s="6">
        <v>62</v>
      </c>
      <c r="AD191" s="6">
        <v>68</v>
      </c>
      <c r="AE191" s="6">
        <v>68</v>
      </c>
      <c r="AF191" s="6">
        <v>66</v>
      </c>
      <c r="AG191" s="6" t="s">
        <v>6826</v>
      </c>
      <c r="AH191" s="6" t="s">
        <v>6570</v>
      </c>
    </row>
    <row r="192" spans="1:34" x14ac:dyDescent="0.2">
      <c r="A192" t="s">
        <v>3120</v>
      </c>
      <c r="B192" t="s">
        <v>1384</v>
      </c>
      <c r="C192" t="s">
        <v>2873</v>
      </c>
      <c r="D192" s="7" t="s">
        <v>133</v>
      </c>
      <c r="E192" t="s">
        <v>38</v>
      </c>
      <c r="F192">
        <v>26</v>
      </c>
      <c r="G192">
        <v>67</v>
      </c>
      <c r="H192">
        <v>82</v>
      </c>
      <c r="I192" t="s">
        <v>6307</v>
      </c>
      <c r="J192">
        <v>77</v>
      </c>
      <c r="K192">
        <v>316</v>
      </c>
      <c r="L192" t="s">
        <v>4814</v>
      </c>
      <c r="M192" s="6" t="s">
        <v>6558</v>
      </c>
      <c r="N192" s="6" t="s">
        <v>6565</v>
      </c>
      <c r="O192" s="6">
        <v>84</v>
      </c>
      <c r="P192" s="6">
        <v>80</v>
      </c>
      <c r="Q192" s="6">
        <v>80</v>
      </c>
      <c r="R192" s="6">
        <v>74</v>
      </c>
      <c r="S192" s="6">
        <v>74</v>
      </c>
      <c r="T192" s="6">
        <v>77</v>
      </c>
      <c r="U192" s="6">
        <v>71</v>
      </c>
      <c r="V192" s="6">
        <v>80</v>
      </c>
      <c r="W192" s="6">
        <v>78</v>
      </c>
      <c r="X192" s="6">
        <v>76</v>
      </c>
      <c r="Y192" s="6">
        <v>70</v>
      </c>
      <c r="Z192" s="6">
        <v>77</v>
      </c>
      <c r="AA192" s="6">
        <v>71</v>
      </c>
      <c r="AB192" s="6">
        <v>75</v>
      </c>
      <c r="AC192" s="6">
        <v>72</v>
      </c>
      <c r="AD192" s="6">
        <v>61</v>
      </c>
      <c r="AE192" s="6">
        <v>69</v>
      </c>
      <c r="AF192" s="6">
        <v>70</v>
      </c>
      <c r="AG192" s="6" t="s">
        <v>6842</v>
      </c>
      <c r="AH192" s="6" t="s">
        <v>6596</v>
      </c>
    </row>
    <row r="193" spans="1:34" x14ac:dyDescent="0.2">
      <c r="A193" t="s">
        <v>3130</v>
      </c>
      <c r="B193" t="s">
        <v>1394</v>
      </c>
      <c r="C193" t="s">
        <v>2878</v>
      </c>
      <c r="D193" s="7" t="s">
        <v>133</v>
      </c>
      <c r="E193" t="s">
        <v>38</v>
      </c>
      <c r="F193">
        <v>24</v>
      </c>
      <c r="G193">
        <v>75</v>
      </c>
      <c r="H193">
        <v>82</v>
      </c>
      <c r="I193" t="s">
        <v>6324</v>
      </c>
      <c r="J193">
        <v>76</v>
      </c>
      <c r="K193">
        <v>283</v>
      </c>
      <c r="L193" t="s">
        <v>4824</v>
      </c>
      <c r="M193" s="6" t="s">
        <v>6558</v>
      </c>
      <c r="N193" s="6" t="s">
        <v>6567</v>
      </c>
      <c r="O193" s="6">
        <v>75</v>
      </c>
      <c r="P193" s="6">
        <v>68</v>
      </c>
      <c r="Q193" s="6">
        <v>70</v>
      </c>
      <c r="R193" s="6">
        <v>64</v>
      </c>
      <c r="S193" s="6">
        <v>80</v>
      </c>
      <c r="T193" s="6">
        <v>74</v>
      </c>
      <c r="U193" s="6">
        <v>72</v>
      </c>
      <c r="V193" s="6">
        <v>73</v>
      </c>
      <c r="W193" s="6">
        <v>73</v>
      </c>
      <c r="X193" s="6">
        <v>76</v>
      </c>
      <c r="Y193" s="6">
        <v>75</v>
      </c>
      <c r="Z193" s="6">
        <v>71</v>
      </c>
      <c r="AA193" s="6">
        <v>72</v>
      </c>
      <c r="AB193" s="6">
        <v>66</v>
      </c>
      <c r="AC193" s="6">
        <v>67</v>
      </c>
      <c r="AD193" s="6">
        <v>79</v>
      </c>
      <c r="AE193" s="6">
        <v>69</v>
      </c>
      <c r="AF193" s="6">
        <v>71</v>
      </c>
      <c r="AG193" s="6" t="s">
        <v>6852</v>
      </c>
      <c r="AH193" s="6" t="s">
        <v>6612</v>
      </c>
    </row>
    <row r="194" spans="1:34" x14ac:dyDescent="0.2">
      <c r="A194" t="s">
        <v>3139</v>
      </c>
      <c r="B194" t="s">
        <v>1403</v>
      </c>
      <c r="C194" t="s">
        <v>2880</v>
      </c>
      <c r="D194" s="7" t="s">
        <v>133</v>
      </c>
      <c r="E194" t="s">
        <v>58</v>
      </c>
      <c r="F194">
        <v>31</v>
      </c>
      <c r="G194">
        <v>73</v>
      </c>
      <c r="H194">
        <v>82</v>
      </c>
      <c r="I194" t="s">
        <v>6321</v>
      </c>
      <c r="J194">
        <v>74</v>
      </c>
      <c r="K194">
        <v>237</v>
      </c>
      <c r="L194" t="s">
        <v>4833</v>
      </c>
      <c r="M194" s="6" t="s">
        <v>6558</v>
      </c>
      <c r="N194" s="6" t="s">
        <v>6565</v>
      </c>
      <c r="O194" s="6">
        <v>70</v>
      </c>
      <c r="P194" s="6">
        <v>84</v>
      </c>
      <c r="Q194" s="6">
        <v>69</v>
      </c>
      <c r="R194" s="6">
        <v>72</v>
      </c>
      <c r="S194" s="6">
        <v>78</v>
      </c>
      <c r="T194" s="6">
        <v>83</v>
      </c>
      <c r="U194" s="6">
        <v>67</v>
      </c>
      <c r="V194" s="6">
        <v>77</v>
      </c>
      <c r="W194" s="6">
        <v>73</v>
      </c>
      <c r="X194" s="6">
        <v>74</v>
      </c>
      <c r="Y194" s="6">
        <v>73</v>
      </c>
      <c r="Z194" s="6">
        <v>71</v>
      </c>
      <c r="AA194" s="6">
        <v>69</v>
      </c>
      <c r="AB194" s="6">
        <v>65</v>
      </c>
      <c r="AC194" s="6">
        <v>69</v>
      </c>
      <c r="AD194" s="6">
        <v>69</v>
      </c>
      <c r="AE194" s="6">
        <v>65</v>
      </c>
      <c r="AF194" s="6">
        <v>68</v>
      </c>
      <c r="AG194" s="6" t="s">
        <v>6863</v>
      </c>
      <c r="AH194" s="6" t="s">
        <v>6623</v>
      </c>
    </row>
    <row r="195" spans="1:34" x14ac:dyDescent="0.2">
      <c r="A195" t="s">
        <v>3150</v>
      </c>
      <c r="B195" t="s">
        <v>1414</v>
      </c>
      <c r="C195" t="s">
        <v>2888</v>
      </c>
      <c r="D195" s="7" t="s">
        <v>133</v>
      </c>
      <c r="E195" t="s">
        <v>38</v>
      </c>
      <c r="F195">
        <v>24</v>
      </c>
      <c r="G195">
        <v>76</v>
      </c>
      <c r="H195">
        <v>82</v>
      </c>
      <c r="I195" t="s">
        <v>6344</v>
      </c>
      <c r="J195">
        <v>71</v>
      </c>
      <c r="K195">
        <v>185</v>
      </c>
      <c r="L195" t="s">
        <v>4844</v>
      </c>
      <c r="M195" s="6" t="s">
        <v>6558</v>
      </c>
      <c r="N195" s="6" t="s">
        <v>6583</v>
      </c>
      <c r="O195" s="6">
        <v>72</v>
      </c>
      <c r="P195" s="6">
        <v>77</v>
      </c>
      <c r="Q195" s="6">
        <v>76</v>
      </c>
      <c r="R195" s="6">
        <v>76</v>
      </c>
      <c r="S195" s="6">
        <v>74</v>
      </c>
      <c r="T195" s="6">
        <v>73</v>
      </c>
      <c r="U195" s="6">
        <v>79</v>
      </c>
      <c r="V195" s="6">
        <v>75</v>
      </c>
      <c r="W195" s="6">
        <v>70</v>
      </c>
      <c r="X195" s="6">
        <v>72</v>
      </c>
      <c r="Y195" s="6">
        <v>76</v>
      </c>
      <c r="Z195" s="6">
        <v>77</v>
      </c>
      <c r="AA195" s="6">
        <v>76</v>
      </c>
      <c r="AB195" s="6">
        <v>78</v>
      </c>
      <c r="AC195" s="6">
        <v>75</v>
      </c>
      <c r="AD195" s="6">
        <v>79</v>
      </c>
      <c r="AE195" s="6">
        <v>73</v>
      </c>
      <c r="AF195" s="6">
        <v>79</v>
      </c>
      <c r="AG195" s="6" t="s">
        <v>6874</v>
      </c>
      <c r="AH195" s="6" t="s">
        <v>6707</v>
      </c>
    </row>
    <row r="196" spans="1:34" x14ac:dyDescent="0.2">
      <c r="A196" t="s">
        <v>3161</v>
      </c>
      <c r="B196" t="s">
        <v>1425</v>
      </c>
      <c r="C196" t="s">
        <v>57</v>
      </c>
      <c r="D196" s="7" t="s">
        <v>134</v>
      </c>
      <c r="E196" t="s">
        <v>38</v>
      </c>
      <c r="F196">
        <v>24</v>
      </c>
      <c r="G196">
        <v>82</v>
      </c>
      <c r="H196">
        <v>82</v>
      </c>
      <c r="I196" t="s">
        <v>6353</v>
      </c>
      <c r="J196">
        <v>71</v>
      </c>
      <c r="K196">
        <v>202</v>
      </c>
      <c r="L196" t="s">
        <v>4855</v>
      </c>
      <c r="M196" s="6" t="s">
        <v>6558</v>
      </c>
      <c r="N196" s="6" t="s">
        <v>6583</v>
      </c>
      <c r="O196" s="6">
        <v>70</v>
      </c>
      <c r="P196" s="6">
        <v>77</v>
      </c>
      <c r="Q196" s="6">
        <v>89</v>
      </c>
      <c r="R196" s="6">
        <v>77</v>
      </c>
      <c r="S196" s="6">
        <v>76</v>
      </c>
      <c r="T196" s="6">
        <v>67</v>
      </c>
      <c r="U196" s="6">
        <v>87</v>
      </c>
      <c r="V196" s="6">
        <v>78</v>
      </c>
      <c r="W196" s="6">
        <v>86</v>
      </c>
      <c r="X196" s="6">
        <v>85</v>
      </c>
      <c r="Y196" s="6">
        <v>78</v>
      </c>
      <c r="Z196" s="6">
        <v>84</v>
      </c>
      <c r="AA196" s="6">
        <v>75</v>
      </c>
      <c r="AB196" s="6">
        <v>75</v>
      </c>
      <c r="AC196" s="6">
        <v>84</v>
      </c>
      <c r="AD196" s="6">
        <v>75</v>
      </c>
      <c r="AE196" s="6">
        <v>74</v>
      </c>
      <c r="AF196" s="6">
        <v>82</v>
      </c>
      <c r="AG196" s="6" t="s">
        <v>6888</v>
      </c>
      <c r="AH196" s="6" t="s">
        <v>6670</v>
      </c>
    </row>
    <row r="197" spans="1:34" x14ac:dyDescent="0.2">
      <c r="A197" t="s">
        <v>3162</v>
      </c>
      <c r="B197" t="s">
        <v>1426</v>
      </c>
      <c r="C197" t="s">
        <v>57</v>
      </c>
      <c r="D197" s="7" t="s">
        <v>134</v>
      </c>
      <c r="E197" t="s">
        <v>38</v>
      </c>
      <c r="F197">
        <v>24</v>
      </c>
      <c r="G197">
        <v>79</v>
      </c>
      <c r="H197">
        <v>82</v>
      </c>
      <c r="I197" t="s">
        <v>6354</v>
      </c>
      <c r="J197">
        <v>71</v>
      </c>
      <c r="K197">
        <v>197</v>
      </c>
      <c r="L197" t="s">
        <v>4856</v>
      </c>
      <c r="M197" s="6" t="s">
        <v>6558</v>
      </c>
      <c r="N197" s="6" t="s">
        <v>6583</v>
      </c>
      <c r="O197" s="6">
        <v>75</v>
      </c>
      <c r="P197" s="6">
        <v>74</v>
      </c>
      <c r="Q197" s="6">
        <v>76</v>
      </c>
      <c r="R197" s="6">
        <v>77</v>
      </c>
      <c r="S197" s="6">
        <v>82</v>
      </c>
      <c r="T197" s="6">
        <v>76</v>
      </c>
      <c r="U197" s="6">
        <v>76</v>
      </c>
      <c r="V197" s="6">
        <v>78</v>
      </c>
      <c r="W197" s="6">
        <v>73</v>
      </c>
      <c r="X197" s="6">
        <v>63</v>
      </c>
      <c r="Y197" s="6">
        <v>79</v>
      </c>
      <c r="Z197" s="6">
        <v>82</v>
      </c>
      <c r="AA197" s="6">
        <v>75</v>
      </c>
      <c r="AB197" s="6">
        <v>78</v>
      </c>
      <c r="AC197" s="6">
        <v>75</v>
      </c>
      <c r="AD197" s="6">
        <v>74</v>
      </c>
      <c r="AE197" s="6">
        <v>69</v>
      </c>
      <c r="AF197" s="6">
        <v>77</v>
      </c>
      <c r="AG197" s="6" t="s">
        <v>6889</v>
      </c>
      <c r="AH197" s="6" t="s">
        <v>6782</v>
      </c>
    </row>
    <row r="198" spans="1:34" x14ac:dyDescent="0.2">
      <c r="A198" t="s">
        <v>3188</v>
      </c>
      <c r="B198" t="s">
        <v>1452</v>
      </c>
      <c r="C198" t="s">
        <v>2879</v>
      </c>
      <c r="D198" s="7" t="s">
        <v>134</v>
      </c>
      <c r="E198" t="s">
        <v>58</v>
      </c>
      <c r="F198">
        <v>31</v>
      </c>
      <c r="G198">
        <v>67</v>
      </c>
      <c r="H198">
        <v>82</v>
      </c>
      <c r="I198" t="s">
        <v>6378</v>
      </c>
      <c r="J198">
        <v>73</v>
      </c>
      <c r="K198">
        <v>297</v>
      </c>
      <c r="L198" t="s">
        <v>4882</v>
      </c>
      <c r="M198" s="6" t="s">
        <v>6558</v>
      </c>
      <c r="N198" s="6" t="s">
        <v>6567</v>
      </c>
      <c r="O198" s="6">
        <v>76</v>
      </c>
      <c r="P198" s="6">
        <v>70</v>
      </c>
      <c r="Q198" s="6">
        <v>71</v>
      </c>
      <c r="R198" s="6">
        <v>65</v>
      </c>
      <c r="S198" s="6">
        <v>82</v>
      </c>
      <c r="T198" s="6">
        <v>72</v>
      </c>
      <c r="U198" s="6">
        <v>61</v>
      </c>
      <c r="V198" s="6">
        <v>72</v>
      </c>
      <c r="W198" s="6">
        <v>69</v>
      </c>
      <c r="X198" s="6">
        <v>63</v>
      </c>
      <c r="Y198" s="6">
        <v>73</v>
      </c>
      <c r="Z198" s="6">
        <v>71</v>
      </c>
      <c r="AA198" s="6">
        <v>63</v>
      </c>
      <c r="AB198" s="6">
        <v>65</v>
      </c>
      <c r="AC198" s="6">
        <v>64</v>
      </c>
      <c r="AD198" s="6">
        <v>66</v>
      </c>
      <c r="AE198" s="6">
        <v>64</v>
      </c>
      <c r="AF198" s="6">
        <v>53</v>
      </c>
      <c r="AG198" s="6" t="s">
        <v>6914</v>
      </c>
      <c r="AH198" s="6" t="s">
        <v>6617</v>
      </c>
    </row>
    <row r="199" spans="1:34" x14ac:dyDescent="0.2">
      <c r="A199" t="s">
        <v>3194</v>
      </c>
      <c r="B199" t="s">
        <v>1458</v>
      </c>
      <c r="C199" t="s">
        <v>61</v>
      </c>
      <c r="D199" s="7" t="s">
        <v>134</v>
      </c>
      <c r="E199" t="s">
        <v>38</v>
      </c>
      <c r="F199">
        <v>29</v>
      </c>
      <c r="G199">
        <v>65</v>
      </c>
      <c r="H199">
        <v>82</v>
      </c>
      <c r="I199" t="s">
        <v>6384</v>
      </c>
      <c r="J199">
        <v>68</v>
      </c>
      <c r="K199">
        <v>205</v>
      </c>
      <c r="L199" t="s">
        <v>4888</v>
      </c>
      <c r="M199" s="6" t="s">
        <v>6558</v>
      </c>
      <c r="N199" s="6" t="s">
        <v>6565</v>
      </c>
      <c r="O199" s="6">
        <v>69</v>
      </c>
      <c r="P199" s="6">
        <v>71</v>
      </c>
      <c r="Q199" s="6">
        <v>71</v>
      </c>
      <c r="R199" s="6">
        <v>75</v>
      </c>
      <c r="S199" s="6">
        <v>85</v>
      </c>
      <c r="T199" s="6">
        <v>77</v>
      </c>
      <c r="U199" s="6">
        <v>79</v>
      </c>
      <c r="V199" s="6">
        <v>79</v>
      </c>
      <c r="W199" s="6">
        <v>79</v>
      </c>
      <c r="X199" s="6">
        <v>79</v>
      </c>
      <c r="Y199" s="6">
        <v>77</v>
      </c>
      <c r="Z199" s="6">
        <v>77</v>
      </c>
      <c r="AA199" s="6">
        <v>74</v>
      </c>
      <c r="AB199" s="6">
        <v>66</v>
      </c>
      <c r="AC199" s="6">
        <v>71</v>
      </c>
      <c r="AD199" s="6">
        <v>68</v>
      </c>
      <c r="AE199" s="6">
        <v>67</v>
      </c>
      <c r="AF199" s="6">
        <v>71</v>
      </c>
      <c r="AG199" s="6" t="s">
        <v>6920</v>
      </c>
      <c r="AH199" s="6" t="s">
        <v>6630</v>
      </c>
    </row>
    <row r="200" spans="1:34" x14ac:dyDescent="0.2">
      <c r="A200" t="s">
        <v>3205</v>
      </c>
      <c r="B200" t="s">
        <v>1469</v>
      </c>
      <c r="C200" t="s">
        <v>2890</v>
      </c>
      <c r="D200" s="7" t="s">
        <v>134</v>
      </c>
      <c r="E200" t="s">
        <v>58</v>
      </c>
      <c r="F200">
        <v>32</v>
      </c>
      <c r="G200">
        <v>85</v>
      </c>
      <c r="H200">
        <v>82</v>
      </c>
      <c r="I200" t="s">
        <v>6395</v>
      </c>
      <c r="J200">
        <v>69</v>
      </c>
      <c r="K200">
        <v>195</v>
      </c>
      <c r="L200" t="s">
        <v>4899</v>
      </c>
      <c r="M200" s="6" t="s">
        <v>6558</v>
      </c>
      <c r="N200" s="6" t="s">
        <v>6567</v>
      </c>
      <c r="O200" s="6">
        <v>67</v>
      </c>
      <c r="P200" s="6">
        <v>69</v>
      </c>
      <c r="Q200" s="6">
        <v>71</v>
      </c>
      <c r="R200" s="6">
        <v>69</v>
      </c>
      <c r="S200" s="6">
        <v>87</v>
      </c>
      <c r="T200" s="6">
        <v>83</v>
      </c>
      <c r="U200" s="6">
        <v>77</v>
      </c>
      <c r="V200" s="6">
        <v>83</v>
      </c>
      <c r="W200" s="6">
        <v>70</v>
      </c>
      <c r="X200" s="6">
        <v>67</v>
      </c>
      <c r="Y200" s="6">
        <v>84</v>
      </c>
      <c r="Z200" s="6">
        <v>74</v>
      </c>
      <c r="AA200" s="6">
        <v>67</v>
      </c>
      <c r="AB200" s="6">
        <v>70</v>
      </c>
      <c r="AC200" s="6">
        <v>71</v>
      </c>
      <c r="AD200" s="6">
        <v>72</v>
      </c>
      <c r="AE200" s="6">
        <v>71</v>
      </c>
      <c r="AF200" s="6">
        <v>65</v>
      </c>
      <c r="AG200" s="6" t="s">
        <v>6931</v>
      </c>
      <c r="AH200" s="6" t="s">
        <v>6632</v>
      </c>
    </row>
    <row r="201" spans="1:34" x14ac:dyDescent="0.2">
      <c r="A201" t="s">
        <v>3209</v>
      </c>
      <c r="B201" t="s">
        <v>1473</v>
      </c>
      <c r="C201" t="s">
        <v>53</v>
      </c>
      <c r="D201" s="7" t="s">
        <v>132</v>
      </c>
      <c r="E201" t="s">
        <v>38</v>
      </c>
      <c r="F201">
        <v>31</v>
      </c>
      <c r="G201">
        <v>79</v>
      </c>
      <c r="H201">
        <v>82</v>
      </c>
      <c r="I201" t="s">
        <v>6399</v>
      </c>
      <c r="J201">
        <v>75</v>
      </c>
      <c r="K201">
        <v>217</v>
      </c>
      <c r="L201" t="s">
        <v>4903</v>
      </c>
      <c r="M201" s="6" t="s">
        <v>6558</v>
      </c>
      <c r="N201" s="6" t="s">
        <v>6562</v>
      </c>
      <c r="O201" s="6">
        <v>97</v>
      </c>
      <c r="P201" s="6">
        <v>89</v>
      </c>
      <c r="Q201" s="6">
        <v>80</v>
      </c>
      <c r="R201" s="6">
        <v>85</v>
      </c>
      <c r="S201" s="6">
        <v>87</v>
      </c>
      <c r="T201" s="6">
        <v>72</v>
      </c>
      <c r="U201" s="6">
        <v>72</v>
      </c>
      <c r="V201" s="6">
        <v>84</v>
      </c>
      <c r="W201" s="6">
        <v>77</v>
      </c>
      <c r="X201" s="6">
        <v>79</v>
      </c>
      <c r="Y201" s="6">
        <v>76</v>
      </c>
      <c r="Z201" s="6">
        <v>70</v>
      </c>
      <c r="AA201" s="6">
        <v>72</v>
      </c>
      <c r="AB201" s="6">
        <v>74</v>
      </c>
      <c r="AC201" s="6">
        <v>66</v>
      </c>
      <c r="AD201" s="6">
        <v>76</v>
      </c>
      <c r="AE201" s="6">
        <v>70</v>
      </c>
      <c r="AF201" s="6">
        <v>70</v>
      </c>
      <c r="AG201" s="6" t="s">
        <v>6935</v>
      </c>
      <c r="AH201" s="6" t="s">
        <v>6936</v>
      </c>
    </row>
    <row r="202" spans="1:34" x14ac:dyDescent="0.2">
      <c r="A202" t="s">
        <v>3242</v>
      </c>
      <c r="B202" t="s">
        <v>1506</v>
      </c>
      <c r="C202" t="s">
        <v>2880</v>
      </c>
      <c r="D202" s="7" t="s">
        <v>132</v>
      </c>
      <c r="E202" t="s">
        <v>58</v>
      </c>
      <c r="F202">
        <v>31</v>
      </c>
      <c r="G202">
        <v>71</v>
      </c>
      <c r="H202">
        <v>82</v>
      </c>
      <c r="I202" t="s">
        <v>6431</v>
      </c>
      <c r="J202">
        <v>73</v>
      </c>
      <c r="K202">
        <v>254</v>
      </c>
      <c r="L202" t="s">
        <v>4936</v>
      </c>
      <c r="M202" s="6" t="s">
        <v>6558</v>
      </c>
      <c r="N202" s="6" t="s">
        <v>6567</v>
      </c>
      <c r="O202" s="6">
        <v>69</v>
      </c>
      <c r="P202" s="6">
        <v>68</v>
      </c>
      <c r="Q202" s="6">
        <v>63</v>
      </c>
      <c r="R202" s="6">
        <v>68</v>
      </c>
      <c r="S202" s="6">
        <v>72</v>
      </c>
      <c r="T202" s="6">
        <v>74</v>
      </c>
      <c r="U202" s="6">
        <v>75</v>
      </c>
      <c r="V202" s="6">
        <v>77</v>
      </c>
      <c r="W202" s="6">
        <v>84</v>
      </c>
      <c r="X202" s="6">
        <v>69</v>
      </c>
      <c r="Y202" s="6">
        <v>69</v>
      </c>
      <c r="Z202" s="6">
        <v>77</v>
      </c>
      <c r="AA202" s="6">
        <v>66</v>
      </c>
      <c r="AB202" s="6">
        <v>69</v>
      </c>
      <c r="AC202" s="6">
        <v>60</v>
      </c>
      <c r="AD202" s="6">
        <v>57</v>
      </c>
      <c r="AE202" s="6">
        <v>61</v>
      </c>
      <c r="AF202" s="6">
        <v>57</v>
      </c>
      <c r="AG202" s="6" t="s">
        <v>6970</v>
      </c>
      <c r="AH202" s="6" t="s">
        <v>6623</v>
      </c>
    </row>
    <row r="203" spans="1:34" x14ac:dyDescent="0.2">
      <c r="A203" t="s">
        <v>3255</v>
      </c>
      <c r="B203" t="s">
        <v>1519</v>
      </c>
      <c r="C203" t="s">
        <v>2886</v>
      </c>
      <c r="D203" s="7" t="s">
        <v>132</v>
      </c>
      <c r="E203" t="s">
        <v>38</v>
      </c>
      <c r="F203">
        <v>29</v>
      </c>
      <c r="G203">
        <v>71</v>
      </c>
      <c r="H203">
        <v>82</v>
      </c>
      <c r="I203" t="s">
        <v>6444</v>
      </c>
      <c r="J203">
        <v>75</v>
      </c>
      <c r="K203">
        <v>255</v>
      </c>
      <c r="L203" t="s">
        <v>4949</v>
      </c>
      <c r="M203" s="6" t="s">
        <v>6558</v>
      </c>
      <c r="N203" s="6" t="s">
        <v>6583</v>
      </c>
      <c r="O203" s="6">
        <v>83</v>
      </c>
      <c r="P203" s="6">
        <v>74</v>
      </c>
      <c r="Q203" s="6">
        <v>71</v>
      </c>
      <c r="R203" s="6">
        <v>79</v>
      </c>
      <c r="S203" s="6">
        <v>76</v>
      </c>
      <c r="T203" s="6">
        <v>73</v>
      </c>
      <c r="U203" s="6">
        <v>67</v>
      </c>
      <c r="V203" s="6">
        <v>75</v>
      </c>
      <c r="W203" s="6">
        <v>84</v>
      </c>
      <c r="X203" s="6">
        <v>81</v>
      </c>
      <c r="Y203" s="6">
        <v>72</v>
      </c>
      <c r="Z203" s="6">
        <v>82</v>
      </c>
      <c r="AA203" s="6">
        <v>71</v>
      </c>
      <c r="AB203" s="6">
        <v>71</v>
      </c>
      <c r="AC203" s="6">
        <v>76</v>
      </c>
      <c r="AD203" s="6">
        <v>73</v>
      </c>
      <c r="AE203" s="6">
        <v>68</v>
      </c>
      <c r="AF203" s="6">
        <v>76</v>
      </c>
      <c r="AG203" s="6" t="s">
        <v>6984</v>
      </c>
      <c r="AH203" s="6" t="s">
        <v>6649</v>
      </c>
    </row>
    <row r="204" spans="1:34" x14ac:dyDescent="0.2">
      <c r="A204" t="s">
        <v>3263</v>
      </c>
      <c r="B204" t="s">
        <v>1527</v>
      </c>
      <c r="C204" t="s">
        <v>2870</v>
      </c>
      <c r="D204" s="7" t="s">
        <v>136</v>
      </c>
      <c r="E204" t="s">
        <v>38</v>
      </c>
      <c r="F204">
        <v>23</v>
      </c>
      <c r="G204">
        <v>82</v>
      </c>
      <c r="H204">
        <v>82</v>
      </c>
      <c r="I204" t="s">
        <v>6452</v>
      </c>
      <c r="J204">
        <v>71</v>
      </c>
      <c r="K204">
        <v>218</v>
      </c>
      <c r="L204" t="s">
        <v>4957</v>
      </c>
      <c r="M204" s="6" t="s">
        <v>6558</v>
      </c>
      <c r="N204" s="6" t="s">
        <v>6565</v>
      </c>
      <c r="O204" s="6">
        <v>65</v>
      </c>
      <c r="P204" s="6">
        <v>62</v>
      </c>
      <c r="Q204" s="6">
        <v>74</v>
      </c>
      <c r="R204" s="6">
        <v>75</v>
      </c>
      <c r="S204" s="6">
        <v>86</v>
      </c>
      <c r="T204" s="6">
        <v>76</v>
      </c>
      <c r="U204" s="6">
        <v>77</v>
      </c>
      <c r="V204" s="6">
        <v>76</v>
      </c>
      <c r="W204" s="6">
        <v>80</v>
      </c>
      <c r="X204" s="6">
        <v>82</v>
      </c>
      <c r="Y204" s="6">
        <v>76</v>
      </c>
      <c r="Z204" s="6">
        <v>77</v>
      </c>
      <c r="AA204" s="6">
        <v>78</v>
      </c>
      <c r="AB204" s="6">
        <v>72</v>
      </c>
      <c r="AC204" s="6">
        <v>68</v>
      </c>
      <c r="AD204" s="6">
        <v>83</v>
      </c>
      <c r="AE204" s="6">
        <v>66</v>
      </c>
      <c r="AF204" s="6">
        <v>72</v>
      </c>
      <c r="AG204" s="6" t="s">
        <v>6993</v>
      </c>
      <c r="AH204" s="6" t="s">
        <v>6994</v>
      </c>
    </row>
    <row r="205" spans="1:34" x14ac:dyDescent="0.2">
      <c r="A205" t="s">
        <v>3266</v>
      </c>
      <c r="B205" t="s">
        <v>1530</v>
      </c>
      <c r="C205" t="s">
        <v>57</v>
      </c>
      <c r="D205" s="7" t="s">
        <v>136</v>
      </c>
      <c r="E205" t="s">
        <v>38</v>
      </c>
      <c r="F205">
        <v>30</v>
      </c>
      <c r="G205">
        <v>85</v>
      </c>
      <c r="H205">
        <v>82</v>
      </c>
      <c r="I205" t="s">
        <v>6455</v>
      </c>
      <c r="J205">
        <v>71</v>
      </c>
      <c r="K205">
        <v>193</v>
      </c>
      <c r="L205" t="s">
        <v>4960</v>
      </c>
      <c r="M205" s="6" t="s">
        <v>6558</v>
      </c>
      <c r="N205" s="6" t="s">
        <v>6567</v>
      </c>
      <c r="O205" s="6">
        <v>73</v>
      </c>
      <c r="P205" s="6">
        <v>83</v>
      </c>
      <c r="Q205" s="6">
        <v>88</v>
      </c>
      <c r="R205" s="6">
        <v>66</v>
      </c>
      <c r="S205" s="6">
        <v>78</v>
      </c>
      <c r="T205" s="6">
        <v>82</v>
      </c>
      <c r="U205" s="6">
        <v>80</v>
      </c>
      <c r="V205" s="6">
        <v>78</v>
      </c>
      <c r="W205" s="6">
        <v>85</v>
      </c>
      <c r="X205" s="6">
        <v>77</v>
      </c>
      <c r="Y205" s="6">
        <v>81</v>
      </c>
      <c r="Z205" s="6">
        <v>80</v>
      </c>
      <c r="AA205" s="6">
        <v>73</v>
      </c>
      <c r="AB205" s="6">
        <v>84</v>
      </c>
      <c r="AC205" s="6">
        <v>72</v>
      </c>
      <c r="AD205" s="6">
        <v>81</v>
      </c>
      <c r="AE205" s="6">
        <v>71</v>
      </c>
      <c r="AF205" s="6">
        <v>86</v>
      </c>
      <c r="AG205" s="6" t="s">
        <v>6997</v>
      </c>
      <c r="AH205" s="6" t="s">
        <v>6730</v>
      </c>
    </row>
    <row r="206" spans="1:34" x14ac:dyDescent="0.2">
      <c r="A206" t="s">
        <v>3273</v>
      </c>
      <c r="B206" t="s">
        <v>1537</v>
      </c>
      <c r="C206" t="s">
        <v>2871</v>
      </c>
      <c r="D206" s="7" t="s">
        <v>136</v>
      </c>
      <c r="E206" t="s">
        <v>38</v>
      </c>
      <c r="F206">
        <v>21</v>
      </c>
      <c r="G206">
        <v>72</v>
      </c>
      <c r="H206">
        <v>82</v>
      </c>
      <c r="I206" t="s">
        <v>6462</v>
      </c>
      <c r="J206">
        <v>76</v>
      </c>
      <c r="K206">
        <v>246</v>
      </c>
      <c r="L206" t="s">
        <v>4967</v>
      </c>
      <c r="M206" s="6" t="s">
        <v>6558</v>
      </c>
      <c r="N206" s="6" t="s">
        <v>6567</v>
      </c>
      <c r="O206" s="6">
        <v>71</v>
      </c>
      <c r="P206" s="6">
        <v>75</v>
      </c>
      <c r="Q206" s="6">
        <v>77</v>
      </c>
      <c r="R206" s="6">
        <v>64</v>
      </c>
      <c r="S206" s="6">
        <v>68</v>
      </c>
      <c r="T206" s="6">
        <v>67</v>
      </c>
      <c r="U206" s="6">
        <v>69</v>
      </c>
      <c r="V206" s="6">
        <v>73</v>
      </c>
      <c r="W206" s="6">
        <v>67</v>
      </c>
      <c r="X206" s="6">
        <v>72</v>
      </c>
      <c r="Y206" s="6">
        <v>74</v>
      </c>
      <c r="Z206" s="6">
        <v>70</v>
      </c>
      <c r="AA206" s="6">
        <v>72</v>
      </c>
      <c r="AB206" s="6">
        <v>68</v>
      </c>
      <c r="AC206" s="6">
        <v>67</v>
      </c>
      <c r="AD206" s="6">
        <v>71</v>
      </c>
      <c r="AE206" s="6">
        <v>70</v>
      </c>
      <c r="AF206" s="6">
        <v>69</v>
      </c>
      <c r="AG206" s="6" t="s">
        <v>7004</v>
      </c>
      <c r="AH206" s="6" t="s">
        <v>6587</v>
      </c>
    </row>
    <row r="207" spans="1:34" x14ac:dyDescent="0.2">
      <c r="A207" t="s">
        <v>3278</v>
      </c>
      <c r="B207" t="s">
        <v>1542</v>
      </c>
      <c r="C207" t="s">
        <v>2874</v>
      </c>
      <c r="D207" s="7" t="s">
        <v>136</v>
      </c>
      <c r="E207" t="s">
        <v>38</v>
      </c>
      <c r="F207">
        <v>24</v>
      </c>
      <c r="G207">
        <v>74</v>
      </c>
      <c r="H207">
        <v>82</v>
      </c>
      <c r="I207" t="s">
        <v>6467</v>
      </c>
      <c r="J207">
        <v>74</v>
      </c>
      <c r="K207">
        <v>320</v>
      </c>
      <c r="L207" t="s">
        <v>4972</v>
      </c>
      <c r="M207" s="6" t="s">
        <v>6558</v>
      </c>
      <c r="N207" s="6" t="s">
        <v>6567</v>
      </c>
      <c r="O207" s="6">
        <v>70</v>
      </c>
      <c r="P207" s="6">
        <v>67</v>
      </c>
      <c r="Q207" s="6">
        <v>65</v>
      </c>
      <c r="R207" s="6">
        <v>63</v>
      </c>
      <c r="S207" s="6">
        <v>81</v>
      </c>
      <c r="T207" s="6">
        <v>64</v>
      </c>
      <c r="U207" s="6">
        <v>81</v>
      </c>
      <c r="V207" s="6">
        <v>75</v>
      </c>
      <c r="W207" s="6">
        <v>74</v>
      </c>
      <c r="X207" s="6">
        <v>61</v>
      </c>
      <c r="Y207" s="6">
        <v>68</v>
      </c>
      <c r="Z207" s="6">
        <v>81</v>
      </c>
      <c r="AA207" s="6">
        <v>71</v>
      </c>
      <c r="AB207" s="6">
        <v>76</v>
      </c>
      <c r="AC207" s="6">
        <v>61</v>
      </c>
      <c r="AD207" s="6">
        <v>74</v>
      </c>
      <c r="AE207" s="6">
        <v>78</v>
      </c>
      <c r="AF207" s="6">
        <v>64</v>
      </c>
      <c r="AG207" s="6" t="s">
        <v>7009</v>
      </c>
      <c r="AH207" s="6" t="s">
        <v>6598</v>
      </c>
    </row>
    <row r="208" spans="1:34" x14ac:dyDescent="0.2">
      <c r="A208" t="s">
        <v>3292</v>
      </c>
      <c r="B208" t="s">
        <v>1556</v>
      </c>
      <c r="C208" t="s">
        <v>2880</v>
      </c>
      <c r="D208" s="7" t="s">
        <v>136</v>
      </c>
      <c r="E208" t="s">
        <v>38</v>
      </c>
      <c r="F208">
        <v>24</v>
      </c>
      <c r="G208">
        <v>75</v>
      </c>
      <c r="H208">
        <v>82</v>
      </c>
      <c r="I208" t="s">
        <v>6480</v>
      </c>
      <c r="J208">
        <v>75</v>
      </c>
      <c r="K208">
        <v>240</v>
      </c>
      <c r="L208" t="s">
        <v>4986</v>
      </c>
      <c r="M208" s="6" t="s">
        <v>6558</v>
      </c>
      <c r="N208" s="6" t="s">
        <v>6565</v>
      </c>
      <c r="O208" s="6">
        <v>79</v>
      </c>
      <c r="P208" s="6">
        <v>67</v>
      </c>
      <c r="Q208" s="6">
        <v>63</v>
      </c>
      <c r="R208" s="6">
        <v>74</v>
      </c>
      <c r="S208" s="6">
        <v>72</v>
      </c>
      <c r="T208" s="6">
        <v>72</v>
      </c>
      <c r="U208" s="6">
        <v>66</v>
      </c>
      <c r="V208" s="6">
        <v>67</v>
      </c>
      <c r="W208" s="6">
        <v>77</v>
      </c>
      <c r="X208" s="6">
        <v>71</v>
      </c>
      <c r="Y208" s="6">
        <v>72</v>
      </c>
      <c r="Z208" s="6">
        <v>66</v>
      </c>
      <c r="AA208" s="6">
        <v>76</v>
      </c>
      <c r="AB208" s="6">
        <v>70</v>
      </c>
      <c r="AC208" s="6">
        <v>72</v>
      </c>
      <c r="AD208" s="6">
        <v>74</v>
      </c>
      <c r="AE208" s="6">
        <v>70</v>
      </c>
      <c r="AF208" s="6">
        <v>68</v>
      </c>
      <c r="AG208" s="6" t="s">
        <v>7023</v>
      </c>
      <c r="AH208" s="6" t="s">
        <v>6623</v>
      </c>
    </row>
    <row r="209" spans="1:34" x14ac:dyDescent="0.2">
      <c r="A209" t="s">
        <v>3298</v>
      </c>
      <c r="B209" t="s">
        <v>1562</v>
      </c>
      <c r="C209" t="s">
        <v>2882</v>
      </c>
      <c r="D209" s="7" t="s">
        <v>136</v>
      </c>
      <c r="E209" t="s">
        <v>38</v>
      </c>
      <c r="F209">
        <v>24</v>
      </c>
      <c r="G209">
        <v>69</v>
      </c>
      <c r="H209">
        <v>82</v>
      </c>
      <c r="I209" t="s">
        <v>6318</v>
      </c>
      <c r="J209">
        <v>72</v>
      </c>
      <c r="K209">
        <v>208</v>
      </c>
      <c r="L209" t="s">
        <v>4992</v>
      </c>
      <c r="M209" s="6" t="s">
        <v>6558</v>
      </c>
      <c r="N209" s="6" t="s">
        <v>6565</v>
      </c>
      <c r="O209" s="6">
        <v>78</v>
      </c>
      <c r="P209" s="6">
        <v>70</v>
      </c>
      <c r="Q209" s="6">
        <v>79</v>
      </c>
      <c r="R209" s="6">
        <v>74</v>
      </c>
      <c r="S209" s="6">
        <v>76</v>
      </c>
      <c r="T209" s="6">
        <v>74</v>
      </c>
      <c r="U209" s="6">
        <v>77</v>
      </c>
      <c r="V209" s="6">
        <v>72</v>
      </c>
      <c r="W209" s="6">
        <v>74</v>
      </c>
      <c r="X209" s="6">
        <v>64</v>
      </c>
      <c r="Y209" s="6">
        <v>76</v>
      </c>
      <c r="Z209" s="6">
        <v>75</v>
      </c>
      <c r="AA209" s="6">
        <v>69</v>
      </c>
      <c r="AB209" s="6">
        <v>84</v>
      </c>
      <c r="AC209" s="6">
        <v>69</v>
      </c>
      <c r="AD209" s="6">
        <v>74</v>
      </c>
      <c r="AE209" s="6">
        <v>66</v>
      </c>
      <c r="AF209" s="6">
        <v>73</v>
      </c>
      <c r="AG209" s="6" t="s">
        <v>7029</v>
      </c>
      <c r="AH209" s="6" t="s">
        <v>7030</v>
      </c>
    </row>
    <row r="210" spans="1:34" x14ac:dyDescent="0.2">
      <c r="A210" t="s">
        <v>3339</v>
      </c>
      <c r="B210" t="s">
        <v>1603</v>
      </c>
      <c r="C210" t="s">
        <v>2879</v>
      </c>
      <c r="D210" s="7" t="s">
        <v>137</v>
      </c>
      <c r="E210" t="s">
        <v>38</v>
      </c>
      <c r="F210">
        <v>30</v>
      </c>
      <c r="G210">
        <v>69</v>
      </c>
      <c r="H210">
        <v>82</v>
      </c>
      <c r="I210" t="s">
        <v>6349</v>
      </c>
      <c r="J210">
        <v>76</v>
      </c>
      <c r="K210">
        <v>303</v>
      </c>
      <c r="L210" t="s">
        <v>5033</v>
      </c>
      <c r="M210" s="6" t="s">
        <v>6558</v>
      </c>
      <c r="N210" s="6" t="s">
        <v>6583</v>
      </c>
      <c r="O210" s="6">
        <v>67</v>
      </c>
      <c r="P210" s="6">
        <v>80</v>
      </c>
      <c r="Q210" s="6">
        <v>79</v>
      </c>
      <c r="R210" s="6">
        <v>80</v>
      </c>
      <c r="S210" s="6">
        <v>79</v>
      </c>
      <c r="T210" s="6">
        <v>65</v>
      </c>
      <c r="U210" s="6">
        <v>75</v>
      </c>
      <c r="V210" s="6">
        <v>67</v>
      </c>
      <c r="W210" s="6">
        <v>71</v>
      </c>
      <c r="X210" s="6">
        <v>70</v>
      </c>
      <c r="Y210" s="6">
        <v>69</v>
      </c>
      <c r="Z210" s="6">
        <v>72</v>
      </c>
      <c r="AA210" s="6">
        <v>70</v>
      </c>
      <c r="AB210" s="6">
        <v>65</v>
      </c>
      <c r="AC210" s="6">
        <v>63</v>
      </c>
      <c r="AD210" s="6">
        <v>62</v>
      </c>
      <c r="AE210" s="6">
        <v>68</v>
      </c>
      <c r="AF210" s="6">
        <v>77</v>
      </c>
      <c r="AG210" s="6" t="s">
        <v>7072</v>
      </c>
      <c r="AH210" s="6" t="s">
        <v>6617</v>
      </c>
    </row>
    <row r="211" spans="1:34" x14ac:dyDescent="0.2">
      <c r="A211" t="s">
        <v>3396</v>
      </c>
      <c r="B211" t="s">
        <v>1660</v>
      </c>
      <c r="C211" t="s">
        <v>61</v>
      </c>
      <c r="D211" s="7" t="s">
        <v>138</v>
      </c>
      <c r="E211" t="s">
        <v>58</v>
      </c>
      <c r="F211">
        <v>21</v>
      </c>
      <c r="G211">
        <v>67</v>
      </c>
      <c r="H211">
        <v>82</v>
      </c>
      <c r="I211" t="s">
        <v>6403</v>
      </c>
      <c r="J211">
        <v>71</v>
      </c>
      <c r="K211">
        <v>180</v>
      </c>
      <c r="L211" t="s">
        <v>5090</v>
      </c>
      <c r="M211" s="6" t="s">
        <v>6558</v>
      </c>
      <c r="N211" s="6" t="s">
        <v>6567</v>
      </c>
      <c r="O211" s="6">
        <v>70</v>
      </c>
      <c r="P211" s="6">
        <v>74</v>
      </c>
      <c r="Q211" s="6">
        <v>74</v>
      </c>
      <c r="R211" s="6">
        <v>67</v>
      </c>
      <c r="S211" s="6">
        <v>82</v>
      </c>
      <c r="T211" s="6">
        <v>69</v>
      </c>
      <c r="U211" s="6">
        <v>78</v>
      </c>
      <c r="V211" s="6">
        <v>68</v>
      </c>
      <c r="W211" s="6">
        <v>71</v>
      </c>
      <c r="X211" s="6">
        <v>72</v>
      </c>
      <c r="Y211" s="6">
        <v>73</v>
      </c>
      <c r="Z211" s="6">
        <v>67</v>
      </c>
      <c r="AA211" s="6">
        <v>70</v>
      </c>
      <c r="AB211" s="6">
        <v>68</v>
      </c>
      <c r="AC211" s="6">
        <v>73</v>
      </c>
      <c r="AD211" s="6">
        <v>71</v>
      </c>
      <c r="AE211" s="6">
        <v>69</v>
      </c>
      <c r="AF211" s="6">
        <v>78</v>
      </c>
      <c r="AG211" s="6" t="s">
        <v>7131</v>
      </c>
      <c r="AH211" s="6" t="s">
        <v>6632</v>
      </c>
    </row>
    <row r="212" spans="1:34" x14ac:dyDescent="0.2">
      <c r="A212" t="s">
        <v>3419</v>
      </c>
      <c r="B212" t="s">
        <v>1683</v>
      </c>
      <c r="C212" t="s">
        <v>2870</v>
      </c>
      <c r="D212" s="7" t="s">
        <v>139</v>
      </c>
      <c r="E212" t="s">
        <v>58</v>
      </c>
      <c r="F212">
        <v>26</v>
      </c>
      <c r="G212">
        <v>71</v>
      </c>
      <c r="H212">
        <v>82</v>
      </c>
      <c r="I212" t="s">
        <v>6430</v>
      </c>
      <c r="J212">
        <v>69</v>
      </c>
      <c r="K212">
        <v>221</v>
      </c>
      <c r="L212" t="s">
        <v>5113</v>
      </c>
      <c r="M212" s="6" t="s">
        <v>6558</v>
      </c>
      <c r="N212" s="6" t="s">
        <v>6614</v>
      </c>
      <c r="O212" s="6">
        <v>74</v>
      </c>
      <c r="P212" s="6">
        <v>65</v>
      </c>
      <c r="Q212" s="6">
        <v>72</v>
      </c>
      <c r="R212" s="6">
        <v>58</v>
      </c>
      <c r="S212" s="6">
        <v>76</v>
      </c>
      <c r="T212" s="6">
        <v>61</v>
      </c>
      <c r="U212" s="6">
        <v>67</v>
      </c>
      <c r="V212" s="6">
        <v>66</v>
      </c>
      <c r="W212" s="6">
        <v>77</v>
      </c>
      <c r="X212" s="6">
        <v>77</v>
      </c>
      <c r="Y212" s="6">
        <v>68</v>
      </c>
      <c r="Z212" s="6">
        <v>72</v>
      </c>
      <c r="AA212" s="6">
        <v>69</v>
      </c>
      <c r="AB212" s="6">
        <v>73</v>
      </c>
      <c r="AC212" s="6">
        <v>65</v>
      </c>
      <c r="AD212" s="6">
        <v>73</v>
      </c>
      <c r="AE212" s="6">
        <v>66</v>
      </c>
      <c r="AF212" s="6">
        <v>74</v>
      </c>
      <c r="AG212" s="6" t="s">
        <v>7154</v>
      </c>
      <c r="AH212" s="6" t="s">
        <v>6656</v>
      </c>
    </row>
    <row r="213" spans="1:34" x14ac:dyDescent="0.2">
      <c r="A213" t="s">
        <v>3420</v>
      </c>
      <c r="B213" t="s">
        <v>1684</v>
      </c>
      <c r="C213" t="s">
        <v>2870</v>
      </c>
      <c r="D213" s="7" t="s">
        <v>139</v>
      </c>
      <c r="E213" t="s">
        <v>38</v>
      </c>
      <c r="F213">
        <v>24</v>
      </c>
      <c r="G213">
        <v>70</v>
      </c>
      <c r="H213">
        <v>82</v>
      </c>
      <c r="I213" t="s">
        <v>6431</v>
      </c>
      <c r="J213">
        <v>68</v>
      </c>
      <c r="K213">
        <v>222</v>
      </c>
      <c r="L213" t="s">
        <v>5114</v>
      </c>
      <c r="M213" s="6" t="s">
        <v>6558</v>
      </c>
      <c r="N213" s="6" t="s">
        <v>6567</v>
      </c>
      <c r="O213" s="6">
        <v>71</v>
      </c>
      <c r="P213" s="6">
        <v>63</v>
      </c>
      <c r="Q213" s="6">
        <v>67</v>
      </c>
      <c r="R213" s="6">
        <v>63</v>
      </c>
      <c r="S213" s="6">
        <v>72</v>
      </c>
      <c r="T213" s="6">
        <v>73</v>
      </c>
      <c r="U213" s="6">
        <v>79</v>
      </c>
      <c r="V213" s="6">
        <v>75</v>
      </c>
      <c r="W213" s="6">
        <v>73</v>
      </c>
      <c r="X213" s="6">
        <v>60</v>
      </c>
      <c r="Y213" s="6">
        <v>74</v>
      </c>
      <c r="Z213" s="6">
        <v>75</v>
      </c>
      <c r="AA213" s="6">
        <v>71</v>
      </c>
      <c r="AB213" s="6">
        <v>68</v>
      </c>
      <c r="AC213" s="6">
        <v>69</v>
      </c>
      <c r="AD213" s="6">
        <v>69</v>
      </c>
      <c r="AE213" s="6">
        <v>65</v>
      </c>
      <c r="AF213" s="6">
        <v>66</v>
      </c>
      <c r="AG213" s="6" t="s">
        <v>7155</v>
      </c>
      <c r="AH213" s="6" t="s">
        <v>6656</v>
      </c>
    </row>
    <row r="214" spans="1:34" x14ac:dyDescent="0.2">
      <c r="A214" t="s">
        <v>3451</v>
      </c>
      <c r="B214" t="s">
        <v>1715</v>
      </c>
      <c r="C214" t="s">
        <v>2879</v>
      </c>
      <c r="D214" s="7" t="s">
        <v>139</v>
      </c>
      <c r="E214" t="s">
        <v>58</v>
      </c>
      <c r="F214">
        <v>32</v>
      </c>
      <c r="G214">
        <v>71</v>
      </c>
      <c r="H214">
        <v>82</v>
      </c>
      <c r="I214" t="s">
        <v>6475</v>
      </c>
      <c r="J214">
        <v>75</v>
      </c>
      <c r="K214">
        <v>310</v>
      </c>
      <c r="L214" t="s">
        <v>5145</v>
      </c>
      <c r="M214" s="6" t="s">
        <v>6558</v>
      </c>
      <c r="N214" s="6" t="s">
        <v>6565</v>
      </c>
      <c r="O214" s="6">
        <v>80</v>
      </c>
      <c r="P214" s="6">
        <v>71</v>
      </c>
      <c r="Q214" s="6">
        <v>83</v>
      </c>
      <c r="R214" s="6">
        <v>72</v>
      </c>
      <c r="S214" s="6">
        <v>79</v>
      </c>
      <c r="T214" s="6">
        <v>73</v>
      </c>
      <c r="U214" s="6">
        <v>77</v>
      </c>
      <c r="V214" s="6">
        <v>85</v>
      </c>
      <c r="W214" s="6">
        <v>77</v>
      </c>
      <c r="X214" s="6">
        <v>77</v>
      </c>
      <c r="Y214" s="6">
        <v>85</v>
      </c>
      <c r="Z214" s="6">
        <v>79</v>
      </c>
      <c r="AA214" s="6">
        <v>68</v>
      </c>
      <c r="AB214" s="6">
        <v>63</v>
      </c>
      <c r="AC214" s="6">
        <v>74</v>
      </c>
      <c r="AD214" s="6">
        <v>66</v>
      </c>
      <c r="AE214" s="6">
        <v>70</v>
      </c>
      <c r="AF214" s="6">
        <v>67</v>
      </c>
      <c r="AG214" s="6" t="s">
        <v>7186</v>
      </c>
      <c r="AH214" s="6" t="s">
        <v>6617</v>
      </c>
    </row>
    <row r="215" spans="1:34" x14ac:dyDescent="0.2">
      <c r="A215" t="s">
        <v>3459</v>
      </c>
      <c r="B215" t="s">
        <v>1723</v>
      </c>
      <c r="C215" t="s">
        <v>2882</v>
      </c>
      <c r="D215" s="7" t="s">
        <v>139</v>
      </c>
      <c r="E215" t="s">
        <v>58</v>
      </c>
      <c r="F215">
        <v>30</v>
      </c>
      <c r="G215">
        <v>82</v>
      </c>
      <c r="H215">
        <v>82</v>
      </c>
      <c r="I215" t="s">
        <v>6485</v>
      </c>
      <c r="J215">
        <v>73</v>
      </c>
      <c r="K215">
        <v>215</v>
      </c>
      <c r="L215" t="s">
        <v>5153</v>
      </c>
      <c r="M215" s="6" t="s">
        <v>6558</v>
      </c>
      <c r="N215" s="6" t="s">
        <v>6583</v>
      </c>
      <c r="O215" s="6">
        <v>74</v>
      </c>
      <c r="P215" s="6">
        <v>70</v>
      </c>
      <c r="Q215" s="6">
        <v>77</v>
      </c>
      <c r="R215" s="6">
        <v>79</v>
      </c>
      <c r="S215" s="6">
        <v>78</v>
      </c>
      <c r="T215" s="6">
        <v>75</v>
      </c>
      <c r="U215" s="6">
        <v>86</v>
      </c>
      <c r="V215" s="6">
        <v>79</v>
      </c>
      <c r="W215" s="6">
        <v>79</v>
      </c>
      <c r="X215" s="6">
        <v>72</v>
      </c>
      <c r="Y215" s="6">
        <v>78</v>
      </c>
      <c r="Z215" s="6">
        <v>84</v>
      </c>
      <c r="AA215" s="6">
        <v>69</v>
      </c>
      <c r="AB215" s="6">
        <v>75</v>
      </c>
      <c r="AC215" s="6">
        <v>64</v>
      </c>
      <c r="AD215" s="6">
        <v>74</v>
      </c>
      <c r="AE215" s="6">
        <v>70</v>
      </c>
      <c r="AF215" s="6">
        <v>81</v>
      </c>
      <c r="AG215" s="6" t="s">
        <v>7194</v>
      </c>
      <c r="AH215" s="6" t="s">
        <v>6636</v>
      </c>
    </row>
    <row r="216" spans="1:34" x14ac:dyDescent="0.2">
      <c r="A216" t="s">
        <v>3481</v>
      </c>
      <c r="B216" t="s">
        <v>1745</v>
      </c>
      <c r="C216" t="s">
        <v>57</v>
      </c>
      <c r="D216" s="7" t="s">
        <v>140</v>
      </c>
      <c r="E216" t="s">
        <v>38</v>
      </c>
      <c r="F216">
        <v>29</v>
      </c>
      <c r="G216">
        <v>69</v>
      </c>
      <c r="H216">
        <v>82</v>
      </c>
      <c r="I216" t="s">
        <v>6372</v>
      </c>
      <c r="J216">
        <v>72</v>
      </c>
      <c r="K216">
        <v>180</v>
      </c>
      <c r="L216" t="s">
        <v>5175</v>
      </c>
      <c r="M216" s="6" t="s">
        <v>6558</v>
      </c>
      <c r="N216" s="6" t="s">
        <v>6583</v>
      </c>
      <c r="O216" s="6">
        <v>72</v>
      </c>
      <c r="P216" s="6">
        <v>75</v>
      </c>
      <c r="Q216" s="6">
        <v>69</v>
      </c>
      <c r="R216" s="6">
        <v>77</v>
      </c>
      <c r="S216" s="6">
        <v>65</v>
      </c>
      <c r="T216" s="6">
        <v>84</v>
      </c>
      <c r="U216" s="6">
        <v>83</v>
      </c>
      <c r="V216" s="6">
        <v>83</v>
      </c>
      <c r="W216" s="6">
        <v>79</v>
      </c>
      <c r="X216" s="6">
        <v>67</v>
      </c>
      <c r="Y216" s="6">
        <v>84</v>
      </c>
      <c r="Z216" s="6">
        <v>81</v>
      </c>
      <c r="AA216" s="6">
        <v>72</v>
      </c>
      <c r="AB216" s="6">
        <v>72</v>
      </c>
      <c r="AC216" s="6">
        <v>69</v>
      </c>
      <c r="AD216" s="6">
        <v>75</v>
      </c>
      <c r="AE216" s="6">
        <v>73</v>
      </c>
      <c r="AF216" s="6">
        <v>68</v>
      </c>
      <c r="AG216" s="6" t="s">
        <v>7216</v>
      </c>
      <c r="AH216" s="6" t="s">
        <v>6574</v>
      </c>
    </row>
    <row r="217" spans="1:34" x14ac:dyDescent="0.2">
      <c r="A217" t="s">
        <v>3491</v>
      </c>
      <c r="B217" t="s">
        <v>1755</v>
      </c>
      <c r="C217" t="s">
        <v>2887</v>
      </c>
      <c r="D217" s="7" t="s">
        <v>140</v>
      </c>
      <c r="E217" t="s">
        <v>58</v>
      </c>
      <c r="F217">
        <v>32</v>
      </c>
      <c r="G217">
        <v>58</v>
      </c>
      <c r="H217">
        <v>82</v>
      </c>
      <c r="I217" t="s">
        <v>6337</v>
      </c>
      <c r="J217">
        <v>74</v>
      </c>
      <c r="K217">
        <v>324</v>
      </c>
      <c r="L217" t="s">
        <v>5185</v>
      </c>
      <c r="M217" s="6" t="s">
        <v>6558</v>
      </c>
      <c r="N217" s="6" t="s">
        <v>6567</v>
      </c>
      <c r="O217" s="6">
        <v>74</v>
      </c>
      <c r="P217" s="6">
        <v>75</v>
      </c>
      <c r="Q217" s="6">
        <v>72</v>
      </c>
      <c r="R217" s="6">
        <v>68</v>
      </c>
      <c r="S217" s="6">
        <v>79</v>
      </c>
      <c r="T217" s="6">
        <v>74</v>
      </c>
      <c r="U217" s="6">
        <v>93</v>
      </c>
      <c r="V217" s="6">
        <v>81</v>
      </c>
      <c r="W217" s="6">
        <v>76</v>
      </c>
      <c r="X217" s="6">
        <v>64</v>
      </c>
      <c r="Y217" s="6">
        <v>73</v>
      </c>
      <c r="Z217" s="6">
        <v>79</v>
      </c>
      <c r="AA217" s="6">
        <v>71</v>
      </c>
      <c r="AB217" s="6">
        <v>71</v>
      </c>
      <c r="AC217" s="6">
        <v>58</v>
      </c>
      <c r="AD217" s="6">
        <v>71</v>
      </c>
      <c r="AE217" s="6">
        <v>62</v>
      </c>
      <c r="AF217" s="6">
        <v>68</v>
      </c>
      <c r="AG217" s="6" t="s">
        <v>7227</v>
      </c>
      <c r="AH217" s="6" t="s">
        <v>6598</v>
      </c>
    </row>
    <row r="218" spans="1:34" x14ac:dyDescent="0.2">
      <c r="A218" t="s">
        <v>3506</v>
      </c>
      <c r="B218" t="s">
        <v>1770</v>
      </c>
      <c r="C218" t="s">
        <v>2881</v>
      </c>
      <c r="D218" s="7" t="s">
        <v>140</v>
      </c>
      <c r="E218" t="s">
        <v>38</v>
      </c>
      <c r="F218">
        <v>30</v>
      </c>
      <c r="G218">
        <v>90</v>
      </c>
      <c r="H218">
        <v>82</v>
      </c>
      <c r="I218" t="s">
        <v>6306</v>
      </c>
      <c r="J218">
        <v>74</v>
      </c>
      <c r="K218">
        <v>240</v>
      </c>
      <c r="L218" t="s">
        <v>5200</v>
      </c>
      <c r="M218" s="6" t="s">
        <v>6558</v>
      </c>
      <c r="N218" s="6" t="s">
        <v>6559</v>
      </c>
      <c r="O218" s="6">
        <v>80</v>
      </c>
      <c r="P218" s="6">
        <v>79</v>
      </c>
      <c r="Q218" s="6">
        <v>66</v>
      </c>
      <c r="R218" s="6">
        <v>84</v>
      </c>
      <c r="S218" s="6">
        <v>77</v>
      </c>
      <c r="T218" s="6">
        <v>81</v>
      </c>
      <c r="U218" s="6">
        <v>89</v>
      </c>
      <c r="V218" s="6">
        <v>82</v>
      </c>
      <c r="W218" s="6">
        <v>71</v>
      </c>
      <c r="X218" s="6">
        <v>83</v>
      </c>
      <c r="Y218" s="6">
        <v>87</v>
      </c>
      <c r="Z218" s="6">
        <v>78</v>
      </c>
      <c r="AA218" s="6">
        <v>77</v>
      </c>
      <c r="AB218" s="6">
        <v>71</v>
      </c>
      <c r="AC218" s="6">
        <v>74</v>
      </c>
      <c r="AD218" s="6">
        <v>70</v>
      </c>
      <c r="AE218" s="6">
        <v>75</v>
      </c>
      <c r="AF218" s="6">
        <v>74</v>
      </c>
      <c r="AG218" s="6" t="s">
        <v>7242</v>
      </c>
      <c r="AH218" s="6" t="s">
        <v>6711</v>
      </c>
    </row>
    <row r="219" spans="1:34" x14ac:dyDescent="0.2">
      <c r="A219" t="s">
        <v>3514</v>
      </c>
      <c r="B219" t="s">
        <v>1778</v>
      </c>
      <c r="C219" t="s">
        <v>2882</v>
      </c>
      <c r="D219" s="7" t="s">
        <v>140</v>
      </c>
      <c r="E219" t="s">
        <v>58</v>
      </c>
      <c r="F219">
        <v>26</v>
      </c>
      <c r="G219">
        <v>68</v>
      </c>
      <c r="H219">
        <v>82</v>
      </c>
      <c r="I219" t="s">
        <v>6303</v>
      </c>
      <c r="J219">
        <v>70</v>
      </c>
      <c r="K219">
        <v>197</v>
      </c>
      <c r="L219" t="s">
        <v>5208</v>
      </c>
      <c r="M219" s="6" t="s">
        <v>6558</v>
      </c>
      <c r="N219" s="6" t="s">
        <v>6567</v>
      </c>
      <c r="O219" s="6">
        <v>67</v>
      </c>
      <c r="P219" s="6">
        <v>76</v>
      </c>
      <c r="Q219" s="6">
        <v>73</v>
      </c>
      <c r="R219" s="6">
        <v>64</v>
      </c>
      <c r="S219" s="6">
        <v>72</v>
      </c>
      <c r="T219" s="6">
        <v>66</v>
      </c>
      <c r="U219" s="6">
        <v>60</v>
      </c>
      <c r="V219" s="6">
        <v>69</v>
      </c>
      <c r="W219" s="6">
        <v>82</v>
      </c>
      <c r="X219" s="6">
        <v>72</v>
      </c>
      <c r="Y219" s="6">
        <v>72</v>
      </c>
      <c r="Z219" s="6">
        <v>70</v>
      </c>
      <c r="AA219" s="6">
        <v>70</v>
      </c>
      <c r="AB219" s="6">
        <v>74</v>
      </c>
      <c r="AC219" s="6">
        <v>63</v>
      </c>
      <c r="AD219" s="6">
        <v>67</v>
      </c>
      <c r="AE219" s="6">
        <v>66</v>
      </c>
      <c r="AF219" s="6">
        <v>74</v>
      </c>
      <c r="AG219" s="6" t="s">
        <v>7250</v>
      </c>
      <c r="AH219" s="6" t="s">
        <v>7030</v>
      </c>
    </row>
    <row r="220" spans="1:34" x14ac:dyDescent="0.2">
      <c r="A220" t="s">
        <v>3538</v>
      </c>
      <c r="B220" t="s">
        <v>1802</v>
      </c>
      <c r="C220" t="s">
        <v>57</v>
      </c>
      <c r="D220" s="7" t="s">
        <v>141</v>
      </c>
      <c r="E220" t="s">
        <v>38</v>
      </c>
      <c r="F220">
        <v>26</v>
      </c>
      <c r="G220">
        <v>68</v>
      </c>
      <c r="H220">
        <v>82</v>
      </c>
      <c r="I220" t="s">
        <v>6360</v>
      </c>
      <c r="J220">
        <v>71</v>
      </c>
      <c r="K220">
        <v>198</v>
      </c>
      <c r="L220" t="s">
        <v>5232</v>
      </c>
      <c r="M220" s="6" t="s">
        <v>6558</v>
      </c>
      <c r="N220" s="6" t="s">
        <v>6567</v>
      </c>
      <c r="O220" s="6">
        <v>71</v>
      </c>
      <c r="P220" s="6">
        <v>63</v>
      </c>
      <c r="Q220" s="6">
        <v>67</v>
      </c>
      <c r="R220" s="6">
        <v>63</v>
      </c>
      <c r="S220" s="6">
        <v>73</v>
      </c>
      <c r="T220" s="6">
        <v>66</v>
      </c>
      <c r="U220" s="6">
        <v>78</v>
      </c>
      <c r="V220" s="6">
        <v>71</v>
      </c>
      <c r="W220" s="6">
        <v>70</v>
      </c>
      <c r="X220" s="6">
        <v>59</v>
      </c>
      <c r="Y220" s="6">
        <v>64</v>
      </c>
      <c r="Z220" s="6">
        <v>74</v>
      </c>
      <c r="AA220" s="6">
        <v>73</v>
      </c>
      <c r="AB220" s="6">
        <v>68</v>
      </c>
      <c r="AC220" s="6">
        <v>67</v>
      </c>
      <c r="AD220" s="6">
        <v>66</v>
      </c>
      <c r="AE220" s="6">
        <v>68</v>
      </c>
      <c r="AF220" s="6">
        <v>66</v>
      </c>
      <c r="AG220" s="6" t="s">
        <v>7275</v>
      </c>
      <c r="AH220" s="6" t="s">
        <v>6670</v>
      </c>
    </row>
    <row r="221" spans="1:34" x14ac:dyDescent="0.2">
      <c r="A221" t="s">
        <v>3570</v>
      </c>
      <c r="B221" t="s">
        <v>1834</v>
      </c>
      <c r="C221" t="s">
        <v>2888</v>
      </c>
      <c r="D221" s="7" t="s">
        <v>141</v>
      </c>
      <c r="E221" t="s">
        <v>38</v>
      </c>
      <c r="F221">
        <v>24</v>
      </c>
      <c r="G221">
        <v>67</v>
      </c>
      <c r="H221">
        <v>82</v>
      </c>
      <c r="I221" t="s">
        <v>6438</v>
      </c>
      <c r="J221">
        <v>73</v>
      </c>
      <c r="K221">
        <v>202</v>
      </c>
      <c r="L221" t="s">
        <v>5264</v>
      </c>
      <c r="M221" s="6" t="s">
        <v>6558</v>
      </c>
      <c r="N221" s="6" t="s">
        <v>6583</v>
      </c>
      <c r="O221" s="6">
        <v>66</v>
      </c>
      <c r="P221" s="6">
        <v>79</v>
      </c>
      <c r="Q221" s="6">
        <v>75</v>
      </c>
      <c r="R221" s="6">
        <v>76</v>
      </c>
      <c r="S221" s="6">
        <v>73</v>
      </c>
      <c r="T221" s="6">
        <v>80</v>
      </c>
      <c r="U221" s="6">
        <v>77</v>
      </c>
      <c r="V221" s="6">
        <v>68</v>
      </c>
      <c r="W221" s="6">
        <v>71</v>
      </c>
      <c r="X221" s="6">
        <v>66</v>
      </c>
      <c r="Y221" s="6">
        <v>77</v>
      </c>
      <c r="Z221" s="6">
        <v>74</v>
      </c>
      <c r="AA221" s="6">
        <v>75</v>
      </c>
      <c r="AB221" s="6">
        <v>72</v>
      </c>
      <c r="AC221" s="6">
        <v>75</v>
      </c>
      <c r="AD221" s="6">
        <v>65</v>
      </c>
      <c r="AE221" s="6">
        <v>69</v>
      </c>
      <c r="AF221" s="6">
        <v>67</v>
      </c>
      <c r="AG221" s="6" t="s">
        <v>7307</v>
      </c>
      <c r="AH221" s="6" t="s">
        <v>6707</v>
      </c>
    </row>
    <row r="222" spans="1:34" x14ac:dyDescent="0.2">
      <c r="A222" t="s">
        <v>3588</v>
      </c>
      <c r="B222" t="s">
        <v>1852</v>
      </c>
      <c r="C222" t="s">
        <v>57</v>
      </c>
      <c r="D222" s="7" t="s">
        <v>142</v>
      </c>
      <c r="E222" t="s">
        <v>38</v>
      </c>
      <c r="F222">
        <v>29</v>
      </c>
      <c r="G222">
        <v>79</v>
      </c>
      <c r="H222">
        <v>82</v>
      </c>
      <c r="I222" t="s">
        <v>6453</v>
      </c>
      <c r="J222">
        <v>74</v>
      </c>
      <c r="K222">
        <v>185</v>
      </c>
      <c r="L222" t="s">
        <v>5282</v>
      </c>
      <c r="M222" s="6" t="s">
        <v>6558</v>
      </c>
      <c r="N222" s="6" t="s">
        <v>6567</v>
      </c>
      <c r="O222" s="6">
        <v>80</v>
      </c>
      <c r="P222" s="6">
        <v>72</v>
      </c>
      <c r="Q222" s="6">
        <v>83</v>
      </c>
      <c r="R222" s="6">
        <v>66</v>
      </c>
      <c r="S222" s="6">
        <v>79</v>
      </c>
      <c r="T222" s="6">
        <v>75</v>
      </c>
      <c r="U222" s="6">
        <v>87</v>
      </c>
      <c r="V222" s="6">
        <v>83</v>
      </c>
      <c r="W222" s="6">
        <v>75</v>
      </c>
      <c r="X222" s="6">
        <v>68</v>
      </c>
      <c r="Y222" s="6">
        <v>74</v>
      </c>
      <c r="Z222" s="6">
        <v>73</v>
      </c>
      <c r="AA222" s="6">
        <v>71</v>
      </c>
      <c r="AB222" s="6">
        <v>72</v>
      </c>
      <c r="AC222" s="6">
        <v>71</v>
      </c>
      <c r="AD222" s="6">
        <v>72</v>
      </c>
      <c r="AE222" s="6">
        <v>70</v>
      </c>
      <c r="AF222" s="6">
        <v>79</v>
      </c>
      <c r="AG222" s="6" t="s">
        <v>7324</v>
      </c>
      <c r="AH222" s="6" t="s">
        <v>6578</v>
      </c>
    </row>
    <row r="223" spans="1:34" x14ac:dyDescent="0.2">
      <c r="A223" t="s">
        <v>3613</v>
      </c>
      <c r="B223" t="s">
        <v>1877</v>
      </c>
      <c r="C223" t="s">
        <v>2881</v>
      </c>
      <c r="D223" s="7" t="s">
        <v>142</v>
      </c>
      <c r="E223" t="s">
        <v>38</v>
      </c>
      <c r="F223">
        <v>25</v>
      </c>
      <c r="G223">
        <v>60</v>
      </c>
      <c r="H223">
        <v>82</v>
      </c>
      <c r="I223" t="s">
        <v>6402</v>
      </c>
      <c r="J223">
        <v>74</v>
      </c>
      <c r="K223">
        <v>243</v>
      </c>
      <c r="L223" t="s">
        <v>5307</v>
      </c>
      <c r="M223" s="6" t="s">
        <v>6558</v>
      </c>
      <c r="N223" s="6" t="s">
        <v>6567</v>
      </c>
      <c r="O223" s="6">
        <v>80</v>
      </c>
      <c r="P223" s="6">
        <v>76</v>
      </c>
      <c r="Q223" s="6">
        <v>68</v>
      </c>
      <c r="R223" s="6">
        <v>69</v>
      </c>
      <c r="S223" s="6">
        <v>72</v>
      </c>
      <c r="T223" s="6">
        <v>70</v>
      </c>
      <c r="U223" s="6">
        <v>75</v>
      </c>
      <c r="V223" s="6">
        <v>72</v>
      </c>
      <c r="W223" s="6">
        <v>63</v>
      </c>
      <c r="X223" s="6">
        <v>78</v>
      </c>
      <c r="Y223" s="6">
        <v>82</v>
      </c>
      <c r="Z223" s="6">
        <v>60</v>
      </c>
      <c r="AA223" s="6">
        <v>73</v>
      </c>
      <c r="AB223" s="6">
        <v>76</v>
      </c>
      <c r="AC223" s="6">
        <v>65</v>
      </c>
      <c r="AD223" s="6">
        <v>74</v>
      </c>
      <c r="AE223" s="6">
        <v>71</v>
      </c>
      <c r="AF223" s="6">
        <v>73</v>
      </c>
      <c r="AG223" s="6" t="s">
        <v>7348</v>
      </c>
      <c r="AH223" s="6" t="s">
        <v>6628</v>
      </c>
    </row>
    <row r="224" spans="1:34" x14ac:dyDescent="0.2">
      <c r="A224" t="s">
        <v>3642</v>
      </c>
      <c r="B224" t="s">
        <v>1906</v>
      </c>
      <c r="C224" t="s">
        <v>57</v>
      </c>
      <c r="D224" s="7" t="s">
        <v>143</v>
      </c>
      <c r="E224" t="s">
        <v>58</v>
      </c>
      <c r="F224">
        <v>32</v>
      </c>
      <c r="G224">
        <v>68</v>
      </c>
      <c r="H224">
        <v>82</v>
      </c>
      <c r="I224" t="s">
        <v>6474</v>
      </c>
      <c r="J224">
        <v>75</v>
      </c>
      <c r="K224">
        <v>198</v>
      </c>
      <c r="L224" t="s">
        <v>5336</v>
      </c>
      <c r="M224" s="6" t="s">
        <v>6558</v>
      </c>
      <c r="N224" s="6" t="s">
        <v>6567</v>
      </c>
      <c r="O224" s="6">
        <v>71</v>
      </c>
      <c r="P224" s="6">
        <v>75</v>
      </c>
      <c r="Q224" s="6">
        <v>80</v>
      </c>
      <c r="R224" s="6">
        <v>65</v>
      </c>
      <c r="S224" s="6">
        <v>73</v>
      </c>
      <c r="T224" s="6">
        <v>70</v>
      </c>
      <c r="U224" s="6">
        <v>75</v>
      </c>
      <c r="V224" s="6">
        <v>78</v>
      </c>
      <c r="W224" s="6">
        <v>74</v>
      </c>
      <c r="X224" s="6">
        <v>75</v>
      </c>
      <c r="Y224" s="6">
        <v>81</v>
      </c>
      <c r="Z224" s="6">
        <v>82</v>
      </c>
      <c r="AA224" s="6">
        <v>70</v>
      </c>
      <c r="AB224" s="6">
        <v>74</v>
      </c>
      <c r="AC224" s="6">
        <v>67</v>
      </c>
      <c r="AD224" s="6">
        <v>72</v>
      </c>
      <c r="AE224" s="6">
        <v>64</v>
      </c>
      <c r="AF224" s="6">
        <v>72</v>
      </c>
      <c r="AG224" s="6" t="s">
        <v>7377</v>
      </c>
      <c r="AH224" s="6" t="s">
        <v>6578</v>
      </c>
    </row>
    <row r="225" spans="1:34" x14ac:dyDescent="0.2">
      <c r="A225" t="s">
        <v>3649</v>
      </c>
      <c r="B225" t="s">
        <v>1913</v>
      </c>
      <c r="C225" t="s">
        <v>2872</v>
      </c>
      <c r="D225" s="7" t="s">
        <v>143</v>
      </c>
      <c r="E225" t="s">
        <v>38</v>
      </c>
      <c r="F225">
        <v>25</v>
      </c>
      <c r="G225">
        <v>76</v>
      </c>
      <c r="H225">
        <v>82</v>
      </c>
      <c r="I225" t="s">
        <v>6419</v>
      </c>
      <c r="J225">
        <v>76</v>
      </c>
      <c r="K225">
        <v>328</v>
      </c>
      <c r="L225" t="s">
        <v>5343</v>
      </c>
      <c r="M225" s="6" t="s">
        <v>6558</v>
      </c>
      <c r="N225" s="6" t="s">
        <v>6567</v>
      </c>
      <c r="O225" s="6">
        <v>64</v>
      </c>
      <c r="P225" s="6">
        <v>81</v>
      </c>
      <c r="Q225" s="6">
        <v>68</v>
      </c>
      <c r="R225" s="6">
        <v>63</v>
      </c>
      <c r="S225" s="6">
        <v>82</v>
      </c>
      <c r="T225" s="6">
        <v>71</v>
      </c>
      <c r="U225" s="6">
        <v>77</v>
      </c>
      <c r="V225" s="6">
        <v>66</v>
      </c>
      <c r="W225" s="6">
        <v>75</v>
      </c>
      <c r="X225" s="6">
        <v>73</v>
      </c>
      <c r="Y225" s="6">
        <v>74</v>
      </c>
      <c r="Z225" s="6">
        <v>72</v>
      </c>
      <c r="AA225" s="6">
        <v>71</v>
      </c>
      <c r="AB225" s="6">
        <v>77</v>
      </c>
      <c r="AC225" s="6">
        <v>75</v>
      </c>
      <c r="AD225" s="6">
        <v>66</v>
      </c>
      <c r="AE225" s="6">
        <v>69</v>
      </c>
      <c r="AF225" s="6">
        <v>73</v>
      </c>
      <c r="AG225" s="6" t="s">
        <v>7384</v>
      </c>
      <c r="AH225" s="6" t="s">
        <v>6593</v>
      </c>
    </row>
    <row r="226" spans="1:34" x14ac:dyDescent="0.2">
      <c r="A226" t="s">
        <v>3650</v>
      </c>
      <c r="B226" t="s">
        <v>1914</v>
      </c>
      <c r="C226" t="s">
        <v>2872</v>
      </c>
      <c r="D226" s="7" t="s">
        <v>143</v>
      </c>
      <c r="E226" t="s">
        <v>58</v>
      </c>
      <c r="F226">
        <v>31</v>
      </c>
      <c r="G226">
        <v>74</v>
      </c>
      <c r="H226">
        <v>82</v>
      </c>
      <c r="I226" t="s">
        <v>6420</v>
      </c>
      <c r="J226">
        <v>77</v>
      </c>
      <c r="K226">
        <v>312</v>
      </c>
      <c r="L226" t="s">
        <v>5344</v>
      </c>
      <c r="M226" s="6" t="s">
        <v>6558</v>
      </c>
      <c r="N226" s="6" t="s">
        <v>6583</v>
      </c>
      <c r="O226" s="6">
        <v>77</v>
      </c>
      <c r="P226" s="6">
        <v>72</v>
      </c>
      <c r="Q226" s="6">
        <v>64</v>
      </c>
      <c r="R226" s="6">
        <v>81</v>
      </c>
      <c r="S226" s="6">
        <v>72</v>
      </c>
      <c r="T226" s="6">
        <v>74</v>
      </c>
      <c r="U226" s="6">
        <v>81</v>
      </c>
      <c r="V226" s="6">
        <v>74</v>
      </c>
      <c r="W226" s="6">
        <v>76</v>
      </c>
      <c r="X226" s="6">
        <v>78</v>
      </c>
      <c r="Y226" s="6">
        <v>74</v>
      </c>
      <c r="Z226" s="6">
        <v>72</v>
      </c>
      <c r="AA226" s="6">
        <v>67</v>
      </c>
      <c r="AB226" s="6">
        <v>64</v>
      </c>
      <c r="AC226" s="6">
        <v>57</v>
      </c>
      <c r="AD226" s="6">
        <v>69</v>
      </c>
      <c r="AE226" s="6">
        <v>69</v>
      </c>
      <c r="AF226" s="6">
        <v>69</v>
      </c>
      <c r="AG226" s="6" t="s">
        <v>7385</v>
      </c>
      <c r="AH226" s="6" t="s">
        <v>6680</v>
      </c>
    </row>
    <row r="227" spans="1:34" x14ac:dyDescent="0.2">
      <c r="A227" t="s">
        <v>3652</v>
      </c>
      <c r="B227" t="s">
        <v>1916</v>
      </c>
      <c r="C227" t="s">
        <v>2873</v>
      </c>
      <c r="D227" s="7" t="s">
        <v>143</v>
      </c>
      <c r="E227" t="s">
        <v>38</v>
      </c>
      <c r="F227">
        <v>32</v>
      </c>
      <c r="G227">
        <v>81</v>
      </c>
      <c r="H227">
        <v>82</v>
      </c>
      <c r="I227" t="s">
        <v>6445</v>
      </c>
      <c r="J227">
        <v>77</v>
      </c>
      <c r="K227">
        <v>322</v>
      </c>
      <c r="L227" t="s">
        <v>5346</v>
      </c>
      <c r="M227" s="6" t="s">
        <v>6558</v>
      </c>
      <c r="N227" s="6" t="s">
        <v>6562</v>
      </c>
      <c r="O227" s="6">
        <v>87</v>
      </c>
      <c r="P227" s="6">
        <v>93</v>
      </c>
      <c r="Q227" s="6">
        <v>74</v>
      </c>
      <c r="R227" s="6">
        <v>91</v>
      </c>
      <c r="S227" s="6">
        <v>76</v>
      </c>
      <c r="T227" s="6">
        <v>85</v>
      </c>
      <c r="U227" s="6">
        <v>74</v>
      </c>
      <c r="V227" s="6">
        <v>86</v>
      </c>
      <c r="W227" s="6">
        <v>73</v>
      </c>
      <c r="X227" s="6">
        <v>87</v>
      </c>
      <c r="Y227" s="6">
        <v>80</v>
      </c>
      <c r="Z227" s="6">
        <v>79</v>
      </c>
      <c r="AA227" s="6">
        <v>76</v>
      </c>
      <c r="AB227" s="6">
        <v>69</v>
      </c>
      <c r="AC227" s="6">
        <v>71</v>
      </c>
      <c r="AD227" s="6">
        <v>71</v>
      </c>
      <c r="AE227" s="6">
        <v>72</v>
      </c>
      <c r="AF227" s="6">
        <v>76</v>
      </c>
      <c r="AG227" s="6" t="s">
        <v>7387</v>
      </c>
      <c r="AH227" s="6" t="s">
        <v>6694</v>
      </c>
    </row>
    <row r="228" spans="1:34" x14ac:dyDescent="0.2">
      <c r="A228" t="s">
        <v>3656</v>
      </c>
      <c r="B228" t="s">
        <v>1920</v>
      </c>
      <c r="C228" t="s">
        <v>2875</v>
      </c>
      <c r="D228" s="7" t="s">
        <v>143</v>
      </c>
      <c r="E228" t="s">
        <v>38</v>
      </c>
      <c r="F228">
        <v>26</v>
      </c>
      <c r="G228">
        <v>74</v>
      </c>
      <c r="H228">
        <v>82</v>
      </c>
      <c r="I228" t="s">
        <v>6439</v>
      </c>
      <c r="J228">
        <v>72</v>
      </c>
      <c r="K228">
        <v>303</v>
      </c>
      <c r="L228" t="s">
        <v>5350</v>
      </c>
      <c r="M228" s="6" t="s">
        <v>6558</v>
      </c>
      <c r="N228" s="6" t="s">
        <v>6567</v>
      </c>
      <c r="O228" s="6">
        <v>88</v>
      </c>
      <c r="P228" s="6">
        <v>71</v>
      </c>
      <c r="Q228" s="6">
        <v>74</v>
      </c>
      <c r="R228" s="6">
        <v>66</v>
      </c>
      <c r="S228" s="6">
        <v>76</v>
      </c>
      <c r="T228" s="6">
        <v>73</v>
      </c>
      <c r="U228" s="6">
        <v>71</v>
      </c>
      <c r="V228" s="6">
        <v>70</v>
      </c>
      <c r="W228" s="6">
        <v>74</v>
      </c>
      <c r="X228" s="6">
        <v>80</v>
      </c>
      <c r="Y228" s="6">
        <v>64</v>
      </c>
      <c r="Z228" s="6">
        <v>73</v>
      </c>
      <c r="AA228" s="6">
        <v>77</v>
      </c>
      <c r="AB228" s="6">
        <v>80</v>
      </c>
      <c r="AC228" s="6">
        <v>61</v>
      </c>
      <c r="AD228" s="6">
        <v>84</v>
      </c>
      <c r="AE228" s="6">
        <v>75</v>
      </c>
      <c r="AF228" s="6">
        <v>73</v>
      </c>
      <c r="AG228" s="6" t="s">
        <v>7391</v>
      </c>
      <c r="AH228" s="6" t="s">
        <v>6606</v>
      </c>
    </row>
    <row r="229" spans="1:34" x14ac:dyDescent="0.2">
      <c r="A229" t="s">
        <v>3666</v>
      </c>
      <c r="B229" t="s">
        <v>1930</v>
      </c>
      <c r="C229" t="s">
        <v>2878</v>
      </c>
      <c r="D229" s="7" t="s">
        <v>143</v>
      </c>
      <c r="E229" t="s">
        <v>38</v>
      </c>
      <c r="F229">
        <v>25</v>
      </c>
      <c r="G229">
        <v>65</v>
      </c>
      <c r="H229">
        <v>82</v>
      </c>
      <c r="I229" t="s">
        <v>6435</v>
      </c>
      <c r="J229">
        <v>76</v>
      </c>
      <c r="K229">
        <v>270</v>
      </c>
      <c r="L229" t="s">
        <v>5360</v>
      </c>
      <c r="M229" s="6" t="s">
        <v>6558</v>
      </c>
      <c r="N229" s="6" t="s">
        <v>6567</v>
      </c>
      <c r="O229" s="6">
        <v>75</v>
      </c>
      <c r="P229" s="6">
        <v>73</v>
      </c>
      <c r="Q229" s="6">
        <v>55</v>
      </c>
      <c r="R229" s="6">
        <v>65</v>
      </c>
      <c r="S229" s="6">
        <v>73</v>
      </c>
      <c r="T229" s="6">
        <v>68</v>
      </c>
      <c r="U229" s="6">
        <v>71</v>
      </c>
      <c r="V229" s="6">
        <v>65</v>
      </c>
      <c r="W229" s="6">
        <v>72</v>
      </c>
      <c r="X229" s="6">
        <v>66</v>
      </c>
      <c r="Y229" s="6">
        <v>62</v>
      </c>
      <c r="Z229" s="6">
        <v>69</v>
      </c>
      <c r="AA229" s="6">
        <v>66</v>
      </c>
      <c r="AB229" s="6">
        <v>71</v>
      </c>
      <c r="AC229" s="6">
        <v>67</v>
      </c>
      <c r="AD229" s="6">
        <v>72</v>
      </c>
      <c r="AE229" s="6">
        <v>64</v>
      </c>
      <c r="AF229" s="6">
        <v>71</v>
      </c>
      <c r="AG229" s="6" t="s">
        <v>7401</v>
      </c>
      <c r="AH229" s="6" t="s">
        <v>6686</v>
      </c>
    </row>
    <row r="230" spans="1:34" x14ac:dyDescent="0.2">
      <c r="A230" t="s">
        <v>3674</v>
      </c>
      <c r="B230" t="s">
        <v>1938</v>
      </c>
      <c r="C230" t="s">
        <v>61</v>
      </c>
      <c r="D230" s="7" t="s">
        <v>143</v>
      </c>
      <c r="E230" t="s">
        <v>38</v>
      </c>
      <c r="F230">
        <v>28</v>
      </c>
      <c r="G230">
        <v>75</v>
      </c>
      <c r="H230">
        <v>82</v>
      </c>
      <c r="I230" t="s">
        <v>6451</v>
      </c>
      <c r="J230">
        <v>69</v>
      </c>
      <c r="K230">
        <v>204</v>
      </c>
      <c r="L230" t="s">
        <v>5368</v>
      </c>
      <c r="M230" s="6" t="s">
        <v>6558</v>
      </c>
      <c r="N230" s="6" t="s">
        <v>6567</v>
      </c>
      <c r="O230" s="6">
        <v>81</v>
      </c>
      <c r="P230" s="6">
        <v>68</v>
      </c>
      <c r="Q230" s="6">
        <v>71</v>
      </c>
      <c r="R230" s="6">
        <v>68</v>
      </c>
      <c r="S230" s="6">
        <v>87</v>
      </c>
      <c r="T230" s="6">
        <v>78</v>
      </c>
      <c r="U230" s="6">
        <v>69</v>
      </c>
      <c r="V230" s="6">
        <v>78</v>
      </c>
      <c r="W230" s="6">
        <v>59</v>
      </c>
      <c r="X230" s="6">
        <v>71</v>
      </c>
      <c r="Y230" s="6">
        <v>79</v>
      </c>
      <c r="Z230" s="6">
        <v>80</v>
      </c>
      <c r="AA230" s="6">
        <v>74</v>
      </c>
      <c r="AB230" s="6">
        <v>75</v>
      </c>
      <c r="AC230" s="6">
        <v>77</v>
      </c>
      <c r="AD230" s="6">
        <v>78</v>
      </c>
      <c r="AE230" s="6">
        <v>70</v>
      </c>
      <c r="AF230" s="6">
        <v>75</v>
      </c>
      <c r="AG230" s="6" t="s">
        <v>7410</v>
      </c>
      <c r="AH230" s="6" t="s">
        <v>7082</v>
      </c>
    </row>
    <row r="231" spans="1:34" x14ac:dyDescent="0.2">
      <c r="A231" t="s">
        <v>3687</v>
      </c>
      <c r="B231" t="s">
        <v>1951</v>
      </c>
      <c r="C231" t="s">
        <v>2890</v>
      </c>
      <c r="D231" s="7" t="s">
        <v>143</v>
      </c>
      <c r="E231" t="s">
        <v>38</v>
      </c>
      <c r="F231">
        <v>21</v>
      </c>
      <c r="G231">
        <v>78</v>
      </c>
      <c r="H231">
        <v>82</v>
      </c>
      <c r="I231" t="s">
        <v>6406</v>
      </c>
      <c r="J231">
        <v>73</v>
      </c>
      <c r="K231">
        <v>198</v>
      </c>
      <c r="L231" t="s">
        <v>5381</v>
      </c>
      <c r="M231" s="6" t="s">
        <v>6558</v>
      </c>
      <c r="N231" s="6" t="s">
        <v>6565</v>
      </c>
      <c r="O231" s="6">
        <v>69</v>
      </c>
      <c r="P231" s="6">
        <v>75</v>
      </c>
      <c r="Q231" s="6">
        <v>69</v>
      </c>
      <c r="R231" s="6">
        <v>73</v>
      </c>
      <c r="S231" s="6">
        <v>71</v>
      </c>
      <c r="T231" s="6">
        <v>61</v>
      </c>
      <c r="U231" s="6">
        <v>69</v>
      </c>
      <c r="V231" s="6">
        <v>69</v>
      </c>
      <c r="W231" s="6">
        <v>77</v>
      </c>
      <c r="X231" s="6">
        <v>75</v>
      </c>
      <c r="Y231" s="6">
        <v>87</v>
      </c>
      <c r="Z231" s="6">
        <v>74</v>
      </c>
      <c r="AA231" s="6">
        <v>75</v>
      </c>
      <c r="AB231" s="6">
        <v>76</v>
      </c>
      <c r="AC231" s="6">
        <v>75</v>
      </c>
      <c r="AD231" s="6">
        <v>66</v>
      </c>
      <c r="AE231" s="6">
        <v>71</v>
      </c>
      <c r="AF231" s="6">
        <v>70</v>
      </c>
      <c r="AG231" s="6" t="s">
        <v>7424</v>
      </c>
      <c r="AH231" s="6" t="s">
        <v>6630</v>
      </c>
    </row>
    <row r="232" spans="1:34" x14ac:dyDescent="0.2">
      <c r="A232" t="s">
        <v>3697</v>
      </c>
      <c r="B232" t="s">
        <v>1961</v>
      </c>
      <c r="C232" t="s">
        <v>2870</v>
      </c>
      <c r="D232" s="7" t="s">
        <v>154</v>
      </c>
      <c r="E232" t="s">
        <v>58</v>
      </c>
      <c r="F232">
        <v>26</v>
      </c>
      <c r="G232">
        <v>75</v>
      </c>
      <c r="H232">
        <v>82</v>
      </c>
      <c r="I232" t="s">
        <v>6336</v>
      </c>
      <c r="J232">
        <v>70</v>
      </c>
      <c r="K232">
        <v>214</v>
      </c>
      <c r="L232" t="s">
        <v>5391</v>
      </c>
      <c r="M232" s="6" t="s">
        <v>6558</v>
      </c>
      <c r="N232" s="6" t="s">
        <v>6565</v>
      </c>
      <c r="O232" s="6">
        <v>74</v>
      </c>
      <c r="P232" s="6">
        <v>77</v>
      </c>
      <c r="Q232" s="6">
        <v>80</v>
      </c>
      <c r="R232" s="6">
        <v>74</v>
      </c>
      <c r="S232" s="6">
        <v>92</v>
      </c>
      <c r="T232" s="6">
        <v>81</v>
      </c>
      <c r="U232" s="6">
        <v>78</v>
      </c>
      <c r="V232" s="6">
        <v>75</v>
      </c>
      <c r="W232" s="6">
        <v>79</v>
      </c>
      <c r="X232" s="6">
        <v>70</v>
      </c>
      <c r="Y232" s="6">
        <v>77</v>
      </c>
      <c r="Z232" s="6">
        <v>73</v>
      </c>
      <c r="AA232" s="6">
        <v>73</v>
      </c>
      <c r="AB232" s="6">
        <v>74</v>
      </c>
      <c r="AC232" s="6">
        <v>74</v>
      </c>
      <c r="AD232" s="6">
        <v>75</v>
      </c>
      <c r="AE232" s="6">
        <v>64</v>
      </c>
      <c r="AF232" s="6">
        <v>76</v>
      </c>
      <c r="AG232" s="6" t="s">
        <v>7433</v>
      </c>
      <c r="AH232" s="6" t="s">
        <v>6656</v>
      </c>
    </row>
    <row r="233" spans="1:34" x14ac:dyDescent="0.2">
      <c r="A233" t="s">
        <v>3748</v>
      </c>
      <c r="B233" t="s">
        <v>2012</v>
      </c>
      <c r="C233" t="s">
        <v>2870</v>
      </c>
      <c r="D233" s="7" t="s">
        <v>155</v>
      </c>
      <c r="E233" t="s">
        <v>38</v>
      </c>
      <c r="F233">
        <v>25</v>
      </c>
      <c r="G233">
        <v>71</v>
      </c>
      <c r="H233">
        <v>82</v>
      </c>
      <c r="I233" t="s">
        <v>6358</v>
      </c>
      <c r="J233">
        <v>71</v>
      </c>
      <c r="K233">
        <v>219</v>
      </c>
      <c r="L233" t="s">
        <v>5442</v>
      </c>
      <c r="M233" s="6" t="s">
        <v>6558</v>
      </c>
      <c r="N233" s="6" t="s">
        <v>6567</v>
      </c>
      <c r="O233" s="6">
        <v>78</v>
      </c>
      <c r="P233" s="6">
        <v>69</v>
      </c>
      <c r="Q233" s="6">
        <v>81</v>
      </c>
      <c r="R233" s="6">
        <v>66</v>
      </c>
      <c r="S233" s="6">
        <v>71</v>
      </c>
      <c r="T233" s="6">
        <v>67</v>
      </c>
      <c r="U233" s="6">
        <v>81</v>
      </c>
      <c r="V233" s="6">
        <v>72</v>
      </c>
      <c r="W233" s="6">
        <v>74</v>
      </c>
      <c r="X233" s="6">
        <v>65</v>
      </c>
      <c r="Y233" s="6">
        <v>75</v>
      </c>
      <c r="Z233" s="6">
        <v>68</v>
      </c>
      <c r="AA233" s="6">
        <v>67</v>
      </c>
      <c r="AB233" s="6">
        <v>74</v>
      </c>
      <c r="AC233" s="6">
        <v>66</v>
      </c>
      <c r="AD233" s="6">
        <v>75</v>
      </c>
      <c r="AE233" s="6">
        <v>71</v>
      </c>
      <c r="AF233" s="6">
        <v>70</v>
      </c>
      <c r="AG233" s="6" t="s">
        <v>7484</v>
      </c>
      <c r="AH233" s="6" t="s">
        <v>6887</v>
      </c>
    </row>
    <row r="234" spans="1:34" x14ac:dyDescent="0.2">
      <c r="A234" t="s">
        <v>3764</v>
      </c>
      <c r="B234" t="s">
        <v>2028</v>
      </c>
      <c r="C234" t="s">
        <v>2874</v>
      </c>
      <c r="D234" s="7" t="s">
        <v>155</v>
      </c>
      <c r="E234" t="s">
        <v>38</v>
      </c>
      <c r="F234">
        <v>27</v>
      </c>
      <c r="G234">
        <v>88</v>
      </c>
      <c r="H234">
        <v>82</v>
      </c>
      <c r="I234" t="s">
        <v>6345</v>
      </c>
      <c r="J234">
        <v>73</v>
      </c>
      <c r="K234">
        <v>314</v>
      </c>
      <c r="L234" t="s">
        <v>5458</v>
      </c>
      <c r="M234" s="6" t="s">
        <v>6558</v>
      </c>
      <c r="N234" s="6" t="s">
        <v>6565</v>
      </c>
      <c r="O234" s="6">
        <v>69</v>
      </c>
      <c r="P234" s="6">
        <v>77</v>
      </c>
      <c r="Q234" s="6">
        <v>67</v>
      </c>
      <c r="R234" s="6">
        <v>74</v>
      </c>
      <c r="S234" s="6">
        <v>71</v>
      </c>
      <c r="T234" s="6">
        <v>67</v>
      </c>
      <c r="U234" s="6">
        <v>82</v>
      </c>
      <c r="V234" s="6">
        <v>82</v>
      </c>
      <c r="W234" s="6">
        <v>80</v>
      </c>
      <c r="X234" s="6">
        <v>69</v>
      </c>
      <c r="Y234" s="6">
        <v>69</v>
      </c>
      <c r="Z234" s="6">
        <v>66</v>
      </c>
      <c r="AA234" s="6">
        <v>73</v>
      </c>
      <c r="AB234" s="6">
        <v>76</v>
      </c>
      <c r="AC234" s="6">
        <v>70</v>
      </c>
      <c r="AD234" s="6">
        <v>79</v>
      </c>
      <c r="AE234" s="6">
        <v>71</v>
      </c>
      <c r="AF234" s="6">
        <v>73</v>
      </c>
      <c r="AG234" s="6" t="s">
        <v>7500</v>
      </c>
      <c r="AH234" s="6" t="s">
        <v>6674</v>
      </c>
    </row>
    <row r="235" spans="1:34" x14ac:dyDescent="0.2">
      <c r="A235" t="s">
        <v>3770</v>
      </c>
      <c r="B235" t="s">
        <v>2034</v>
      </c>
      <c r="C235" t="s">
        <v>2877</v>
      </c>
      <c r="D235" s="7" t="s">
        <v>155</v>
      </c>
      <c r="E235" t="s">
        <v>38</v>
      </c>
      <c r="F235">
        <v>24</v>
      </c>
      <c r="G235">
        <v>76</v>
      </c>
      <c r="H235">
        <v>82</v>
      </c>
      <c r="I235" t="s">
        <v>6344</v>
      </c>
      <c r="J235">
        <v>76</v>
      </c>
      <c r="K235">
        <v>299</v>
      </c>
      <c r="L235" t="s">
        <v>5464</v>
      </c>
      <c r="M235" s="6" t="s">
        <v>6558</v>
      </c>
      <c r="N235" s="6" t="s">
        <v>6583</v>
      </c>
      <c r="O235" s="6">
        <v>81</v>
      </c>
      <c r="P235" s="6">
        <v>84</v>
      </c>
      <c r="Q235" s="6">
        <v>69</v>
      </c>
      <c r="R235" s="6">
        <v>78</v>
      </c>
      <c r="S235" s="6">
        <v>77</v>
      </c>
      <c r="T235" s="6">
        <v>77</v>
      </c>
      <c r="U235" s="6">
        <v>83</v>
      </c>
      <c r="V235" s="6">
        <v>80</v>
      </c>
      <c r="W235" s="6">
        <v>72</v>
      </c>
      <c r="X235" s="6">
        <v>73</v>
      </c>
      <c r="Y235" s="6">
        <v>80</v>
      </c>
      <c r="Z235" s="6">
        <v>78</v>
      </c>
      <c r="AA235" s="6">
        <v>78</v>
      </c>
      <c r="AB235" s="6">
        <v>73</v>
      </c>
      <c r="AC235" s="6">
        <v>74</v>
      </c>
      <c r="AD235" s="6">
        <v>74</v>
      </c>
      <c r="AE235" s="6">
        <v>78</v>
      </c>
      <c r="AF235" s="6">
        <v>72</v>
      </c>
      <c r="AG235" s="6" t="s">
        <v>7506</v>
      </c>
      <c r="AH235" s="6" t="s">
        <v>6680</v>
      </c>
    </row>
    <row r="236" spans="1:34" x14ac:dyDescent="0.2">
      <c r="A236" t="s">
        <v>3785</v>
      </c>
      <c r="B236" t="s">
        <v>2049</v>
      </c>
      <c r="C236" t="s">
        <v>61</v>
      </c>
      <c r="D236" s="7" t="s">
        <v>155</v>
      </c>
      <c r="E236" t="s">
        <v>38</v>
      </c>
      <c r="F236">
        <v>27</v>
      </c>
      <c r="G236">
        <v>82</v>
      </c>
      <c r="H236">
        <v>82</v>
      </c>
      <c r="I236" t="s">
        <v>6400</v>
      </c>
      <c r="J236">
        <v>73</v>
      </c>
      <c r="K236">
        <v>190</v>
      </c>
      <c r="L236" t="s">
        <v>5479</v>
      </c>
      <c r="M236" s="6" t="s">
        <v>6558</v>
      </c>
      <c r="N236" s="6" t="s">
        <v>6565</v>
      </c>
      <c r="O236" s="6">
        <v>78</v>
      </c>
      <c r="P236" s="6">
        <v>76</v>
      </c>
      <c r="Q236" s="6">
        <v>78</v>
      </c>
      <c r="R236" s="6">
        <v>74</v>
      </c>
      <c r="S236" s="6">
        <v>85</v>
      </c>
      <c r="T236" s="6">
        <v>85</v>
      </c>
      <c r="U236" s="6">
        <v>76</v>
      </c>
      <c r="V236" s="6">
        <v>79</v>
      </c>
      <c r="W236" s="6">
        <v>82</v>
      </c>
      <c r="X236" s="6">
        <v>74</v>
      </c>
      <c r="Y236" s="6">
        <v>76</v>
      </c>
      <c r="Z236" s="6">
        <v>76</v>
      </c>
      <c r="AA236" s="6">
        <v>76</v>
      </c>
      <c r="AB236" s="6">
        <v>82</v>
      </c>
      <c r="AC236" s="6">
        <v>78</v>
      </c>
      <c r="AD236" s="6">
        <v>84</v>
      </c>
      <c r="AE236" s="6">
        <v>84</v>
      </c>
      <c r="AF236" s="6">
        <v>76</v>
      </c>
      <c r="AG236" s="6" t="s">
        <v>7521</v>
      </c>
      <c r="AH236" s="6" t="s">
        <v>6811</v>
      </c>
    </row>
    <row r="237" spans="1:34" x14ac:dyDescent="0.2">
      <c r="A237" t="s">
        <v>3786</v>
      </c>
      <c r="B237" t="s">
        <v>2050</v>
      </c>
      <c r="C237" t="s">
        <v>61</v>
      </c>
      <c r="D237" s="7" t="s">
        <v>155</v>
      </c>
      <c r="E237" t="s">
        <v>38</v>
      </c>
      <c r="F237">
        <v>23</v>
      </c>
      <c r="G237">
        <v>77</v>
      </c>
      <c r="H237">
        <v>82</v>
      </c>
      <c r="I237" t="s">
        <v>6401</v>
      </c>
      <c r="J237">
        <v>68</v>
      </c>
      <c r="K237">
        <v>202</v>
      </c>
      <c r="L237" t="s">
        <v>5480</v>
      </c>
      <c r="M237" s="6" t="s">
        <v>6558</v>
      </c>
      <c r="N237" s="6" t="s">
        <v>6565</v>
      </c>
      <c r="O237" s="6">
        <v>79</v>
      </c>
      <c r="P237" s="6">
        <v>77</v>
      </c>
      <c r="Q237" s="6">
        <v>70</v>
      </c>
      <c r="R237" s="6">
        <v>70</v>
      </c>
      <c r="S237" s="6">
        <v>75</v>
      </c>
      <c r="T237" s="6">
        <v>78</v>
      </c>
      <c r="U237" s="6">
        <v>83</v>
      </c>
      <c r="V237" s="6">
        <v>74</v>
      </c>
      <c r="W237" s="6">
        <v>80</v>
      </c>
      <c r="X237" s="6">
        <v>77</v>
      </c>
      <c r="Y237" s="6">
        <v>73</v>
      </c>
      <c r="Z237" s="6">
        <v>74</v>
      </c>
      <c r="AA237" s="6">
        <v>72</v>
      </c>
      <c r="AB237" s="6">
        <v>81</v>
      </c>
      <c r="AC237" s="6">
        <v>76</v>
      </c>
      <c r="AD237" s="6">
        <v>77</v>
      </c>
      <c r="AE237" s="6">
        <v>76</v>
      </c>
      <c r="AF237" s="6">
        <v>74</v>
      </c>
      <c r="AG237" s="6" t="s">
        <v>7522</v>
      </c>
      <c r="AH237" s="6" t="s">
        <v>7408</v>
      </c>
    </row>
    <row r="238" spans="1:34" x14ac:dyDescent="0.2">
      <c r="A238" t="s">
        <v>3808</v>
      </c>
      <c r="B238" t="s">
        <v>2072</v>
      </c>
      <c r="C238" t="s">
        <v>2870</v>
      </c>
      <c r="D238" s="7" t="s">
        <v>148</v>
      </c>
      <c r="E238" t="s">
        <v>38</v>
      </c>
      <c r="F238">
        <v>28</v>
      </c>
      <c r="G238">
        <v>71</v>
      </c>
      <c r="H238">
        <v>82</v>
      </c>
      <c r="I238" t="s">
        <v>6511</v>
      </c>
      <c r="J238">
        <v>71</v>
      </c>
      <c r="K238">
        <v>211</v>
      </c>
      <c r="L238" t="s">
        <v>5502</v>
      </c>
      <c r="M238" s="6" t="s">
        <v>6558</v>
      </c>
      <c r="N238" s="6" t="s">
        <v>6567</v>
      </c>
      <c r="O238" s="6">
        <v>67</v>
      </c>
      <c r="P238" s="6">
        <v>72</v>
      </c>
      <c r="Q238" s="6">
        <v>70</v>
      </c>
      <c r="R238" s="6">
        <v>66</v>
      </c>
      <c r="S238" s="6">
        <v>75</v>
      </c>
      <c r="T238" s="6">
        <v>69</v>
      </c>
      <c r="U238" s="6">
        <v>67</v>
      </c>
      <c r="V238" s="6">
        <v>74</v>
      </c>
      <c r="W238" s="6">
        <v>83</v>
      </c>
      <c r="X238" s="6">
        <v>73</v>
      </c>
      <c r="Y238" s="6">
        <v>75</v>
      </c>
      <c r="Z238" s="6">
        <v>81</v>
      </c>
      <c r="AA238" s="6">
        <v>70</v>
      </c>
      <c r="AB238" s="6">
        <v>73</v>
      </c>
      <c r="AC238" s="6">
        <v>68</v>
      </c>
      <c r="AD238" s="6">
        <v>66</v>
      </c>
      <c r="AE238" s="6">
        <v>73</v>
      </c>
      <c r="AF238" s="6">
        <v>67</v>
      </c>
      <c r="AG238" s="6" t="s">
        <v>7544</v>
      </c>
      <c r="AH238" s="6" t="s">
        <v>6654</v>
      </c>
    </row>
    <row r="239" spans="1:34" x14ac:dyDescent="0.2">
      <c r="A239" t="s">
        <v>3811</v>
      </c>
      <c r="B239" t="s">
        <v>2075</v>
      </c>
      <c r="C239" t="s">
        <v>57</v>
      </c>
      <c r="D239" s="7" t="s">
        <v>148</v>
      </c>
      <c r="E239" t="s">
        <v>38</v>
      </c>
      <c r="F239">
        <v>25</v>
      </c>
      <c r="G239">
        <v>84</v>
      </c>
      <c r="H239">
        <v>82</v>
      </c>
      <c r="I239" t="s">
        <v>6471</v>
      </c>
      <c r="J239">
        <v>76</v>
      </c>
      <c r="K239">
        <v>225</v>
      </c>
      <c r="L239" t="s">
        <v>5505</v>
      </c>
      <c r="M239" s="6" t="s">
        <v>6558</v>
      </c>
      <c r="N239" s="6" t="s">
        <v>6583</v>
      </c>
      <c r="O239" s="6">
        <v>70</v>
      </c>
      <c r="P239" s="6">
        <v>73</v>
      </c>
      <c r="Q239" s="6">
        <v>76</v>
      </c>
      <c r="R239" s="6">
        <v>80</v>
      </c>
      <c r="S239" s="6">
        <v>83</v>
      </c>
      <c r="T239" s="6">
        <v>88</v>
      </c>
      <c r="U239" s="6">
        <v>70</v>
      </c>
      <c r="V239" s="6">
        <v>82</v>
      </c>
      <c r="W239" s="6">
        <v>81</v>
      </c>
      <c r="X239" s="6">
        <v>75</v>
      </c>
      <c r="Y239" s="6">
        <v>78</v>
      </c>
      <c r="Z239" s="6">
        <v>87</v>
      </c>
      <c r="AA239" s="6">
        <v>75</v>
      </c>
      <c r="AB239" s="6">
        <v>74</v>
      </c>
      <c r="AC239" s="6">
        <v>77</v>
      </c>
      <c r="AD239" s="6">
        <v>78</v>
      </c>
      <c r="AE239" s="6">
        <v>76</v>
      </c>
      <c r="AF239" s="6">
        <v>78</v>
      </c>
      <c r="AG239" s="6" t="s">
        <v>7547</v>
      </c>
      <c r="AH239" s="6" t="s">
        <v>6578</v>
      </c>
    </row>
    <row r="240" spans="1:34" x14ac:dyDescent="0.2">
      <c r="A240" t="s">
        <v>3812</v>
      </c>
      <c r="B240" t="s">
        <v>2076</v>
      </c>
      <c r="C240" t="s">
        <v>57</v>
      </c>
      <c r="D240" s="7" t="s">
        <v>148</v>
      </c>
      <c r="E240" t="s">
        <v>38</v>
      </c>
      <c r="F240">
        <v>25</v>
      </c>
      <c r="G240">
        <v>80</v>
      </c>
      <c r="H240">
        <v>82</v>
      </c>
      <c r="I240" t="s">
        <v>6472</v>
      </c>
      <c r="J240">
        <v>73</v>
      </c>
      <c r="K240">
        <v>220</v>
      </c>
      <c r="L240" t="s">
        <v>5506</v>
      </c>
      <c r="M240" s="6" t="s">
        <v>6558</v>
      </c>
      <c r="N240" s="6" t="s">
        <v>6614</v>
      </c>
      <c r="O240" s="6">
        <v>79</v>
      </c>
      <c r="P240" s="6">
        <v>73</v>
      </c>
      <c r="Q240" s="6">
        <v>75</v>
      </c>
      <c r="R240" s="6">
        <v>58</v>
      </c>
      <c r="S240" s="6">
        <v>74</v>
      </c>
      <c r="T240" s="6">
        <v>71</v>
      </c>
      <c r="U240" s="6">
        <v>84</v>
      </c>
      <c r="V240" s="6">
        <v>81</v>
      </c>
      <c r="W240" s="6">
        <v>69</v>
      </c>
      <c r="X240" s="6">
        <v>71</v>
      </c>
      <c r="Y240" s="6">
        <v>68</v>
      </c>
      <c r="Z240" s="6">
        <v>87</v>
      </c>
      <c r="AA240" s="6">
        <v>76</v>
      </c>
      <c r="AB240" s="6">
        <v>80</v>
      </c>
      <c r="AC240" s="6">
        <v>74</v>
      </c>
      <c r="AD240" s="6">
        <v>72</v>
      </c>
      <c r="AE240" s="6">
        <v>75</v>
      </c>
      <c r="AF240" s="6">
        <v>70</v>
      </c>
      <c r="AG240" s="6" t="s">
        <v>7548</v>
      </c>
      <c r="AH240" s="6" t="s">
        <v>6574</v>
      </c>
    </row>
    <row r="241" spans="1:34" x14ac:dyDescent="0.2">
      <c r="A241" t="s">
        <v>3820</v>
      </c>
      <c r="B241" t="s">
        <v>2084</v>
      </c>
      <c r="C241" t="s">
        <v>2874</v>
      </c>
      <c r="D241" s="7" t="s">
        <v>148</v>
      </c>
      <c r="E241" t="s">
        <v>38</v>
      </c>
      <c r="F241">
        <v>29</v>
      </c>
      <c r="G241">
        <v>66</v>
      </c>
      <c r="H241">
        <v>82</v>
      </c>
      <c r="I241" t="s">
        <v>6422</v>
      </c>
      <c r="J241">
        <v>73</v>
      </c>
      <c r="K241">
        <v>319</v>
      </c>
      <c r="L241" t="s">
        <v>5514</v>
      </c>
      <c r="M241" s="6" t="s">
        <v>6558</v>
      </c>
      <c r="N241" s="6" t="s">
        <v>6614</v>
      </c>
      <c r="O241" s="6">
        <v>68</v>
      </c>
      <c r="P241" s="6">
        <v>74</v>
      </c>
      <c r="Q241" s="6">
        <v>68</v>
      </c>
      <c r="R241" s="6">
        <v>61</v>
      </c>
      <c r="S241" s="6">
        <v>68</v>
      </c>
      <c r="T241" s="6">
        <v>69</v>
      </c>
      <c r="U241" s="6">
        <v>74</v>
      </c>
      <c r="V241" s="6">
        <v>65</v>
      </c>
      <c r="W241" s="6">
        <v>69</v>
      </c>
      <c r="X241" s="6">
        <v>77</v>
      </c>
      <c r="Y241" s="6">
        <v>72</v>
      </c>
      <c r="Z241" s="6">
        <v>69</v>
      </c>
      <c r="AA241" s="6">
        <v>71</v>
      </c>
      <c r="AB241" s="6">
        <v>67</v>
      </c>
      <c r="AC241" s="6">
        <v>64</v>
      </c>
      <c r="AD241" s="6">
        <v>66</v>
      </c>
      <c r="AE241" s="6">
        <v>60</v>
      </c>
      <c r="AF241" s="6">
        <v>63</v>
      </c>
      <c r="AG241" s="6" t="s">
        <v>7556</v>
      </c>
      <c r="AH241" s="6" t="s">
        <v>6598</v>
      </c>
    </row>
    <row r="242" spans="1:34" x14ac:dyDescent="0.2">
      <c r="A242" t="s">
        <v>3825</v>
      </c>
      <c r="B242" t="s">
        <v>2089</v>
      </c>
      <c r="C242" t="s">
        <v>2878</v>
      </c>
      <c r="D242" s="7" t="s">
        <v>148</v>
      </c>
      <c r="E242" t="s">
        <v>38</v>
      </c>
      <c r="F242">
        <v>29</v>
      </c>
      <c r="G242">
        <v>74</v>
      </c>
      <c r="H242">
        <v>82</v>
      </c>
      <c r="I242" t="s">
        <v>6473</v>
      </c>
      <c r="J242">
        <v>76</v>
      </c>
      <c r="K242">
        <v>262</v>
      </c>
      <c r="L242" t="s">
        <v>5519</v>
      </c>
      <c r="M242" s="6" t="s">
        <v>6558</v>
      </c>
      <c r="N242" s="6" t="s">
        <v>6614</v>
      </c>
      <c r="O242" s="6">
        <v>71</v>
      </c>
      <c r="P242" s="6">
        <v>71</v>
      </c>
      <c r="Q242" s="6">
        <v>71</v>
      </c>
      <c r="R242" s="6">
        <v>58</v>
      </c>
      <c r="S242" s="6">
        <v>77</v>
      </c>
      <c r="T242" s="6">
        <v>85</v>
      </c>
      <c r="U242" s="6">
        <v>80</v>
      </c>
      <c r="V242" s="6">
        <v>82</v>
      </c>
      <c r="W242" s="6">
        <v>87</v>
      </c>
      <c r="X242" s="6">
        <v>64</v>
      </c>
      <c r="Y242" s="6">
        <v>79</v>
      </c>
      <c r="Z242" s="6">
        <v>80</v>
      </c>
      <c r="AA242" s="6">
        <v>69</v>
      </c>
      <c r="AB242" s="6">
        <v>72</v>
      </c>
      <c r="AC242" s="6">
        <v>73</v>
      </c>
      <c r="AD242" s="6">
        <v>71</v>
      </c>
      <c r="AE242" s="6">
        <v>70</v>
      </c>
      <c r="AF242" s="6">
        <v>71</v>
      </c>
      <c r="AG242" s="6" t="s">
        <v>7561</v>
      </c>
      <c r="AH242" s="6" t="s">
        <v>6686</v>
      </c>
    </row>
    <row r="243" spans="1:34" x14ac:dyDescent="0.2">
      <c r="A243" t="s">
        <v>3835</v>
      </c>
      <c r="B243" t="s">
        <v>2099</v>
      </c>
      <c r="C243" t="s">
        <v>61</v>
      </c>
      <c r="D243" s="7" t="s">
        <v>148</v>
      </c>
      <c r="E243" t="s">
        <v>38</v>
      </c>
      <c r="F243">
        <v>28</v>
      </c>
      <c r="G243">
        <v>79</v>
      </c>
      <c r="H243">
        <v>82</v>
      </c>
      <c r="I243" t="s">
        <v>6438</v>
      </c>
      <c r="J243">
        <v>72</v>
      </c>
      <c r="K243">
        <v>190</v>
      </c>
      <c r="L243" t="s">
        <v>5529</v>
      </c>
      <c r="M243" s="6" t="s">
        <v>6558</v>
      </c>
      <c r="N243" s="6" t="s">
        <v>6565</v>
      </c>
      <c r="O243" s="6">
        <v>79</v>
      </c>
      <c r="P243" s="6">
        <v>82</v>
      </c>
      <c r="Q243" s="6">
        <v>90</v>
      </c>
      <c r="R243" s="6">
        <v>71</v>
      </c>
      <c r="S243" s="6">
        <v>92</v>
      </c>
      <c r="T243" s="6">
        <v>76</v>
      </c>
      <c r="U243" s="6">
        <v>83</v>
      </c>
      <c r="V243" s="6">
        <v>76</v>
      </c>
      <c r="W243" s="6">
        <v>81</v>
      </c>
      <c r="X243" s="6">
        <v>81</v>
      </c>
      <c r="Y243" s="6">
        <v>82</v>
      </c>
      <c r="Z243" s="6">
        <v>90</v>
      </c>
      <c r="AA243" s="6">
        <v>77</v>
      </c>
      <c r="AB243" s="6">
        <v>81</v>
      </c>
      <c r="AC243" s="6">
        <v>75</v>
      </c>
      <c r="AD243" s="6">
        <v>82</v>
      </c>
      <c r="AE243" s="6">
        <v>77</v>
      </c>
      <c r="AF243" s="6">
        <v>79</v>
      </c>
      <c r="AG243" s="6" t="s">
        <v>7571</v>
      </c>
      <c r="AH243" s="6" t="s">
        <v>6811</v>
      </c>
    </row>
    <row r="244" spans="1:34" x14ac:dyDescent="0.2">
      <c r="A244" t="s">
        <v>3844</v>
      </c>
      <c r="B244" t="s">
        <v>2108</v>
      </c>
      <c r="C244" t="s">
        <v>2884</v>
      </c>
      <c r="D244" s="7" t="s">
        <v>148</v>
      </c>
      <c r="E244" t="s">
        <v>58</v>
      </c>
      <c r="F244">
        <v>33</v>
      </c>
      <c r="G244">
        <v>59</v>
      </c>
      <c r="H244">
        <v>82</v>
      </c>
      <c r="I244" t="s">
        <v>6443</v>
      </c>
      <c r="J244">
        <v>70</v>
      </c>
      <c r="K244">
        <v>190</v>
      </c>
      <c r="L244" t="s">
        <v>5538</v>
      </c>
      <c r="M244" s="6" t="s">
        <v>6558</v>
      </c>
      <c r="N244" s="6" t="s">
        <v>6583</v>
      </c>
      <c r="O244" s="6">
        <v>81</v>
      </c>
      <c r="P244" s="6">
        <v>65</v>
      </c>
      <c r="Q244" s="6">
        <v>78</v>
      </c>
      <c r="R244" s="6">
        <v>78</v>
      </c>
      <c r="S244" s="6">
        <v>84</v>
      </c>
      <c r="T244" s="6">
        <v>72</v>
      </c>
      <c r="U244" s="6">
        <v>72</v>
      </c>
      <c r="V244" s="6">
        <v>74</v>
      </c>
      <c r="W244" s="6">
        <v>81</v>
      </c>
      <c r="X244" s="6">
        <v>75</v>
      </c>
      <c r="Y244" s="6">
        <v>87</v>
      </c>
      <c r="Z244" s="6">
        <v>82</v>
      </c>
      <c r="AA244" s="6">
        <v>66</v>
      </c>
      <c r="AB244" s="6">
        <v>70</v>
      </c>
      <c r="AC244" s="6">
        <v>65</v>
      </c>
      <c r="AD244" s="6">
        <v>68</v>
      </c>
      <c r="AE244" s="6">
        <v>57</v>
      </c>
      <c r="AF244" s="6">
        <v>57</v>
      </c>
      <c r="AG244" s="6" t="s">
        <v>7580</v>
      </c>
      <c r="AH244" s="6" t="s">
        <v>6644</v>
      </c>
    </row>
    <row r="245" spans="1:34" x14ac:dyDescent="0.2">
      <c r="A245" t="s">
        <v>3858</v>
      </c>
      <c r="B245" t="s">
        <v>2122</v>
      </c>
      <c r="C245" t="s">
        <v>57</v>
      </c>
      <c r="D245" s="7" t="s">
        <v>147</v>
      </c>
      <c r="E245" t="s">
        <v>58</v>
      </c>
      <c r="F245">
        <v>27</v>
      </c>
      <c r="G245">
        <v>73</v>
      </c>
      <c r="H245">
        <v>82</v>
      </c>
      <c r="I245" t="s">
        <v>6528</v>
      </c>
      <c r="J245">
        <v>71</v>
      </c>
      <c r="K245">
        <v>187</v>
      </c>
      <c r="L245" t="s">
        <v>5552</v>
      </c>
      <c r="M245" s="6" t="s">
        <v>6558</v>
      </c>
      <c r="N245" s="6" t="s">
        <v>6614</v>
      </c>
      <c r="O245" s="6">
        <v>69</v>
      </c>
      <c r="P245" s="6">
        <v>75</v>
      </c>
      <c r="Q245" s="6">
        <v>72</v>
      </c>
      <c r="R245" s="6">
        <v>60</v>
      </c>
      <c r="S245" s="6">
        <v>73</v>
      </c>
      <c r="T245" s="6">
        <v>74</v>
      </c>
      <c r="U245" s="6">
        <v>69</v>
      </c>
      <c r="V245" s="6">
        <v>77</v>
      </c>
      <c r="W245" s="6">
        <v>78</v>
      </c>
      <c r="X245" s="6">
        <v>76</v>
      </c>
      <c r="Y245" s="6">
        <v>68</v>
      </c>
      <c r="Z245" s="6">
        <v>75</v>
      </c>
      <c r="AA245" s="6">
        <v>69</v>
      </c>
      <c r="AB245" s="6">
        <v>74</v>
      </c>
      <c r="AC245" s="6">
        <v>73</v>
      </c>
      <c r="AD245" s="6">
        <v>73</v>
      </c>
      <c r="AE245" s="6">
        <v>71</v>
      </c>
      <c r="AF245" s="6">
        <v>79</v>
      </c>
      <c r="AG245" s="6" t="s">
        <v>7594</v>
      </c>
      <c r="AH245" s="6" t="s">
        <v>6670</v>
      </c>
    </row>
    <row r="246" spans="1:34" x14ac:dyDescent="0.2">
      <c r="A246" t="s">
        <v>3866</v>
      </c>
      <c r="B246" t="s">
        <v>2130</v>
      </c>
      <c r="C246" t="s">
        <v>2874</v>
      </c>
      <c r="D246" s="7" t="s">
        <v>147</v>
      </c>
      <c r="E246" t="s">
        <v>38</v>
      </c>
      <c r="F246">
        <v>25</v>
      </c>
      <c r="G246">
        <v>81</v>
      </c>
      <c r="H246">
        <v>82</v>
      </c>
      <c r="I246" t="s">
        <v>6452</v>
      </c>
      <c r="J246">
        <v>75</v>
      </c>
      <c r="K246">
        <v>323</v>
      </c>
      <c r="L246" t="s">
        <v>5560</v>
      </c>
      <c r="M246" s="6" t="s">
        <v>6558</v>
      </c>
      <c r="N246" s="6" t="s">
        <v>6583</v>
      </c>
      <c r="O246" s="6">
        <v>73</v>
      </c>
      <c r="P246" s="6">
        <v>77</v>
      </c>
      <c r="Q246" s="6">
        <v>62</v>
      </c>
      <c r="R246" s="6">
        <v>80</v>
      </c>
      <c r="S246" s="6">
        <v>75</v>
      </c>
      <c r="T246" s="6">
        <v>72</v>
      </c>
      <c r="U246" s="6">
        <v>66</v>
      </c>
      <c r="V246" s="6">
        <v>69</v>
      </c>
      <c r="W246" s="6">
        <v>73</v>
      </c>
      <c r="X246" s="6">
        <v>61</v>
      </c>
      <c r="Y246" s="6">
        <v>73</v>
      </c>
      <c r="Z246" s="6">
        <v>77</v>
      </c>
      <c r="AA246" s="6">
        <v>75</v>
      </c>
      <c r="AB246" s="6">
        <v>73</v>
      </c>
      <c r="AC246" s="6">
        <v>74</v>
      </c>
      <c r="AD246" s="6">
        <v>68</v>
      </c>
      <c r="AE246" s="6">
        <v>74</v>
      </c>
      <c r="AF246" s="6">
        <v>71</v>
      </c>
      <c r="AG246" s="6" t="s">
        <v>7601</v>
      </c>
      <c r="AH246" s="6" t="s">
        <v>6600</v>
      </c>
    </row>
    <row r="247" spans="1:34" x14ac:dyDescent="0.2">
      <c r="A247" t="s">
        <v>3867</v>
      </c>
      <c r="B247" t="s">
        <v>2131</v>
      </c>
      <c r="C247" t="s">
        <v>2874</v>
      </c>
      <c r="D247" s="7" t="s">
        <v>147</v>
      </c>
      <c r="E247" t="s">
        <v>58</v>
      </c>
      <c r="F247">
        <v>32</v>
      </c>
      <c r="G247">
        <v>69</v>
      </c>
      <c r="H247">
        <v>82</v>
      </c>
      <c r="I247" t="s">
        <v>6447</v>
      </c>
      <c r="J247">
        <v>77</v>
      </c>
      <c r="K247">
        <v>306</v>
      </c>
      <c r="L247" t="s">
        <v>5561</v>
      </c>
      <c r="M247" s="6" t="s">
        <v>6558</v>
      </c>
      <c r="N247" s="6" t="s">
        <v>6567</v>
      </c>
      <c r="O247" s="6">
        <v>75</v>
      </c>
      <c r="P247" s="6">
        <v>73</v>
      </c>
      <c r="Q247" s="6">
        <v>75</v>
      </c>
      <c r="R247" s="6">
        <v>66</v>
      </c>
      <c r="S247" s="6">
        <v>75</v>
      </c>
      <c r="T247" s="6">
        <v>74</v>
      </c>
      <c r="U247" s="6">
        <v>72</v>
      </c>
      <c r="V247" s="6">
        <v>69</v>
      </c>
      <c r="W247" s="6">
        <v>74</v>
      </c>
      <c r="X247" s="6">
        <v>81</v>
      </c>
      <c r="Y247" s="6">
        <v>75</v>
      </c>
      <c r="Z247" s="6">
        <v>77</v>
      </c>
      <c r="AA247" s="6">
        <v>64</v>
      </c>
      <c r="AB247" s="6">
        <v>66</v>
      </c>
      <c r="AC247" s="6">
        <v>62</v>
      </c>
      <c r="AD247" s="6">
        <v>66</v>
      </c>
      <c r="AE247" s="6">
        <v>62</v>
      </c>
      <c r="AF247" s="6">
        <v>65</v>
      </c>
      <c r="AG247" s="6" t="s">
        <v>7602</v>
      </c>
      <c r="AH247" s="6" t="s">
        <v>6598</v>
      </c>
    </row>
    <row r="248" spans="1:34" x14ac:dyDescent="0.2">
      <c r="A248" t="s">
        <v>3872</v>
      </c>
      <c r="B248" t="s">
        <v>2136</v>
      </c>
      <c r="C248" t="s">
        <v>2877</v>
      </c>
      <c r="D248" s="7" t="s">
        <v>147</v>
      </c>
      <c r="E248" t="s">
        <v>38</v>
      </c>
      <c r="F248">
        <v>24</v>
      </c>
      <c r="G248">
        <v>74</v>
      </c>
      <c r="H248">
        <v>82</v>
      </c>
      <c r="I248" t="s">
        <v>6434</v>
      </c>
      <c r="J248">
        <v>75</v>
      </c>
      <c r="K248">
        <v>303</v>
      </c>
      <c r="L248" t="s">
        <v>5566</v>
      </c>
      <c r="M248" s="6" t="s">
        <v>6558</v>
      </c>
      <c r="N248" s="6" t="s">
        <v>6565</v>
      </c>
      <c r="O248" s="6">
        <v>81</v>
      </c>
      <c r="P248" s="6">
        <v>74</v>
      </c>
      <c r="Q248" s="6">
        <v>70</v>
      </c>
      <c r="R248" s="6">
        <v>72</v>
      </c>
      <c r="S248" s="6">
        <v>75</v>
      </c>
      <c r="T248" s="6">
        <v>70</v>
      </c>
      <c r="U248" s="6">
        <v>81</v>
      </c>
      <c r="V248" s="6">
        <v>70</v>
      </c>
      <c r="W248" s="6">
        <v>80</v>
      </c>
      <c r="X248" s="6">
        <v>71</v>
      </c>
      <c r="Y248" s="6">
        <v>72</v>
      </c>
      <c r="Z248" s="6">
        <v>80</v>
      </c>
      <c r="AA248" s="6">
        <v>72</v>
      </c>
      <c r="AB248" s="6">
        <v>77</v>
      </c>
      <c r="AC248" s="6">
        <v>77</v>
      </c>
      <c r="AD248" s="6">
        <v>75</v>
      </c>
      <c r="AE248" s="6">
        <v>68</v>
      </c>
      <c r="AF248" s="6">
        <v>76</v>
      </c>
      <c r="AG248" s="6" t="s">
        <v>7607</v>
      </c>
      <c r="AH248" s="6" t="s">
        <v>6610</v>
      </c>
    </row>
    <row r="249" spans="1:34" x14ac:dyDescent="0.2">
      <c r="A249" t="s">
        <v>3874</v>
      </c>
      <c r="B249" t="s">
        <v>2138</v>
      </c>
      <c r="C249" t="s">
        <v>2878</v>
      </c>
      <c r="D249" s="7" t="s">
        <v>147</v>
      </c>
      <c r="E249" t="s">
        <v>38</v>
      </c>
      <c r="F249">
        <v>26</v>
      </c>
      <c r="G249">
        <v>82</v>
      </c>
      <c r="H249">
        <v>82</v>
      </c>
      <c r="I249" t="s">
        <v>6529</v>
      </c>
      <c r="J249">
        <v>76</v>
      </c>
      <c r="K249">
        <v>260</v>
      </c>
      <c r="L249" t="s">
        <v>5568</v>
      </c>
      <c r="M249" s="6" t="s">
        <v>6558</v>
      </c>
      <c r="N249" s="6" t="s">
        <v>6567</v>
      </c>
      <c r="O249" s="6">
        <v>77</v>
      </c>
      <c r="P249" s="6">
        <v>78</v>
      </c>
      <c r="Q249" s="6">
        <v>82</v>
      </c>
      <c r="R249" s="6">
        <v>64</v>
      </c>
      <c r="S249" s="6">
        <v>82</v>
      </c>
      <c r="T249" s="6">
        <v>66</v>
      </c>
      <c r="U249" s="6">
        <v>86</v>
      </c>
      <c r="V249" s="6">
        <v>84</v>
      </c>
      <c r="W249" s="6">
        <v>77</v>
      </c>
      <c r="X249" s="6">
        <v>78</v>
      </c>
      <c r="Y249" s="6">
        <v>82</v>
      </c>
      <c r="Z249" s="6">
        <v>71</v>
      </c>
      <c r="AA249" s="6">
        <v>76</v>
      </c>
      <c r="AB249" s="6">
        <v>74</v>
      </c>
      <c r="AC249" s="6">
        <v>70</v>
      </c>
      <c r="AD249" s="6">
        <v>74</v>
      </c>
      <c r="AE249" s="6">
        <v>75</v>
      </c>
      <c r="AF249" s="6">
        <v>74</v>
      </c>
      <c r="AG249" s="6" t="s">
        <v>7609</v>
      </c>
      <c r="AH249" s="6" t="s">
        <v>6612</v>
      </c>
    </row>
    <row r="250" spans="1:34" x14ac:dyDescent="0.2">
      <c r="A250" t="s">
        <v>3877</v>
      </c>
      <c r="B250" t="s">
        <v>2141</v>
      </c>
      <c r="C250" t="s">
        <v>2878</v>
      </c>
      <c r="D250" s="7" t="s">
        <v>147</v>
      </c>
      <c r="E250" t="s">
        <v>38</v>
      </c>
      <c r="F250">
        <v>33</v>
      </c>
      <c r="G250">
        <v>67</v>
      </c>
      <c r="H250">
        <v>82</v>
      </c>
      <c r="I250" t="s">
        <v>6458</v>
      </c>
      <c r="J250">
        <v>74</v>
      </c>
      <c r="K250">
        <v>276</v>
      </c>
      <c r="L250" t="s">
        <v>5571</v>
      </c>
      <c r="M250" s="6" t="s">
        <v>6558</v>
      </c>
      <c r="N250" s="6" t="s">
        <v>6614</v>
      </c>
      <c r="O250" s="6">
        <v>85</v>
      </c>
      <c r="P250" s="6">
        <v>69</v>
      </c>
      <c r="Q250" s="6">
        <v>74</v>
      </c>
      <c r="R250" s="6">
        <v>57</v>
      </c>
      <c r="S250" s="6">
        <v>84</v>
      </c>
      <c r="T250" s="6">
        <v>82</v>
      </c>
      <c r="U250" s="6">
        <v>87</v>
      </c>
      <c r="V250" s="6">
        <v>73</v>
      </c>
      <c r="W250" s="6">
        <v>77</v>
      </c>
      <c r="X250" s="6">
        <v>67</v>
      </c>
      <c r="Y250" s="6">
        <v>66</v>
      </c>
      <c r="Z250" s="6">
        <v>81</v>
      </c>
      <c r="AA250" s="6">
        <v>58</v>
      </c>
      <c r="AB250" s="6">
        <v>64</v>
      </c>
      <c r="AC250" s="6">
        <v>59</v>
      </c>
      <c r="AD250" s="6">
        <v>64</v>
      </c>
      <c r="AE250" s="6">
        <v>65</v>
      </c>
      <c r="AF250" s="6">
        <v>64</v>
      </c>
      <c r="AG250" s="6" t="s">
        <v>7612</v>
      </c>
      <c r="AH250" s="6" t="s">
        <v>6686</v>
      </c>
    </row>
    <row r="251" spans="1:34" x14ac:dyDescent="0.2">
      <c r="A251" t="s">
        <v>3887</v>
      </c>
      <c r="B251" t="s">
        <v>2151</v>
      </c>
      <c r="C251" t="s">
        <v>2881</v>
      </c>
      <c r="D251" s="7" t="s">
        <v>147</v>
      </c>
      <c r="E251" t="s">
        <v>38</v>
      </c>
      <c r="F251">
        <v>26</v>
      </c>
      <c r="G251">
        <v>65</v>
      </c>
      <c r="H251">
        <v>82</v>
      </c>
      <c r="I251" t="s">
        <v>6469</v>
      </c>
      <c r="J251">
        <v>72</v>
      </c>
      <c r="K251">
        <v>250</v>
      </c>
      <c r="L251" t="s">
        <v>5581</v>
      </c>
      <c r="M251" s="6" t="s">
        <v>6558</v>
      </c>
      <c r="N251" s="6" t="s">
        <v>6583</v>
      </c>
      <c r="O251" s="6">
        <v>65</v>
      </c>
      <c r="P251" s="6">
        <v>78</v>
      </c>
      <c r="Q251" s="6">
        <v>74</v>
      </c>
      <c r="R251" s="6">
        <v>77</v>
      </c>
      <c r="S251" s="6">
        <v>78</v>
      </c>
      <c r="T251" s="6">
        <v>77</v>
      </c>
      <c r="U251" s="6">
        <v>81</v>
      </c>
      <c r="V251" s="6">
        <v>75</v>
      </c>
      <c r="W251" s="6">
        <v>72</v>
      </c>
      <c r="X251" s="6">
        <v>81</v>
      </c>
      <c r="Y251" s="6">
        <v>75</v>
      </c>
      <c r="Z251" s="6">
        <v>76</v>
      </c>
      <c r="AA251" s="6">
        <v>75</v>
      </c>
      <c r="AB251" s="6">
        <v>70</v>
      </c>
      <c r="AC251" s="6">
        <v>79</v>
      </c>
      <c r="AD251" s="6">
        <v>70</v>
      </c>
      <c r="AE251" s="6">
        <v>69</v>
      </c>
      <c r="AF251" s="6">
        <v>71</v>
      </c>
      <c r="AG251" s="6" t="s">
        <v>7622</v>
      </c>
      <c r="AH251" s="6" t="s">
        <v>6628</v>
      </c>
    </row>
    <row r="252" spans="1:34" x14ac:dyDescent="0.2">
      <c r="A252" t="s">
        <v>3895</v>
      </c>
      <c r="B252" t="s">
        <v>2159</v>
      </c>
      <c r="C252" t="s">
        <v>2885</v>
      </c>
      <c r="D252" s="7" t="s">
        <v>147</v>
      </c>
      <c r="E252" t="s">
        <v>58</v>
      </c>
      <c r="F252">
        <v>32</v>
      </c>
      <c r="G252">
        <v>79</v>
      </c>
      <c r="H252">
        <v>82</v>
      </c>
      <c r="I252" t="s">
        <v>6532</v>
      </c>
      <c r="J252">
        <v>74</v>
      </c>
      <c r="K252">
        <v>234</v>
      </c>
      <c r="L252" t="s">
        <v>5589</v>
      </c>
      <c r="M252" s="6" t="s">
        <v>6558</v>
      </c>
      <c r="N252" s="6" t="s">
        <v>6565</v>
      </c>
      <c r="O252" s="6">
        <v>76</v>
      </c>
      <c r="P252" s="6">
        <v>69</v>
      </c>
      <c r="Q252" s="6">
        <v>83</v>
      </c>
      <c r="R252" s="6">
        <v>75</v>
      </c>
      <c r="S252" s="6">
        <v>74</v>
      </c>
      <c r="T252" s="6">
        <v>79</v>
      </c>
      <c r="U252" s="6">
        <v>72</v>
      </c>
      <c r="V252" s="6">
        <v>78</v>
      </c>
      <c r="W252" s="6">
        <v>77</v>
      </c>
      <c r="X252" s="6">
        <v>72</v>
      </c>
      <c r="Y252" s="6">
        <v>80</v>
      </c>
      <c r="Z252" s="6">
        <v>76</v>
      </c>
      <c r="AA252" s="6">
        <v>70</v>
      </c>
      <c r="AB252" s="6">
        <v>72</v>
      </c>
      <c r="AC252" s="6">
        <v>68</v>
      </c>
      <c r="AD252" s="6">
        <v>69</v>
      </c>
      <c r="AE252" s="6">
        <v>65</v>
      </c>
      <c r="AF252" s="6">
        <v>75</v>
      </c>
      <c r="AG252" s="6" t="s">
        <v>7630</v>
      </c>
      <c r="AH252" s="6" t="s">
        <v>6692</v>
      </c>
    </row>
    <row r="253" spans="1:34" x14ac:dyDescent="0.2">
      <c r="A253" t="s">
        <v>3899</v>
      </c>
      <c r="B253" t="s">
        <v>2163</v>
      </c>
      <c r="C253" t="s">
        <v>2891</v>
      </c>
      <c r="D253" s="7" t="s">
        <v>147</v>
      </c>
      <c r="E253" t="s">
        <v>38</v>
      </c>
      <c r="F253">
        <v>24</v>
      </c>
      <c r="G253">
        <v>85</v>
      </c>
      <c r="H253">
        <v>82</v>
      </c>
      <c r="I253" t="s">
        <v>6535</v>
      </c>
      <c r="J253">
        <v>75</v>
      </c>
      <c r="K253">
        <v>250</v>
      </c>
      <c r="L253" t="s">
        <v>5593</v>
      </c>
      <c r="M253" s="6" t="s">
        <v>6558</v>
      </c>
      <c r="N253" s="6" t="s">
        <v>6583</v>
      </c>
      <c r="O253" s="6">
        <v>76</v>
      </c>
      <c r="P253" s="6">
        <v>74</v>
      </c>
      <c r="Q253" s="6">
        <v>71</v>
      </c>
      <c r="R253" s="6">
        <v>78</v>
      </c>
      <c r="S253" s="6">
        <v>78</v>
      </c>
      <c r="T253" s="6">
        <v>76</v>
      </c>
      <c r="U253" s="6">
        <v>81</v>
      </c>
      <c r="V253" s="6">
        <v>72</v>
      </c>
      <c r="W253" s="6">
        <v>77</v>
      </c>
      <c r="X253" s="6">
        <v>72</v>
      </c>
      <c r="Y253" s="6">
        <v>86</v>
      </c>
      <c r="Z253" s="6">
        <v>81</v>
      </c>
      <c r="AA253" s="6">
        <v>83</v>
      </c>
      <c r="AB253" s="6">
        <v>80</v>
      </c>
      <c r="AC253" s="6">
        <v>81</v>
      </c>
      <c r="AD253" s="6">
        <v>77</v>
      </c>
      <c r="AE253" s="6">
        <v>68</v>
      </c>
      <c r="AF253" s="6">
        <v>77</v>
      </c>
      <c r="AG253" s="6" t="s">
        <v>7634</v>
      </c>
      <c r="AH253" s="6" t="s">
        <v>6824</v>
      </c>
    </row>
    <row r="254" spans="1:34" x14ac:dyDescent="0.2">
      <c r="A254" t="s">
        <v>3925</v>
      </c>
      <c r="B254" t="s">
        <v>2189</v>
      </c>
      <c r="C254" t="s">
        <v>2875</v>
      </c>
      <c r="D254" s="7" t="s">
        <v>144</v>
      </c>
      <c r="E254" t="s">
        <v>58</v>
      </c>
      <c r="F254">
        <v>33</v>
      </c>
      <c r="G254">
        <v>69</v>
      </c>
      <c r="H254">
        <v>82</v>
      </c>
      <c r="I254" t="s">
        <v>6303</v>
      </c>
      <c r="J254">
        <v>74</v>
      </c>
      <c r="K254">
        <v>315</v>
      </c>
      <c r="L254" t="s">
        <v>5619</v>
      </c>
      <c r="M254" s="6" t="s">
        <v>6558</v>
      </c>
      <c r="N254" s="6" t="s">
        <v>6565</v>
      </c>
      <c r="O254" s="6">
        <v>81</v>
      </c>
      <c r="P254" s="6">
        <v>80</v>
      </c>
      <c r="Q254" s="6">
        <v>73</v>
      </c>
      <c r="R254" s="6">
        <v>75</v>
      </c>
      <c r="S254" s="6">
        <v>82</v>
      </c>
      <c r="T254" s="6">
        <v>78</v>
      </c>
      <c r="U254" s="6">
        <v>86</v>
      </c>
      <c r="V254" s="6">
        <v>82</v>
      </c>
      <c r="W254" s="6">
        <v>71</v>
      </c>
      <c r="X254" s="6">
        <v>83</v>
      </c>
      <c r="Y254" s="6">
        <v>86</v>
      </c>
      <c r="Z254" s="6">
        <v>86</v>
      </c>
      <c r="AA254" s="6">
        <v>62</v>
      </c>
      <c r="AB254" s="6">
        <v>69</v>
      </c>
      <c r="AC254" s="6">
        <v>72</v>
      </c>
      <c r="AD254" s="6">
        <v>71</v>
      </c>
      <c r="AE254" s="6">
        <v>67</v>
      </c>
      <c r="AF254" s="6">
        <v>70</v>
      </c>
      <c r="AG254" s="6" t="s">
        <v>7659</v>
      </c>
      <c r="AH254" s="6" t="s">
        <v>6743</v>
      </c>
    </row>
    <row r="255" spans="1:34" x14ac:dyDescent="0.2">
      <c r="A255" t="s">
        <v>3927</v>
      </c>
      <c r="B255" t="s">
        <v>2191</v>
      </c>
      <c r="C255" t="s">
        <v>2877</v>
      </c>
      <c r="D255" s="7" t="s">
        <v>144</v>
      </c>
      <c r="E255" t="s">
        <v>38</v>
      </c>
      <c r="F255">
        <v>32</v>
      </c>
      <c r="G255">
        <v>78</v>
      </c>
      <c r="H255">
        <v>82</v>
      </c>
      <c r="I255" t="s">
        <v>59</v>
      </c>
      <c r="J255">
        <v>76</v>
      </c>
      <c r="K255">
        <v>306</v>
      </c>
      <c r="L255" t="s">
        <v>5621</v>
      </c>
      <c r="M255" s="6" t="s">
        <v>6558</v>
      </c>
      <c r="N255" s="6" t="s">
        <v>6567</v>
      </c>
      <c r="O255" s="6">
        <v>80</v>
      </c>
      <c r="P255" s="6">
        <v>84</v>
      </c>
      <c r="Q255" s="6">
        <v>82</v>
      </c>
      <c r="R255" s="6">
        <v>69</v>
      </c>
      <c r="S255" s="6">
        <v>88</v>
      </c>
      <c r="T255" s="6">
        <v>90</v>
      </c>
      <c r="U255" s="6">
        <v>72</v>
      </c>
      <c r="V255" s="6">
        <v>83</v>
      </c>
      <c r="W255" s="6">
        <v>78</v>
      </c>
      <c r="X255" s="6">
        <v>82</v>
      </c>
      <c r="Y255" s="6">
        <v>77</v>
      </c>
      <c r="Z255" s="6">
        <v>86</v>
      </c>
      <c r="AA255" s="6">
        <v>68</v>
      </c>
      <c r="AB255" s="6">
        <v>70</v>
      </c>
      <c r="AC255" s="6">
        <v>79</v>
      </c>
      <c r="AD255" s="6">
        <v>79</v>
      </c>
      <c r="AE255" s="6">
        <v>64</v>
      </c>
      <c r="AF255" s="6">
        <v>66</v>
      </c>
      <c r="AG255" s="6" t="s">
        <v>7661</v>
      </c>
      <c r="AH255" s="6" t="s">
        <v>6694</v>
      </c>
    </row>
    <row r="256" spans="1:34" x14ac:dyDescent="0.2">
      <c r="A256" t="s">
        <v>3932</v>
      </c>
      <c r="B256" t="s">
        <v>2196</v>
      </c>
      <c r="C256" t="s">
        <v>2879</v>
      </c>
      <c r="D256" s="7" t="s">
        <v>144</v>
      </c>
      <c r="E256" t="s">
        <v>38</v>
      </c>
      <c r="F256">
        <v>24</v>
      </c>
      <c r="G256">
        <v>79</v>
      </c>
      <c r="H256">
        <v>82</v>
      </c>
      <c r="I256" t="s">
        <v>6492</v>
      </c>
      <c r="J256">
        <v>73</v>
      </c>
      <c r="K256">
        <v>313</v>
      </c>
      <c r="L256" t="s">
        <v>5626</v>
      </c>
      <c r="M256" s="6" t="s">
        <v>6558</v>
      </c>
      <c r="N256" s="6" t="s">
        <v>6567</v>
      </c>
      <c r="O256" s="6">
        <v>69</v>
      </c>
      <c r="P256" s="6">
        <v>71</v>
      </c>
      <c r="Q256" s="6">
        <v>76</v>
      </c>
      <c r="R256" s="6">
        <v>68</v>
      </c>
      <c r="S256" s="6">
        <v>75</v>
      </c>
      <c r="T256" s="6">
        <v>68</v>
      </c>
      <c r="U256" s="6">
        <v>76</v>
      </c>
      <c r="V256" s="6">
        <v>72</v>
      </c>
      <c r="W256" s="6">
        <v>71</v>
      </c>
      <c r="X256" s="6">
        <v>60</v>
      </c>
      <c r="Y256" s="6">
        <v>83</v>
      </c>
      <c r="Z256" s="6">
        <v>82</v>
      </c>
      <c r="AA256" s="6">
        <v>79</v>
      </c>
      <c r="AB256" s="6">
        <v>73</v>
      </c>
      <c r="AC256" s="6">
        <v>71</v>
      </c>
      <c r="AD256" s="6">
        <v>81</v>
      </c>
      <c r="AE256" s="6">
        <v>70</v>
      </c>
      <c r="AF256" s="6">
        <v>73</v>
      </c>
      <c r="AG256" s="6" t="s">
        <v>7666</v>
      </c>
      <c r="AH256" s="6" t="s">
        <v>6617</v>
      </c>
    </row>
    <row r="257" spans="1:34" x14ac:dyDescent="0.2">
      <c r="A257" t="s">
        <v>3940</v>
      </c>
      <c r="B257" t="s">
        <v>2204</v>
      </c>
      <c r="C257" t="s">
        <v>61</v>
      </c>
      <c r="D257" s="7" t="s">
        <v>144</v>
      </c>
      <c r="E257" t="s">
        <v>38</v>
      </c>
      <c r="F257">
        <v>27</v>
      </c>
      <c r="G257">
        <v>79</v>
      </c>
      <c r="H257">
        <v>82</v>
      </c>
      <c r="I257" t="s">
        <v>6419</v>
      </c>
      <c r="J257">
        <v>71</v>
      </c>
      <c r="K257">
        <v>192</v>
      </c>
      <c r="L257" t="s">
        <v>5634</v>
      </c>
      <c r="M257" s="6" t="s">
        <v>6558</v>
      </c>
      <c r="N257" s="6" t="s">
        <v>6565</v>
      </c>
      <c r="O257" s="6">
        <v>75</v>
      </c>
      <c r="P257" s="6">
        <v>69</v>
      </c>
      <c r="Q257" s="6">
        <v>79</v>
      </c>
      <c r="R257" s="6">
        <v>74</v>
      </c>
      <c r="S257" s="6">
        <v>86</v>
      </c>
      <c r="T257" s="6">
        <v>93</v>
      </c>
      <c r="U257" s="6">
        <v>83</v>
      </c>
      <c r="V257" s="6">
        <v>79</v>
      </c>
      <c r="W257" s="6">
        <v>71</v>
      </c>
      <c r="X257" s="6">
        <v>80</v>
      </c>
      <c r="Y257" s="6">
        <v>93</v>
      </c>
      <c r="Z257" s="6">
        <v>85</v>
      </c>
      <c r="AA257" s="6">
        <v>75</v>
      </c>
      <c r="AB257" s="6">
        <v>83</v>
      </c>
      <c r="AC257" s="6">
        <v>86</v>
      </c>
      <c r="AD257" s="6">
        <v>79</v>
      </c>
      <c r="AE257" s="6">
        <v>72</v>
      </c>
      <c r="AF257" s="6">
        <v>77</v>
      </c>
      <c r="AG257" s="6" t="s">
        <v>7674</v>
      </c>
      <c r="AH257" s="6" t="s">
        <v>6694</v>
      </c>
    </row>
    <row r="258" spans="1:34" x14ac:dyDescent="0.2">
      <c r="A258" t="s">
        <v>3948</v>
      </c>
      <c r="B258" t="s">
        <v>2212</v>
      </c>
      <c r="C258" t="s">
        <v>2883</v>
      </c>
      <c r="D258" s="7" t="s">
        <v>144</v>
      </c>
      <c r="E258" t="s">
        <v>38</v>
      </c>
      <c r="F258">
        <v>24</v>
      </c>
      <c r="G258">
        <v>73</v>
      </c>
      <c r="H258">
        <v>82</v>
      </c>
      <c r="I258" t="s">
        <v>6372</v>
      </c>
      <c r="J258">
        <v>73</v>
      </c>
      <c r="K258">
        <v>217</v>
      </c>
      <c r="L258" t="s">
        <v>5642</v>
      </c>
      <c r="M258" s="6" t="s">
        <v>6558</v>
      </c>
      <c r="N258" s="6" t="s">
        <v>6567</v>
      </c>
      <c r="O258" s="6">
        <v>74</v>
      </c>
      <c r="P258" s="6">
        <v>73</v>
      </c>
      <c r="Q258" s="6">
        <v>59</v>
      </c>
      <c r="R258" s="6">
        <v>69</v>
      </c>
      <c r="S258" s="6">
        <v>72</v>
      </c>
      <c r="T258" s="6">
        <v>75</v>
      </c>
      <c r="U258" s="6">
        <v>73</v>
      </c>
      <c r="V258" s="6">
        <v>77</v>
      </c>
      <c r="W258" s="6">
        <v>65</v>
      </c>
      <c r="X258" s="6">
        <v>74</v>
      </c>
      <c r="Y258" s="6">
        <v>67</v>
      </c>
      <c r="Z258" s="6">
        <v>71</v>
      </c>
      <c r="AA258" s="6">
        <v>66</v>
      </c>
      <c r="AB258" s="6">
        <v>66</v>
      </c>
      <c r="AC258" s="6">
        <v>70</v>
      </c>
      <c r="AD258" s="6">
        <v>74</v>
      </c>
      <c r="AE258" s="6">
        <v>74</v>
      </c>
      <c r="AF258" s="6">
        <v>80</v>
      </c>
      <c r="AG258" s="6" t="s">
        <v>7682</v>
      </c>
      <c r="AH258" s="6" t="s">
        <v>6640</v>
      </c>
    </row>
    <row r="259" spans="1:34" x14ac:dyDescent="0.2">
      <c r="A259" t="s">
        <v>3962</v>
      </c>
      <c r="B259" t="s">
        <v>2226</v>
      </c>
      <c r="C259" t="s">
        <v>53</v>
      </c>
      <c r="D259" s="7" t="s">
        <v>149</v>
      </c>
      <c r="E259" t="s">
        <v>38</v>
      </c>
      <c r="F259">
        <v>25</v>
      </c>
      <c r="G259">
        <v>67</v>
      </c>
      <c r="H259">
        <v>82</v>
      </c>
      <c r="I259" t="s">
        <v>6420</v>
      </c>
      <c r="J259">
        <v>74</v>
      </c>
      <c r="K259">
        <v>224</v>
      </c>
      <c r="L259" t="s">
        <v>5656</v>
      </c>
      <c r="M259" s="6" t="s">
        <v>6558</v>
      </c>
      <c r="N259" s="6" t="s">
        <v>6565</v>
      </c>
      <c r="O259" s="6">
        <v>74</v>
      </c>
      <c r="P259" s="6">
        <v>74</v>
      </c>
      <c r="Q259" s="6">
        <v>63</v>
      </c>
      <c r="R259" s="6">
        <v>71</v>
      </c>
      <c r="S259" s="6">
        <v>76</v>
      </c>
      <c r="T259" s="6">
        <v>63</v>
      </c>
      <c r="U259" s="6">
        <v>70</v>
      </c>
      <c r="V259" s="6">
        <v>59</v>
      </c>
      <c r="W259" s="6">
        <v>73</v>
      </c>
      <c r="X259" s="6">
        <v>72</v>
      </c>
      <c r="Y259" s="6">
        <v>66</v>
      </c>
      <c r="Z259" s="6">
        <v>70</v>
      </c>
      <c r="AA259" s="6">
        <v>68</v>
      </c>
      <c r="AB259" s="6">
        <v>69</v>
      </c>
      <c r="AC259" s="6">
        <v>62</v>
      </c>
      <c r="AD259" s="6">
        <v>66</v>
      </c>
      <c r="AE259" s="6">
        <v>75</v>
      </c>
      <c r="AF259" s="6">
        <v>69</v>
      </c>
      <c r="AG259" s="6" t="s">
        <v>7695</v>
      </c>
      <c r="AH259" s="6" t="s">
        <v>6570</v>
      </c>
    </row>
    <row r="260" spans="1:34" x14ac:dyDescent="0.2">
      <c r="A260" t="s">
        <v>3968</v>
      </c>
      <c r="B260" t="s">
        <v>2232</v>
      </c>
      <c r="C260" t="s">
        <v>57</v>
      </c>
      <c r="D260" s="7" t="s">
        <v>149</v>
      </c>
      <c r="E260" t="s">
        <v>38</v>
      </c>
      <c r="F260">
        <v>28</v>
      </c>
      <c r="G260">
        <v>76</v>
      </c>
      <c r="H260">
        <v>82</v>
      </c>
      <c r="I260" t="s">
        <v>6385</v>
      </c>
      <c r="J260">
        <v>76</v>
      </c>
      <c r="K260">
        <v>204</v>
      </c>
      <c r="L260" t="s">
        <v>5662</v>
      </c>
      <c r="M260" s="6" t="s">
        <v>6558</v>
      </c>
      <c r="N260" s="6" t="s">
        <v>6614</v>
      </c>
      <c r="O260" s="6">
        <v>87</v>
      </c>
      <c r="P260" s="6">
        <v>64</v>
      </c>
      <c r="Q260" s="6">
        <v>71</v>
      </c>
      <c r="R260" s="6">
        <v>61</v>
      </c>
      <c r="S260" s="6">
        <v>70</v>
      </c>
      <c r="T260" s="6">
        <v>72</v>
      </c>
      <c r="U260" s="6">
        <v>75</v>
      </c>
      <c r="V260" s="6">
        <v>77</v>
      </c>
      <c r="W260" s="6">
        <v>66</v>
      </c>
      <c r="X260" s="6">
        <v>68</v>
      </c>
      <c r="Y260" s="6">
        <v>72</v>
      </c>
      <c r="Z260" s="6">
        <v>72</v>
      </c>
      <c r="AA260" s="6">
        <v>72</v>
      </c>
      <c r="AB260" s="6">
        <v>72</v>
      </c>
      <c r="AC260" s="6">
        <v>71</v>
      </c>
      <c r="AD260" s="6">
        <v>67</v>
      </c>
      <c r="AE260" s="6">
        <v>70</v>
      </c>
      <c r="AF260" s="6">
        <v>68</v>
      </c>
      <c r="AG260" s="6" t="s">
        <v>7701</v>
      </c>
      <c r="AH260" s="6" t="s">
        <v>6661</v>
      </c>
    </row>
    <row r="261" spans="1:34" x14ac:dyDescent="0.2">
      <c r="A261" t="s">
        <v>3969</v>
      </c>
      <c r="B261" t="s">
        <v>2233</v>
      </c>
      <c r="C261" t="s">
        <v>57</v>
      </c>
      <c r="D261" s="7" t="s">
        <v>149</v>
      </c>
      <c r="E261" t="s">
        <v>38</v>
      </c>
      <c r="F261">
        <v>26</v>
      </c>
      <c r="G261">
        <v>72</v>
      </c>
      <c r="H261">
        <v>82</v>
      </c>
      <c r="I261" t="s">
        <v>6493</v>
      </c>
      <c r="J261">
        <v>77</v>
      </c>
      <c r="K261">
        <v>205</v>
      </c>
      <c r="L261" t="s">
        <v>5663</v>
      </c>
      <c r="M261" s="6" t="s">
        <v>6558</v>
      </c>
      <c r="N261" s="6" t="s">
        <v>6567</v>
      </c>
      <c r="O261" s="6">
        <v>68</v>
      </c>
      <c r="P261" s="6">
        <v>66</v>
      </c>
      <c r="Q261" s="6">
        <v>72</v>
      </c>
      <c r="R261" s="6">
        <v>69</v>
      </c>
      <c r="S261" s="6">
        <v>74</v>
      </c>
      <c r="T261" s="6">
        <v>68</v>
      </c>
      <c r="U261" s="6">
        <v>83</v>
      </c>
      <c r="V261" s="6">
        <v>73</v>
      </c>
      <c r="W261" s="6">
        <v>73</v>
      </c>
      <c r="X261" s="6">
        <v>73</v>
      </c>
      <c r="Y261" s="6">
        <v>80</v>
      </c>
      <c r="Z261" s="6">
        <v>85</v>
      </c>
      <c r="AA261" s="6">
        <v>71</v>
      </c>
      <c r="AB261" s="6">
        <v>75</v>
      </c>
      <c r="AC261" s="6">
        <v>68</v>
      </c>
      <c r="AD261" s="6">
        <v>80</v>
      </c>
      <c r="AE261" s="6">
        <v>75</v>
      </c>
      <c r="AF261" s="6">
        <v>71</v>
      </c>
      <c r="AG261" s="6" t="s">
        <v>7702</v>
      </c>
      <c r="AH261" s="6" t="s">
        <v>6661</v>
      </c>
    </row>
    <row r="262" spans="1:34" x14ac:dyDescent="0.2">
      <c r="A262" t="s">
        <v>3976</v>
      </c>
      <c r="B262" t="s">
        <v>2240</v>
      </c>
      <c r="C262" t="s">
        <v>2871</v>
      </c>
      <c r="D262" s="7" t="s">
        <v>149</v>
      </c>
      <c r="E262" t="s">
        <v>58</v>
      </c>
      <c r="F262">
        <v>30</v>
      </c>
      <c r="G262">
        <v>68</v>
      </c>
      <c r="H262">
        <v>82</v>
      </c>
      <c r="I262" t="s">
        <v>6369</v>
      </c>
      <c r="J262">
        <v>75</v>
      </c>
      <c r="K262">
        <v>241</v>
      </c>
      <c r="L262" t="s">
        <v>5670</v>
      </c>
      <c r="M262" s="6" t="s">
        <v>6558</v>
      </c>
      <c r="N262" s="6" t="s">
        <v>6565</v>
      </c>
      <c r="O262" s="6">
        <v>75</v>
      </c>
      <c r="P262" s="6">
        <v>69</v>
      </c>
      <c r="Q262" s="6">
        <v>73</v>
      </c>
      <c r="R262" s="6">
        <v>74</v>
      </c>
      <c r="S262" s="6">
        <v>75</v>
      </c>
      <c r="T262" s="6">
        <v>68</v>
      </c>
      <c r="U262" s="6">
        <v>80</v>
      </c>
      <c r="V262" s="6">
        <v>70</v>
      </c>
      <c r="W262" s="6">
        <v>69</v>
      </c>
      <c r="X262" s="6">
        <v>72</v>
      </c>
      <c r="Y262" s="6">
        <v>67</v>
      </c>
      <c r="Z262" s="6">
        <v>76</v>
      </c>
      <c r="AA262" s="6">
        <v>68</v>
      </c>
      <c r="AB262" s="6">
        <v>70</v>
      </c>
      <c r="AC262" s="6">
        <v>64</v>
      </c>
      <c r="AD262" s="6">
        <v>68</v>
      </c>
      <c r="AE262" s="6">
        <v>60</v>
      </c>
      <c r="AF262" s="6">
        <v>65</v>
      </c>
      <c r="AG262" s="6" t="s">
        <v>7709</v>
      </c>
      <c r="AH262" s="6" t="s">
        <v>7219</v>
      </c>
    </row>
    <row r="263" spans="1:34" x14ac:dyDescent="0.2">
      <c r="A263" t="s">
        <v>3992</v>
      </c>
      <c r="B263" t="s">
        <v>2256</v>
      </c>
      <c r="C263" t="s">
        <v>2878</v>
      </c>
      <c r="D263" s="7" t="s">
        <v>149</v>
      </c>
      <c r="E263" t="s">
        <v>58</v>
      </c>
      <c r="F263">
        <v>29</v>
      </c>
      <c r="G263">
        <v>87</v>
      </c>
      <c r="H263">
        <v>82</v>
      </c>
      <c r="I263" t="s">
        <v>62</v>
      </c>
      <c r="J263">
        <v>78</v>
      </c>
      <c r="K263">
        <v>284</v>
      </c>
      <c r="L263" t="s">
        <v>5686</v>
      </c>
      <c r="M263" s="6" t="s">
        <v>6558</v>
      </c>
      <c r="N263" s="6" t="s">
        <v>6583</v>
      </c>
      <c r="O263" s="6">
        <v>81</v>
      </c>
      <c r="P263" s="6">
        <v>85</v>
      </c>
      <c r="Q263" s="6">
        <v>81</v>
      </c>
      <c r="R263" s="6">
        <v>76</v>
      </c>
      <c r="S263" s="6">
        <v>75</v>
      </c>
      <c r="T263" s="6">
        <v>74</v>
      </c>
      <c r="U263" s="6">
        <v>77</v>
      </c>
      <c r="V263" s="6">
        <v>78</v>
      </c>
      <c r="W263" s="6">
        <v>78</v>
      </c>
      <c r="X263" s="6">
        <v>81</v>
      </c>
      <c r="Y263" s="6">
        <v>77</v>
      </c>
      <c r="Z263" s="6">
        <v>75</v>
      </c>
      <c r="AA263" s="6">
        <v>73</v>
      </c>
      <c r="AB263" s="6">
        <v>68</v>
      </c>
      <c r="AC263" s="6">
        <v>68</v>
      </c>
      <c r="AD263" s="6">
        <v>75</v>
      </c>
      <c r="AE263" s="6">
        <v>69</v>
      </c>
      <c r="AF263" s="6">
        <v>63</v>
      </c>
      <c r="AG263" s="6" t="s">
        <v>7725</v>
      </c>
      <c r="AH263" s="6" t="s">
        <v>6686</v>
      </c>
    </row>
    <row r="264" spans="1:34" x14ac:dyDescent="0.2">
      <c r="A264" t="s">
        <v>4018</v>
      </c>
      <c r="B264" t="s">
        <v>2282</v>
      </c>
      <c r="C264" t="s">
        <v>2891</v>
      </c>
      <c r="D264" s="7" t="s">
        <v>149</v>
      </c>
      <c r="E264" t="s">
        <v>38</v>
      </c>
      <c r="F264">
        <v>29</v>
      </c>
      <c r="G264">
        <v>92</v>
      </c>
      <c r="H264">
        <v>82</v>
      </c>
      <c r="I264" t="s">
        <v>6426</v>
      </c>
      <c r="J264">
        <v>72</v>
      </c>
      <c r="K264">
        <v>225</v>
      </c>
      <c r="L264" t="s">
        <v>5712</v>
      </c>
      <c r="M264" s="6" t="s">
        <v>6558</v>
      </c>
      <c r="N264" s="6" t="s">
        <v>6562</v>
      </c>
      <c r="O264" s="6">
        <v>78</v>
      </c>
      <c r="P264" s="6">
        <v>77</v>
      </c>
      <c r="Q264" s="6">
        <v>91</v>
      </c>
      <c r="R264" s="6">
        <v>86</v>
      </c>
      <c r="S264" s="6">
        <v>80</v>
      </c>
      <c r="T264" s="6">
        <v>74</v>
      </c>
      <c r="U264" s="6">
        <v>83</v>
      </c>
      <c r="V264" s="6">
        <v>79</v>
      </c>
      <c r="W264" s="6">
        <v>92</v>
      </c>
      <c r="X264" s="6">
        <v>84</v>
      </c>
      <c r="Y264" s="6">
        <v>80</v>
      </c>
      <c r="Z264" s="6">
        <v>71</v>
      </c>
      <c r="AA264" s="6">
        <v>75</v>
      </c>
      <c r="AB264" s="6">
        <v>73</v>
      </c>
      <c r="AC264" s="6">
        <v>90</v>
      </c>
      <c r="AD264" s="6">
        <v>79</v>
      </c>
      <c r="AE264" s="6">
        <v>76</v>
      </c>
      <c r="AF264" s="6">
        <v>81</v>
      </c>
      <c r="AG264" s="6" t="s">
        <v>7750</v>
      </c>
      <c r="AH264" s="6" t="s">
        <v>7093</v>
      </c>
    </row>
    <row r="265" spans="1:34" x14ac:dyDescent="0.2">
      <c r="A265" t="s">
        <v>4041</v>
      </c>
      <c r="B265" t="s">
        <v>2305</v>
      </c>
      <c r="C265" t="s">
        <v>2875</v>
      </c>
      <c r="D265" s="7" t="s">
        <v>22</v>
      </c>
      <c r="E265" t="s">
        <v>58</v>
      </c>
      <c r="F265">
        <v>32</v>
      </c>
      <c r="G265">
        <v>75</v>
      </c>
      <c r="H265">
        <v>82</v>
      </c>
      <c r="I265" t="s">
        <v>6326</v>
      </c>
      <c r="J265">
        <v>73</v>
      </c>
      <c r="K265">
        <v>299</v>
      </c>
      <c r="L265" t="s">
        <v>5735</v>
      </c>
      <c r="M265" s="6" t="s">
        <v>6558</v>
      </c>
      <c r="N265" s="6" t="s">
        <v>6562</v>
      </c>
      <c r="O265" s="6">
        <v>96</v>
      </c>
      <c r="P265" s="6">
        <v>88</v>
      </c>
      <c r="Q265" s="6">
        <v>82</v>
      </c>
      <c r="R265" s="6">
        <v>90</v>
      </c>
      <c r="S265" s="6">
        <v>83</v>
      </c>
      <c r="T265" s="6">
        <v>82</v>
      </c>
      <c r="U265" s="6">
        <v>65</v>
      </c>
      <c r="V265" s="6">
        <v>81</v>
      </c>
      <c r="W265" s="6">
        <v>69</v>
      </c>
      <c r="X265" s="6">
        <v>83</v>
      </c>
      <c r="Y265" s="6">
        <v>83</v>
      </c>
      <c r="Z265" s="6">
        <v>65</v>
      </c>
      <c r="AA265" s="6">
        <v>67</v>
      </c>
      <c r="AB265" s="6">
        <v>72</v>
      </c>
      <c r="AC265" s="6">
        <v>77</v>
      </c>
      <c r="AD265" s="6">
        <v>74</v>
      </c>
      <c r="AE265" s="6">
        <v>67</v>
      </c>
      <c r="AF265" s="6">
        <v>78</v>
      </c>
      <c r="AG265" s="6" t="s">
        <v>7773</v>
      </c>
      <c r="AH265" s="6" t="s">
        <v>6606</v>
      </c>
    </row>
    <row r="266" spans="1:34" x14ac:dyDescent="0.2">
      <c r="A266" t="s">
        <v>4073</v>
      </c>
      <c r="B266" t="s">
        <v>2337</v>
      </c>
      <c r="C266" t="s">
        <v>2890</v>
      </c>
      <c r="D266" s="7" t="s">
        <v>22</v>
      </c>
      <c r="E266" t="s">
        <v>38</v>
      </c>
      <c r="F266">
        <v>22</v>
      </c>
      <c r="G266">
        <v>79</v>
      </c>
      <c r="H266">
        <v>82</v>
      </c>
      <c r="I266" t="s">
        <v>6324</v>
      </c>
      <c r="J266">
        <v>70</v>
      </c>
      <c r="K266">
        <v>195</v>
      </c>
      <c r="L266" t="s">
        <v>5767</v>
      </c>
      <c r="M266" s="6" t="s">
        <v>6558</v>
      </c>
      <c r="N266" s="6" t="s">
        <v>6567</v>
      </c>
      <c r="O266" s="6">
        <v>59</v>
      </c>
      <c r="P266" s="6">
        <v>69</v>
      </c>
      <c r="Q266" s="6">
        <v>80</v>
      </c>
      <c r="R266" s="6">
        <v>68</v>
      </c>
      <c r="S266" s="6">
        <v>69</v>
      </c>
      <c r="T266" s="6">
        <v>74</v>
      </c>
      <c r="U266" s="6">
        <v>77</v>
      </c>
      <c r="V266" s="6">
        <v>70</v>
      </c>
      <c r="W266" s="6">
        <v>71</v>
      </c>
      <c r="X266" s="6">
        <v>68</v>
      </c>
      <c r="Y266" s="6">
        <v>88</v>
      </c>
      <c r="Z266" s="6">
        <v>76</v>
      </c>
      <c r="AA266" s="6">
        <v>73</v>
      </c>
      <c r="AB266" s="6">
        <v>75</v>
      </c>
      <c r="AC266" s="6">
        <v>74</v>
      </c>
      <c r="AD266" s="6">
        <v>78</v>
      </c>
      <c r="AE266" s="6">
        <v>65</v>
      </c>
      <c r="AF266" s="6">
        <v>68</v>
      </c>
      <c r="AG266" s="6" t="s">
        <v>7804</v>
      </c>
      <c r="AH266" s="6" t="s">
        <v>7082</v>
      </c>
    </row>
    <row r="267" spans="1:34" x14ac:dyDescent="0.2">
      <c r="A267" t="s">
        <v>4097</v>
      </c>
      <c r="B267" t="s">
        <v>2361</v>
      </c>
      <c r="C267" t="s">
        <v>2874</v>
      </c>
      <c r="D267" s="7" t="s">
        <v>25</v>
      </c>
      <c r="E267" t="s">
        <v>38</v>
      </c>
      <c r="F267">
        <v>24</v>
      </c>
      <c r="G267">
        <v>81</v>
      </c>
      <c r="H267">
        <v>82</v>
      </c>
      <c r="I267" t="s">
        <v>6357</v>
      </c>
      <c r="J267">
        <v>75</v>
      </c>
      <c r="K267">
        <v>300</v>
      </c>
      <c r="L267" t="s">
        <v>5791</v>
      </c>
      <c r="M267" s="6" t="s">
        <v>6558</v>
      </c>
      <c r="N267" s="6" t="s">
        <v>6567</v>
      </c>
      <c r="O267" s="6">
        <v>70</v>
      </c>
      <c r="P267" s="6">
        <v>67</v>
      </c>
      <c r="Q267" s="6">
        <v>59</v>
      </c>
      <c r="R267" s="6">
        <v>69</v>
      </c>
      <c r="S267" s="6">
        <v>76</v>
      </c>
      <c r="T267" s="6">
        <v>70</v>
      </c>
      <c r="U267" s="6">
        <v>63</v>
      </c>
      <c r="V267" s="6">
        <v>70</v>
      </c>
      <c r="W267" s="6">
        <v>69</v>
      </c>
      <c r="X267" s="6">
        <v>66</v>
      </c>
      <c r="Y267" s="6">
        <v>71</v>
      </c>
      <c r="Z267" s="6">
        <v>74</v>
      </c>
      <c r="AA267" s="6">
        <v>68</v>
      </c>
      <c r="AB267" s="6">
        <v>75</v>
      </c>
      <c r="AC267" s="6">
        <v>73</v>
      </c>
      <c r="AD267" s="6">
        <v>70</v>
      </c>
      <c r="AE267" s="6">
        <v>68</v>
      </c>
      <c r="AF267" s="6">
        <v>70</v>
      </c>
      <c r="AG267" s="6" t="s">
        <v>7828</v>
      </c>
      <c r="AH267" s="6" t="s">
        <v>6598</v>
      </c>
    </row>
    <row r="268" spans="1:34" x14ac:dyDescent="0.2">
      <c r="A268" t="s">
        <v>4106</v>
      </c>
      <c r="B268" t="s">
        <v>2370</v>
      </c>
      <c r="C268" t="s">
        <v>2879</v>
      </c>
      <c r="D268" s="7" t="s">
        <v>25</v>
      </c>
      <c r="E268" t="s">
        <v>38</v>
      </c>
      <c r="F268">
        <v>26</v>
      </c>
      <c r="G268">
        <v>76</v>
      </c>
      <c r="H268">
        <v>82</v>
      </c>
      <c r="I268" t="s">
        <v>6301</v>
      </c>
      <c r="J268">
        <v>74</v>
      </c>
      <c r="K268">
        <v>307</v>
      </c>
      <c r="L268" t="s">
        <v>5800</v>
      </c>
      <c r="M268" s="6" t="s">
        <v>6558</v>
      </c>
      <c r="N268" s="6" t="s">
        <v>6583</v>
      </c>
      <c r="O268" s="6">
        <v>78</v>
      </c>
      <c r="P268" s="6">
        <v>73</v>
      </c>
      <c r="Q268" s="6">
        <v>63</v>
      </c>
      <c r="R268" s="6">
        <v>77</v>
      </c>
      <c r="S268" s="6">
        <v>77</v>
      </c>
      <c r="T268" s="6">
        <v>64</v>
      </c>
      <c r="U268" s="6">
        <v>73</v>
      </c>
      <c r="V268" s="6">
        <v>78</v>
      </c>
      <c r="W268" s="6">
        <v>72</v>
      </c>
      <c r="X268" s="6">
        <v>76</v>
      </c>
      <c r="Y268" s="6">
        <v>72</v>
      </c>
      <c r="Z268" s="6">
        <v>68</v>
      </c>
      <c r="AA268" s="6">
        <v>71</v>
      </c>
      <c r="AB268" s="6">
        <v>73</v>
      </c>
      <c r="AC268" s="6">
        <v>75</v>
      </c>
      <c r="AD268" s="6">
        <v>79</v>
      </c>
      <c r="AE268" s="6">
        <v>71</v>
      </c>
      <c r="AF268" s="6">
        <v>74</v>
      </c>
      <c r="AG268" s="6" t="s">
        <v>7837</v>
      </c>
      <c r="AH268" s="6" t="s">
        <v>6617</v>
      </c>
    </row>
    <row r="269" spans="1:34" x14ac:dyDescent="0.2">
      <c r="A269" t="s">
        <v>4108</v>
      </c>
      <c r="B269" t="s">
        <v>2372</v>
      </c>
      <c r="C269" t="s">
        <v>2879</v>
      </c>
      <c r="D269" s="7" t="s">
        <v>25</v>
      </c>
      <c r="E269" t="s">
        <v>58</v>
      </c>
      <c r="F269">
        <v>28</v>
      </c>
      <c r="G269">
        <v>61</v>
      </c>
      <c r="H269">
        <v>82</v>
      </c>
      <c r="I269" t="s">
        <v>6337</v>
      </c>
      <c r="J269">
        <v>72</v>
      </c>
      <c r="K269">
        <v>299</v>
      </c>
      <c r="L269" t="s">
        <v>5802</v>
      </c>
      <c r="M269" s="6" t="s">
        <v>7839</v>
      </c>
      <c r="N269" s="6" t="s">
        <v>6567</v>
      </c>
      <c r="O269" s="6">
        <v>68</v>
      </c>
      <c r="P269" s="6">
        <v>72</v>
      </c>
      <c r="Q269" s="6">
        <v>70</v>
      </c>
      <c r="R269" s="6">
        <v>68</v>
      </c>
      <c r="S269" s="6">
        <v>78</v>
      </c>
      <c r="T269" s="6">
        <v>66</v>
      </c>
      <c r="U269" s="6">
        <v>75</v>
      </c>
      <c r="V269" s="6">
        <v>56</v>
      </c>
      <c r="W269" s="6">
        <v>69</v>
      </c>
      <c r="X269" s="6">
        <v>66</v>
      </c>
      <c r="Y269" s="6">
        <v>77</v>
      </c>
      <c r="Z269" s="6">
        <v>61</v>
      </c>
      <c r="AA269" s="6">
        <v>66</v>
      </c>
      <c r="AB269" s="6">
        <v>66</v>
      </c>
      <c r="AC269" s="6">
        <v>69</v>
      </c>
      <c r="AD269" s="6">
        <v>65</v>
      </c>
      <c r="AE269" s="6">
        <v>66</v>
      </c>
      <c r="AF269" s="6">
        <v>70</v>
      </c>
      <c r="AG269" s="6" t="s">
        <v>7840</v>
      </c>
      <c r="AH269" s="6" t="s">
        <v>6861</v>
      </c>
    </row>
    <row r="270" spans="1:34" x14ac:dyDescent="0.2">
      <c r="A270" t="s">
        <v>4111</v>
      </c>
      <c r="B270" t="s">
        <v>2375</v>
      </c>
      <c r="C270" t="s">
        <v>2880</v>
      </c>
      <c r="D270" s="7" t="s">
        <v>25</v>
      </c>
      <c r="E270" t="s">
        <v>58</v>
      </c>
      <c r="F270">
        <v>29</v>
      </c>
      <c r="G270">
        <v>71</v>
      </c>
      <c r="H270">
        <v>82</v>
      </c>
      <c r="I270" t="s">
        <v>6330</v>
      </c>
      <c r="J270">
        <v>73</v>
      </c>
      <c r="K270">
        <v>244</v>
      </c>
      <c r="L270" t="s">
        <v>5805</v>
      </c>
      <c r="M270" s="6" t="s">
        <v>6558</v>
      </c>
      <c r="N270" s="6" t="s">
        <v>6565</v>
      </c>
      <c r="O270" s="6">
        <v>79</v>
      </c>
      <c r="P270" s="6">
        <v>76</v>
      </c>
      <c r="Q270" s="6">
        <v>78</v>
      </c>
      <c r="R270" s="6">
        <v>73</v>
      </c>
      <c r="S270" s="6">
        <v>74</v>
      </c>
      <c r="T270" s="6">
        <v>66</v>
      </c>
      <c r="U270" s="6">
        <v>65</v>
      </c>
      <c r="V270" s="6">
        <v>65</v>
      </c>
      <c r="W270" s="6">
        <v>67</v>
      </c>
      <c r="X270" s="6">
        <v>76</v>
      </c>
      <c r="Y270" s="6">
        <v>87</v>
      </c>
      <c r="Z270" s="6">
        <v>68</v>
      </c>
      <c r="AA270" s="6">
        <v>63</v>
      </c>
      <c r="AB270" s="6">
        <v>69</v>
      </c>
      <c r="AC270" s="6">
        <v>74</v>
      </c>
      <c r="AD270" s="6">
        <v>71</v>
      </c>
      <c r="AE270" s="6">
        <v>65</v>
      </c>
      <c r="AF270" s="6">
        <v>68</v>
      </c>
      <c r="AG270" s="6" t="s">
        <v>7843</v>
      </c>
      <c r="AH270" s="6" t="s">
        <v>6623</v>
      </c>
    </row>
    <row r="271" spans="1:34" x14ac:dyDescent="0.2">
      <c r="A271" t="s">
        <v>4144</v>
      </c>
      <c r="B271" t="s">
        <v>2408</v>
      </c>
      <c r="C271" t="s">
        <v>2874</v>
      </c>
      <c r="D271" s="7" t="s">
        <v>150</v>
      </c>
      <c r="E271" t="s">
        <v>58</v>
      </c>
      <c r="F271">
        <v>30</v>
      </c>
      <c r="G271">
        <v>72</v>
      </c>
      <c r="H271">
        <v>82</v>
      </c>
      <c r="I271" t="s">
        <v>6411</v>
      </c>
      <c r="J271">
        <v>74</v>
      </c>
      <c r="K271">
        <v>319</v>
      </c>
      <c r="L271" t="s">
        <v>5838</v>
      </c>
      <c r="M271" s="6" t="s">
        <v>6558</v>
      </c>
      <c r="N271" s="6" t="s">
        <v>6614</v>
      </c>
      <c r="O271" s="6">
        <v>76</v>
      </c>
      <c r="P271" s="6">
        <v>64</v>
      </c>
      <c r="Q271" s="6">
        <v>78</v>
      </c>
      <c r="R271" s="6">
        <v>56</v>
      </c>
      <c r="S271" s="6">
        <v>73</v>
      </c>
      <c r="T271" s="6">
        <v>68</v>
      </c>
      <c r="U271" s="6">
        <v>79</v>
      </c>
      <c r="V271" s="6">
        <v>75</v>
      </c>
      <c r="W271" s="6">
        <v>67</v>
      </c>
      <c r="X271" s="6">
        <v>70</v>
      </c>
      <c r="Y271" s="6">
        <v>66</v>
      </c>
      <c r="Z271" s="6">
        <v>69</v>
      </c>
      <c r="AA271" s="6">
        <v>71</v>
      </c>
      <c r="AB271" s="6">
        <v>71</v>
      </c>
      <c r="AC271" s="6">
        <v>58</v>
      </c>
      <c r="AD271" s="6">
        <v>72</v>
      </c>
      <c r="AE271" s="6">
        <v>68</v>
      </c>
      <c r="AF271" s="6">
        <v>75</v>
      </c>
      <c r="AG271" s="6" t="s">
        <v>7875</v>
      </c>
      <c r="AH271" s="6" t="s">
        <v>6600</v>
      </c>
    </row>
    <row r="272" spans="1:34" x14ac:dyDescent="0.2">
      <c r="A272" t="s">
        <v>4165</v>
      </c>
      <c r="B272" t="s">
        <v>2429</v>
      </c>
      <c r="C272" t="s">
        <v>61</v>
      </c>
      <c r="D272" s="7" t="s">
        <v>150</v>
      </c>
      <c r="E272" t="s">
        <v>58</v>
      </c>
      <c r="F272">
        <v>32</v>
      </c>
      <c r="G272">
        <v>66</v>
      </c>
      <c r="H272">
        <v>82</v>
      </c>
      <c r="I272" t="s">
        <v>6358</v>
      </c>
      <c r="J272">
        <v>69</v>
      </c>
      <c r="K272">
        <v>190</v>
      </c>
      <c r="L272" t="s">
        <v>5859</v>
      </c>
      <c r="M272" s="6" t="s">
        <v>6558</v>
      </c>
      <c r="N272" s="6" t="s">
        <v>6567</v>
      </c>
      <c r="O272" s="6">
        <v>69</v>
      </c>
      <c r="P272" s="6">
        <v>77</v>
      </c>
      <c r="Q272" s="6">
        <v>72</v>
      </c>
      <c r="R272" s="6">
        <v>66</v>
      </c>
      <c r="S272" s="6">
        <v>72</v>
      </c>
      <c r="T272" s="6">
        <v>73</v>
      </c>
      <c r="U272" s="6">
        <v>75</v>
      </c>
      <c r="V272" s="6">
        <v>77</v>
      </c>
      <c r="W272" s="6">
        <v>62</v>
      </c>
      <c r="X272" s="6">
        <v>81</v>
      </c>
      <c r="Y272" s="6">
        <v>74</v>
      </c>
      <c r="Z272" s="6">
        <v>79</v>
      </c>
      <c r="AA272" s="6">
        <v>68</v>
      </c>
      <c r="AB272" s="6">
        <v>68</v>
      </c>
      <c r="AC272" s="6">
        <v>57</v>
      </c>
      <c r="AD272" s="6">
        <v>58</v>
      </c>
      <c r="AE272" s="6">
        <v>63</v>
      </c>
      <c r="AF272" s="6">
        <v>73</v>
      </c>
      <c r="AG272" s="6" t="s">
        <v>7896</v>
      </c>
      <c r="AH272" s="6" t="s">
        <v>6630</v>
      </c>
    </row>
    <row r="273" spans="1:34" x14ac:dyDescent="0.2">
      <c r="A273" t="s">
        <v>4188</v>
      </c>
      <c r="B273" t="s">
        <v>2452</v>
      </c>
      <c r="C273" t="s">
        <v>57</v>
      </c>
      <c r="D273" s="7" t="s">
        <v>151</v>
      </c>
      <c r="E273" t="s">
        <v>38</v>
      </c>
      <c r="F273">
        <v>24</v>
      </c>
      <c r="G273">
        <v>73</v>
      </c>
      <c r="H273">
        <v>82</v>
      </c>
      <c r="I273" t="s">
        <v>6329</v>
      </c>
      <c r="J273">
        <v>72</v>
      </c>
      <c r="K273">
        <v>196</v>
      </c>
      <c r="L273" t="s">
        <v>5882</v>
      </c>
      <c r="M273" s="6" t="s">
        <v>6558</v>
      </c>
      <c r="N273" s="6" t="s">
        <v>6614</v>
      </c>
      <c r="O273" s="6">
        <v>64</v>
      </c>
      <c r="P273" s="6">
        <v>75</v>
      </c>
      <c r="Q273" s="6">
        <v>78</v>
      </c>
      <c r="R273" s="6">
        <v>60</v>
      </c>
      <c r="S273" s="6">
        <v>73</v>
      </c>
      <c r="T273" s="6">
        <v>73</v>
      </c>
      <c r="U273" s="6">
        <v>72</v>
      </c>
      <c r="V273" s="6">
        <v>83</v>
      </c>
      <c r="W273" s="6">
        <v>76</v>
      </c>
      <c r="X273" s="6">
        <v>67</v>
      </c>
      <c r="Y273" s="6">
        <v>65</v>
      </c>
      <c r="Z273" s="6">
        <v>75</v>
      </c>
      <c r="AA273" s="6">
        <v>72</v>
      </c>
      <c r="AB273" s="6">
        <v>80</v>
      </c>
      <c r="AC273" s="6">
        <v>72</v>
      </c>
      <c r="AD273" s="6">
        <v>74</v>
      </c>
      <c r="AE273" s="6">
        <v>68</v>
      </c>
      <c r="AF273" s="6">
        <v>72</v>
      </c>
      <c r="AG273" s="6" t="s">
        <v>7919</v>
      </c>
      <c r="AH273" s="6" t="s">
        <v>6664</v>
      </c>
    </row>
    <row r="274" spans="1:34" x14ac:dyDescent="0.2">
      <c r="A274" t="s">
        <v>4190</v>
      </c>
      <c r="B274" t="s">
        <v>2454</v>
      </c>
      <c r="C274" t="s">
        <v>57</v>
      </c>
      <c r="D274" s="7" t="s">
        <v>151</v>
      </c>
      <c r="E274" t="s">
        <v>38</v>
      </c>
      <c r="F274">
        <v>30</v>
      </c>
      <c r="G274">
        <v>67</v>
      </c>
      <c r="H274">
        <v>82</v>
      </c>
      <c r="I274" t="s">
        <v>6317</v>
      </c>
      <c r="J274">
        <v>70</v>
      </c>
      <c r="K274">
        <v>208</v>
      </c>
      <c r="L274" t="s">
        <v>5884</v>
      </c>
      <c r="M274" s="6" t="s">
        <v>7921</v>
      </c>
      <c r="N274" s="6" t="s">
        <v>6567</v>
      </c>
      <c r="O274" s="6">
        <v>64</v>
      </c>
      <c r="P274" s="6">
        <v>64</v>
      </c>
      <c r="Q274" s="6">
        <v>73</v>
      </c>
      <c r="R274" s="6">
        <v>64</v>
      </c>
      <c r="S274" s="6">
        <v>83</v>
      </c>
      <c r="T274" s="6">
        <v>68</v>
      </c>
      <c r="U274" s="6">
        <v>66</v>
      </c>
      <c r="V274" s="6">
        <v>74</v>
      </c>
      <c r="W274" s="6">
        <v>77</v>
      </c>
      <c r="X274" s="6">
        <v>81</v>
      </c>
      <c r="Y274" s="6">
        <v>74</v>
      </c>
      <c r="Z274" s="6">
        <v>76</v>
      </c>
      <c r="AA274" s="6">
        <v>68</v>
      </c>
      <c r="AB274" s="6">
        <v>69</v>
      </c>
      <c r="AC274" s="6">
        <v>71</v>
      </c>
      <c r="AD274" s="6">
        <v>69</v>
      </c>
      <c r="AE274" s="6">
        <v>66</v>
      </c>
      <c r="AF274" s="6">
        <v>69</v>
      </c>
      <c r="AG274" s="6" t="s">
        <v>7922</v>
      </c>
      <c r="AH274" s="6" t="s">
        <v>6670</v>
      </c>
    </row>
    <row r="275" spans="1:34" x14ac:dyDescent="0.2">
      <c r="A275" t="s">
        <v>4192</v>
      </c>
      <c r="B275" t="s">
        <v>2456</v>
      </c>
      <c r="C275" t="s">
        <v>2871</v>
      </c>
      <c r="D275" s="7" t="s">
        <v>151</v>
      </c>
      <c r="E275" t="s">
        <v>38</v>
      </c>
      <c r="F275">
        <v>22</v>
      </c>
      <c r="G275">
        <v>63</v>
      </c>
      <c r="H275">
        <v>82</v>
      </c>
      <c r="I275" t="s">
        <v>6303</v>
      </c>
      <c r="J275">
        <v>75</v>
      </c>
      <c r="K275">
        <v>248</v>
      </c>
      <c r="L275" t="s">
        <v>5886</v>
      </c>
      <c r="M275" s="6" t="s">
        <v>6558</v>
      </c>
      <c r="N275" s="6" t="s">
        <v>6565</v>
      </c>
      <c r="O275" s="6">
        <v>70</v>
      </c>
      <c r="P275" s="6">
        <v>67</v>
      </c>
      <c r="Q275" s="6">
        <v>56</v>
      </c>
      <c r="R275" s="6">
        <v>72</v>
      </c>
      <c r="S275" s="6">
        <v>59</v>
      </c>
      <c r="T275" s="6">
        <v>69</v>
      </c>
      <c r="U275" s="6">
        <v>65</v>
      </c>
      <c r="V275" s="6">
        <v>59</v>
      </c>
      <c r="W275" s="6">
        <v>58</v>
      </c>
      <c r="X275" s="6">
        <v>68</v>
      </c>
      <c r="Y275" s="6">
        <v>78</v>
      </c>
      <c r="Z275" s="6">
        <v>68</v>
      </c>
      <c r="AA275" s="6">
        <v>72</v>
      </c>
      <c r="AB275" s="6">
        <v>72</v>
      </c>
      <c r="AC275" s="6">
        <v>65</v>
      </c>
      <c r="AD275" s="6">
        <v>65</v>
      </c>
      <c r="AE275" s="6">
        <v>62</v>
      </c>
      <c r="AF275" s="6">
        <v>69</v>
      </c>
      <c r="AG275" s="6" t="s">
        <v>7924</v>
      </c>
      <c r="AH275" s="6" t="s">
        <v>6737</v>
      </c>
    </row>
    <row r="276" spans="1:34" x14ac:dyDescent="0.2">
      <c r="A276" t="s">
        <v>4196</v>
      </c>
      <c r="B276" t="s">
        <v>2460</v>
      </c>
      <c r="C276" t="s">
        <v>2872</v>
      </c>
      <c r="D276" s="7" t="s">
        <v>151</v>
      </c>
      <c r="E276" t="s">
        <v>58</v>
      </c>
      <c r="F276">
        <v>22</v>
      </c>
      <c r="G276">
        <v>76</v>
      </c>
      <c r="H276">
        <v>82</v>
      </c>
      <c r="I276" t="s">
        <v>6366</v>
      </c>
      <c r="J276">
        <v>76</v>
      </c>
      <c r="K276">
        <v>317</v>
      </c>
      <c r="L276" t="s">
        <v>5890</v>
      </c>
      <c r="M276" s="6" t="s">
        <v>6558</v>
      </c>
      <c r="N276" s="6" t="s">
        <v>6614</v>
      </c>
      <c r="O276" s="6">
        <v>70</v>
      </c>
      <c r="P276" s="6">
        <v>58</v>
      </c>
      <c r="Q276" s="6">
        <v>65</v>
      </c>
      <c r="R276" s="6">
        <v>61</v>
      </c>
      <c r="S276" s="6">
        <v>59</v>
      </c>
      <c r="T276" s="6">
        <v>76</v>
      </c>
      <c r="U276" s="6">
        <v>70</v>
      </c>
      <c r="V276" s="6">
        <v>70</v>
      </c>
      <c r="W276" s="6">
        <v>76</v>
      </c>
      <c r="X276" s="6">
        <v>75</v>
      </c>
      <c r="Y276" s="6">
        <v>61</v>
      </c>
      <c r="Z276" s="6">
        <v>73</v>
      </c>
      <c r="AA276" s="6">
        <v>66</v>
      </c>
      <c r="AB276" s="6">
        <v>68</v>
      </c>
      <c r="AC276" s="6">
        <v>61</v>
      </c>
      <c r="AD276" s="6">
        <v>66</v>
      </c>
      <c r="AE276" s="6">
        <v>64</v>
      </c>
      <c r="AF276" s="6">
        <v>68</v>
      </c>
      <c r="AG276" s="6" t="s">
        <v>7928</v>
      </c>
      <c r="AH276" s="6" t="s">
        <v>6593</v>
      </c>
    </row>
    <row r="277" spans="1:34" x14ac:dyDescent="0.2">
      <c r="A277" t="s">
        <v>4198</v>
      </c>
      <c r="B277" t="s">
        <v>2462</v>
      </c>
      <c r="C277" t="s">
        <v>2873</v>
      </c>
      <c r="D277" s="7" t="s">
        <v>151</v>
      </c>
      <c r="E277" t="s">
        <v>38</v>
      </c>
      <c r="F277">
        <v>33</v>
      </c>
      <c r="G277">
        <v>82</v>
      </c>
      <c r="H277">
        <v>82</v>
      </c>
      <c r="I277" t="s">
        <v>6375</v>
      </c>
      <c r="J277">
        <v>77</v>
      </c>
      <c r="K277">
        <v>325</v>
      </c>
      <c r="L277" t="s">
        <v>5892</v>
      </c>
      <c r="M277" s="6" t="s">
        <v>6558</v>
      </c>
      <c r="N277" s="6" t="s">
        <v>6559</v>
      </c>
      <c r="O277" s="6">
        <v>87</v>
      </c>
      <c r="P277" s="6">
        <v>87</v>
      </c>
      <c r="Q277" s="6">
        <v>73</v>
      </c>
      <c r="R277" s="6">
        <v>83</v>
      </c>
      <c r="S277" s="6">
        <v>78</v>
      </c>
      <c r="T277" s="6">
        <v>77</v>
      </c>
      <c r="U277" s="6">
        <v>92</v>
      </c>
      <c r="V277" s="6">
        <v>86</v>
      </c>
      <c r="W277" s="6">
        <v>89</v>
      </c>
      <c r="X277" s="6">
        <v>64</v>
      </c>
      <c r="Y277" s="6">
        <v>87</v>
      </c>
      <c r="Z277" s="6">
        <v>75</v>
      </c>
      <c r="AA277" s="6">
        <v>72</v>
      </c>
      <c r="AB277" s="6">
        <v>74</v>
      </c>
      <c r="AC277" s="6">
        <v>72</v>
      </c>
      <c r="AD277" s="6">
        <v>83</v>
      </c>
      <c r="AE277" s="6">
        <v>66</v>
      </c>
      <c r="AF277" s="6">
        <v>73</v>
      </c>
      <c r="AG277" s="6" t="s">
        <v>7930</v>
      </c>
      <c r="AH277" s="6" t="s">
        <v>6596</v>
      </c>
    </row>
    <row r="278" spans="1:34" x14ac:dyDescent="0.2">
      <c r="A278" t="s">
        <v>4268</v>
      </c>
      <c r="B278" t="s">
        <v>2532</v>
      </c>
      <c r="C278" t="s">
        <v>2880</v>
      </c>
      <c r="D278" s="7" t="s">
        <v>152</v>
      </c>
      <c r="E278" t="s">
        <v>58</v>
      </c>
      <c r="F278">
        <v>30</v>
      </c>
      <c r="G278">
        <v>84</v>
      </c>
      <c r="H278">
        <v>82</v>
      </c>
      <c r="I278" t="s">
        <v>6360</v>
      </c>
      <c r="J278">
        <v>76</v>
      </c>
      <c r="K278">
        <v>239</v>
      </c>
      <c r="L278" t="s">
        <v>5962</v>
      </c>
      <c r="M278" s="6" t="s">
        <v>6558</v>
      </c>
      <c r="N278" s="6" t="s">
        <v>6559</v>
      </c>
      <c r="O278" s="6">
        <v>78</v>
      </c>
      <c r="P278" s="6">
        <v>77</v>
      </c>
      <c r="Q278" s="6">
        <v>73</v>
      </c>
      <c r="R278" s="6">
        <v>84</v>
      </c>
      <c r="S278" s="6">
        <v>85</v>
      </c>
      <c r="T278" s="6">
        <v>72</v>
      </c>
      <c r="U278" s="6">
        <v>65</v>
      </c>
      <c r="V278" s="6">
        <v>76</v>
      </c>
      <c r="W278" s="6">
        <v>71</v>
      </c>
      <c r="X278" s="6">
        <v>82</v>
      </c>
      <c r="Y278" s="6">
        <v>70</v>
      </c>
      <c r="Z278" s="6">
        <v>80</v>
      </c>
      <c r="AA278" s="6">
        <v>68</v>
      </c>
      <c r="AB278" s="6">
        <v>72</v>
      </c>
      <c r="AC278" s="6">
        <v>59</v>
      </c>
      <c r="AD278" s="6">
        <v>75</v>
      </c>
      <c r="AE278" s="6">
        <v>76</v>
      </c>
      <c r="AF278" s="6">
        <v>73</v>
      </c>
      <c r="AG278" s="6" t="s">
        <v>7998</v>
      </c>
      <c r="AH278" s="6" t="s">
        <v>6623</v>
      </c>
    </row>
    <row r="279" spans="1:34" x14ac:dyDescent="0.2">
      <c r="A279" t="s">
        <v>4288</v>
      </c>
      <c r="B279" t="s">
        <v>2551</v>
      </c>
      <c r="C279" t="s">
        <v>2890</v>
      </c>
      <c r="D279" s="7" t="s">
        <v>152</v>
      </c>
      <c r="E279" t="s">
        <v>58</v>
      </c>
      <c r="F279">
        <v>27</v>
      </c>
      <c r="G279">
        <v>71</v>
      </c>
      <c r="H279">
        <v>82</v>
      </c>
      <c r="I279" t="s">
        <v>6337</v>
      </c>
      <c r="J279">
        <v>71</v>
      </c>
      <c r="K279">
        <v>181</v>
      </c>
      <c r="L279" t="s">
        <v>5982</v>
      </c>
      <c r="M279" s="6" t="s">
        <v>6558</v>
      </c>
      <c r="N279" s="6" t="s">
        <v>6567</v>
      </c>
      <c r="O279" s="6">
        <v>77</v>
      </c>
      <c r="P279" s="6">
        <v>62</v>
      </c>
      <c r="Q279" s="6">
        <v>71</v>
      </c>
      <c r="R279" s="6">
        <v>67</v>
      </c>
      <c r="S279" s="6">
        <v>67</v>
      </c>
      <c r="T279" s="6">
        <v>65</v>
      </c>
      <c r="U279" s="6">
        <v>78</v>
      </c>
      <c r="V279" s="6">
        <v>71</v>
      </c>
      <c r="W279" s="6">
        <v>64</v>
      </c>
      <c r="X279" s="6">
        <v>68</v>
      </c>
      <c r="Y279" s="6">
        <v>74</v>
      </c>
      <c r="Z279" s="6">
        <v>76</v>
      </c>
      <c r="AA279" s="6">
        <v>69</v>
      </c>
      <c r="AB279" s="6">
        <v>75</v>
      </c>
      <c r="AC279" s="6">
        <v>66</v>
      </c>
      <c r="AD279" s="6">
        <v>82</v>
      </c>
      <c r="AE279" s="6">
        <v>70</v>
      </c>
      <c r="AF279" s="6">
        <v>64</v>
      </c>
      <c r="AG279" s="6" t="s">
        <v>8017</v>
      </c>
      <c r="AH279" s="6" t="s">
        <v>6630</v>
      </c>
    </row>
    <row r="280" spans="1:34" x14ac:dyDescent="0.2">
      <c r="A280" t="s">
        <v>4304</v>
      </c>
      <c r="B280" t="s">
        <v>2567</v>
      </c>
      <c r="C280" t="s">
        <v>2871</v>
      </c>
      <c r="D280" s="7" t="s">
        <v>153</v>
      </c>
      <c r="E280" t="s">
        <v>58</v>
      </c>
      <c r="F280">
        <v>28</v>
      </c>
      <c r="G280">
        <v>74</v>
      </c>
      <c r="H280">
        <v>82</v>
      </c>
      <c r="I280" t="s">
        <v>6380</v>
      </c>
      <c r="J280">
        <v>76</v>
      </c>
      <c r="K280">
        <v>254</v>
      </c>
      <c r="L280" t="s">
        <v>5998</v>
      </c>
      <c r="M280" s="6" t="s">
        <v>6558</v>
      </c>
      <c r="N280" s="6" t="s">
        <v>6565</v>
      </c>
      <c r="O280" s="6">
        <v>80</v>
      </c>
      <c r="P280" s="6">
        <v>74</v>
      </c>
      <c r="Q280" s="6">
        <v>71</v>
      </c>
      <c r="R280" s="6">
        <v>71</v>
      </c>
      <c r="S280" s="6">
        <v>73</v>
      </c>
      <c r="T280" s="6">
        <v>70</v>
      </c>
      <c r="U280" s="6">
        <v>74</v>
      </c>
      <c r="V280" s="6">
        <v>73</v>
      </c>
      <c r="W280" s="6">
        <v>68</v>
      </c>
      <c r="X280" s="6">
        <v>76</v>
      </c>
      <c r="Y280" s="6">
        <v>74</v>
      </c>
      <c r="Z280" s="6">
        <v>70</v>
      </c>
      <c r="AA280" s="6">
        <v>75</v>
      </c>
      <c r="AB280" s="6">
        <v>73</v>
      </c>
      <c r="AC280" s="6">
        <v>71</v>
      </c>
      <c r="AD280" s="6">
        <v>69</v>
      </c>
      <c r="AE280" s="6">
        <v>75</v>
      </c>
      <c r="AF280" s="6">
        <v>72</v>
      </c>
      <c r="AG280" s="6" t="s">
        <v>8033</v>
      </c>
      <c r="AH280" s="6" t="s">
        <v>6587</v>
      </c>
    </row>
    <row r="281" spans="1:34" x14ac:dyDescent="0.2">
      <c r="A281" t="s">
        <v>4309</v>
      </c>
      <c r="B281" t="s">
        <v>2572</v>
      </c>
      <c r="C281" t="s">
        <v>2873</v>
      </c>
      <c r="D281" s="7" t="s">
        <v>153</v>
      </c>
      <c r="E281" t="s">
        <v>38</v>
      </c>
      <c r="F281">
        <v>25</v>
      </c>
      <c r="G281">
        <v>68</v>
      </c>
      <c r="H281">
        <v>82</v>
      </c>
      <c r="I281" t="s">
        <v>6326</v>
      </c>
      <c r="J281">
        <v>76</v>
      </c>
      <c r="K281">
        <v>315</v>
      </c>
      <c r="L281" t="s">
        <v>6003</v>
      </c>
      <c r="M281" s="6" t="s">
        <v>6558</v>
      </c>
      <c r="N281" s="6" t="s">
        <v>6567</v>
      </c>
      <c r="O281" s="6">
        <v>71</v>
      </c>
      <c r="P281" s="6">
        <v>74</v>
      </c>
      <c r="Q281" s="6">
        <v>80</v>
      </c>
      <c r="R281" s="6">
        <v>69</v>
      </c>
      <c r="S281" s="6">
        <v>79</v>
      </c>
      <c r="T281" s="6">
        <v>71</v>
      </c>
      <c r="U281" s="6">
        <v>83</v>
      </c>
      <c r="V281" s="6">
        <v>74</v>
      </c>
      <c r="W281" s="6">
        <v>82</v>
      </c>
      <c r="X281" s="6">
        <v>70</v>
      </c>
      <c r="Y281" s="6">
        <v>87</v>
      </c>
      <c r="Z281" s="6">
        <v>75</v>
      </c>
      <c r="AA281" s="6">
        <v>71</v>
      </c>
      <c r="AB281" s="6">
        <v>75</v>
      </c>
      <c r="AC281" s="6">
        <v>83</v>
      </c>
      <c r="AD281" s="6">
        <v>79</v>
      </c>
      <c r="AE281" s="6">
        <v>68</v>
      </c>
      <c r="AF281" s="6">
        <v>72</v>
      </c>
      <c r="AG281" s="6" t="s">
        <v>8038</v>
      </c>
      <c r="AH281" s="6" t="s">
        <v>6694</v>
      </c>
    </row>
    <row r="282" spans="1:34" x14ac:dyDescent="0.2">
      <c r="A282" t="s">
        <v>4344</v>
      </c>
      <c r="B282" t="s">
        <v>2607</v>
      </c>
      <c r="C282" t="s">
        <v>2870</v>
      </c>
      <c r="D282" s="7" t="s">
        <v>156</v>
      </c>
      <c r="E282" t="s">
        <v>38</v>
      </c>
      <c r="F282">
        <v>26</v>
      </c>
      <c r="G282">
        <v>79</v>
      </c>
      <c r="H282">
        <v>82</v>
      </c>
      <c r="I282" t="s">
        <v>6394</v>
      </c>
      <c r="J282">
        <v>71</v>
      </c>
      <c r="K282">
        <v>205</v>
      </c>
      <c r="L282" t="s">
        <v>6038</v>
      </c>
      <c r="M282" s="6" t="s">
        <v>6558</v>
      </c>
      <c r="N282" s="6" t="s">
        <v>6583</v>
      </c>
      <c r="O282" s="6">
        <v>82</v>
      </c>
      <c r="P282" s="6">
        <v>81</v>
      </c>
      <c r="Q282" s="6">
        <v>78</v>
      </c>
      <c r="R282" s="6">
        <v>78</v>
      </c>
      <c r="S282" s="6">
        <v>83</v>
      </c>
      <c r="T282" s="6">
        <v>79</v>
      </c>
      <c r="U282" s="6">
        <v>83</v>
      </c>
      <c r="V282" s="6">
        <v>74</v>
      </c>
      <c r="W282" s="6">
        <v>80</v>
      </c>
      <c r="X282" s="6">
        <v>86</v>
      </c>
      <c r="Y282" s="6">
        <v>85</v>
      </c>
      <c r="Z282" s="6">
        <v>83</v>
      </c>
      <c r="AA282" s="6">
        <v>80</v>
      </c>
      <c r="AB282" s="6">
        <v>79</v>
      </c>
      <c r="AC282" s="6">
        <v>71</v>
      </c>
      <c r="AD282" s="6">
        <v>80</v>
      </c>
      <c r="AE282" s="6">
        <v>70</v>
      </c>
      <c r="AF282" s="6">
        <v>76</v>
      </c>
      <c r="AG282" s="6" t="s">
        <v>8072</v>
      </c>
      <c r="AH282" s="6" t="s">
        <v>6725</v>
      </c>
    </row>
    <row r="283" spans="1:34" x14ac:dyDescent="0.2">
      <c r="A283" t="s">
        <v>4377</v>
      </c>
      <c r="B283" t="s">
        <v>2640</v>
      </c>
      <c r="C283" t="s">
        <v>61</v>
      </c>
      <c r="D283" s="7" t="s">
        <v>156</v>
      </c>
      <c r="E283" t="s">
        <v>38</v>
      </c>
      <c r="F283">
        <v>28</v>
      </c>
      <c r="G283">
        <v>78</v>
      </c>
      <c r="H283">
        <v>82</v>
      </c>
      <c r="I283" t="s">
        <v>6384</v>
      </c>
      <c r="J283">
        <v>68</v>
      </c>
      <c r="K283">
        <v>189</v>
      </c>
      <c r="L283" t="s">
        <v>6071</v>
      </c>
      <c r="M283" s="6" t="s">
        <v>6558</v>
      </c>
      <c r="N283" s="6" t="s">
        <v>6565</v>
      </c>
      <c r="O283" s="6">
        <v>82</v>
      </c>
      <c r="P283" s="6">
        <v>67</v>
      </c>
      <c r="Q283" s="6">
        <v>75</v>
      </c>
      <c r="R283" s="6">
        <v>72</v>
      </c>
      <c r="S283" s="6">
        <v>83</v>
      </c>
      <c r="T283" s="6">
        <v>74</v>
      </c>
      <c r="U283" s="6">
        <v>71</v>
      </c>
      <c r="V283" s="6">
        <v>81</v>
      </c>
      <c r="W283" s="6">
        <v>79</v>
      </c>
      <c r="X283" s="6">
        <v>80</v>
      </c>
      <c r="Y283" s="6">
        <v>80</v>
      </c>
      <c r="Z283" s="6">
        <v>82</v>
      </c>
      <c r="AA283" s="6">
        <v>75</v>
      </c>
      <c r="AB283" s="6">
        <v>75</v>
      </c>
      <c r="AC283" s="6">
        <v>80</v>
      </c>
      <c r="AD283" s="6">
        <v>79</v>
      </c>
      <c r="AE283" s="6">
        <v>75</v>
      </c>
      <c r="AF283" s="6">
        <v>76</v>
      </c>
      <c r="AG283" s="6" t="s">
        <v>8104</v>
      </c>
      <c r="AH283" s="6" t="s">
        <v>7082</v>
      </c>
    </row>
    <row r="284" spans="1:34" x14ac:dyDescent="0.2">
      <c r="A284" t="s">
        <v>4386</v>
      </c>
      <c r="B284" t="s">
        <v>2649</v>
      </c>
      <c r="C284" t="s">
        <v>2885</v>
      </c>
      <c r="D284" s="7" t="s">
        <v>156</v>
      </c>
      <c r="E284" t="s">
        <v>58</v>
      </c>
      <c r="F284">
        <v>33</v>
      </c>
      <c r="G284">
        <v>69</v>
      </c>
      <c r="H284">
        <v>82</v>
      </c>
      <c r="I284" t="s">
        <v>6349</v>
      </c>
      <c r="J284">
        <v>74</v>
      </c>
      <c r="K284">
        <v>251</v>
      </c>
      <c r="L284" t="s">
        <v>6080</v>
      </c>
      <c r="M284" s="6" t="s">
        <v>6558</v>
      </c>
      <c r="N284" s="6" t="s">
        <v>6567</v>
      </c>
      <c r="O284" s="6">
        <v>78</v>
      </c>
      <c r="P284" s="6">
        <v>71</v>
      </c>
      <c r="Q284" s="6">
        <v>80</v>
      </c>
      <c r="R284" s="6">
        <v>67</v>
      </c>
      <c r="S284" s="6">
        <v>79</v>
      </c>
      <c r="T284" s="6">
        <v>71</v>
      </c>
      <c r="U284" s="6">
        <v>69</v>
      </c>
      <c r="V284" s="6">
        <v>78</v>
      </c>
      <c r="W284" s="6">
        <v>72</v>
      </c>
      <c r="X284" s="6">
        <v>78</v>
      </c>
      <c r="Y284" s="6">
        <v>75</v>
      </c>
      <c r="Z284" s="6">
        <v>71</v>
      </c>
      <c r="AA284" s="6">
        <v>58</v>
      </c>
      <c r="AB284" s="6">
        <v>62</v>
      </c>
      <c r="AC284" s="6">
        <v>68</v>
      </c>
      <c r="AD284" s="6">
        <v>60</v>
      </c>
      <c r="AE284" s="6">
        <v>66</v>
      </c>
      <c r="AF284" s="6">
        <v>63</v>
      </c>
      <c r="AG284" s="6" t="s">
        <v>8112</v>
      </c>
      <c r="AH284" s="6" t="s">
        <v>6628</v>
      </c>
    </row>
    <row r="285" spans="1:34" x14ac:dyDescent="0.2">
      <c r="A285" t="s">
        <v>4387</v>
      </c>
      <c r="B285" t="s">
        <v>2650</v>
      </c>
      <c r="C285" t="s">
        <v>2885</v>
      </c>
      <c r="D285" s="7" t="s">
        <v>156</v>
      </c>
      <c r="E285" t="s">
        <v>38</v>
      </c>
      <c r="F285">
        <v>24</v>
      </c>
      <c r="G285">
        <v>67</v>
      </c>
      <c r="H285">
        <v>82</v>
      </c>
      <c r="I285" t="s">
        <v>6385</v>
      </c>
      <c r="J285">
        <v>72</v>
      </c>
      <c r="K285">
        <v>249</v>
      </c>
      <c r="L285" t="s">
        <v>6081</v>
      </c>
      <c r="M285" s="6" t="s">
        <v>6558</v>
      </c>
      <c r="N285" s="6" t="s">
        <v>6614</v>
      </c>
      <c r="O285" s="6">
        <v>71</v>
      </c>
      <c r="P285" s="6">
        <v>74</v>
      </c>
      <c r="Q285" s="6">
        <v>67</v>
      </c>
      <c r="R285" s="6">
        <v>59</v>
      </c>
      <c r="S285" s="6">
        <v>66</v>
      </c>
      <c r="T285" s="6">
        <v>75</v>
      </c>
      <c r="U285" s="6">
        <v>65</v>
      </c>
      <c r="V285" s="6">
        <v>72</v>
      </c>
      <c r="W285" s="6">
        <v>72</v>
      </c>
      <c r="X285" s="6">
        <v>77</v>
      </c>
      <c r="Y285" s="6">
        <v>76</v>
      </c>
      <c r="Z285" s="6">
        <v>73</v>
      </c>
      <c r="AA285" s="6">
        <v>67</v>
      </c>
      <c r="AB285" s="6">
        <v>68</v>
      </c>
      <c r="AC285" s="6">
        <v>58</v>
      </c>
      <c r="AD285" s="6">
        <v>63</v>
      </c>
      <c r="AE285" s="6">
        <v>68</v>
      </c>
      <c r="AF285" s="6">
        <v>68</v>
      </c>
      <c r="AG285" s="6" t="s">
        <v>8113</v>
      </c>
      <c r="AH285" s="6" t="s">
        <v>6628</v>
      </c>
    </row>
    <row r="286" spans="1:34" x14ac:dyDescent="0.2">
      <c r="A286" t="s">
        <v>4391</v>
      </c>
      <c r="B286" t="s">
        <v>2654</v>
      </c>
      <c r="C286" t="s">
        <v>2886</v>
      </c>
      <c r="D286" s="7" t="s">
        <v>156</v>
      </c>
      <c r="E286" t="s">
        <v>38</v>
      </c>
      <c r="F286">
        <v>25</v>
      </c>
      <c r="G286">
        <v>64</v>
      </c>
      <c r="H286">
        <v>82</v>
      </c>
      <c r="I286" t="s">
        <v>6311</v>
      </c>
      <c r="J286">
        <v>74</v>
      </c>
      <c r="K286">
        <v>245</v>
      </c>
      <c r="L286" t="s">
        <v>6085</v>
      </c>
      <c r="M286" s="6" t="s">
        <v>6558</v>
      </c>
      <c r="N286" s="6" t="s">
        <v>6583</v>
      </c>
      <c r="O286" s="6">
        <v>78</v>
      </c>
      <c r="P286" s="6">
        <v>74</v>
      </c>
      <c r="Q286" s="6">
        <v>74</v>
      </c>
      <c r="R286" s="6">
        <v>77</v>
      </c>
      <c r="S286" s="6">
        <v>79</v>
      </c>
      <c r="T286" s="6">
        <v>70</v>
      </c>
      <c r="U286" s="6">
        <v>72</v>
      </c>
      <c r="V286" s="6">
        <v>77</v>
      </c>
      <c r="W286" s="6">
        <v>65</v>
      </c>
      <c r="X286" s="6">
        <v>51</v>
      </c>
      <c r="Y286" s="6">
        <v>70</v>
      </c>
      <c r="Z286" s="6">
        <v>71</v>
      </c>
      <c r="AA286" s="6">
        <v>70</v>
      </c>
      <c r="AB286" s="6">
        <v>73</v>
      </c>
      <c r="AC286" s="6">
        <v>67</v>
      </c>
      <c r="AD286" s="6">
        <v>75</v>
      </c>
      <c r="AE286" s="6">
        <v>73</v>
      </c>
      <c r="AF286" s="6">
        <v>67</v>
      </c>
      <c r="AG286" s="6" t="s">
        <v>8117</v>
      </c>
      <c r="AH286" s="6" t="s">
        <v>6649</v>
      </c>
    </row>
    <row r="287" spans="1:34" x14ac:dyDescent="0.2">
      <c r="A287" t="s">
        <v>2942</v>
      </c>
      <c r="B287" t="s">
        <v>1206</v>
      </c>
      <c r="C287" t="s">
        <v>2878</v>
      </c>
      <c r="D287" s="7" t="s">
        <v>129</v>
      </c>
      <c r="E287" t="s">
        <v>38</v>
      </c>
      <c r="F287">
        <v>26</v>
      </c>
      <c r="G287">
        <v>73</v>
      </c>
      <c r="H287">
        <v>81</v>
      </c>
      <c r="I287" t="s">
        <v>6329</v>
      </c>
      <c r="J287">
        <v>76</v>
      </c>
      <c r="K287">
        <v>266</v>
      </c>
      <c r="L287" t="s">
        <v>4636</v>
      </c>
      <c r="M287" s="6" t="s">
        <v>6558</v>
      </c>
      <c r="N287" s="6" t="s">
        <v>6614</v>
      </c>
      <c r="O287" s="6">
        <v>82</v>
      </c>
      <c r="P287" s="6">
        <v>69</v>
      </c>
      <c r="Q287" s="6">
        <v>71</v>
      </c>
      <c r="R287" s="6">
        <v>61</v>
      </c>
      <c r="S287" s="6">
        <v>71</v>
      </c>
      <c r="T287" s="6">
        <v>79</v>
      </c>
      <c r="U287" s="6">
        <v>92</v>
      </c>
      <c r="V287" s="6">
        <v>81</v>
      </c>
      <c r="W287" s="6">
        <v>80</v>
      </c>
      <c r="X287" s="6">
        <v>74</v>
      </c>
      <c r="Y287" s="6">
        <v>74</v>
      </c>
      <c r="Z287" s="6">
        <v>82</v>
      </c>
      <c r="AA287" s="6">
        <v>73</v>
      </c>
      <c r="AB287" s="6">
        <v>83</v>
      </c>
      <c r="AC287" s="6">
        <v>74</v>
      </c>
      <c r="AD287" s="6">
        <v>72</v>
      </c>
      <c r="AE287" s="6">
        <v>70</v>
      </c>
      <c r="AF287" s="6">
        <v>68</v>
      </c>
      <c r="AG287" s="6" t="s">
        <v>6615</v>
      </c>
      <c r="AH287" s="6" t="s">
        <v>6612</v>
      </c>
    </row>
    <row r="288" spans="1:34" x14ac:dyDescent="0.2">
      <c r="A288" t="s">
        <v>2975</v>
      </c>
      <c r="B288" t="s">
        <v>1239</v>
      </c>
      <c r="C288" t="s">
        <v>57</v>
      </c>
      <c r="D288" s="7" t="s">
        <v>146</v>
      </c>
      <c r="E288" t="s">
        <v>58</v>
      </c>
      <c r="F288">
        <v>22</v>
      </c>
      <c r="G288">
        <v>65</v>
      </c>
      <c r="H288">
        <v>81</v>
      </c>
      <c r="I288" t="s">
        <v>6313</v>
      </c>
      <c r="J288">
        <v>75</v>
      </c>
      <c r="K288">
        <v>199</v>
      </c>
      <c r="L288" t="s">
        <v>4669</v>
      </c>
      <c r="M288" s="6" t="s">
        <v>6558</v>
      </c>
      <c r="N288" s="6" t="s">
        <v>6614</v>
      </c>
      <c r="O288" s="6">
        <v>68</v>
      </c>
      <c r="P288" s="6">
        <v>67</v>
      </c>
      <c r="Q288" s="6">
        <v>65</v>
      </c>
      <c r="R288" s="6">
        <v>57</v>
      </c>
      <c r="S288" s="6">
        <v>78</v>
      </c>
      <c r="T288" s="6">
        <v>64</v>
      </c>
      <c r="U288" s="6">
        <v>72</v>
      </c>
      <c r="V288" s="6">
        <v>70</v>
      </c>
      <c r="W288" s="6">
        <v>67</v>
      </c>
      <c r="X288" s="6">
        <v>60</v>
      </c>
      <c r="Y288" s="6">
        <v>66</v>
      </c>
      <c r="Z288" s="6">
        <v>67</v>
      </c>
      <c r="AA288" s="6">
        <v>67</v>
      </c>
      <c r="AB288" s="6">
        <v>65</v>
      </c>
      <c r="AC288" s="6">
        <v>72</v>
      </c>
      <c r="AD288" s="6">
        <v>69</v>
      </c>
      <c r="AE288" s="6">
        <v>67</v>
      </c>
      <c r="AF288" s="6">
        <v>62</v>
      </c>
      <c r="AG288" s="6" t="s">
        <v>6667</v>
      </c>
      <c r="AH288" s="6" t="s">
        <v>6664</v>
      </c>
    </row>
    <row r="289" spans="1:34" x14ac:dyDescent="0.2">
      <c r="A289" t="s">
        <v>2978</v>
      </c>
      <c r="B289" t="s">
        <v>1242</v>
      </c>
      <c r="C289" t="s">
        <v>2872</v>
      </c>
      <c r="D289" s="7" t="s">
        <v>146</v>
      </c>
      <c r="E289" t="s">
        <v>38</v>
      </c>
      <c r="F289">
        <v>29</v>
      </c>
      <c r="G289">
        <v>67</v>
      </c>
      <c r="H289">
        <v>81</v>
      </c>
      <c r="I289" t="s">
        <v>62</v>
      </c>
      <c r="J289">
        <v>76</v>
      </c>
      <c r="K289">
        <v>333</v>
      </c>
      <c r="L289" t="s">
        <v>4672</v>
      </c>
      <c r="M289" s="6" t="s">
        <v>6558</v>
      </c>
      <c r="N289" s="6" t="s">
        <v>6567</v>
      </c>
      <c r="O289" s="6">
        <v>72</v>
      </c>
      <c r="P289" s="6">
        <v>71</v>
      </c>
      <c r="Q289" s="6">
        <v>72</v>
      </c>
      <c r="R289" s="6">
        <v>63</v>
      </c>
      <c r="S289" s="6">
        <v>63</v>
      </c>
      <c r="T289" s="6">
        <v>71</v>
      </c>
      <c r="U289" s="6">
        <v>64</v>
      </c>
      <c r="V289" s="6">
        <v>71</v>
      </c>
      <c r="W289" s="6">
        <v>80</v>
      </c>
      <c r="X289" s="6">
        <v>68</v>
      </c>
      <c r="Y289" s="6">
        <v>67</v>
      </c>
      <c r="Z289" s="6">
        <v>67</v>
      </c>
      <c r="AA289" s="6">
        <v>69</v>
      </c>
      <c r="AB289" s="6">
        <v>69</v>
      </c>
      <c r="AC289" s="6">
        <v>68</v>
      </c>
      <c r="AD289" s="6">
        <v>70</v>
      </c>
      <c r="AE289" s="6">
        <v>64</v>
      </c>
      <c r="AF289" s="6">
        <v>72</v>
      </c>
      <c r="AG289" s="6" t="s">
        <v>6671</v>
      </c>
      <c r="AH289" s="6" t="s">
        <v>6593</v>
      </c>
    </row>
    <row r="290" spans="1:34" x14ac:dyDescent="0.2">
      <c r="A290" t="s">
        <v>3001</v>
      </c>
      <c r="B290" t="s">
        <v>1265</v>
      </c>
      <c r="C290" t="s">
        <v>2882</v>
      </c>
      <c r="D290" s="7" t="s">
        <v>146</v>
      </c>
      <c r="E290" t="s">
        <v>58</v>
      </c>
      <c r="F290">
        <v>21</v>
      </c>
      <c r="G290">
        <v>60</v>
      </c>
      <c r="H290">
        <v>81</v>
      </c>
      <c r="I290" t="s">
        <v>6338</v>
      </c>
      <c r="J290">
        <v>71</v>
      </c>
      <c r="K290">
        <v>203</v>
      </c>
      <c r="L290" t="s">
        <v>4695</v>
      </c>
      <c r="M290" s="6" t="s">
        <v>6558</v>
      </c>
      <c r="N290" s="6" t="s">
        <v>6614</v>
      </c>
      <c r="O290" s="6">
        <v>73</v>
      </c>
      <c r="P290" s="6">
        <v>71</v>
      </c>
      <c r="Q290" s="6">
        <v>74</v>
      </c>
      <c r="R290" s="6">
        <v>61</v>
      </c>
      <c r="S290" s="6">
        <v>62</v>
      </c>
      <c r="T290" s="6">
        <v>62</v>
      </c>
      <c r="U290" s="6">
        <v>64</v>
      </c>
      <c r="V290" s="6">
        <v>67</v>
      </c>
      <c r="W290" s="6">
        <v>65</v>
      </c>
      <c r="X290" s="6">
        <v>61</v>
      </c>
      <c r="Y290" s="6">
        <v>71</v>
      </c>
      <c r="Z290" s="6">
        <v>61</v>
      </c>
      <c r="AA290" s="6">
        <v>61</v>
      </c>
      <c r="AB290" s="6">
        <v>62</v>
      </c>
      <c r="AC290" s="6">
        <v>59</v>
      </c>
      <c r="AD290" s="6">
        <v>66</v>
      </c>
      <c r="AE290" s="6">
        <v>68</v>
      </c>
      <c r="AF290" s="6">
        <v>69</v>
      </c>
      <c r="AG290" s="6" t="s">
        <v>6702</v>
      </c>
      <c r="AH290" s="6" t="s">
        <v>6636</v>
      </c>
    </row>
    <row r="291" spans="1:34" x14ac:dyDescent="0.2">
      <c r="A291" t="s">
        <v>3020</v>
      </c>
      <c r="B291" t="s">
        <v>1284</v>
      </c>
      <c r="C291" t="s">
        <v>57</v>
      </c>
      <c r="D291" s="7" t="s">
        <v>131</v>
      </c>
      <c r="E291" t="s">
        <v>38</v>
      </c>
      <c r="F291">
        <v>27</v>
      </c>
      <c r="G291">
        <v>80</v>
      </c>
      <c r="H291">
        <v>81</v>
      </c>
      <c r="I291" t="s">
        <v>6308</v>
      </c>
      <c r="J291">
        <v>70</v>
      </c>
      <c r="K291">
        <v>184</v>
      </c>
      <c r="L291" t="s">
        <v>4714</v>
      </c>
      <c r="M291" s="6" t="s">
        <v>6558</v>
      </c>
      <c r="N291" s="6" t="s">
        <v>6565</v>
      </c>
      <c r="O291" s="6">
        <v>75</v>
      </c>
      <c r="P291" s="6">
        <v>81</v>
      </c>
      <c r="Q291" s="6">
        <v>80</v>
      </c>
      <c r="R291" s="6">
        <v>73</v>
      </c>
      <c r="S291" s="6">
        <v>77</v>
      </c>
      <c r="T291" s="6">
        <v>73</v>
      </c>
      <c r="U291" s="6">
        <v>91</v>
      </c>
      <c r="V291" s="6">
        <v>88</v>
      </c>
      <c r="W291" s="6">
        <v>71</v>
      </c>
      <c r="X291" s="6">
        <v>82</v>
      </c>
      <c r="Y291" s="6">
        <v>70</v>
      </c>
      <c r="Z291" s="6">
        <v>79</v>
      </c>
      <c r="AA291" s="6">
        <v>82</v>
      </c>
      <c r="AB291" s="6">
        <v>76</v>
      </c>
      <c r="AC291" s="6">
        <v>75</v>
      </c>
      <c r="AD291" s="6">
        <v>82</v>
      </c>
      <c r="AE291" s="6">
        <v>76</v>
      </c>
      <c r="AF291" s="6">
        <v>80</v>
      </c>
      <c r="AG291" s="6" t="s">
        <v>6728</v>
      </c>
      <c r="AH291" s="6" t="s">
        <v>6664</v>
      </c>
    </row>
    <row r="292" spans="1:34" x14ac:dyDescent="0.2">
      <c r="A292" t="s">
        <v>3022</v>
      </c>
      <c r="B292" t="s">
        <v>1286</v>
      </c>
      <c r="C292" t="s">
        <v>57</v>
      </c>
      <c r="D292" s="7" t="s">
        <v>131</v>
      </c>
      <c r="E292" t="s">
        <v>58</v>
      </c>
      <c r="F292">
        <v>31</v>
      </c>
      <c r="G292">
        <v>78</v>
      </c>
      <c r="H292">
        <v>81</v>
      </c>
      <c r="I292" t="s">
        <v>6310</v>
      </c>
      <c r="J292">
        <v>70</v>
      </c>
      <c r="K292">
        <v>175</v>
      </c>
      <c r="L292" t="s">
        <v>4716</v>
      </c>
      <c r="M292" s="6" t="s">
        <v>6558</v>
      </c>
      <c r="N292" s="6" t="s">
        <v>6565</v>
      </c>
      <c r="O292" s="6">
        <v>81</v>
      </c>
      <c r="P292" s="6">
        <v>73</v>
      </c>
      <c r="Q292" s="6">
        <v>74</v>
      </c>
      <c r="R292" s="6">
        <v>72</v>
      </c>
      <c r="S292" s="6">
        <v>79</v>
      </c>
      <c r="T292" s="6">
        <v>82</v>
      </c>
      <c r="U292" s="6">
        <v>77</v>
      </c>
      <c r="V292" s="6">
        <v>76</v>
      </c>
      <c r="W292" s="6">
        <v>73</v>
      </c>
      <c r="X292" s="6">
        <v>64</v>
      </c>
      <c r="Y292" s="6">
        <v>79</v>
      </c>
      <c r="Z292" s="6">
        <v>77</v>
      </c>
      <c r="AA292" s="6">
        <v>65</v>
      </c>
      <c r="AB292" s="6">
        <v>71</v>
      </c>
      <c r="AC292" s="6">
        <v>64</v>
      </c>
      <c r="AD292" s="6">
        <v>65</v>
      </c>
      <c r="AE292" s="6">
        <v>71</v>
      </c>
      <c r="AF292" s="6">
        <v>62</v>
      </c>
      <c r="AG292" s="6" t="s">
        <v>6731</v>
      </c>
      <c r="AH292" s="6" t="s">
        <v>6576</v>
      </c>
    </row>
    <row r="293" spans="1:34" x14ac:dyDescent="0.2">
      <c r="A293" t="s">
        <v>3132</v>
      </c>
      <c r="B293" t="s">
        <v>1396</v>
      </c>
      <c r="C293" t="s">
        <v>2879</v>
      </c>
      <c r="D293" s="7" t="s">
        <v>133</v>
      </c>
      <c r="E293" t="s">
        <v>38</v>
      </c>
      <c r="F293">
        <v>26</v>
      </c>
      <c r="G293">
        <v>78</v>
      </c>
      <c r="H293">
        <v>81</v>
      </c>
      <c r="I293" t="s">
        <v>6328</v>
      </c>
      <c r="J293">
        <v>75</v>
      </c>
      <c r="K293">
        <v>319</v>
      </c>
      <c r="L293" t="s">
        <v>4826</v>
      </c>
      <c r="M293" s="6" t="s">
        <v>6558</v>
      </c>
      <c r="N293" s="6" t="s">
        <v>6565</v>
      </c>
      <c r="O293" s="6">
        <v>68</v>
      </c>
      <c r="P293" s="6">
        <v>76</v>
      </c>
      <c r="Q293" s="6">
        <v>73</v>
      </c>
      <c r="R293" s="6">
        <v>75</v>
      </c>
      <c r="S293" s="6">
        <v>84</v>
      </c>
      <c r="T293" s="6">
        <v>79</v>
      </c>
      <c r="U293" s="6">
        <v>78</v>
      </c>
      <c r="V293" s="6">
        <v>85</v>
      </c>
      <c r="W293" s="6">
        <v>75</v>
      </c>
      <c r="X293" s="6">
        <v>77</v>
      </c>
      <c r="Y293" s="6">
        <v>69</v>
      </c>
      <c r="Z293" s="6">
        <v>74</v>
      </c>
      <c r="AA293" s="6">
        <v>68</v>
      </c>
      <c r="AB293" s="6">
        <v>72</v>
      </c>
      <c r="AC293" s="6">
        <v>72</v>
      </c>
      <c r="AD293" s="6">
        <v>65</v>
      </c>
      <c r="AE293" s="6">
        <v>71</v>
      </c>
      <c r="AF293" s="6">
        <v>74</v>
      </c>
      <c r="AG293" s="6" t="s">
        <v>6854</v>
      </c>
      <c r="AH293" s="6" t="s">
        <v>6855</v>
      </c>
    </row>
    <row r="294" spans="1:34" x14ac:dyDescent="0.2">
      <c r="A294" t="s">
        <v>3177</v>
      </c>
      <c r="B294" t="s">
        <v>1441</v>
      </c>
      <c r="C294" t="s">
        <v>2878</v>
      </c>
      <c r="D294" s="7" t="s">
        <v>134</v>
      </c>
      <c r="E294" t="s">
        <v>38</v>
      </c>
      <c r="F294">
        <v>26</v>
      </c>
      <c r="G294">
        <v>79</v>
      </c>
      <c r="H294">
        <v>81</v>
      </c>
      <c r="I294" t="s">
        <v>6367</v>
      </c>
      <c r="J294">
        <v>76</v>
      </c>
      <c r="K294">
        <v>270</v>
      </c>
      <c r="L294" t="s">
        <v>4871</v>
      </c>
      <c r="M294" s="6" t="s">
        <v>6558</v>
      </c>
      <c r="N294" s="6" t="s">
        <v>6565</v>
      </c>
      <c r="O294" s="6">
        <v>73</v>
      </c>
      <c r="P294" s="6">
        <v>70</v>
      </c>
      <c r="Q294" s="6">
        <v>85</v>
      </c>
      <c r="R294" s="6">
        <v>75</v>
      </c>
      <c r="S294" s="6">
        <v>79</v>
      </c>
      <c r="T294" s="6">
        <v>72</v>
      </c>
      <c r="U294" s="6">
        <v>68</v>
      </c>
      <c r="V294" s="6">
        <v>74</v>
      </c>
      <c r="W294" s="6">
        <v>72</v>
      </c>
      <c r="X294" s="6">
        <v>81</v>
      </c>
      <c r="Y294" s="6">
        <v>72</v>
      </c>
      <c r="Z294" s="6">
        <v>68</v>
      </c>
      <c r="AA294" s="6">
        <v>70</v>
      </c>
      <c r="AB294" s="6">
        <v>73</v>
      </c>
      <c r="AC294" s="6">
        <v>74</v>
      </c>
      <c r="AD294" s="6">
        <v>70</v>
      </c>
      <c r="AE294" s="6">
        <v>73</v>
      </c>
      <c r="AF294" s="6">
        <v>75</v>
      </c>
      <c r="AG294" s="6" t="s">
        <v>6903</v>
      </c>
      <c r="AH294" s="6" t="s">
        <v>6797</v>
      </c>
    </row>
    <row r="295" spans="1:34" x14ac:dyDescent="0.2">
      <c r="A295" t="s">
        <v>3276</v>
      </c>
      <c r="B295" t="s">
        <v>1540</v>
      </c>
      <c r="C295" t="s">
        <v>2872</v>
      </c>
      <c r="D295" s="7" t="s">
        <v>136</v>
      </c>
      <c r="E295" t="s">
        <v>58</v>
      </c>
      <c r="F295">
        <v>34</v>
      </c>
      <c r="G295">
        <v>73</v>
      </c>
      <c r="H295">
        <v>81</v>
      </c>
      <c r="I295" t="s">
        <v>6465</v>
      </c>
      <c r="J295">
        <v>79</v>
      </c>
      <c r="K295">
        <v>323</v>
      </c>
      <c r="L295" t="s">
        <v>4970</v>
      </c>
      <c r="M295" s="6" t="s">
        <v>6558</v>
      </c>
      <c r="N295" s="6" t="s">
        <v>6565</v>
      </c>
      <c r="O295" s="6">
        <v>79</v>
      </c>
      <c r="P295" s="6">
        <v>71</v>
      </c>
      <c r="Q295" s="6">
        <v>71</v>
      </c>
      <c r="R295" s="6">
        <v>70</v>
      </c>
      <c r="S295" s="6">
        <v>76</v>
      </c>
      <c r="T295" s="6">
        <v>75</v>
      </c>
      <c r="U295" s="6">
        <v>70</v>
      </c>
      <c r="V295" s="6">
        <v>67</v>
      </c>
      <c r="W295" s="6">
        <v>63</v>
      </c>
      <c r="X295" s="6">
        <v>71</v>
      </c>
      <c r="Y295" s="6">
        <v>69</v>
      </c>
      <c r="Z295" s="6">
        <v>75</v>
      </c>
      <c r="AA295" s="6">
        <v>58</v>
      </c>
      <c r="AB295" s="6">
        <v>57</v>
      </c>
      <c r="AC295" s="6">
        <v>61</v>
      </c>
      <c r="AD295" s="6">
        <v>62</v>
      </c>
      <c r="AE295" s="6">
        <v>63</v>
      </c>
      <c r="AF295" s="6">
        <v>65</v>
      </c>
      <c r="AG295" s="6" t="s">
        <v>7007</v>
      </c>
      <c r="AH295" s="6" t="s">
        <v>6680</v>
      </c>
    </row>
    <row r="296" spans="1:34" x14ac:dyDescent="0.2">
      <c r="A296" t="s">
        <v>3361</v>
      </c>
      <c r="B296" t="s">
        <v>1625</v>
      </c>
      <c r="C296" t="s">
        <v>53</v>
      </c>
      <c r="D296" s="7" t="s">
        <v>138</v>
      </c>
      <c r="E296" t="s">
        <v>58</v>
      </c>
      <c r="F296">
        <v>36</v>
      </c>
      <c r="G296">
        <v>72</v>
      </c>
      <c r="H296">
        <v>81</v>
      </c>
      <c r="I296" t="s">
        <v>6368</v>
      </c>
      <c r="J296">
        <v>74</v>
      </c>
      <c r="K296">
        <v>210</v>
      </c>
      <c r="L296" t="s">
        <v>5055</v>
      </c>
      <c r="M296" s="6" t="s">
        <v>6558</v>
      </c>
      <c r="N296" s="6" t="s">
        <v>6562</v>
      </c>
      <c r="O296" s="6">
        <v>98</v>
      </c>
      <c r="P296" s="6">
        <v>79</v>
      </c>
      <c r="Q296" s="6">
        <v>72</v>
      </c>
      <c r="R296" s="6">
        <v>85</v>
      </c>
      <c r="S296" s="6">
        <v>80</v>
      </c>
      <c r="T296" s="6">
        <v>79</v>
      </c>
      <c r="U296" s="6">
        <v>78</v>
      </c>
      <c r="V296" s="6">
        <v>86</v>
      </c>
      <c r="W296" s="6">
        <v>84</v>
      </c>
      <c r="X296" s="6">
        <v>83</v>
      </c>
      <c r="Y296" s="6">
        <v>79</v>
      </c>
      <c r="Z296" s="6">
        <v>83</v>
      </c>
      <c r="AA296" s="6">
        <v>66</v>
      </c>
      <c r="AB296" s="6">
        <v>70</v>
      </c>
      <c r="AC296" s="6">
        <v>66</v>
      </c>
      <c r="AD296" s="6">
        <v>63</v>
      </c>
      <c r="AE296" s="6">
        <v>62</v>
      </c>
      <c r="AF296" s="6">
        <v>66</v>
      </c>
      <c r="AG296" s="6" t="s">
        <v>7096</v>
      </c>
      <c r="AH296" s="6" t="s">
        <v>6715</v>
      </c>
    </row>
    <row r="297" spans="1:34" x14ac:dyDescent="0.2">
      <c r="A297" t="s">
        <v>3417</v>
      </c>
      <c r="B297" t="s">
        <v>1681</v>
      </c>
      <c r="C297" t="s">
        <v>53</v>
      </c>
      <c r="D297" s="7" t="s">
        <v>139</v>
      </c>
      <c r="E297" t="s">
        <v>38</v>
      </c>
      <c r="F297">
        <v>26</v>
      </c>
      <c r="G297">
        <v>68</v>
      </c>
      <c r="H297">
        <v>81</v>
      </c>
      <c r="I297" t="s">
        <v>6428</v>
      </c>
      <c r="J297">
        <v>75</v>
      </c>
      <c r="K297">
        <v>210</v>
      </c>
      <c r="L297" t="s">
        <v>5111</v>
      </c>
      <c r="M297" s="6" t="s">
        <v>6558</v>
      </c>
      <c r="N297" s="6" t="s">
        <v>6559</v>
      </c>
      <c r="O297" s="6">
        <v>70</v>
      </c>
      <c r="P297" s="6">
        <v>82</v>
      </c>
      <c r="Q297" s="6">
        <v>71</v>
      </c>
      <c r="R297" s="6">
        <v>84</v>
      </c>
      <c r="S297" s="6">
        <v>80</v>
      </c>
      <c r="T297" s="6">
        <v>71</v>
      </c>
      <c r="U297" s="6">
        <v>75</v>
      </c>
      <c r="V297" s="6">
        <v>73</v>
      </c>
      <c r="W297" s="6">
        <v>64</v>
      </c>
      <c r="X297" s="6">
        <v>73</v>
      </c>
      <c r="Y297" s="6">
        <v>68</v>
      </c>
      <c r="Z297" s="6">
        <v>63</v>
      </c>
      <c r="AA297" s="6">
        <v>69</v>
      </c>
      <c r="AB297" s="6">
        <v>71</v>
      </c>
      <c r="AC297" s="6">
        <v>72</v>
      </c>
      <c r="AD297" s="6">
        <v>70</v>
      </c>
      <c r="AE297" s="6">
        <v>69</v>
      </c>
      <c r="AF297" s="6">
        <v>77</v>
      </c>
      <c r="AG297" s="6" t="s">
        <v>7152</v>
      </c>
      <c r="AH297" s="6" t="s">
        <v>6990</v>
      </c>
    </row>
    <row r="298" spans="1:34" x14ac:dyDescent="0.2">
      <c r="A298" t="s">
        <v>3434</v>
      </c>
      <c r="B298" t="s">
        <v>1698</v>
      </c>
      <c r="C298" t="s">
        <v>2873</v>
      </c>
      <c r="D298" s="7" t="s">
        <v>139</v>
      </c>
      <c r="E298" t="s">
        <v>38</v>
      </c>
      <c r="F298">
        <v>28</v>
      </c>
      <c r="G298">
        <v>71</v>
      </c>
      <c r="H298">
        <v>81</v>
      </c>
      <c r="I298" t="s">
        <v>6450</v>
      </c>
      <c r="J298">
        <v>77</v>
      </c>
      <c r="K298">
        <v>316</v>
      </c>
      <c r="L298" t="s">
        <v>5128</v>
      </c>
      <c r="M298" s="6" t="s">
        <v>6558</v>
      </c>
      <c r="N298" s="6" t="s">
        <v>6565</v>
      </c>
      <c r="O298" s="6">
        <v>70</v>
      </c>
      <c r="P298" s="6">
        <v>73</v>
      </c>
      <c r="Q298" s="6">
        <v>78</v>
      </c>
      <c r="R298" s="6">
        <v>71</v>
      </c>
      <c r="S298" s="6">
        <v>77</v>
      </c>
      <c r="T298" s="6">
        <v>86</v>
      </c>
      <c r="U298" s="6">
        <v>67</v>
      </c>
      <c r="V298" s="6">
        <v>70</v>
      </c>
      <c r="W298" s="6">
        <v>72</v>
      </c>
      <c r="X298" s="6">
        <v>71</v>
      </c>
      <c r="Y298" s="6">
        <v>73</v>
      </c>
      <c r="Z298" s="6">
        <v>76</v>
      </c>
      <c r="AA298" s="6">
        <v>66</v>
      </c>
      <c r="AB298" s="6">
        <v>70</v>
      </c>
      <c r="AC298" s="6">
        <v>70</v>
      </c>
      <c r="AD298" s="6">
        <v>68</v>
      </c>
      <c r="AE298" s="6">
        <v>75</v>
      </c>
      <c r="AF298" s="6">
        <v>70</v>
      </c>
      <c r="AG298" s="6" t="s">
        <v>7169</v>
      </c>
      <c r="AH298" s="6" t="s">
        <v>6596</v>
      </c>
    </row>
    <row r="299" spans="1:34" x14ac:dyDescent="0.2">
      <c r="A299" t="s">
        <v>3448</v>
      </c>
      <c r="B299" t="s">
        <v>1712</v>
      </c>
      <c r="C299" t="s">
        <v>2879</v>
      </c>
      <c r="D299" s="7" t="s">
        <v>139</v>
      </c>
      <c r="E299" t="s">
        <v>38</v>
      </c>
      <c r="F299">
        <v>23</v>
      </c>
      <c r="G299">
        <v>84</v>
      </c>
      <c r="H299">
        <v>81</v>
      </c>
      <c r="I299" t="s">
        <v>6472</v>
      </c>
      <c r="J299">
        <v>73</v>
      </c>
      <c r="K299">
        <v>317</v>
      </c>
      <c r="L299" t="s">
        <v>5142</v>
      </c>
      <c r="M299" s="6" t="s">
        <v>6558</v>
      </c>
      <c r="N299" s="6" t="s">
        <v>6567</v>
      </c>
      <c r="O299" s="6">
        <v>73</v>
      </c>
      <c r="P299" s="6">
        <v>72</v>
      </c>
      <c r="Q299" s="6">
        <v>72</v>
      </c>
      <c r="R299" s="6">
        <v>67</v>
      </c>
      <c r="S299" s="6">
        <v>68</v>
      </c>
      <c r="T299" s="6">
        <v>67</v>
      </c>
      <c r="U299" s="6">
        <v>73</v>
      </c>
      <c r="V299" s="6">
        <v>74</v>
      </c>
      <c r="W299" s="6">
        <v>75</v>
      </c>
      <c r="X299" s="6">
        <v>77</v>
      </c>
      <c r="Y299" s="6">
        <v>74</v>
      </c>
      <c r="Z299" s="6">
        <v>77</v>
      </c>
      <c r="AA299" s="6">
        <v>72</v>
      </c>
      <c r="AB299" s="6">
        <v>74</v>
      </c>
      <c r="AC299" s="6">
        <v>81</v>
      </c>
      <c r="AD299" s="6">
        <v>84</v>
      </c>
      <c r="AE299" s="6">
        <v>75</v>
      </c>
      <c r="AF299" s="6">
        <v>79</v>
      </c>
      <c r="AG299" s="6" t="s">
        <v>7183</v>
      </c>
      <c r="AH299" s="6" t="s">
        <v>6617</v>
      </c>
    </row>
    <row r="300" spans="1:34" x14ac:dyDescent="0.2">
      <c r="A300" t="s">
        <v>3452</v>
      </c>
      <c r="B300" t="s">
        <v>1716</v>
      </c>
      <c r="C300" t="s">
        <v>2879</v>
      </c>
      <c r="D300" s="7" t="s">
        <v>139</v>
      </c>
      <c r="E300" t="s">
        <v>38</v>
      </c>
      <c r="F300">
        <v>29</v>
      </c>
      <c r="G300">
        <v>66</v>
      </c>
      <c r="H300">
        <v>81</v>
      </c>
      <c r="I300" t="s">
        <v>6476</v>
      </c>
      <c r="J300">
        <v>73</v>
      </c>
      <c r="K300">
        <v>309</v>
      </c>
      <c r="L300" t="s">
        <v>5146</v>
      </c>
      <c r="M300" s="6" t="s">
        <v>6558</v>
      </c>
      <c r="N300" s="6" t="s">
        <v>6583</v>
      </c>
      <c r="O300" s="6">
        <v>73</v>
      </c>
      <c r="P300" s="6">
        <v>78</v>
      </c>
      <c r="Q300" s="6">
        <v>75</v>
      </c>
      <c r="R300" s="6">
        <v>77</v>
      </c>
      <c r="S300" s="6">
        <v>85</v>
      </c>
      <c r="T300" s="6">
        <v>63</v>
      </c>
      <c r="U300" s="6">
        <v>71</v>
      </c>
      <c r="V300" s="6">
        <v>84</v>
      </c>
      <c r="W300" s="6">
        <v>72</v>
      </c>
      <c r="X300" s="6">
        <v>69</v>
      </c>
      <c r="Y300" s="6">
        <v>71</v>
      </c>
      <c r="Z300" s="6">
        <v>63</v>
      </c>
      <c r="AA300" s="6">
        <v>72</v>
      </c>
      <c r="AB300" s="6">
        <v>76</v>
      </c>
      <c r="AC300" s="6">
        <v>62</v>
      </c>
      <c r="AD300" s="6">
        <v>73</v>
      </c>
      <c r="AE300" s="6">
        <v>71</v>
      </c>
      <c r="AF300" s="6">
        <v>66</v>
      </c>
      <c r="AG300" s="6" t="s">
        <v>7187</v>
      </c>
      <c r="AH300" s="6" t="s">
        <v>6617</v>
      </c>
    </row>
    <row r="301" spans="1:34" x14ac:dyDescent="0.2">
      <c r="A301" t="s">
        <v>3466</v>
      </c>
      <c r="B301" t="s">
        <v>1730</v>
      </c>
      <c r="C301" t="s">
        <v>2884</v>
      </c>
      <c r="D301" s="7" t="s">
        <v>139</v>
      </c>
      <c r="E301" t="s">
        <v>38</v>
      </c>
      <c r="F301">
        <v>29</v>
      </c>
      <c r="G301">
        <v>76</v>
      </c>
      <c r="H301">
        <v>81</v>
      </c>
      <c r="I301" t="s">
        <v>6491</v>
      </c>
      <c r="J301">
        <v>74</v>
      </c>
      <c r="K301">
        <v>211</v>
      </c>
      <c r="L301" t="s">
        <v>5160</v>
      </c>
      <c r="M301" s="6" t="s">
        <v>6558</v>
      </c>
      <c r="N301" s="6" t="s">
        <v>6565</v>
      </c>
      <c r="O301" s="6">
        <v>78</v>
      </c>
      <c r="P301" s="6">
        <v>73</v>
      </c>
      <c r="Q301" s="6">
        <v>70</v>
      </c>
      <c r="R301" s="6">
        <v>75</v>
      </c>
      <c r="S301" s="6">
        <v>81</v>
      </c>
      <c r="T301" s="6">
        <v>75</v>
      </c>
      <c r="U301" s="6">
        <v>87</v>
      </c>
      <c r="V301" s="6">
        <v>76</v>
      </c>
      <c r="W301" s="6">
        <v>59</v>
      </c>
      <c r="X301" s="6">
        <v>76</v>
      </c>
      <c r="Y301" s="6">
        <v>85</v>
      </c>
      <c r="Z301" s="6">
        <v>79</v>
      </c>
      <c r="AA301" s="6">
        <v>74</v>
      </c>
      <c r="AB301" s="6">
        <v>67</v>
      </c>
      <c r="AC301" s="6">
        <v>78</v>
      </c>
      <c r="AD301" s="6">
        <v>78</v>
      </c>
      <c r="AE301" s="6">
        <v>69</v>
      </c>
      <c r="AF301" s="6">
        <v>72</v>
      </c>
      <c r="AG301" s="6" t="s">
        <v>7202</v>
      </c>
      <c r="AH301" s="6" t="s">
        <v>6818</v>
      </c>
    </row>
    <row r="302" spans="1:34" x14ac:dyDescent="0.2">
      <c r="A302" t="s">
        <v>3493</v>
      </c>
      <c r="B302" t="s">
        <v>1757</v>
      </c>
      <c r="C302" t="s">
        <v>2876</v>
      </c>
      <c r="D302" s="7" t="s">
        <v>140</v>
      </c>
      <c r="E302" t="s">
        <v>38</v>
      </c>
      <c r="F302">
        <v>33</v>
      </c>
      <c r="G302">
        <v>70</v>
      </c>
      <c r="H302">
        <v>81</v>
      </c>
      <c r="I302" t="s">
        <v>6338</v>
      </c>
      <c r="J302">
        <v>76</v>
      </c>
      <c r="K302">
        <v>325</v>
      </c>
      <c r="L302" t="s">
        <v>5187</v>
      </c>
      <c r="M302" s="6" t="s">
        <v>6558</v>
      </c>
      <c r="N302" s="6" t="s">
        <v>6583</v>
      </c>
      <c r="O302" s="6">
        <v>77</v>
      </c>
      <c r="P302" s="6">
        <v>74</v>
      </c>
      <c r="Q302" s="6">
        <v>76</v>
      </c>
      <c r="R302" s="6">
        <v>76</v>
      </c>
      <c r="S302" s="6">
        <v>80</v>
      </c>
      <c r="T302" s="6">
        <v>72</v>
      </c>
      <c r="U302" s="6">
        <v>82</v>
      </c>
      <c r="V302" s="6">
        <v>76</v>
      </c>
      <c r="W302" s="6">
        <v>82</v>
      </c>
      <c r="X302" s="6">
        <v>79</v>
      </c>
      <c r="Y302" s="6">
        <v>73</v>
      </c>
      <c r="Z302" s="6">
        <v>78</v>
      </c>
      <c r="AA302" s="6">
        <v>68</v>
      </c>
      <c r="AB302" s="6">
        <v>68</v>
      </c>
      <c r="AC302" s="6">
        <v>60</v>
      </c>
      <c r="AD302" s="6">
        <v>63</v>
      </c>
      <c r="AE302" s="6">
        <v>68</v>
      </c>
      <c r="AF302" s="6">
        <v>76</v>
      </c>
      <c r="AG302" s="6" t="s">
        <v>7229</v>
      </c>
      <c r="AH302" s="6" t="s">
        <v>6674</v>
      </c>
    </row>
    <row r="303" spans="1:34" x14ac:dyDescent="0.2">
      <c r="A303" t="s">
        <v>3509</v>
      </c>
      <c r="B303" t="s">
        <v>1773</v>
      </c>
      <c r="C303" t="s">
        <v>61</v>
      </c>
      <c r="D303" s="7" t="s">
        <v>140</v>
      </c>
      <c r="E303" t="s">
        <v>58</v>
      </c>
      <c r="F303">
        <v>28</v>
      </c>
      <c r="G303">
        <v>72</v>
      </c>
      <c r="H303">
        <v>81</v>
      </c>
      <c r="I303" t="s">
        <v>6342</v>
      </c>
      <c r="J303">
        <v>71</v>
      </c>
      <c r="K303">
        <v>191</v>
      </c>
      <c r="L303" t="s">
        <v>5203</v>
      </c>
      <c r="M303" s="6" t="s">
        <v>6558</v>
      </c>
      <c r="N303" s="6" t="s">
        <v>6567</v>
      </c>
      <c r="O303" s="6">
        <v>78</v>
      </c>
      <c r="P303" s="6">
        <v>81</v>
      </c>
      <c r="Q303" s="6">
        <v>78</v>
      </c>
      <c r="R303" s="6">
        <v>68</v>
      </c>
      <c r="S303" s="6">
        <v>78</v>
      </c>
      <c r="T303" s="6">
        <v>63</v>
      </c>
      <c r="U303" s="6">
        <v>58</v>
      </c>
      <c r="V303" s="6">
        <v>79</v>
      </c>
      <c r="W303" s="6">
        <v>77</v>
      </c>
      <c r="X303" s="6">
        <v>81</v>
      </c>
      <c r="Y303" s="6">
        <v>74</v>
      </c>
      <c r="Z303" s="6">
        <v>79</v>
      </c>
      <c r="AA303" s="6">
        <v>77</v>
      </c>
      <c r="AB303" s="6">
        <v>80</v>
      </c>
      <c r="AC303" s="6">
        <v>72</v>
      </c>
      <c r="AD303" s="6">
        <v>77</v>
      </c>
      <c r="AE303" s="6">
        <v>80</v>
      </c>
      <c r="AF303" s="6">
        <v>74</v>
      </c>
      <c r="AG303" s="6" t="s">
        <v>7245</v>
      </c>
      <c r="AH303" s="6" t="s">
        <v>6630</v>
      </c>
    </row>
    <row r="304" spans="1:34" x14ac:dyDescent="0.2">
      <c r="A304" t="s">
        <v>3579</v>
      </c>
      <c r="B304" t="s">
        <v>1843</v>
      </c>
      <c r="C304" t="s">
        <v>2886</v>
      </c>
      <c r="D304" s="7" t="s">
        <v>141</v>
      </c>
      <c r="E304" t="s">
        <v>58</v>
      </c>
      <c r="F304">
        <v>31</v>
      </c>
      <c r="G304">
        <v>84</v>
      </c>
      <c r="H304">
        <v>81</v>
      </c>
      <c r="I304" t="s">
        <v>6443</v>
      </c>
      <c r="J304">
        <v>73</v>
      </c>
      <c r="K304">
        <v>245</v>
      </c>
      <c r="L304" t="s">
        <v>5273</v>
      </c>
      <c r="M304" s="6" t="s">
        <v>6558</v>
      </c>
      <c r="N304" s="6" t="s">
        <v>6583</v>
      </c>
      <c r="O304" s="6">
        <v>81</v>
      </c>
      <c r="P304" s="6">
        <v>84</v>
      </c>
      <c r="Q304" s="6">
        <v>79</v>
      </c>
      <c r="R304" s="6">
        <v>77</v>
      </c>
      <c r="S304" s="6">
        <v>75</v>
      </c>
      <c r="T304" s="6">
        <v>83</v>
      </c>
      <c r="U304" s="6">
        <v>73</v>
      </c>
      <c r="V304" s="6">
        <v>81</v>
      </c>
      <c r="W304" s="6">
        <v>82</v>
      </c>
      <c r="X304" s="6">
        <v>75</v>
      </c>
      <c r="Y304" s="6">
        <v>82</v>
      </c>
      <c r="Z304" s="6">
        <v>81</v>
      </c>
      <c r="AA304" s="6">
        <v>68</v>
      </c>
      <c r="AB304" s="6">
        <v>69</v>
      </c>
      <c r="AC304" s="6">
        <v>70</v>
      </c>
      <c r="AD304" s="6">
        <v>79</v>
      </c>
      <c r="AE304" s="6">
        <v>73</v>
      </c>
      <c r="AF304" s="6">
        <v>74</v>
      </c>
      <c r="AG304" s="6" t="s">
        <v>7316</v>
      </c>
      <c r="AH304" s="6" t="s">
        <v>6649</v>
      </c>
    </row>
    <row r="305" spans="1:34" x14ac:dyDescent="0.2">
      <c r="A305" t="s">
        <v>3617</v>
      </c>
      <c r="B305" t="s">
        <v>1881</v>
      </c>
      <c r="C305" t="s">
        <v>61</v>
      </c>
      <c r="D305" s="7" t="s">
        <v>142</v>
      </c>
      <c r="E305" t="s">
        <v>58</v>
      </c>
      <c r="F305">
        <v>31</v>
      </c>
      <c r="G305">
        <v>67</v>
      </c>
      <c r="H305">
        <v>81</v>
      </c>
      <c r="I305" t="s">
        <v>6492</v>
      </c>
      <c r="J305">
        <v>72</v>
      </c>
      <c r="K305">
        <v>197</v>
      </c>
      <c r="L305" t="s">
        <v>5311</v>
      </c>
      <c r="M305" s="6" t="s">
        <v>6558</v>
      </c>
      <c r="N305" s="6" t="s">
        <v>6567</v>
      </c>
      <c r="O305" s="6">
        <v>56</v>
      </c>
      <c r="P305" s="6">
        <v>63</v>
      </c>
      <c r="Q305" s="6">
        <v>64</v>
      </c>
      <c r="R305" s="6">
        <v>63</v>
      </c>
      <c r="S305" s="6">
        <v>81</v>
      </c>
      <c r="T305" s="6">
        <v>69</v>
      </c>
      <c r="U305" s="6">
        <v>71</v>
      </c>
      <c r="V305" s="6">
        <v>77</v>
      </c>
      <c r="W305" s="6">
        <v>63</v>
      </c>
      <c r="X305" s="6">
        <v>70</v>
      </c>
      <c r="Y305" s="6">
        <v>73</v>
      </c>
      <c r="Z305" s="6">
        <v>71</v>
      </c>
      <c r="AA305" s="6">
        <v>67</v>
      </c>
      <c r="AB305" s="6">
        <v>57</v>
      </c>
      <c r="AC305" s="6">
        <v>58</v>
      </c>
      <c r="AD305" s="6">
        <v>63</v>
      </c>
      <c r="AE305" s="6">
        <v>62</v>
      </c>
      <c r="AF305" s="6">
        <v>66</v>
      </c>
      <c r="AG305" s="6" t="s">
        <v>7352</v>
      </c>
      <c r="AH305" s="6" t="s">
        <v>6696</v>
      </c>
    </row>
    <row r="306" spans="1:34" x14ac:dyDescent="0.2">
      <c r="A306" t="s">
        <v>3701</v>
      </c>
      <c r="B306" t="s">
        <v>1965</v>
      </c>
      <c r="C306" t="s">
        <v>57</v>
      </c>
      <c r="D306" s="7" t="s">
        <v>154</v>
      </c>
      <c r="E306" t="s">
        <v>38</v>
      </c>
      <c r="F306">
        <v>26</v>
      </c>
      <c r="G306">
        <v>74</v>
      </c>
      <c r="H306">
        <v>81</v>
      </c>
      <c r="I306" t="s">
        <v>6339</v>
      </c>
      <c r="J306">
        <v>71</v>
      </c>
      <c r="K306">
        <v>225</v>
      </c>
      <c r="L306" t="s">
        <v>5395</v>
      </c>
      <c r="M306" s="6" t="s">
        <v>6558</v>
      </c>
      <c r="N306" s="6" t="s">
        <v>6565</v>
      </c>
      <c r="O306" s="6">
        <v>83</v>
      </c>
      <c r="P306" s="6">
        <v>71</v>
      </c>
      <c r="Q306" s="6">
        <v>76</v>
      </c>
      <c r="R306" s="6">
        <v>74</v>
      </c>
      <c r="S306" s="6">
        <v>82</v>
      </c>
      <c r="T306" s="6">
        <v>69</v>
      </c>
      <c r="U306" s="6">
        <v>82</v>
      </c>
      <c r="V306" s="6">
        <v>71</v>
      </c>
      <c r="W306" s="6">
        <v>76</v>
      </c>
      <c r="X306" s="6">
        <v>62</v>
      </c>
      <c r="Y306" s="6">
        <v>74</v>
      </c>
      <c r="Z306" s="6">
        <v>70</v>
      </c>
      <c r="AA306" s="6">
        <v>78</v>
      </c>
      <c r="AB306" s="6">
        <v>78</v>
      </c>
      <c r="AC306" s="6">
        <v>74</v>
      </c>
      <c r="AD306" s="6">
        <v>73</v>
      </c>
      <c r="AE306" s="6">
        <v>71</v>
      </c>
      <c r="AF306" s="6">
        <v>81</v>
      </c>
      <c r="AG306" s="6" t="s">
        <v>7437</v>
      </c>
      <c r="AH306" s="6" t="s">
        <v>6730</v>
      </c>
    </row>
    <row r="307" spans="1:34" x14ac:dyDescent="0.2">
      <c r="A307" t="s">
        <v>3717</v>
      </c>
      <c r="B307" t="s">
        <v>1981</v>
      </c>
      <c r="C307" t="s">
        <v>2887</v>
      </c>
      <c r="D307" s="7" t="s">
        <v>154</v>
      </c>
      <c r="E307" t="s">
        <v>38</v>
      </c>
      <c r="F307">
        <v>31</v>
      </c>
      <c r="G307">
        <v>66</v>
      </c>
      <c r="H307">
        <v>81</v>
      </c>
      <c r="I307" t="s">
        <v>6398</v>
      </c>
      <c r="J307">
        <v>74</v>
      </c>
      <c r="K307">
        <v>319</v>
      </c>
      <c r="L307" t="s">
        <v>5411</v>
      </c>
      <c r="M307" s="6" t="s">
        <v>6558</v>
      </c>
      <c r="N307" s="6" t="s">
        <v>6565</v>
      </c>
      <c r="O307" s="6">
        <v>70</v>
      </c>
      <c r="P307" s="6">
        <v>70</v>
      </c>
      <c r="Q307" s="6">
        <v>78</v>
      </c>
      <c r="R307" s="6">
        <v>74</v>
      </c>
      <c r="S307" s="6">
        <v>77</v>
      </c>
      <c r="T307" s="6">
        <v>73</v>
      </c>
      <c r="U307" s="6">
        <v>76</v>
      </c>
      <c r="V307" s="6">
        <v>76</v>
      </c>
      <c r="W307" s="6">
        <v>71</v>
      </c>
      <c r="X307" s="6">
        <v>70</v>
      </c>
      <c r="Y307" s="6">
        <v>74</v>
      </c>
      <c r="Z307" s="6">
        <v>73</v>
      </c>
      <c r="AA307" s="6">
        <v>68</v>
      </c>
      <c r="AB307" s="6">
        <v>70</v>
      </c>
      <c r="AC307" s="6">
        <v>59</v>
      </c>
      <c r="AD307" s="6">
        <v>64</v>
      </c>
      <c r="AE307" s="6">
        <v>63</v>
      </c>
      <c r="AF307" s="6">
        <v>68</v>
      </c>
      <c r="AG307" s="6" t="s">
        <v>7453</v>
      </c>
      <c r="AH307" s="6" t="s">
        <v>6600</v>
      </c>
    </row>
    <row r="308" spans="1:34" x14ac:dyDescent="0.2">
      <c r="A308" t="s">
        <v>3719</v>
      </c>
      <c r="B308" t="s">
        <v>1983</v>
      </c>
      <c r="C308" t="s">
        <v>2877</v>
      </c>
      <c r="D308" s="7" t="s">
        <v>154</v>
      </c>
      <c r="E308" t="s">
        <v>38</v>
      </c>
      <c r="F308">
        <v>29</v>
      </c>
      <c r="G308">
        <v>79</v>
      </c>
      <c r="H308">
        <v>81</v>
      </c>
      <c r="I308" t="s">
        <v>6302</v>
      </c>
      <c r="J308">
        <v>77</v>
      </c>
      <c r="K308">
        <v>316</v>
      </c>
      <c r="L308" t="s">
        <v>5413</v>
      </c>
      <c r="M308" s="6" t="s">
        <v>6558</v>
      </c>
      <c r="N308" s="6" t="s">
        <v>6583</v>
      </c>
      <c r="O308" s="6">
        <v>87</v>
      </c>
      <c r="P308" s="6">
        <v>78</v>
      </c>
      <c r="Q308" s="6">
        <v>74</v>
      </c>
      <c r="R308" s="6">
        <v>77</v>
      </c>
      <c r="S308" s="6">
        <v>75</v>
      </c>
      <c r="T308" s="6">
        <v>67</v>
      </c>
      <c r="U308" s="6">
        <v>83</v>
      </c>
      <c r="V308" s="6">
        <v>73</v>
      </c>
      <c r="W308" s="6">
        <v>65</v>
      </c>
      <c r="X308" s="6">
        <v>81</v>
      </c>
      <c r="Y308" s="6">
        <v>75</v>
      </c>
      <c r="Z308" s="6">
        <v>69</v>
      </c>
      <c r="AA308" s="6">
        <v>70</v>
      </c>
      <c r="AB308" s="6">
        <v>75</v>
      </c>
      <c r="AC308" s="6">
        <v>66</v>
      </c>
      <c r="AD308" s="6">
        <v>70</v>
      </c>
      <c r="AE308" s="6">
        <v>72</v>
      </c>
      <c r="AF308" s="6">
        <v>76</v>
      </c>
      <c r="AG308" s="6" t="s">
        <v>7455</v>
      </c>
      <c r="AH308" s="6" t="s">
        <v>6596</v>
      </c>
    </row>
    <row r="309" spans="1:34" x14ac:dyDescent="0.2">
      <c r="A309" t="s">
        <v>3738</v>
      </c>
      <c r="B309" t="s">
        <v>2002</v>
      </c>
      <c r="C309" t="s">
        <v>2883</v>
      </c>
      <c r="D309" s="7" t="s">
        <v>154</v>
      </c>
      <c r="E309" t="s">
        <v>38</v>
      </c>
      <c r="F309">
        <v>27</v>
      </c>
      <c r="G309">
        <v>68</v>
      </c>
      <c r="H309">
        <v>81</v>
      </c>
      <c r="I309" t="s">
        <v>6328</v>
      </c>
      <c r="J309">
        <v>73</v>
      </c>
      <c r="K309">
        <v>200</v>
      </c>
      <c r="L309" t="s">
        <v>5432</v>
      </c>
      <c r="M309" s="6" t="s">
        <v>6558</v>
      </c>
      <c r="N309" s="6" t="s">
        <v>6567</v>
      </c>
      <c r="O309" s="6">
        <v>83</v>
      </c>
      <c r="P309" s="6">
        <v>70</v>
      </c>
      <c r="Q309" s="6">
        <v>73</v>
      </c>
      <c r="R309" s="6">
        <v>66</v>
      </c>
      <c r="S309" s="6">
        <v>76</v>
      </c>
      <c r="T309" s="6">
        <v>63</v>
      </c>
      <c r="U309" s="6">
        <v>94</v>
      </c>
      <c r="V309" s="6">
        <v>77</v>
      </c>
      <c r="W309" s="6">
        <v>75</v>
      </c>
      <c r="X309" s="6">
        <v>76</v>
      </c>
      <c r="Y309" s="6">
        <v>79</v>
      </c>
      <c r="Z309" s="6">
        <v>80</v>
      </c>
      <c r="AA309" s="6">
        <v>70</v>
      </c>
      <c r="AB309" s="6">
        <v>72</v>
      </c>
      <c r="AC309" s="6">
        <v>71</v>
      </c>
      <c r="AD309" s="6">
        <v>78</v>
      </c>
      <c r="AE309" s="6">
        <v>73</v>
      </c>
      <c r="AF309" s="6">
        <v>75</v>
      </c>
      <c r="AG309" s="6" t="s">
        <v>7474</v>
      </c>
      <c r="AH309" s="6" t="s">
        <v>6640</v>
      </c>
    </row>
    <row r="310" spans="1:34" x14ac:dyDescent="0.2">
      <c r="A310" t="s">
        <v>3773</v>
      </c>
      <c r="B310" t="s">
        <v>2037</v>
      </c>
      <c r="C310" t="s">
        <v>2878</v>
      </c>
      <c r="D310" s="7" t="s">
        <v>155</v>
      </c>
      <c r="E310" t="s">
        <v>38</v>
      </c>
      <c r="F310">
        <v>25</v>
      </c>
      <c r="G310">
        <v>74</v>
      </c>
      <c r="H310">
        <v>81</v>
      </c>
      <c r="I310" t="s">
        <v>6412</v>
      </c>
      <c r="J310">
        <v>74</v>
      </c>
      <c r="K310">
        <v>274</v>
      </c>
      <c r="L310" t="s">
        <v>5467</v>
      </c>
      <c r="M310" s="6" t="s">
        <v>6558</v>
      </c>
      <c r="N310" s="6" t="s">
        <v>6565</v>
      </c>
      <c r="O310" s="6">
        <v>72</v>
      </c>
      <c r="P310" s="6">
        <v>63</v>
      </c>
      <c r="Q310" s="6">
        <v>72</v>
      </c>
      <c r="R310" s="6">
        <v>75</v>
      </c>
      <c r="S310" s="6">
        <v>86</v>
      </c>
      <c r="T310" s="6">
        <v>63</v>
      </c>
      <c r="U310" s="6">
        <v>72</v>
      </c>
      <c r="V310" s="6">
        <v>74</v>
      </c>
      <c r="W310" s="6">
        <v>72</v>
      </c>
      <c r="X310" s="6">
        <v>72</v>
      </c>
      <c r="Y310" s="6">
        <v>86</v>
      </c>
      <c r="Z310" s="6">
        <v>75</v>
      </c>
      <c r="AA310" s="6">
        <v>75</v>
      </c>
      <c r="AB310" s="6">
        <v>72</v>
      </c>
      <c r="AC310" s="6">
        <v>70</v>
      </c>
      <c r="AD310" s="6">
        <v>71</v>
      </c>
      <c r="AE310" s="6">
        <v>75</v>
      </c>
      <c r="AF310" s="6">
        <v>74</v>
      </c>
      <c r="AG310" s="6" t="s">
        <v>7509</v>
      </c>
      <c r="AH310" s="6" t="s">
        <v>6684</v>
      </c>
    </row>
    <row r="311" spans="1:34" x14ac:dyDescent="0.2">
      <c r="A311" t="s">
        <v>3832</v>
      </c>
      <c r="B311" t="s">
        <v>2096</v>
      </c>
      <c r="C311" t="s">
        <v>2880</v>
      </c>
      <c r="D311" s="7" t="s">
        <v>148</v>
      </c>
      <c r="E311" t="s">
        <v>58</v>
      </c>
      <c r="F311">
        <v>32</v>
      </c>
      <c r="G311">
        <v>78</v>
      </c>
      <c r="H311">
        <v>81</v>
      </c>
      <c r="I311" t="s">
        <v>6419</v>
      </c>
      <c r="J311">
        <v>75</v>
      </c>
      <c r="K311">
        <v>253</v>
      </c>
      <c r="L311" t="s">
        <v>5526</v>
      </c>
      <c r="M311" s="6" t="s">
        <v>6558</v>
      </c>
      <c r="N311" s="6" t="s">
        <v>6583</v>
      </c>
      <c r="O311" s="6">
        <v>83</v>
      </c>
      <c r="P311" s="6">
        <v>77</v>
      </c>
      <c r="Q311" s="6">
        <v>70</v>
      </c>
      <c r="R311" s="6">
        <v>77</v>
      </c>
      <c r="S311" s="6">
        <v>90</v>
      </c>
      <c r="T311" s="6">
        <v>72</v>
      </c>
      <c r="U311" s="6">
        <v>75</v>
      </c>
      <c r="V311" s="6">
        <v>76</v>
      </c>
      <c r="W311" s="6">
        <v>76</v>
      </c>
      <c r="X311" s="6">
        <v>73</v>
      </c>
      <c r="Y311" s="6">
        <v>67</v>
      </c>
      <c r="Z311" s="6">
        <v>78</v>
      </c>
      <c r="AA311" s="6">
        <v>65</v>
      </c>
      <c r="AB311" s="6">
        <v>69</v>
      </c>
      <c r="AC311" s="6">
        <v>66</v>
      </c>
      <c r="AD311" s="6">
        <v>54</v>
      </c>
      <c r="AE311" s="6">
        <v>67</v>
      </c>
      <c r="AF311" s="6">
        <v>70</v>
      </c>
      <c r="AG311" s="6" t="s">
        <v>7568</v>
      </c>
      <c r="AH311" s="6" t="s">
        <v>6623</v>
      </c>
    </row>
    <row r="312" spans="1:34" x14ac:dyDescent="0.2">
      <c r="A312" t="s">
        <v>3959</v>
      </c>
      <c r="B312" t="s">
        <v>2223</v>
      </c>
      <c r="C312" t="s">
        <v>53</v>
      </c>
      <c r="D312" s="7" t="s">
        <v>149</v>
      </c>
      <c r="E312" t="s">
        <v>38</v>
      </c>
      <c r="F312">
        <v>31</v>
      </c>
      <c r="G312">
        <v>77</v>
      </c>
      <c r="H312">
        <v>81</v>
      </c>
      <c r="I312" t="s">
        <v>6461</v>
      </c>
      <c r="J312">
        <v>75</v>
      </c>
      <c r="K312">
        <v>245</v>
      </c>
      <c r="L312" t="s">
        <v>5653</v>
      </c>
      <c r="M312" s="6" t="s">
        <v>6558</v>
      </c>
      <c r="N312" s="6" t="s">
        <v>6562</v>
      </c>
      <c r="O312" s="6">
        <v>88</v>
      </c>
      <c r="P312" s="6">
        <v>82</v>
      </c>
      <c r="Q312" s="6">
        <v>76</v>
      </c>
      <c r="R312" s="6">
        <v>97</v>
      </c>
      <c r="S312" s="6">
        <v>80</v>
      </c>
      <c r="T312" s="6">
        <v>67</v>
      </c>
      <c r="U312" s="6">
        <v>78</v>
      </c>
      <c r="V312" s="6">
        <v>77</v>
      </c>
      <c r="W312" s="6">
        <v>83</v>
      </c>
      <c r="X312" s="6">
        <v>79</v>
      </c>
      <c r="Y312" s="6">
        <v>73</v>
      </c>
      <c r="Z312" s="6">
        <v>77</v>
      </c>
      <c r="AA312" s="6">
        <v>73</v>
      </c>
      <c r="AB312" s="6">
        <v>79</v>
      </c>
      <c r="AC312" s="6">
        <v>66</v>
      </c>
      <c r="AD312" s="6">
        <v>77</v>
      </c>
      <c r="AE312" s="6">
        <v>69</v>
      </c>
      <c r="AF312" s="6">
        <v>72</v>
      </c>
      <c r="AG312" s="6" t="s">
        <v>7692</v>
      </c>
      <c r="AH312" s="6" t="s">
        <v>6990</v>
      </c>
    </row>
    <row r="313" spans="1:34" x14ac:dyDescent="0.2">
      <c r="A313" t="s">
        <v>2938</v>
      </c>
      <c r="B313" t="s">
        <v>1202</v>
      </c>
      <c r="C313" t="s">
        <v>2876</v>
      </c>
      <c r="D313" s="7" t="s">
        <v>129</v>
      </c>
      <c r="E313" t="s">
        <v>38</v>
      </c>
      <c r="F313">
        <v>25</v>
      </c>
      <c r="G313">
        <v>70</v>
      </c>
      <c r="H313">
        <v>80</v>
      </c>
      <c r="I313" t="s">
        <v>6325</v>
      </c>
      <c r="J313">
        <v>73</v>
      </c>
      <c r="K313">
        <v>316</v>
      </c>
      <c r="L313" t="s">
        <v>4632</v>
      </c>
      <c r="M313" s="6" t="s">
        <v>6558</v>
      </c>
      <c r="N313" s="6" t="s">
        <v>6565</v>
      </c>
      <c r="O313" s="6">
        <v>85</v>
      </c>
      <c r="P313" s="6">
        <v>65</v>
      </c>
      <c r="Q313" s="6">
        <v>71</v>
      </c>
      <c r="R313" s="6">
        <v>71</v>
      </c>
      <c r="S313" s="6">
        <v>76</v>
      </c>
      <c r="T313" s="6">
        <v>69</v>
      </c>
      <c r="U313" s="6">
        <v>83</v>
      </c>
      <c r="V313" s="6">
        <v>79</v>
      </c>
      <c r="W313" s="6">
        <v>74</v>
      </c>
      <c r="X313" s="6">
        <v>77</v>
      </c>
      <c r="Y313" s="6">
        <v>72</v>
      </c>
      <c r="Z313" s="6">
        <v>74</v>
      </c>
      <c r="AA313" s="6">
        <v>75</v>
      </c>
      <c r="AB313" s="6">
        <v>71</v>
      </c>
      <c r="AC313" s="6">
        <v>73</v>
      </c>
      <c r="AD313" s="6">
        <v>74</v>
      </c>
      <c r="AE313" s="6">
        <v>69</v>
      </c>
      <c r="AF313" s="6">
        <v>73</v>
      </c>
      <c r="AG313" s="6" t="s">
        <v>6608</v>
      </c>
      <c r="AH313" s="6" t="s">
        <v>6598</v>
      </c>
    </row>
    <row r="314" spans="1:34" x14ac:dyDescent="0.2">
      <c r="A314" t="s">
        <v>2986</v>
      </c>
      <c r="B314" t="s">
        <v>1250</v>
      </c>
      <c r="C314" t="s">
        <v>2878</v>
      </c>
      <c r="D314" s="7" t="s">
        <v>146</v>
      </c>
      <c r="E314" t="s">
        <v>38</v>
      </c>
      <c r="F314">
        <v>26</v>
      </c>
      <c r="G314">
        <v>94</v>
      </c>
      <c r="H314">
        <v>80</v>
      </c>
      <c r="I314" t="s">
        <v>6323</v>
      </c>
      <c r="J314">
        <v>78</v>
      </c>
      <c r="K314">
        <v>263</v>
      </c>
      <c r="L314" t="s">
        <v>4680</v>
      </c>
      <c r="M314" s="6" t="s">
        <v>6558</v>
      </c>
      <c r="N314" s="6" t="s">
        <v>6565</v>
      </c>
      <c r="O314" s="6">
        <v>73</v>
      </c>
      <c r="P314" s="6">
        <v>78</v>
      </c>
      <c r="Q314" s="6">
        <v>79</v>
      </c>
      <c r="R314" s="6">
        <v>74</v>
      </c>
      <c r="S314" s="6">
        <v>92</v>
      </c>
      <c r="T314" s="6">
        <v>79</v>
      </c>
      <c r="U314" s="6">
        <v>82</v>
      </c>
      <c r="V314" s="6">
        <v>86</v>
      </c>
      <c r="W314" s="6">
        <v>80</v>
      </c>
      <c r="X314" s="6">
        <v>89</v>
      </c>
      <c r="Y314" s="6">
        <v>81</v>
      </c>
      <c r="Z314" s="6">
        <v>86</v>
      </c>
      <c r="AA314" s="6">
        <v>77</v>
      </c>
      <c r="AB314" s="6">
        <v>75</v>
      </c>
      <c r="AC314" s="6">
        <v>82</v>
      </c>
      <c r="AD314" s="6">
        <v>83</v>
      </c>
      <c r="AE314" s="6">
        <v>83</v>
      </c>
      <c r="AF314" s="6">
        <v>85</v>
      </c>
      <c r="AG314" s="6" t="s">
        <v>6681</v>
      </c>
      <c r="AH314" s="6" t="s">
        <v>6682</v>
      </c>
    </row>
    <row r="315" spans="1:34" x14ac:dyDescent="0.2">
      <c r="A315" t="s">
        <v>3008</v>
      </c>
      <c r="B315" t="s">
        <v>1272</v>
      </c>
      <c r="C315" t="s">
        <v>2885</v>
      </c>
      <c r="D315" s="7" t="s">
        <v>146</v>
      </c>
      <c r="E315" t="s">
        <v>38</v>
      </c>
      <c r="F315">
        <v>22</v>
      </c>
      <c r="G315">
        <v>66</v>
      </c>
      <c r="H315">
        <v>80</v>
      </c>
      <c r="I315" t="s">
        <v>6345</v>
      </c>
      <c r="J315">
        <v>74</v>
      </c>
      <c r="K315">
        <v>230</v>
      </c>
      <c r="L315" t="s">
        <v>4702</v>
      </c>
      <c r="M315" s="6" t="s">
        <v>6558</v>
      </c>
      <c r="N315" s="6" t="s">
        <v>6567</v>
      </c>
      <c r="O315" s="6">
        <v>60</v>
      </c>
      <c r="P315" s="6">
        <v>64</v>
      </c>
      <c r="Q315" s="6">
        <v>67</v>
      </c>
      <c r="R315" s="6">
        <v>66</v>
      </c>
      <c r="S315" s="6">
        <v>64</v>
      </c>
      <c r="T315" s="6">
        <v>67</v>
      </c>
      <c r="U315" s="6">
        <v>64</v>
      </c>
      <c r="V315" s="6">
        <v>62</v>
      </c>
      <c r="W315" s="6">
        <v>63</v>
      </c>
      <c r="X315" s="6">
        <v>66</v>
      </c>
      <c r="Y315" s="6">
        <v>78</v>
      </c>
      <c r="Z315" s="6">
        <v>62</v>
      </c>
      <c r="AA315" s="6">
        <v>63</v>
      </c>
      <c r="AB315" s="6">
        <v>67</v>
      </c>
      <c r="AC315" s="6">
        <v>72</v>
      </c>
      <c r="AD315" s="6">
        <v>65</v>
      </c>
      <c r="AE315" s="6">
        <v>60</v>
      </c>
      <c r="AF315" s="6">
        <v>71</v>
      </c>
      <c r="AG315" s="6" t="s">
        <v>6712</v>
      </c>
      <c r="AH315" s="6" t="s">
        <v>6628</v>
      </c>
    </row>
    <row r="316" spans="1:34" x14ac:dyDescent="0.2">
      <c r="A316" t="s">
        <v>3056</v>
      </c>
      <c r="B316" t="s">
        <v>1320</v>
      </c>
      <c r="C316" t="s">
        <v>53</v>
      </c>
      <c r="D316" s="7" t="s">
        <v>130</v>
      </c>
      <c r="E316" t="s">
        <v>38</v>
      </c>
      <c r="F316">
        <v>23</v>
      </c>
      <c r="G316">
        <v>72</v>
      </c>
      <c r="H316">
        <v>80</v>
      </c>
      <c r="I316" t="s">
        <v>6343</v>
      </c>
      <c r="J316">
        <v>72</v>
      </c>
      <c r="K316">
        <v>220</v>
      </c>
      <c r="L316" t="s">
        <v>4750</v>
      </c>
      <c r="M316" s="6" t="s">
        <v>6558</v>
      </c>
      <c r="N316" s="6" t="s">
        <v>6559</v>
      </c>
      <c r="O316" s="6">
        <v>72</v>
      </c>
      <c r="P316" s="6">
        <v>70</v>
      </c>
      <c r="Q316" s="6">
        <v>76</v>
      </c>
      <c r="R316" s="6">
        <v>87</v>
      </c>
      <c r="S316" s="6">
        <v>71</v>
      </c>
      <c r="T316" s="6">
        <v>65</v>
      </c>
      <c r="U316" s="6">
        <v>60</v>
      </c>
      <c r="V316" s="6">
        <v>69</v>
      </c>
      <c r="W316" s="6">
        <v>70</v>
      </c>
      <c r="X316" s="6">
        <v>67</v>
      </c>
      <c r="Y316" s="6">
        <v>72</v>
      </c>
      <c r="Z316" s="6">
        <v>69</v>
      </c>
      <c r="AA316" s="6">
        <v>69</v>
      </c>
      <c r="AB316" s="6">
        <v>79</v>
      </c>
      <c r="AC316" s="6">
        <v>66</v>
      </c>
      <c r="AD316" s="6">
        <v>59</v>
      </c>
      <c r="AE316" s="6">
        <v>70</v>
      </c>
      <c r="AF316" s="6">
        <v>73</v>
      </c>
      <c r="AG316" s="6" t="s">
        <v>6771</v>
      </c>
      <c r="AH316" s="6" t="s">
        <v>6570</v>
      </c>
    </row>
    <row r="317" spans="1:34" x14ac:dyDescent="0.2">
      <c r="A317" t="s">
        <v>3079</v>
      </c>
      <c r="B317" t="s">
        <v>1343</v>
      </c>
      <c r="C317" t="s">
        <v>2877</v>
      </c>
      <c r="D317" s="7" t="s">
        <v>130</v>
      </c>
      <c r="E317" t="s">
        <v>38</v>
      </c>
      <c r="F317">
        <v>29</v>
      </c>
      <c r="G317">
        <v>76</v>
      </c>
      <c r="H317">
        <v>80</v>
      </c>
      <c r="I317" t="s">
        <v>6316</v>
      </c>
      <c r="J317">
        <v>78</v>
      </c>
      <c r="K317">
        <v>295</v>
      </c>
      <c r="L317" t="s">
        <v>4773</v>
      </c>
      <c r="M317" s="6" t="s">
        <v>6558</v>
      </c>
      <c r="N317" s="6" t="s">
        <v>6565</v>
      </c>
      <c r="O317" s="6">
        <v>79</v>
      </c>
      <c r="P317" s="6">
        <v>78</v>
      </c>
      <c r="Q317" s="6">
        <v>80</v>
      </c>
      <c r="R317" s="6">
        <v>72</v>
      </c>
      <c r="S317" s="6">
        <v>78</v>
      </c>
      <c r="T317" s="6">
        <v>80</v>
      </c>
      <c r="U317" s="6">
        <v>93</v>
      </c>
      <c r="V317" s="6">
        <v>88</v>
      </c>
      <c r="W317" s="6">
        <v>66</v>
      </c>
      <c r="X317" s="6">
        <v>70</v>
      </c>
      <c r="Y317" s="6">
        <v>82</v>
      </c>
      <c r="Z317" s="6">
        <v>82</v>
      </c>
      <c r="AA317" s="6">
        <v>67</v>
      </c>
      <c r="AB317" s="6">
        <v>72</v>
      </c>
      <c r="AC317" s="6">
        <v>64</v>
      </c>
      <c r="AD317" s="6">
        <v>72</v>
      </c>
      <c r="AE317" s="6">
        <v>76</v>
      </c>
      <c r="AF317" s="6">
        <v>81</v>
      </c>
      <c r="AG317" s="6" t="s">
        <v>6795</v>
      </c>
      <c r="AH317" s="6" t="s">
        <v>6694</v>
      </c>
    </row>
    <row r="318" spans="1:34" x14ac:dyDescent="0.2">
      <c r="A318" t="s">
        <v>3106</v>
      </c>
      <c r="B318" t="s">
        <v>1370</v>
      </c>
      <c r="C318" t="s">
        <v>2870</v>
      </c>
      <c r="D318" s="7" t="s">
        <v>133</v>
      </c>
      <c r="E318" t="s">
        <v>38</v>
      </c>
      <c r="F318">
        <v>25</v>
      </c>
      <c r="G318">
        <v>80</v>
      </c>
      <c r="H318">
        <v>80</v>
      </c>
      <c r="I318" t="s">
        <v>6343</v>
      </c>
      <c r="J318">
        <v>69</v>
      </c>
      <c r="K318">
        <v>216</v>
      </c>
      <c r="L318" t="s">
        <v>4800</v>
      </c>
      <c r="M318" s="6" t="s">
        <v>6558</v>
      </c>
      <c r="N318" s="6" t="s">
        <v>6559</v>
      </c>
      <c r="O318" s="6">
        <v>85</v>
      </c>
      <c r="P318" s="6">
        <v>72</v>
      </c>
      <c r="Q318" s="6">
        <v>78</v>
      </c>
      <c r="R318" s="6">
        <v>86</v>
      </c>
      <c r="S318" s="6">
        <v>81</v>
      </c>
      <c r="T318" s="6">
        <v>73</v>
      </c>
      <c r="U318" s="6">
        <v>74</v>
      </c>
      <c r="V318" s="6">
        <v>76</v>
      </c>
      <c r="W318" s="6">
        <v>66</v>
      </c>
      <c r="X318" s="6">
        <v>79</v>
      </c>
      <c r="Y318" s="6">
        <v>88</v>
      </c>
      <c r="Z318" s="6">
        <v>79</v>
      </c>
      <c r="AA318" s="6">
        <v>81</v>
      </c>
      <c r="AB318" s="6">
        <v>80</v>
      </c>
      <c r="AC318" s="6">
        <v>80</v>
      </c>
      <c r="AD318" s="6">
        <v>66</v>
      </c>
      <c r="AE318" s="6">
        <v>81</v>
      </c>
      <c r="AF318" s="6">
        <v>75</v>
      </c>
      <c r="AG318" s="6" t="s">
        <v>6827</v>
      </c>
      <c r="AH318" s="6" t="s">
        <v>6572</v>
      </c>
    </row>
    <row r="319" spans="1:34" x14ac:dyDescent="0.2">
      <c r="A319" t="s">
        <v>3131</v>
      </c>
      <c r="B319" t="s">
        <v>1395</v>
      </c>
      <c r="C319" t="s">
        <v>2878</v>
      </c>
      <c r="D319" s="7" t="s">
        <v>133</v>
      </c>
      <c r="E319" t="s">
        <v>58</v>
      </c>
      <c r="F319">
        <v>30</v>
      </c>
      <c r="G319">
        <v>72</v>
      </c>
      <c r="H319">
        <v>80</v>
      </c>
      <c r="I319" t="s">
        <v>6327</v>
      </c>
      <c r="J319">
        <v>78</v>
      </c>
      <c r="K319">
        <v>266</v>
      </c>
      <c r="L319" t="s">
        <v>4825</v>
      </c>
      <c r="M319" s="6" t="s">
        <v>6558</v>
      </c>
      <c r="N319" s="6" t="s">
        <v>6614</v>
      </c>
      <c r="O319" s="6">
        <v>74</v>
      </c>
      <c r="P319" s="6">
        <v>64</v>
      </c>
      <c r="Q319" s="6">
        <v>64</v>
      </c>
      <c r="R319" s="6">
        <v>62</v>
      </c>
      <c r="S319" s="6">
        <v>91</v>
      </c>
      <c r="T319" s="6">
        <v>71</v>
      </c>
      <c r="U319" s="6">
        <v>70</v>
      </c>
      <c r="V319" s="6">
        <v>70</v>
      </c>
      <c r="W319" s="6">
        <v>72</v>
      </c>
      <c r="X319" s="6">
        <v>70</v>
      </c>
      <c r="Y319" s="6">
        <v>72</v>
      </c>
      <c r="Z319" s="6">
        <v>77</v>
      </c>
      <c r="AA319" s="6">
        <v>72</v>
      </c>
      <c r="AB319" s="6">
        <v>63</v>
      </c>
      <c r="AC319" s="6">
        <v>69</v>
      </c>
      <c r="AD319" s="6">
        <v>57</v>
      </c>
      <c r="AE319" s="6">
        <v>64</v>
      </c>
      <c r="AF319" s="6">
        <v>69</v>
      </c>
      <c r="AG319" s="6" t="s">
        <v>6853</v>
      </c>
      <c r="AH319" s="6" t="s">
        <v>6797</v>
      </c>
    </row>
    <row r="320" spans="1:34" x14ac:dyDescent="0.2">
      <c r="A320" t="s">
        <v>3135</v>
      </c>
      <c r="B320" t="s">
        <v>1399</v>
      </c>
      <c r="C320" t="s">
        <v>2879</v>
      </c>
      <c r="D320" s="7" t="s">
        <v>133</v>
      </c>
      <c r="E320" t="s">
        <v>38</v>
      </c>
      <c r="F320">
        <v>28</v>
      </c>
      <c r="G320">
        <v>76</v>
      </c>
      <c r="H320">
        <v>80</v>
      </c>
      <c r="I320" t="s">
        <v>6317</v>
      </c>
      <c r="J320">
        <v>76</v>
      </c>
      <c r="K320">
        <v>310</v>
      </c>
      <c r="L320" t="s">
        <v>4829</v>
      </c>
      <c r="M320" s="6" t="s">
        <v>6558</v>
      </c>
      <c r="N320" s="6" t="s">
        <v>6614</v>
      </c>
      <c r="O320" s="6">
        <v>75</v>
      </c>
      <c r="P320" s="6">
        <v>78</v>
      </c>
      <c r="Q320" s="6">
        <v>67</v>
      </c>
      <c r="R320" s="6">
        <v>59</v>
      </c>
      <c r="S320" s="6">
        <v>74</v>
      </c>
      <c r="T320" s="6">
        <v>73</v>
      </c>
      <c r="U320" s="6">
        <v>75</v>
      </c>
      <c r="V320" s="6">
        <v>84</v>
      </c>
      <c r="W320" s="6">
        <v>76</v>
      </c>
      <c r="X320" s="6">
        <v>67</v>
      </c>
      <c r="Y320" s="6">
        <v>76</v>
      </c>
      <c r="Z320" s="6">
        <v>77</v>
      </c>
      <c r="AA320" s="6">
        <v>68</v>
      </c>
      <c r="AB320" s="6">
        <v>65</v>
      </c>
      <c r="AC320" s="6">
        <v>70</v>
      </c>
      <c r="AD320" s="6">
        <v>72</v>
      </c>
      <c r="AE320" s="6">
        <v>71</v>
      </c>
      <c r="AF320" s="6">
        <v>75</v>
      </c>
      <c r="AG320" s="6" t="s">
        <v>6858</v>
      </c>
      <c r="AH320" s="6" t="s">
        <v>6617</v>
      </c>
    </row>
    <row r="321" spans="1:34" x14ac:dyDescent="0.2">
      <c r="A321" t="s">
        <v>3183</v>
      </c>
      <c r="B321" t="s">
        <v>1447</v>
      </c>
      <c r="C321" t="s">
        <v>2878</v>
      </c>
      <c r="D321" s="7" t="s">
        <v>134</v>
      </c>
      <c r="E321" t="s">
        <v>38</v>
      </c>
      <c r="F321">
        <v>33</v>
      </c>
      <c r="G321">
        <v>61</v>
      </c>
      <c r="H321">
        <v>80</v>
      </c>
      <c r="I321" t="s">
        <v>6373</v>
      </c>
      <c r="J321">
        <v>75</v>
      </c>
      <c r="K321">
        <v>277</v>
      </c>
      <c r="L321" t="s">
        <v>4877</v>
      </c>
      <c r="M321" s="6" t="s">
        <v>6558</v>
      </c>
      <c r="N321" s="6" t="s">
        <v>6614</v>
      </c>
      <c r="O321" s="6">
        <v>70</v>
      </c>
      <c r="P321" s="6">
        <v>67</v>
      </c>
      <c r="Q321" s="6">
        <v>64</v>
      </c>
      <c r="R321" s="6">
        <v>62</v>
      </c>
      <c r="S321" s="6">
        <v>75</v>
      </c>
      <c r="T321" s="6">
        <v>69</v>
      </c>
      <c r="U321" s="6">
        <v>79</v>
      </c>
      <c r="V321" s="6">
        <v>74</v>
      </c>
      <c r="W321" s="6">
        <v>72</v>
      </c>
      <c r="X321" s="6">
        <v>73</v>
      </c>
      <c r="Y321" s="6">
        <v>61</v>
      </c>
      <c r="Z321" s="6">
        <v>77</v>
      </c>
      <c r="AA321" s="6">
        <v>62</v>
      </c>
      <c r="AB321" s="6">
        <v>56</v>
      </c>
      <c r="AC321" s="6">
        <v>65</v>
      </c>
      <c r="AD321" s="6">
        <v>60</v>
      </c>
      <c r="AE321" s="6">
        <v>65</v>
      </c>
      <c r="AF321" s="6">
        <v>61</v>
      </c>
      <c r="AG321" s="6" t="s">
        <v>6909</v>
      </c>
      <c r="AH321" s="6" t="s">
        <v>6686</v>
      </c>
    </row>
    <row r="322" spans="1:34" x14ac:dyDescent="0.2">
      <c r="A322" t="s">
        <v>3200</v>
      </c>
      <c r="B322" t="s">
        <v>1464</v>
      </c>
      <c r="C322" t="s">
        <v>2888</v>
      </c>
      <c r="D322" s="7" t="s">
        <v>134</v>
      </c>
      <c r="E322" t="s">
        <v>58</v>
      </c>
      <c r="F322">
        <v>34</v>
      </c>
      <c r="G322">
        <v>75</v>
      </c>
      <c r="H322">
        <v>80</v>
      </c>
      <c r="I322" t="s">
        <v>6390</v>
      </c>
      <c r="J322">
        <v>70</v>
      </c>
      <c r="K322">
        <v>215</v>
      </c>
      <c r="L322" t="s">
        <v>4894</v>
      </c>
      <c r="M322" s="6" t="s">
        <v>6558</v>
      </c>
      <c r="N322" s="6" t="s">
        <v>6583</v>
      </c>
      <c r="O322" s="6">
        <v>96</v>
      </c>
      <c r="P322" s="6">
        <v>75</v>
      </c>
      <c r="Q322" s="6">
        <v>84</v>
      </c>
      <c r="R322" s="6">
        <v>79</v>
      </c>
      <c r="S322" s="6">
        <v>88</v>
      </c>
      <c r="T322" s="6">
        <v>89</v>
      </c>
      <c r="U322" s="6">
        <v>83</v>
      </c>
      <c r="V322" s="6">
        <v>85</v>
      </c>
      <c r="W322" s="6">
        <v>82</v>
      </c>
      <c r="X322" s="6">
        <v>81</v>
      </c>
      <c r="Y322" s="6">
        <v>86</v>
      </c>
      <c r="Z322" s="6">
        <v>87</v>
      </c>
      <c r="AA322" s="6">
        <v>73</v>
      </c>
      <c r="AB322" s="6">
        <v>76</v>
      </c>
      <c r="AC322" s="6">
        <v>68</v>
      </c>
      <c r="AD322" s="6">
        <v>72</v>
      </c>
      <c r="AE322" s="6">
        <v>64</v>
      </c>
      <c r="AF322" s="6">
        <v>78</v>
      </c>
      <c r="AG322" s="6" t="s">
        <v>6926</v>
      </c>
      <c r="AH322" s="6" t="s">
        <v>6707</v>
      </c>
    </row>
    <row r="323" spans="1:34" x14ac:dyDescent="0.2">
      <c r="A323" t="s">
        <v>3229</v>
      </c>
      <c r="B323" t="s">
        <v>1493</v>
      </c>
      <c r="C323" t="s">
        <v>2876</v>
      </c>
      <c r="D323" s="7" t="s">
        <v>132</v>
      </c>
      <c r="E323" t="s">
        <v>38</v>
      </c>
      <c r="F323">
        <v>29</v>
      </c>
      <c r="G323">
        <v>69</v>
      </c>
      <c r="H323">
        <v>80</v>
      </c>
      <c r="I323" t="s">
        <v>6418</v>
      </c>
      <c r="J323">
        <v>74</v>
      </c>
      <c r="K323">
        <v>300</v>
      </c>
      <c r="L323" t="s">
        <v>4923</v>
      </c>
      <c r="M323" s="6" t="s">
        <v>6558</v>
      </c>
      <c r="N323" s="6" t="s">
        <v>6565</v>
      </c>
      <c r="O323" s="6">
        <v>84</v>
      </c>
      <c r="P323" s="6">
        <v>75</v>
      </c>
      <c r="Q323" s="6">
        <v>74</v>
      </c>
      <c r="R323" s="6">
        <v>73</v>
      </c>
      <c r="S323" s="6">
        <v>76</v>
      </c>
      <c r="T323" s="6">
        <v>75</v>
      </c>
      <c r="U323" s="6">
        <v>76</v>
      </c>
      <c r="V323" s="6">
        <v>81</v>
      </c>
      <c r="W323" s="6">
        <v>77</v>
      </c>
      <c r="X323" s="6">
        <v>71</v>
      </c>
      <c r="Y323" s="6">
        <v>74</v>
      </c>
      <c r="Z323" s="6">
        <v>80</v>
      </c>
      <c r="AA323" s="6">
        <v>69</v>
      </c>
      <c r="AB323" s="6">
        <v>77</v>
      </c>
      <c r="AC323" s="6">
        <v>69</v>
      </c>
      <c r="AD323" s="6">
        <v>72</v>
      </c>
      <c r="AE323" s="6">
        <v>66</v>
      </c>
      <c r="AF323" s="6">
        <v>70</v>
      </c>
      <c r="AG323" s="6" t="s">
        <v>6956</v>
      </c>
      <c r="AH323" s="6" t="s">
        <v>6600</v>
      </c>
    </row>
    <row r="324" spans="1:34" x14ac:dyDescent="0.2">
      <c r="A324" t="s">
        <v>3233</v>
      </c>
      <c r="B324" t="s">
        <v>1497</v>
      </c>
      <c r="C324" t="s">
        <v>2878</v>
      </c>
      <c r="D324" s="7" t="s">
        <v>132</v>
      </c>
      <c r="E324" t="s">
        <v>38</v>
      </c>
      <c r="F324">
        <v>23</v>
      </c>
      <c r="G324">
        <v>81</v>
      </c>
      <c r="H324">
        <v>80</v>
      </c>
      <c r="I324" t="s">
        <v>6422</v>
      </c>
      <c r="J324">
        <v>76</v>
      </c>
      <c r="K324">
        <v>278</v>
      </c>
      <c r="L324" t="s">
        <v>4927</v>
      </c>
      <c r="M324" s="6" t="s">
        <v>6558</v>
      </c>
      <c r="N324" s="6" t="s">
        <v>6565</v>
      </c>
      <c r="O324" s="6">
        <v>74</v>
      </c>
      <c r="P324" s="6">
        <v>73</v>
      </c>
      <c r="Q324" s="6">
        <v>74</v>
      </c>
      <c r="R324" s="6">
        <v>70</v>
      </c>
      <c r="S324" s="6">
        <v>86</v>
      </c>
      <c r="T324" s="6">
        <v>72</v>
      </c>
      <c r="U324" s="6">
        <v>65</v>
      </c>
      <c r="V324" s="6">
        <v>73</v>
      </c>
      <c r="W324" s="6">
        <v>69</v>
      </c>
      <c r="X324" s="6">
        <v>69</v>
      </c>
      <c r="Y324" s="6">
        <v>72</v>
      </c>
      <c r="Z324" s="6">
        <v>78</v>
      </c>
      <c r="AA324" s="6">
        <v>70</v>
      </c>
      <c r="AB324" s="6">
        <v>68</v>
      </c>
      <c r="AC324" s="6">
        <v>73</v>
      </c>
      <c r="AD324" s="6">
        <v>71</v>
      </c>
      <c r="AE324" s="6">
        <v>72</v>
      </c>
      <c r="AF324" s="6">
        <v>73</v>
      </c>
      <c r="AG324" s="6" t="s">
        <v>6960</v>
      </c>
      <c r="AH324" s="6" t="s">
        <v>6684</v>
      </c>
    </row>
    <row r="325" spans="1:34" x14ac:dyDescent="0.2">
      <c r="A325" t="s">
        <v>3260</v>
      </c>
      <c r="B325" t="s">
        <v>1524</v>
      </c>
      <c r="C325" t="s">
        <v>53</v>
      </c>
      <c r="D325" s="7" t="s">
        <v>136</v>
      </c>
      <c r="E325" t="s">
        <v>58</v>
      </c>
      <c r="F325">
        <v>35</v>
      </c>
      <c r="G325">
        <v>69</v>
      </c>
      <c r="H325">
        <v>80</v>
      </c>
      <c r="I325" t="s">
        <v>6449</v>
      </c>
      <c r="J325">
        <v>73</v>
      </c>
      <c r="K325">
        <v>236</v>
      </c>
      <c r="L325" t="s">
        <v>4954</v>
      </c>
      <c r="M325" s="6" t="s">
        <v>6558</v>
      </c>
      <c r="N325" s="6" t="s">
        <v>6559</v>
      </c>
      <c r="O325" s="6">
        <v>83</v>
      </c>
      <c r="P325" s="6">
        <v>77</v>
      </c>
      <c r="Q325" s="6">
        <v>78</v>
      </c>
      <c r="R325" s="6">
        <v>82</v>
      </c>
      <c r="S325" s="6">
        <v>93</v>
      </c>
      <c r="T325" s="6">
        <v>74</v>
      </c>
      <c r="U325" s="6">
        <v>61</v>
      </c>
      <c r="V325" s="6">
        <v>73</v>
      </c>
      <c r="W325" s="6">
        <v>85</v>
      </c>
      <c r="X325" s="6">
        <v>71</v>
      </c>
      <c r="Y325" s="6">
        <v>82</v>
      </c>
      <c r="Z325" s="6">
        <v>68</v>
      </c>
      <c r="AA325" s="6">
        <v>62</v>
      </c>
      <c r="AB325" s="6">
        <v>72</v>
      </c>
      <c r="AC325" s="6">
        <v>64</v>
      </c>
      <c r="AD325" s="6">
        <v>64</v>
      </c>
      <c r="AE325" s="6">
        <v>64</v>
      </c>
      <c r="AF325" s="6">
        <v>59</v>
      </c>
      <c r="AG325" s="6" t="s">
        <v>6989</v>
      </c>
      <c r="AH325" s="6" t="s">
        <v>6990</v>
      </c>
    </row>
    <row r="326" spans="1:34" x14ac:dyDescent="0.2">
      <c r="A326" t="s">
        <v>3285</v>
      </c>
      <c r="B326" t="s">
        <v>1549</v>
      </c>
      <c r="C326" t="s">
        <v>2878</v>
      </c>
      <c r="D326" s="7" t="s">
        <v>136</v>
      </c>
      <c r="E326" t="s">
        <v>58</v>
      </c>
      <c r="F326">
        <v>32</v>
      </c>
      <c r="G326">
        <v>80</v>
      </c>
      <c r="H326">
        <v>80</v>
      </c>
      <c r="I326" t="s">
        <v>6474</v>
      </c>
      <c r="J326">
        <v>76</v>
      </c>
      <c r="K326">
        <v>261</v>
      </c>
      <c r="L326" t="s">
        <v>4979</v>
      </c>
      <c r="M326" s="6" t="s">
        <v>6558</v>
      </c>
      <c r="N326" s="6" t="s">
        <v>6559</v>
      </c>
      <c r="O326" s="6">
        <v>77</v>
      </c>
      <c r="P326" s="6">
        <v>80</v>
      </c>
      <c r="Q326" s="6">
        <v>84</v>
      </c>
      <c r="R326" s="6">
        <v>82</v>
      </c>
      <c r="S326" s="6">
        <v>92</v>
      </c>
      <c r="T326" s="6">
        <v>77</v>
      </c>
      <c r="U326" s="6">
        <v>66</v>
      </c>
      <c r="V326" s="6">
        <v>78</v>
      </c>
      <c r="W326" s="6">
        <v>74</v>
      </c>
      <c r="X326" s="6">
        <v>82</v>
      </c>
      <c r="Y326" s="6">
        <v>68</v>
      </c>
      <c r="Z326" s="6">
        <v>89</v>
      </c>
      <c r="AA326" s="6">
        <v>74</v>
      </c>
      <c r="AB326" s="6">
        <v>66</v>
      </c>
      <c r="AC326" s="6">
        <v>70</v>
      </c>
      <c r="AD326" s="6">
        <v>68</v>
      </c>
      <c r="AE326" s="6">
        <v>66</v>
      </c>
      <c r="AF326" s="6">
        <v>68</v>
      </c>
      <c r="AG326" s="6" t="s">
        <v>7016</v>
      </c>
      <c r="AH326" s="6" t="s">
        <v>6686</v>
      </c>
    </row>
    <row r="327" spans="1:34" x14ac:dyDescent="0.2">
      <c r="A327" t="s">
        <v>3317</v>
      </c>
      <c r="B327" t="s">
        <v>1581</v>
      </c>
      <c r="C327" t="s">
        <v>57</v>
      </c>
      <c r="D327" s="7" t="s">
        <v>137</v>
      </c>
      <c r="E327" t="s">
        <v>38</v>
      </c>
      <c r="F327">
        <v>30</v>
      </c>
      <c r="G327">
        <v>77</v>
      </c>
      <c r="H327">
        <v>80</v>
      </c>
      <c r="I327" t="s">
        <v>6301</v>
      </c>
      <c r="J327">
        <v>71</v>
      </c>
      <c r="K327">
        <v>205</v>
      </c>
      <c r="L327" t="s">
        <v>5011</v>
      </c>
      <c r="M327" s="6" t="s">
        <v>6558</v>
      </c>
      <c r="N327" s="6" t="s">
        <v>6565</v>
      </c>
      <c r="O327" s="6">
        <v>70</v>
      </c>
      <c r="P327" s="6">
        <v>81</v>
      </c>
      <c r="Q327" s="6">
        <v>84</v>
      </c>
      <c r="R327" s="6">
        <v>75</v>
      </c>
      <c r="S327" s="6">
        <v>82</v>
      </c>
      <c r="T327" s="6">
        <v>78</v>
      </c>
      <c r="U327" s="6">
        <v>74</v>
      </c>
      <c r="V327" s="6">
        <v>78</v>
      </c>
      <c r="W327" s="6">
        <v>78</v>
      </c>
      <c r="X327" s="6">
        <v>72</v>
      </c>
      <c r="Y327" s="6">
        <v>82</v>
      </c>
      <c r="Z327" s="6">
        <v>79</v>
      </c>
      <c r="AA327" s="6">
        <v>76</v>
      </c>
      <c r="AB327" s="6">
        <v>78</v>
      </c>
      <c r="AC327" s="6">
        <v>70</v>
      </c>
      <c r="AD327" s="6">
        <v>79</v>
      </c>
      <c r="AE327" s="6">
        <v>70</v>
      </c>
      <c r="AF327" s="6">
        <v>74</v>
      </c>
      <c r="AG327" s="6" t="s">
        <v>7051</v>
      </c>
      <c r="AH327" s="6" t="s">
        <v>6670</v>
      </c>
    </row>
    <row r="328" spans="1:34" x14ac:dyDescent="0.2">
      <c r="A328" t="s">
        <v>3333</v>
      </c>
      <c r="B328" t="s">
        <v>1597</v>
      </c>
      <c r="C328" t="s">
        <v>2878</v>
      </c>
      <c r="D328" s="7" t="s">
        <v>137</v>
      </c>
      <c r="E328" t="s">
        <v>38</v>
      </c>
      <c r="F328">
        <v>24</v>
      </c>
      <c r="G328">
        <v>72</v>
      </c>
      <c r="H328">
        <v>80</v>
      </c>
      <c r="I328" t="s">
        <v>6342</v>
      </c>
      <c r="J328">
        <v>74</v>
      </c>
      <c r="K328">
        <v>265</v>
      </c>
      <c r="L328" t="s">
        <v>5027</v>
      </c>
      <c r="M328" s="6" t="s">
        <v>6558</v>
      </c>
      <c r="N328" s="6" t="s">
        <v>6567</v>
      </c>
      <c r="O328" s="6">
        <v>59</v>
      </c>
      <c r="P328" s="6">
        <v>68</v>
      </c>
      <c r="Q328" s="6">
        <v>79</v>
      </c>
      <c r="R328" s="6">
        <v>68</v>
      </c>
      <c r="S328" s="6">
        <v>82</v>
      </c>
      <c r="T328" s="6">
        <v>73</v>
      </c>
      <c r="U328" s="6">
        <v>71</v>
      </c>
      <c r="V328" s="6">
        <v>72</v>
      </c>
      <c r="W328" s="6">
        <v>70</v>
      </c>
      <c r="X328" s="6">
        <v>67</v>
      </c>
      <c r="Y328" s="6">
        <v>78</v>
      </c>
      <c r="Z328" s="6">
        <v>70</v>
      </c>
      <c r="AA328" s="6">
        <v>67</v>
      </c>
      <c r="AB328" s="6">
        <v>64</v>
      </c>
      <c r="AC328" s="6">
        <v>68</v>
      </c>
      <c r="AD328" s="6">
        <v>69</v>
      </c>
      <c r="AE328" s="6">
        <v>67</v>
      </c>
      <c r="AF328" s="6">
        <v>69</v>
      </c>
      <c r="AG328" s="6" t="s">
        <v>7066</v>
      </c>
      <c r="AH328" s="6" t="s">
        <v>6686</v>
      </c>
    </row>
    <row r="329" spans="1:34" x14ac:dyDescent="0.2">
      <c r="A329" t="s">
        <v>3346</v>
      </c>
      <c r="B329" t="s">
        <v>1610</v>
      </c>
      <c r="C329" t="s">
        <v>61</v>
      </c>
      <c r="D329" s="7" t="s">
        <v>137</v>
      </c>
      <c r="E329" t="s">
        <v>38</v>
      </c>
      <c r="F329">
        <v>26</v>
      </c>
      <c r="G329">
        <v>76</v>
      </c>
      <c r="H329">
        <v>80</v>
      </c>
      <c r="I329" t="s">
        <v>6355</v>
      </c>
      <c r="J329">
        <v>69</v>
      </c>
      <c r="K329">
        <v>183</v>
      </c>
      <c r="L329" t="s">
        <v>5040</v>
      </c>
      <c r="M329" s="6" t="s">
        <v>6558</v>
      </c>
      <c r="N329" s="6" t="s">
        <v>6565</v>
      </c>
      <c r="O329" s="6">
        <v>79</v>
      </c>
      <c r="P329" s="6">
        <v>76</v>
      </c>
      <c r="Q329" s="6">
        <v>74</v>
      </c>
      <c r="R329" s="6">
        <v>72</v>
      </c>
      <c r="S329" s="6">
        <v>79</v>
      </c>
      <c r="T329" s="6">
        <v>82</v>
      </c>
      <c r="U329" s="6">
        <v>87</v>
      </c>
      <c r="V329" s="6">
        <v>71</v>
      </c>
      <c r="W329" s="6">
        <v>68</v>
      </c>
      <c r="X329" s="6">
        <v>80</v>
      </c>
      <c r="Y329" s="6">
        <v>88</v>
      </c>
      <c r="Z329" s="6">
        <v>76</v>
      </c>
      <c r="AA329" s="6">
        <v>77</v>
      </c>
      <c r="AB329" s="6">
        <v>77</v>
      </c>
      <c r="AC329" s="6">
        <v>69</v>
      </c>
      <c r="AD329" s="6">
        <v>68</v>
      </c>
      <c r="AE329" s="6">
        <v>78</v>
      </c>
      <c r="AF329" s="6">
        <v>75</v>
      </c>
      <c r="AG329" s="6" t="s">
        <v>7079</v>
      </c>
      <c r="AH329" s="6" t="s">
        <v>6630</v>
      </c>
    </row>
    <row r="330" spans="1:34" x14ac:dyDescent="0.2">
      <c r="A330" t="s">
        <v>3409</v>
      </c>
      <c r="B330" t="s">
        <v>1673</v>
      </c>
      <c r="C330" t="s">
        <v>2885</v>
      </c>
      <c r="D330" s="7" t="s">
        <v>138</v>
      </c>
      <c r="E330" t="s">
        <v>58</v>
      </c>
      <c r="F330">
        <v>25</v>
      </c>
      <c r="G330">
        <v>66</v>
      </c>
      <c r="H330">
        <v>80</v>
      </c>
      <c r="I330" t="s">
        <v>6417</v>
      </c>
      <c r="J330">
        <v>74</v>
      </c>
      <c r="K330">
        <v>248</v>
      </c>
      <c r="L330" t="s">
        <v>5103</v>
      </c>
      <c r="M330" s="6" t="s">
        <v>6558</v>
      </c>
      <c r="N330" s="6" t="s">
        <v>6565</v>
      </c>
      <c r="O330" s="6">
        <v>74</v>
      </c>
      <c r="P330" s="6">
        <v>67</v>
      </c>
      <c r="Q330" s="6">
        <v>62</v>
      </c>
      <c r="R330" s="6">
        <v>71</v>
      </c>
      <c r="S330" s="6">
        <v>70</v>
      </c>
      <c r="T330" s="6">
        <v>68</v>
      </c>
      <c r="U330" s="6">
        <v>72</v>
      </c>
      <c r="V330" s="6">
        <v>67</v>
      </c>
      <c r="W330" s="6">
        <v>64</v>
      </c>
      <c r="X330" s="6">
        <v>56</v>
      </c>
      <c r="Y330" s="6">
        <v>74</v>
      </c>
      <c r="Z330" s="6">
        <v>66</v>
      </c>
      <c r="AA330" s="6">
        <v>67</v>
      </c>
      <c r="AB330" s="6">
        <v>76</v>
      </c>
      <c r="AC330" s="6">
        <v>62</v>
      </c>
      <c r="AD330" s="6">
        <v>69</v>
      </c>
      <c r="AE330" s="6">
        <v>63</v>
      </c>
      <c r="AF330" s="6">
        <v>65</v>
      </c>
      <c r="AG330" s="6" t="s">
        <v>7143</v>
      </c>
      <c r="AH330" s="6" t="s">
        <v>6692</v>
      </c>
    </row>
    <row r="331" spans="1:34" x14ac:dyDescent="0.2">
      <c r="A331" t="s">
        <v>3428</v>
      </c>
      <c r="B331" t="s">
        <v>1692</v>
      </c>
      <c r="C331" t="s">
        <v>2871</v>
      </c>
      <c r="D331" s="7" t="s">
        <v>139</v>
      </c>
      <c r="E331" t="s">
        <v>38</v>
      </c>
      <c r="F331">
        <v>30</v>
      </c>
      <c r="G331">
        <v>87</v>
      </c>
      <c r="H331">
        <v>80</v>
      </c>
      <c r="I331" t="s">
        <v>6441</v>
      </c>
      <c r="J331">
        <v>78</v>
      </c>
      <c r="K331">
        <v>245</v>
      </c>
      <c r="L331" t="s">
        <v>5122</v>
      </c>
      <c r="M331" s="6" t="s">
        <v>6558</v>
      </c>
      <c r="N331" s="6" t="s">
        <v>6562</v>
      </c>
      <c r="O331" s="6">
        <v>78</v>
      </c>
      <c r="P331" s="6">
        <v>76</v>
      </c>
      <c r="Q331" s="6">
        <v>85</v>
      </c>
      <c r="R331" s="6">
        <v>95</v>
      </c>
      <c r="S331" s="6">
        <v>82</v>
      </c>
      <c r="T331" s="6">
        <v>86</v>
      </c>
      <c r="U331" s="6">
        <v>84</v>
      </c>
      <c r="V331" s="6">
        <v>81</v>
      </c>
      <c r="W331" s="6">
        <v>78</v>
      </c>
      <c r="X331" s="6">
        <v>77</v>
      </c>
      <c r="Y331" s="6">
        <v>84</v>
      </c>
      <c r="Z331" s="6">
        <v>81</v>
      </c>
      <c r="AA331" s="6">
        <v>75</v>
      </c>
      <c r="AB331" s="6">
        <v>82</v>
      </c>
      <c r="AC331" s="6">
        <v>73</v>
      </c>
      <c r="AD331" s="6">
        <v>76</v>
      </c>
      <c r="AE331" s="6">
        <v>76</v>
      </c>
      <c r="AF331" s="6">
        <v>76</v>
      </c>
      <c r="AG331" s="6" t="s">
        <v>7163</v>
      </c>
      <c r="AH331" s="6" t="s">
        <v>6838</v>
      </c>
    </row>
    <row r="332" spans="1:34" x14ac:dyDescent="0.2">
      <c r="A332" t="s">
        <v>3435</v>
      </c>
      <c r="B332" t="s">
        <v>1699</v>
      </c>
      <c r="C332" t="s">
        <v>2874</v>
      </c>
      <c r="D332" s="7" t="s">
        <v>139</v>
      </c>
      <c r="E332" t="s">
        <v>58</v>
      </c>
      <c r="F332">
        <v>34</v>
      </c>
      <c r="G332">
        <v>78</v>
      </c>
      <c r="H332">
        <v>80</v>
      </c>
      <c r="I332" t="s">
        <v>6453</v>
      </c>
      <c r="J332">
        <v>76</v>
      </c>
      <c r="K332">
        <v>312</v>
      </c>
      <c r="L332" t="s">
        <v>5129</v>
      </c>
      <c r="M332" s="6" t="s">
        <v>6558</v>
      </c>
      <c r="N332" s="6" t="s">
        <v>6565</v>
      </c>
      <c r="O332" s="6">
        <v>87</v>
      </c>
      <c r="P332" s="6">
        <v>73</v>
      </c>
      <c r="Q332" s="6">
        <v>67</v>
      </c>
      <c r="R332" s="6">
        <v>72</v>
      </c>
      <c r="S332" s="6">
        <v>83</v>
      </c>
      <c r="T332" s="6">
        <v>74</v>
      </c>
      <c r="U332" s="6">
        <v>72</v>
      </c>
      <c r="V332" s="6">
        <v>77</v>
      </c>
      <c r="W332" s="6">
        <v>71</v>
      </c>
      <c r="X332" s="6">
        <v>73</v>
      </c>
      <c r="Y332" s="6">
        <v>77</v>
      </c>
      <c r="Z332" s="6">
        <v>66</v>
      </c>
      <c r="AA332" s="6">
        <v>67</v>
      </c>
      <c r="AB332" s="6">
        <v>60</v>
      </c>
      <c r="AC332" s="6">
        <v>62</v>
      </c>
      <c r="AD332" s="6">
        <v>69</v>
      </c>
      <c r="AE332" s="6">
        <v>68</v>
      </c>
      <c r="AF332" s="6">
        <v>67</v>
      </c>
      <c r="AG332" s="6" t="s">
        <v>7170</v>
      </c>
      <c r="AH332" s="6" t="s">
        <v>6598</v>
      </c>
    </row>
    <row r="333" spans="1:34" x14ac:dyDescent="0.2">
      <c r="A333" t="s">
        <v>3440</v>
      </c>
      <c r="B333" t="s">
        <v>1704</v>
      </c>
      <c r="C333" t="s">
        <v>2876</v>
      </c>
      <c r="D333" s="7" t="s">
        <v>139</v>
      </c>
      <c r="E333" t="s">
        <v>38</v>
      </c>
      <c r="F333">
        <v>30</v>
      </c>
      <c r="G333">
        <v>82</v>
      </c>
      <c r="H333">
        <v>80</v>
      </c>
      <c r="I333" t="s">
        <v>6458</v>
      </c>
      <c r="J333">
        <v>76</v>
      </c>
      <c r="K333">
        <v>303</v>
      </c>
      <c r="L333" t="s">
        <v>5134</v>
      </c>
      <c r="M333" s="6" t="s">
        <v>6558</v>
      </c>
      <c r="N333" s="6" t="s">
        <v>6583</v>
      </c>
      <c r="O333" s="6">
        <v>81</v>
      </c>
      <c r="P333" s="6">
        <v>84</v>
      </c>
      <c r="Q333" s="6">
        <v>79</v>
      </c>
      <c r="R333" s="6">
        <v>76</v>
      </c>
      <c r="S333" s="6">
        <v>71</v>
      </c>
      <c r="T333" s="6">
        <v>83</v>
      </c>
      <c r="U333" s="6">
        <v>72</v>
      </c>
      <c r="V333" s="6">
        <v>73</v>
      </c>
      <c r="W333" s="6">
        <v>73</v>
      </c>
      <c r="X333" s="6">
        <v>73</v>
      </c>
      <c r="Y333" s="6">
        <v>81</v>
      </c>
      <c r="Z333" s="6">
        <v>86</v>
      </c>
      <c r="AA333" s="6">
        <v>76</v>
      </c>
      <c r="AB333" s="6">
        <v>72</v>
      </c>
      <c r="AC333" s="6">
        <v>68</v>
      </c>
      <c r="AD333" s="6">
        <v>83</v>
      </c>
      <c r="AE333" s="6">
        <v>80</v>
      </c>
      <c r="AF333" s="6">
        <v>80</v>
      </c>
      <c r="AG333" s="6" t="s">
        <v>7175</v>
      </c>
      <c r="AH333" s="6" t="s">
        <v>6674</v>
      </c>
    </row>
    <row r="334" spans="1:34" x14ac:dyDescent="0.2">
      <c r="A334" t="s">
        <v>3492</v>
      </c>
      <c r="B334" t="s">
        <v>1756</v>
      </c>
      <c r="C334" t="s">
        <v>2875</v>
      </c>
      <c r="D334" s="7" t="s">
        <v>140</v>
      </c>
      <c r="E334" t="s">
        <v>38</v>
      </c>
      <c r="F334">
        <v>30</v>
      </c>
      <c r="G334">
        <v>91</v>
      </c>
      <c r="H334">
        <v>80</v>
      </c>
      <c r="I334" t="s">
        <v>6340</v>
      </c>
      <c r="J334">
        <v>73</v>
      </c>
      <c r="K334">
        <v>315</v>
      </c>
      <c r="L334" t="s">
        <v>5186</v>
      </c>
      <c r="M334" s="6" t="s">
        <v>6558</v>
      </c>
      <c r="N334" s="6" t="s">
        <v>6562</v>
      </c>
      <c r="O334" s="6">
        <v>96</v>
      </c>
      <c r="P334" s="6">
        <v>82</v>
      </c>
      <c r="Q334" s="6">
        <v>81</v>
      </c>
      <c r="R334" s="6">
        <v>88</v>
      </c>
      <c r="S334" s="6">
        <v>74</v>
      </c>
      <c r="T334" s="6">
        <v>78</v>
      </c>
      <c r="U334" s="6">
        <v>74</v>
      </c>
      <c r="V334" s="6">
        <v>74</v>
      </c>
      <c r="W334" s="6">
        <v>62</v>
      </c>
      <c r="X334" s="6">
        <v>76</v>
      </c>
      <c r="Y334" s="6">
        <v>83</v>
      </c>
      <c r="Z334" s="6">
        <v>78</v>
      </c>
      <c r="AA334" s="6">
        <v>77</v>
      </c>
      <c r="AB334" s="6">
        <v>73</v>
      </c>
      <c r="AC334" s="6">
        <v>83</v>
      </c>
      <c r="AD334" s="6">
        <v>78</v>
      </c>
      <c r="AE334" s="6">
        <v>70</v>
      </c>
      <c r="AF334" s="6">
        <v>76</v>
      </c>
      <c r="AG334" s="6" t="s">
        <v>7228</v>
      </c>
      <c r="AH334" s="6" t="s">
        <v>6606</v>
      </c>
    </row>
    <row r="335" spans="1:34" x14ac:dyDescent="0.2">
      <c r="A335" t="s">
        <v>3497</v>
      </c>
      <c r="B335" t="s">
        <v>1761</v>
      </c>
      <c r="C335" t="s">
        <v>2878</v>
      </c>
      <c r="D335" s="7" t="s">
        <v>140</v>
      </c>
      <c r="E335" t="s">
        <v>38</v>
      </c>
      <c r="F335">
        <v>28</v>
      </c>
      <c r="G335">
        <v>78</v>
      </c>
      <c r="H335">
        <v>80</v>
      </c>
      <c r="I335" t="s">
        <v>6396</v>
      </c>
      <c r="J335">
        <v>75</v>
      </c>
      <c r="K335">
        <v>290</v>
      </c>
      <c r="L335" t="s">
        <v>5191</v>
      </c>
      <c r="M335" s="6" t="s">
        <v>6558</v>
      </c>
      <c r="N335" s="6" t="s">
        <v>6583</v>
      </c>
      <c r="O335" s="6">
        <v>67</v>
      </c>
      <c r="P335" s="6">
        <v>82</v>
      </c>
      <c r="Q335" s="6">
        <v>75</v>
      </c>
      <c r="R335" s="6">
        <v>77</v>
      </c>
      <c r="S335" s="6">
        <v>82</v>
      </c>
      <c r="T335" s="6">
        <v>88</v>
      </c>
      <c r="U335" s="6">
        <v>64</v>
      </c>
      <c r="V335" s="6">
        <v>81</v>
      </c>
      <c r="W335" s="6">
        <v>83</v>
      </c>
      <c r="X335" s="6">
        <v>79</v>
      </c>
      <c r="Y335" s="6">
        <v>76</v>
      </c>
      <c r="Z335" s="6">
        <v>71</v>
      </c>
      <c r="AA335" s="6">
        <v>72</v>
      </c>
      <c r="AB335" s="6">
        <v>77</v>
      </c>
      <c r="AC335" s="6">
        <v>71</v>
      </c>
      <c r="AD335" s="6">
        <v>84</v>
      </c>
      <c r="AE335" s="6">
        <v>78</v>
      </c>
      <c r="AF335" s="6">
        <v>74</v>
      </c>
      <c r="AG335" s="6" t="s">
        <v>7233</v>
      </c>
      <c r="AH335" s="6" t="s">
        <v>6684</v>
      </c>
    </row>
    <row r="336" spans="1:34" x14ac:dyDescent="0.2">
      <c r="A336" t="s">
        <v>3627</v>
      </c>
      <c r="B336" t="s">
        <v>1891</v>
      </c>
      <c r="C336" t="s">
        <v>2884</v>
      </c>
      <c r="D336" s="7" t="s">
        <v>142</v>
      </c>
      <c r="E336" t="s">
        <v>58</v>
      </c>
      <c r="F336">
        <v>35</v>
      </c>
      <c r="G336">
        <v>70</v>
      </c>
      <c r="H336">
        <v>80</v>
      </c>
      <c r="I336" t="s">
        <v>6462</v>
      </c>
      <c r="J336">
        <v>72</v>
      </c>
      <c r="K336">
        <v>225</v>
      </c>
      <c r="L336" t="s">
        <v>5321</v>
      </c>
      <c r="M336" s="6" t="s">
        <v>6558</v>
      </c>
      <c r="N336" s="6" t="s">
        <v>6583</v>
      </c>
      <c r="O336" s="6">
        <v>74</v>
      </c>
      <c r="P336" s="6">
        <v>80</v>
      </c>
      <c r="Q336" s="6">
        <v>76</v>
      </c>
      <c r="R336" s="6">
        <v>76</v>
      </c>
      <c r="S336" s="6">
        <v>82</v>
      </c>
      <c r="T336" s="6">
        <v>78</v>
      </c>
      <c r="U336" s="6">
        <v>75</v>
      </c>
      <c r="V336" s="6">
        <v>81</v>
      </c>
      <c r="W336" s="6">
        <v>86</v>
      </c>
      <c r="X336" s="6">
        <v>79</v>
      </c>
      <c r="Y336" s="6">
        <v>74</v>
      </c>
      <c r="Z336" s="6">
        <v>87</v>
      </c>
      <c r="AA336" s="6">
        <v>71</v>
      </c>
      <c r="AB336" s="6">
        <v>65</v>
      </c>
      <c r="AC336" s="6">
        <v>67</v>
      </c>
      <c r="AD336" s="6">
        <v>67</v>
      </c>
      <c r="AE336" s="6">
        <v>66</v>
      </c>
      <c r="AF336" s="6">
        <v>70</v>
      </c>
      <c r="AG336" s="6" t="s">
        <v>7362</v>
      </c>
      <c r="AH336" s="6" t="s">
        <v>6644</v>
      </c>
    </row>
    <row r="337" spans="1:34" x14ac:dyDescent="0.2">
      <c r="A337" t="s">
        <v>3641</v>
      </c>
      <c r="B337" t="s">
        <v>1905</v>
      </c>
      <c r="C337" t="s">
        <v>57</v>
      </c>
      <c r="D337" s="7" t="s">
        <v>143</v>
      </c>
      <c r="E337" t="s">
        <v>58</v>
      </c>
      <c r="F337">
        <v>27</v>
      </c>
      <c r="G337">
        <v>72</v>
      </c>
      <c r="H337">
        <v>80</v>
      </c>
      <c r="I337" t="s">
        <v>6477</v>
      </c>
      <c r="J337">
        <v>74</v>
      </c>
      <c r="K337">
        <v>198</v>
      </c>
      <c r="L337" t="s">
        <v>5335</v>
      </c>
      <c r="M337" s="6" t="s">
        <v>6558</v>
      </c>
      <c r="N337" s="6" t="s">
        <v>6583</v>
      </c>
      <c r="O337" s="6">
        <v>78</v>
      </c>
      <c r="P337" s="6">
        <v>77</v>
      </c>
      <c r="Q337" s="6">
        <v>84</v>
      </c>
      <c r="R337" s="6">
        <v>78</v>
      </c>
      <c r="S337" s="6">
        <v>79</v>
      </c>
      <c r="T337" s="6">
        <v>72</v>
      </c>
      <c r="U337" s="6">
        <v>73</v>
      </c>
      <c r="V337" s="6">
        <v>67</v>
      </c>
      <c r="W337" s="6">
        <v>81</v>
      </c>
      <c r="X337" s="6">
        <v>71</v>
      </c>
      <c r="Y337" s="6">
        <v>79</v>
      </c>
      <c r="Z337" s="6">
        <v>76</v>
      </c>
      <c r="AA337" s="6">
        <v>80</v>
      </c>
      <c r="AB337" s="6">
        <v>74</v>
      </c>
      <c r="AC337" s="6">
        <v>68</v>
      </c>
      <c r="AD337" s="6">
        <v>72</v>
      </c>
      <c r="AE337" s="6">
        <v>71</v>
      </c>
      <c r="AF337" s="6">
        <v>77</v>
      </c>
      <c r="AG337" s="6" t="s">
        <v>7376</v>
      </c>
      <c r="AH337" s="6" t="s">
        <v>6664</v>
      </c>
    </row>
    <row r="338" spans="1:34" x14ac:dyDescent="0.2">
      <c r="A338" t="s">
        <v>3661</v>
      </c>
      <c r="B338" t="s">
        <v>1925</v>
      </c>
      <c r="C338" t="s">
        <v>2878</v>
      </c>
      <c r="D338" s="7" t="s">
        <v>143</v>
      </c>
      <c r="E338" t="s">
        <v>58</v>
      </c>
      <c r="F338">
        <v>23</v>
      </c>
      <c r="G338">
        <v>76</v>
      </c>
      <c r="H338">
        <v>80</v>
      </c>
      <c r="I338" t="s">
        <v>6421</v>
      </c>
      <c r="J338">
        <v>77</v>
      </c>
      <c r="K338">
        <v>277</v>
      </c>
      <c r="L338" t="s">
        <v>5355</v>
      </c>
      <c r="M338" s="6" t="s">
        <v>6558</v>
      </c>
      <c r="N338" s="6" t="s">
        <v>6567</v>
      </c>
      <c r="O338" s="6">
        <v>62</v>
      </c>
      <c r="P338" s="6">
        <v>72</v>
      </c>
      <c r="Q338" s="6">
        <v>76</v>
      </c>
      <c r="R338" s="6">
        <v>63</v>
      </c>
      <c r="S338" s="6">
        <v>70</v>
      </c>
      <c r="T338" s="6">
        <v>67</v>
      </c>
      <c r="U338" s="6">
        <v>76</v>
      </c>
      <c r="V338" s="6">
        <v>77</v>
      </c>
      <c r="W338" s="6">
        <v>75</v>
      </c>
      <c r="X338" s="6">
        <v>73</v>
      </c>
      <c r="Y338" s="6">
        <v>80</v>
      </c>
      <c r="Z338" s="6">
        <v>73</v>
      </c>
      <c r="AA338" s="6">
        <v>76</v>
      </c>
      <c r="AB338" s="6">
        <v>70</v>
      </c>
      <c r="AC338" s="6">
        <v>70</v>
      </c>
      <c r="AD338" s="6">
        <v>68</v>
      </c>
      <c r="AE338" s="6">
        <v>76</v>
      </c>
      <c r="AF338" s="6">
        <v>64</v>
      </c>
      <c r="AG338" s="6" t="s">
        <v>7396</v>
      </c>
      <c r="AH338" s="6" t="s">
        <v>6686</v>
      </c>
    </row>
    <row r="339" spans="1:34" x14ac:dyDescent="0.2">
      <c r="A339" t="s">
        <v>3723</v>
      </c>
      <c r="B339" t="s">
        <v>1987</v>
      </c>
      <c r="C339" t="s">
        <v>2879</v>
      </c>
      <c r="D339" s="7" t="s">
        <v>154</v>
      </c>
      <c r="E339" t="s">
        <v>38</v>
      </c>
      <c r="F339">
        <v>23</v>
      </c>
      <c r="G339">
        <v>83</v>
      </c>
      <c r="H339">
        <v>80</v>
      </c>
      <c r="I339" t="s">
        <v>6348</v>
      </c>
      <c r="J339">
        <v>73</v>
      </c>
      <c r="K339">
        <v>305</v>
      </c>
      <c r="L339" t="s">
        <v>5417</v>
      </c>
      <c r="M339" s="6" t="s">
        <v>6558</v>
      </c>
      <c r="N339" s="6" t="s">
        <v>6567</v>
      </c>
      <c r="O339" s="6">
        <v>74</v>
      </c>
      <c r="P339" s="6">
        <v>75</v>
      </c>
      <c r="Q339" s="6">
        <v>73</v>
      </c>
      <c r="R339" s="6">
        <v>66</v>
      </c>
      <c r="S339" s="6">
        <v>84</v>
      </c>
      <c r="T339" s="6">
        <v>76</v>
      </c>
      <c r="U339" s="6">
        <v>86</v>
      </c>
      <c r="V339" s="6">
        <v>72</v>
      </c>
      <c r="W339" s="6">
        <v>74</v>
      </c>
      <c r="X339" s="6">
        <v>73</v>
      </c>
      <c r="Y339" s="6">
        <v>87</v>
      </c>
      <c r="Z339" s="6">
        <v>80</v>
      </c>
      <c r="AA339" s="6">
        <v>72</v>
      </c>
      <c r="AB339" s="6">
        <v>79</v>
      </c>
      <c r="AC339" s="6">
        <v>80</v>
      </c>
      <c r="AD339" s="6">
        <v>77</v>
      </c>
      <c r="AE339" s="6">
        <v>79</v>
      </c>
      <c r="AF339" s="6">
        <v>76</v>
      </c>
      <c r="AG339" s="6" t="s">
        <v>7459</v>
      </c>
      <c r="AH339" s="6" t="s">
        <v>6617</v>
      </c>
    </row>
    <row r="340" spans="1:34" x14ac:dyDescent="0.2">
      <c r="A340" t="s">
        <v>3774</v>
      </c>
      <c r="B340" t="s">
        <v>2038</v>
      </c>
      <c r="C340" t="s">
        <v>2878</v>
      </c>
      <c r="D340" s="7" t="s">
        <v>155</v>
      </c>
      <c r="E340" t="s">
        <v>58</v>
      </c>
      <c r="F340">
        <v>25</v>
      </c>
      <c r="G340">
        <v>72</v>
      </c>
      <c r="H340">
        <v>80</v>
      </c>
      <c r="I340" t="s">
        <v>6409</v>
      </c>
      <c r="J340">
        <v>77</v>
      </c>
      <c r="K340">
        <v>274</v>
      </c>
      <c r="L340" t="s">
        <v>5468</v>
      </c>
      <c r="M340" s="6" t="s">
        <v>6558</v>
      </c>
      <c r="N340" s="6" t="s">
        <v>6614</v>
      </c>
      <c r="O340" s="6">
        <v>57</v>
      </c>
      <c r="P340" s="6">
        <v>60</v>
      </c>
      <c r="Q340" s="6">
        <v>69</v>
      </c>
      <c r="R340" s="6">
        <v>57</v>
      </c>
      <c r="S340" s="6">
        <v>73</v>
      </c>
      <c r="T340" s="6">
        <v>64</v>
      </c>
      <c r="U340" s="6">
        <v>67</v>
      </c>
      <c r="V340" s="6">
        <v>72</v>
      </c>
      <c r="W340" s="6">
        <v>77</v>
      </c>
      <c r="X340" s="6">
        <v>59</v>
      </c>
      <c r="Y340" s="6">
        <v>84</v>
      </c>
      <c r="Z340" s="6">
        <v>69</v>
      </c>
      <c r="AA340" s="6">
        <v>71</v>
      </c>
      <c r="AB340" s="6">
        <v>75</v>
      </c>
      <c r="AC340" s="6">
        <v>73</v>
      </c>
      <c r="AD340" s="6">
        <v>76</v>
      </c>
      <c r="AE340" s="6">
        <v>74</v>
      </c>
      <c r="AF340" s="6">
        <v>72</v>
      </c>
      <c r="AG340" s="6" t="s">
        <v>7510</v>
      </c>
      <c r="AH340" s="6" t="s">
        <v>6797</v>
      </c>
    </row>
    <row r="341" spans="1:34" x14ac:dyDescent="0.2">
      <c r="A341" t="s">
        <v>3807</v>
      </c>
      <c r="B341" t="s">
        <v>2071</v>
      </c>
      <c r="C341" t="s">
        <v>2870</v>
      </c>
      <c r="D341" s="7" t="s">
        <v>148</v>
      </c>
      <c r="E341" t="s">
        <v>38</v>
      </c>
      <c r="F341">
        <v>25</v>
      </c>
      <c r="G341">
        <v>74</v>
      </c>
      <c r="H341">
        <v>80</v>
      </c>
      <c r="I341" t="s">
        <v>6510</v>
      </c>
      <c r="J341">
        <v>70</v>
      </c>
      <c r="K341">
        <v>214</v>
      </c>
      <c r="L341" t="s">
        <v>5501</v>
      </c>
      <c r="M341" s="6" t="s">
        <v>6558</v>
      </c>
      <c r="N341" s="6" t="s">
        <v>6565</v>
      </c>
      <c r="O341" s="6">
        <v>73</v>
      </c>
      <c r="P341" s="6">
        <v>71</v>
      </c>
      <c r="Q341" s="6">
        <v>68</v>
      </c>
      <c r="R341" s="6">
        <v>71</v>
      </c>
      <c r="S341" s="6">
        <v>71</v>
      </c>
      <c r="T341" s="6">
        <v>67</v>
      </c>
      <c r="U341" s="6">
        <v>75</v>
      </c>
      <c r="V341" s="6">
        <v>68</v>
      </c>
      <c r="W341" s="6">
        <v>70</v>
      </c>
      <c r="X341" s="6">
        <v>70</v>
      </c>
      <c r="Y341" s="6">
        <v>72</v>
      </c>
      <c r="Z341" s="6">
        <v>74</v>
      </c>
      <c r="AA341" s="6">
        <v>71</v>
      </c>
      <c r="AB341" s="6">
        <v>75</v>
      </c>
      <c r="AC341" s="6">
        <v>74</v>
      </c>
      <c r="AD341" s="6">
        <v>76</v>
      </c>
      <c r="AE341" s="6">
        <v>78</v>
      </c>
      <c r="AF341" s="6">
        <v>77</v>
      </c>
      <c r="AG341" s="6" t="s">
        <v>7543</v>
      </c>
      <c r="AH341" s="6" t="s">
        <v>6885</v>
      </c>
    </row>
    <row r="342" spans="1:34" x14ac:dyDescent="0.2">
      <c r="A342" t="s">
        <v>3821</v>
      </c>
      <c r="B342" t="s">
        <v>2085</v>
      </c>
      <c r="C342" t="s">
        <v>2875</v>
      </c>
      <c r="D342" s="7" t="s">
        <v>148</v>
      </c>
      <c r="E342" t="s">
        <v>38</v>
      </c>
      <c r="F342">
        <v>24</v>
      </c>
      <c r="G342">
        <v>78</v>
      </c>
      <c r="H342">
        <v>80</v>
      </c>
      <c r="I342" t="s">
        <v>6423</v>
      </c>
      <c r="J342">
        <v>75</v>
      </c>
      <c r="K342">
        <v>313</v>
      </c>
      <c r="L342" t="s">
        <v>5515</v>
      </c>
      <c r="M342" s="6" t="s">
        <v>6558</v>
      </c>
      <c r="N342" s="6" t="s">
        <v>6583</v>
      </c>
      <c r="O342" s="6">
        <v>85</v>
      </c>
      <c r="P342" s="6">
        <v>76</v>
      </c>
      <c r="Q342" s="6">
        <v>80</v>
      </c>
      <c r="R342" s="6">
        <v>79</v>
      </c>
      <c r="S342" s="6">
        <v>74</v>
      </c>
      <c r="T342" s="6">
        <v>66</v>
      </c>
      <c r="U342" s="6">
        <v>65</v>
      </c>
      <c r="V342" s="6">
        <v>82</v>
      </c>
      <c r="W342" s="6">
        <v>73</v>
      </c>
      <c r="X342" s="6">
        <v>78</v>
      </c>
      <c r="Y342" s="6">
        <v>81</v>
      </c>
      <c r="Z342" s="6">
        <v>75</v>
      </c>
      <c r="AA342" s="6">
        <v>72</v>
      </c>
      <c r="AB342" s="6">
        <v>74</v>
      </c>
      <c r="AC342" s="6">
        <v>71</v>
      </c>
      <c r="AD342" s="6">
        <v>78</v>
      </c>
      <c r="AE342" s="6">
        <v>70</v>
      </c>
      <c r="AF342" s="6">
        <v>73</v>
      </c>
      <c r="AG342" s="6" t="s">
        <v>7557</v>
      </c>
      <c r="AH342" s="6" t="s">
        <v>6606</v>
      </c>
    </row>
    <row r="343" spans="1:34" x14ac:dyDescent="0.2">
      <c r="A343" t="s">
        <v>3826</v>
      </c>
      <c r="B343" t="s">
        <v>2090</v>
      </c>
      <c r="C343" t="s">
        <v>2878</v>
      </c>
      <c r="D343" s="7" t="s">
        <v>148</v>
      </c>
      <c r="E343" t="s">
        <v>38</v>
      </c>
      <c r="F343">
        <v>28</v>
      </c>
      <c r="G343">
        <v>73</v>
      </c>
      <c r="H343">
        <v>80</v>
      </c>
      <c r="I343" t="s">
        <v>6516</v>
      </c>
      <c r="J343">
        <v>77</v>
      </c>
      <c r="K343">
        <v>275</v>
      </c>
      <c r="L343" t="s">
        <v>5520</v>
      </c>
      <c r="M343" s="6" t="s">
        <v>6558</v>
      </c>
      <c r="N343" s="6" t="s">
        <v>6567</v>
      </c>
      <c r="O343" s="6">
        <v>78</v>
      </c>
      <c r="P343" s="6">
        <v>70</v>
      </c>
      <c r="Q343" s="6">
        <v>79</v>
      </c>
      <c r="R343" s="6">
        <v>67</v>
      </c>
      <c r="S343" s="6">
        <v>86</v>
      </c>
      <c r="T343" s="6">
        <v>75</v>
      </c>
      <c r="U343" s="6">
        <v>79</v>
      </c>
      <c r="V343" s="6">
        <v>71</v>
      </c>
      <c r="W343" s="6">
        <v>78</v>
      </c>
      <c r="X343" s="6">
        <v>76</v>
      </c>
      <c r="Y343" s="6">
        <v>73</v>
      </c>
      <c r="Z343" s="6">
        <v>72</v>
      </c>
      <c r="AA343" s="6">
        <v>73</v>
      </c>
      <c r="AB343" s="6">
        <v>73</v>
      </c>
      <c r="AC343" s="6">
        <v>70</v>
      </c>
      <c r="AD343" s="6">
        <v>85</v>
      </c>
      <c r="AE343" s="6">
        <v>72</v>
      </c>
      <c r="AF343" s="6">
        <v>71</v>
      </c>
      <c r="AG343" s="6" t="s">
        <v>7562</v>
      </c>
      <c r="AH343" s="6" t="s">
        <v>6963</v>
      </c>
    </row>
    <row r="344" spans="1:34" x14ac:dyDescent="0.2">
      <c r="A344" t="s">
        <v>3875</v>
      </c>
      <c r="B344" t="s">
        <v>2139</v>
      </c>
      <c r="C344" t="s">
        <v>2878</v>
      </c>
      <c r="D344" s="7" t="s">
        <v>147</v>
      </c>
      <c r="E344" t="s">
        <v>38</v>
      </c>
      <c r="F344">
        <v>31</v>
      </c>
      <c r="G344">
        <v>77</v>
      </c>
      <c r="H344">
        <v>80</v>
      </c>
      <c r="I344" t="s">
        <v>6530</v>
      </c>
      <c r="J344">
        <v>75</v>
      </c>
      <c r="K344">
        <v>257</v>
      </c>
      <c r="L344" t="s">
        <v>5569</v>
      </c>
      <c r="M344" s="6" t="s">
        <v>6558</v>
      </c>
      <c r="N344" s="6" t="s">
        <v>6583</v>
      </c>
      <c r="O344" s="6">
        <v>70</v>
      </c>
      <c r="P344" s="6">
        <v>79</v>
      </c>
      <c r="Q344" s="6">
        <v>81</v>
      </c>
      <c r="R344" s="6">
        <v>76</v>
      </c>
      <c r="S344" s="6">
        <v>78</v>
      </c>
      <c r="T344" s="6">
        <v>79</v>
      </c>
      <c r="U344" s="6">
        <v>78</v>
      </c>
      <c r="V344" s="6">
        <v>76</v>
      </c>
      <c r="W344" s="6">
        <v>71</v>
      </c>
      <c r="X344" s="6">
        <v>79</v>
      </c>
      <c r="Y344" s="6">
        <v>76</v>
      </c>
      <c r="Z344" s="6">
        <v>76</v>
      </c>
      <c r="AA344" s="6">
        <v>69</v>
      </c>
      <c r="AB344" s="6">
        <v>71</v>
      </c>
      <c r="AC344" s="6">
        <v>74</v>
      </c>
      <c r="AD344" s="6">
        <v>69</v>
      </c>
      <c r="AE344" s="6">
        <v>67</v>
      </c>
      <c r="AF344" s="6">
        <v>75</v>
      </c>
      <c r="AG344" s="6" t="s">
        <v>7610</v>
      </c>
      <c r="AH344" s="6" t="s">
        <v>6682</v>
      </c>
    </row>
    <row r="345" spans="1:34" x14ac:dyDescent="0.2">
      <c r="A345" t="s">
        <v>3888</v>
      </c>
      <c r="B345" t="s">
        <v>2152</v>
      </c>
      <c r="C345" t="s">
        <v>61</v>
      </c>
      <c r="D345" s="7" t="s">
        <v>147</v>
      </c>
      <c r="E345" t="s">
        <v>38</v>
      </c>
      <c r="F345">
        <v>23</v>
      </c>
      <c r="G345">
        <v>79</v>
      </c>
      <c r="H345">
        <v>80</v>
      </c>
      <c r="I345" t="s">
        <v>6454</v>
      </c>
      <c r="J345">
        <v>70</v>
      </c>
      <c r="K345">
        <v>187</v>
      </c>
      <c r="L345" t="s">
        <v>5582</v>
      </c>
      <c r="M345" s="6" t="s">
        <v>6558</v>
      </c>
      <c r="N345" s="6" t="s">
        <v>6565</v>
      </c>
      <c r="O345" s="6">
        <v>75</v>
      </c>
      <c r="P345" s="6">
        <v>68</v>
      </c>
      <c r="Q345" s="6">
        <v>77</v>
      </c>
      <c r="R345" s="6">
        <v>70</v>
      </c>
      <c r="S345" s="6">
        <v>84</v>
      </c>
      <c r="T345" s="6">
        <v>74</v>
      </c>
      <c r="U345" s="6">
        <v>73</v>
      </c>
      <c r="V345" s="6">
        <v>73</v>
      </c>
      <c r="W345" s="6">
        <v>74</v>
      </c>
      <c r="X345" s="6">
        <v>75</v>
      </c>
      <c r="Y345" s="6">
        <v>79</v>
      </c>
      <c r="Z345" s="6">
        <v>75</v>
      </c>
      <c r="AA345" s="6">
        <v>73</v>
      </c>
      <c r="AB345" s="6">
        <v>73</v>
      </c>
      <c r="AC345" s="6">
        <v>74</v>
      </c>
      <c r="AD345" s="6">
        <v>78</v>
      </c>
      <c r="AE345" s="6">
        <v>73</v>
      </c>
      <c r="AF345" s="6">
        <v>76</v>
      </c>
      <c r="AG345" s="6" t="s">
        <v>7623</v>
      </c>
      <c r="AH345" s="6" t="s">
        <v>6632</v>
      </c>
    </row>
    <row r="346" spans="1:34" x14ac:dyDescent="0.2">
      <c r="A346" t="s">
        <v>3898</v>
      </c>
      <c r="B346" t="s">
        <v>2162</v>
      </c>
      <c r="C346" t="s">
        <v>2890</v>
      </c>
      <c r="D346" s="7" t="s">
        <v>147</v>
      </c>
      <c r="E346" t="s">
        <v>38</v>
      </c>
      <c r="F346">
        <v>25</v>
      </c>
      <c r="G346">
        <v>70</v>
      </c>
      <c r="H346">
        <v>80</v>
      </c>
      <c r="I346" t="s">
        <v>6482</v>
      </c>
      <c r="J346">
        <v>71</v>
      </c>
      <c r="K346">
        <v>181</v>
      </c>
      <c r="L346" t="s">
        <v>5592</v>
      </c>
      <c r="M346" s="6" t="s">
        <v>6558</v>
      </c>
      <c r="N346" s="6" t="s">
        <v>6614</v>
      </c>
      <c r="O346" s="6">
        <v>68</v>
      </c>
      <c r="P346" s="6">
        <v>69</v>
      </c>
      <c r="Q346" s="6">
        <v>67</v>
      </c>
      <c r="R346" s="6">
        <v>62</v>
      </c>
      <c r="S346" s="6">
        <v>60</v>
      </c>
      <c r="T346" s="6">
        <v>67</v>
      </c>
      <c r="U346" s="6">
        <v>73</v>
      </c>
      <c r="V346" s="6">
        <v>70</v>
      </c>
      <c r="W346" s="6">
        <v>67</v>
      </c>
      <c r="X346" s="6">
        <v>65</v>
      </c>
      <c r="Y346" s="6">
        <v>73</v>
      </c>
      <c r="Z346" s="6">
        <v>70</v>
      </c>
      <c r="AA346" s="6">
        <v>71</v>
      </c>
      <c r="AB346" s="6">
        <v>71</v>
      </c>
      <c r="AC346" s="6">
        <v>78</v>
      </c>
      <c r="AD346" s="6">
        <v>66</v>
      </c>
      <c r="AE346" s="6">
        <v>68</v>
      </c>
      <c r="AF346" s="6">
        <v>74</v>
      </c>
      <c r="AG346" s="6" t="s">
        <v>7633</v>
      </c>
      <c r="AH346" s="6" t="s">
        <v>6630</v>
      </c>
    </row>
    <row r="347" spans="1:34" x14ac:dyDescent="0.2">
      <c r="A347" t="s">
        <v>3926</v>
      </c>
      <c r="B347" t="s">
        <v>2190</v>
      </c>
      <c r="C347" t="s">
        <v>2876</v>
      </c>
      <c r="D347" s="7" t="s">
        <v>144</v>
      </c>
      <c r="E347" t="s">
        <v>38</v>
      </c>
      <c r="F347">
        <v>29</v>
      </c>
      <c r="G347">
        <v>88</v>
      </c>
      <c r="H347">
        <v>80</v>
      </c>
      <c r="I347" t="s">
        <v>6307</v>
      </c>
      <c r="J347">
        <v>76</v>
      </c>
      <c r="K347">
        <v>304</v>
      </c>
      <c r="L347" t="s">
        <v>5620</v>
      </c>
      <c r="M347" s="6" t="s">
        <v>6558</v>
      </c>
      <c r="N347" s="6" t="s">
        <v>6583</v>
      </c>
      <c r="O347" s="6">
        <v>87</v>
      </c>
      <c r="P347" s="6">
        <v>72</v>
      </c>
      <c r="Q347" s="6">
        <v>77</v>
      </c>
      <c r="R347" s="6">
        <v>80</v>
      </c>
      <c r="S347" s="6">
        <v>95</v>
      </c>
      <c r="T347" s="6">
        <v>80</v>
      </c>
      <c r="U347" s="6">
        <v>86</v>
      </c>
      <c r="V347" s="6">
        <v>88</v>
      </c>
      <c r="W347" s="6">
        <v>87</v>
      </c>
      <c r="X347" s="6">
        <v>77</v>
      </c>
      <c r="Y347" s="6">
        <v>90</v>
      </c>
      <c r="Z347" s="6">
        <v>74</v>
      </c>
      <c r="AA347" s="6">
        <v>76</v>
      </c>
      <c r="AB347" s="6">
        <v>79</v>
      </c>
      <c r="AC347" s="6">
        <v>71</v>
      </c>
      <c r="AD347" s="6">
        <v>78</v>
      </c>
      <c r="AE347" s="6">
        <v>75</v>
      </c>
      <c r="AF347" s="6">
        <v>71</v>
      </c>
      <c r="AG347" s="6" t="s">
        <v>7660</v>
      </c>
      <c r="AH347" s="6" t="s">
        <v>6674</v>
      </c>
    </row>
    <row r="348" spans="1:34" x14ac:dyDescent="0.2">
      <c r="A348" t="s">
        <v>3937</v>
      </c>
      <c r="B348" t="s">
        <v>2201</v>
      </c>
      <c r="C348" t="s">
        <v>2880</v>
      </c>
      <c r="D348" s="7" t="s">
        <v>144</v>
      </c>
      <c r="E348" t="s">
        <v>58</v>
      </c>
      <c r="F348">
        <v>25</v>
      </c>
      <c r="G348">
        <v>66</v>
      </c>
      <c r="H348">
        <v>80</v>
      </c>
      <c r="I348" t="s">
        <v>6343</v>
      </c>
      <c r="J348">
        <v>75</v>
      </c>
      <c r="K348">
        <v>263</v>
      </c>
      <c r="L348" t="s">
        <v>5631</v>
      </c>
      <c r="M348" s="6" t="s">
        <v>6558</v>
      </c>
      <c r="N348" s="6" t="s">
        <v>6567</v>
      </c>
      <c r="O348" s="6">
        <v>74</v>
      </c>
      <c r="P348" s="6">
        <v>64</v>
      </c>
      <c r="Q348" s="6">
        <v>71</v>
      </c>
      <c r="R348" s="6">
        <v>68</v>
      </c>
      <c r="S348" s="6">
        <v>71</v>
      </c>
      <c r="T348" s="6">
        <v>68</v>
      </c>
      <c r="U348" s="6">
        <v>67</v>
      </c>
      <c r="V348" s="6">
        <v>70</v>
      </c>
      <c r="W348" s="6">
        <v>62</v>
      </c>
      <c r="X348" s="6">
        <v>70</v>
      </c>
      <c r="Y348" s="6">
        <v>62</v>
      </c>
      <c r="Z348" s="6">
        <v>70</v>
      </c>
      <c r="AA348" s="6">
        <v>66</v>
      </c>
      <c r="AB348" s="6">
        <v>74</v>
      </c>
      <c r="AC348" s="6">
        <v>60</v>
      </c>
      <c r="AD348" s="6">
        <v>60</v>
      </c>
      <c r="AE348" s="6">
        <v>65</v>
      </c>
      <c r="AF348" s="6">
        <v>64</v>
      </c>
      <c r="AG348" s="6" t="s">
        <v>7671</v>
      </c>
      <c r="AH348" s="6" t="s">
        <v>6623</v>
      </c>
    </row>
    <row r="349" spans="1:34" x14ac:dyDescent="0.2">
      <c r="A349" t="s">
        <v>4040</v>
      </c>
      <c r="B349" t="s">
        <v>2304</v>
      </c>
      <c r="C349" t="s">
        <v>2875</v>
      </c>
      <c r="D349" s="7" t="s">
        <v>22</v>
      </c>
      <c r="E349" t="s">
        <v>38</v>
      </c>
      <c r="F349">
        <v>28</v>
      </c>
      <c r="G349">
        <v>84</v>
      </c>
      <c r="H349">
        <v>80</v>
      </c>
      <c r="I349" t="s">
        <v>54</v>
      </c>
      <c r="J349">
        <v>75</v>
      </c>
      <c r="K349">
        <v>300</v>
      </c>
      <c r="L349" t="s">
        <v>5734</v>
      </c>
      <c r="M349" s="6" t="s">
        <v>6558</v>
      </c>
      <c r="N349" s="6" t="s">
        <v>6562</v>
      </c>
      <c r="O349" s="6">
        <v>92</v>
      </c>
      <c r="P349" s="6">
        <v>74</v>
      </c>
      <c r="Q349" s="6">
        <v>77</v>
      </c>
      <c r="R349" s="6">
        <v>92</v>
      </c>
      <c r="S349" s="6">
        <v>77</v>
      </c>
      <c r="T349" s="6">
        <v>75</v>
      </c>
      <c r="U349" s="6">
        <v>79</v>
      </c>
      <c r="V349" s="6">
        <v>83</v>
      </c>
      <c r="W349" s="6">
        <v>75</v>
      </c>
      <c r="X349" s="6">
        <v>85</v>
      </c>
      <c r="Y349" s="6">
        <v>80</v>
      </c>
      <c r="Z349" s="6">
        <v>85</v>
      </c>
      <c r="AA349" s="6">
        <v>75</v>
      </c>
      <c r="AB349" s="6">
        <v>77</v>
      </c>
      <c r="AC349" s="6">
        <v>77</v>
      </c>
      <c r="AD349" s="6">
        <v>82</v>
      </c>
      <c r="AE349" s="6">
        <v>77</v>
      </c>
      <c r="AF349" s="6">
        <v>73</v>
      </c>
      <c r="AG349" s="6" t="s">
        <v>7772</v>
      </c>
      <c r="AH349" s="6" t="s">
        <v>6743</v>
      </c>
    </row>
    <row r="350" spans="1:34" x14ac:dyDescent="0.2">
      <c r="A350" t="s">
        <v>4089</v>
      </c>
      <c r="B350" t="s">
        <v>2353</v>
      </c>
      <c r="C350" t="s">
        <v>57</v>
      </c>
      <c r="D350" s="7" t="s">
        <v>25</v>
      </c>
      <c r="E350" t="s">
        <v>38</v>
      </c>
      <c r="F350">
        <v>28</v>
      </c>
      <c r="G350">
        <v>73</v>
      </c>
      <c r="H350">
        <v>80</v>
      </c>
      <c r="I350" t="s">
        <v>6314</v>
      </c>
      <c r="J350">
        <v>74</v>
      </c>
      <c r="K350">
        <v>215</v>
      </c>
      <c r="L350" t="s">
        <v>5783</v>
      </c>
      <c r="M350" s="6" t="s">
        <v>6558</v>
      </c>
      <c r="N350" s="6" t="s">
        <v>6583</v>
      </c>
      <c r="O350" s="6">
        <v>86</v>
      </c>
      <c r="P350" s="6">
        <v>72</v>
      </c>
      <c r="Q350" s="6">
        <v>79</v>
      </c>
      <c r="R350" s="6">
        <v>81</v>
      </c>
      <c r="S350" s="6">
        <v>83</v>
      </c>
      <c r="T350" s="6">
        <v>67</v>
      </c>
      <c r="U350" s="6">
        <v>86</v>
      </c>
      <c r="V350" s="6">
        <v>72</v>
      </c>
      <c r="W350" s="6">
        <v>81</v>
      </c>
      <c r="X350" s="6">
        <v>74</v>
      </c>
      <c r="Y350" s="6">
        <v>74</v>
      </c>
      <c r="Z350" s="6">
        <v>78</v>
      </c>
      <c r="AA350" s="6">
        <v>74</v>
      </c>
      <c r="AB350" s="6">
        <v>72</v>
      </c>
      <c r="AC350" s="6">
        <v>73</v>
      </c>
      <c r="AD350" s="6">
        <v>76</v>
      </c>
      <c r="AE350" s="6">
        <v>70</v>
      </c>
      <c r="AF350" s="6">
        <v>74</v>
      </c>
      <c r="AG350" s="6" t="s">
        <v>7820</v>
      </c>
      <c r="AH350" s="6" t="s">
        <v>6578</v>
      </c>
    </row>
    <row r="351" spans="1:34" x14ac:dyDescent="0.2">
      <c r="A351" t="s">
        <v>4204</v>
      </c>
      <c r="B351" t="s">
        <v>2468</v>
      </c>
      <c r="C351" t="s">
        <v>2878</v>
      </c>
      <c r="D351" s="7" t="s">
        <v>151</v>
      </c>
      <c r="E351" t="s">
        <v>38</v>
      </c>
      <c r="F351">
        <v>27</v>
      </c>
      <c r="G351">
        <v>85</v>
      </c>
      <c r="H351">
        <v>80</v>
      </c>
      <c r="I351" t="s">
        <v>6308</v>
      </c>
      <c r="J351">
        <v>78</v>
      </c>
      <c r="K351">
        <v>266</v>
      </c>
      <c r="L351" t="s">
        <v>5898</v>
      </c>
      <c r="M351" s="6" t="s">
        <v>6558</v>
      </c>
      <c r="N351" s="6" t="s">
        <v>6567</v>
      </c>
      <c r="O351" s="6">
        <v>75</v>
      </c>
      <c r="P351" s="6">
        <v>71</v>
      </c>
      <c r="Q351" s="6">
        <v>76</v>
      </c>
      <c r="R351" s="6">
        <v>66</v>
      </c>
      <c r="S351" s="6">
        <v>83</v>
      </c>
      <c r="T351" s="6">
        <v>78</v>
      </c>
      <c r="U351" s="6">
        <v>76</v>
      </c>
      <c r="V351" s="6">
        <v>74</v>
      </c>
      <c r="W351" s="6">
        <v>80</v>
      </c>
      <c r="X351" s="6">
        <v>70</v>
      </c>
      <c r="Y351" s="6">
        <v>71</v>
      </c>
      <c r="Z351" s="6">
        <v>81</v>
      </c>
      <c r="AA351" s="6">
        <v>72</v>
      </c>
      <c r="AB351" s="6">
        <v>74</v>
      </c>
      <c r="AC351" s="6">
        <v>67</v>
      </c>
      <c r="AD351" s="6">
        <v>85</v>
      </c>
      <c r="AE351" s="6">
        <v>77</v>
      </c>
      <c r="AF351" s="6">
        <v>76</v>
      </c>
      <c r="AG351" s="6" t="s">
        <v>7936</v>
      </c>
      <c r="AH351" s="6" t="s">
        <v>6963</v>
      </c>
    </row>
    <row r="352" spans="1:34" x14ac:dyDescent="0.2">
      <c r="A352" t="s">
        <v>2926</v>
      </c>
      <c r="B352" t="s">
        <v>1190</v>
      </c>
      <c r="C352" t="s">
        <v>2871</v>
      </c>
      <c r="D352" s="7" t="s">
        <v>129</v>
      </c>
      <c r="E352" t="s">
        <v>58</v>
      </c>
      <c r="F352">
        <v>24</v>
      </c>
      <c r="G352">
        <v>67</v>
      </c>
      <c r="H352">
        <v>79</v>
      </c>
      <c r="I352" t="s">
        <v>6314</v>
      </c>
      <c r="J352">
        <v>78</v>
      </c>
      <c r="K352">
        <v>265</v>
      </c>
      <c r="L352" t="s">
        <v>4620</v>
      </c>
      <c r="M352" s="6" t="s">
        <v>6558</v>
      </c>
      <c r="N352" s="6" t="s">
        <v>6565</v>
      </c>
      <c r="O352" s="6">
        <v>73</v>
      </c>
      <c r="P352" s="6">
        <v>71</v>
      </c>
      <c r="Q352" s="6">
        <v>74</v>
      </c>
      <c r="R352" s="6">
        <v>74</v>
      </c>
      <c r="S352" s="6">
        <v>74</v>
      </c>
      <c r="T352" s="6">
        <v>70</v>
      </c>
      <c r="U352" s="6">
        <v>78</v>
      </c>
      <c r="V352" s="6">
        <v>72</v>
      </c>
      <c r="W352" s="6">
        <v>72</v>
      </c>
      <c r="X352" s="6">
        <v>79</v>
      </c>
      <c r="Y352" s="6">
        <v>63</v>
      </c>
      <c r="Z352" s="6">
        <v>73</v>
      </c>
      <c r="AA352" s="6">
        <v>73</v>
      </c>
      <c r="AB352" s="6">
        <v>67</v>
      </c>
      <c r="AC352" s="6">
        <v>69</v>
      </c>
      <c r="AD352" s="6">
        <v>71</v>
      </c>
      <c r="AE352" s="6">
        <v>70</v>
      </c>
      <c r="AF352" s="6">
        <v>69</v>
      </c>
      <c r="AG352" s="6" t="s">
        <v>6589</v>
      </c>
      <c r="AH352" s="6" t="s">
        <v>6585</v>
      </c>
    </row>
    <row r="353" spans="1:34" x14ac:dyDescent="0.2">
      <c r="A353" t="s">
        <v>2951</v>
      </c>
      <c r="B353" t="s">
        <v>1215</v>
      </c>
      <c r="C353" t="s">
        <v>61</v>
      </c>
      <c r="D353" s="7" t="s">
        <v>129</v>
      </c>
      <c r="E353" t="s">
        <v>38</v>
      </c>
      <c r="F353">
        <v>27</v>
      </c>
      <c r="G353">
        <v>73</v>
      </c>
      <c r="H353">
        <v>79</v>
      </c>
      <c r="I353" t="s">
        <v>6338</v>
      </c>
      <c r="J353">
        <v>70</v>
      </c>
      <c r="K353">
        <v>195</v>
      </c>
      <c r="L353" t="s">
        <v>4645</v>
      </c>
      <c r="M353" s="6" t="s">
        <v>6558</v>
      </c>
      <c r="N353" s="6" t="s">
        <v>6565</v>
      </c>
      <c r="O353" s="6">
        <v>75</v>
      </c>
      <c r="P353" s="6">
        <v>78</v>
      </c>
      <c r="Q353" s="6">
        <v>78</v>
      </c>
      <c r="R353" s="6">
        <v>74</v>
      </c>
      <c r="S353" s="6">
        <v>89</v>
      </c>
      <c r="T353" s="6">
        <v>72</v>
      </c>
      <c r="U353" s="6">
        <v>83</v>
      </c>
      <c r="V353" s="6">
        <v>81</v>
      </c>
      <c r="W353" s="6">
        <v>77</v>
      </c>
      <c r="X353" s="6">
        <v>81</v>
      </c>
      <c r="Y353" s="6">
        <v>79</v>
      </c>
      <c r="Z353" s="6">
        <v>66</v>
      </c>
      <c r="AA353" s="6">
        <v>74</v>
      </c>
      <c r="AB353" s="6">
        <v>74</v>
      </c>
      <c r="AC353" s="6">
        <v>78</v>
      </c>
      <c r="AD353" s="6">
        <v>79</v>
      </c>
      <c r="AE353" s="6">
        <v>73</v>
      </c>
      <c r="AF353" s="6">
        <v>70</v>
      </c>
      <c r="AG353" s="6" t="s">
        <v>6629</v>
      </c>
      <c r="AH353" s="6" t="s">
        <v>6630</v>
      </c>
    </row>
    <row r="354" spans="1:34" x14ac:dyDescent="0.2">
      <c r="A354" t="s">
        <v>2999</v>
      </c>
      <c r="B354" t="s">
        <v>1263</v>
      </c>
      <c r="C354" t="s">
        <v>2882</v>
      </c>
      <c r="D354" s="7" t="s">
        <v>146</v>
      </c>
      <c r="E354" t="s">
        <v>58</v>
      </c>
      <c r="F354">
        <v>30</v>
      </c>
      <c r="G354">
        <v>70</v>
      </c>
      <c r="H354">
        <v>79</v>
      </c>
      <c r="I354" t="s">
        <v>6336</v>
      </c>
      <c r="J354">
        <v>72</v>
      </c>
      <c r="K354">
        <v>198</v>
      </c>
      <c r="L354" t="s">
        <v>4693</v>
      </c>
      <c r="M354" s="6" t="s">
        <v>6558</v>
      </c>
      <c r="N354" s="6" t="s">
        <v>6559</v>
      </c>
      <c r="O354" s="6">
        <v>84</v>
      </c>
      <c r="P354" s="6">
        <v>74</v>
      </c>
      <c r="Q354" s="6">
        <v>79</v>
      </c>
      <c r="R354" s="6">
        <v>83</v>
      </c>
      <c r="S354" s="6">
        <v>81</v>
      </c>
      <c r="T354" s="6">
        <v>70</v>
      </c>
      <c r="U354" s="6">
        <v>65</v>
      </c>
      <c r="V354" s="6">
        <v>73</v>
      </c>
      <c r="W354" s="6">
        <v>62</v>
      </c>
      <c r="X354" s="6">
        <v>68</v>
      </c>
      <c r="Y354" s="6">
        <v>76</v>
      </c>
      <c r="Z354" s="6">
        <v>72</v>
      </c>
      <c r="AA354" s="6">
        <v>68</v>
      </c>
      <c r="AB354" s="6">
        <v>63</v>
      </c>
      <c r="AC354" s="6">
        <v>63</v>
      </c>
      <c r="AD354" s="6">
        <v>75</v>
      </c>
      <c r="AE354" s="6">
        <v>63</v>
      </c>
      <c r="AF354" s="6">
        <v>67</v>
      </c>
      <c r="AG354" s="6" t="s">
        <v>6700</v>
      </c>
      <c r="AH354" s="6" t="s">
        <v>6636</v>
      </c>
    </row>
    <row r="355" spans="1:34" x14ac:dyDescent="0.2">
      <c r="A355" t="s">
        <v>3047</v>
      </c>
      <c r="B355" t="s">
        <v>1311</v>
      </c>
      <c r="C355" t="s">
        <v>2883</v>
      </c>
      <c r="D355" s="7" t="s">
        <v>131</v>
      </c>
      <c r="E355" t="s">
        <v>38</v>
      </c>
      <c r="F355">
        <v>22</v>
      </c>
      <c r="G355">
        <v>85</v>
      </c>
      <c r="H355">
        <v>79</v>
      </c>
      <c r="I355" t="s">
        <v>6334</v>
      </c>
      <c r="J355">
        <v>72</v>
      </c>
      <c r="K355">
        <v>212</v>
      </c>
      <c r="L355" t="s">
        <v>4741</v>
      </c>
      <c r="M355" s="6" t="s">
        <v>6558</v>
      </c>
      <c r="N355" s="6" t="s">
        <v>6559</v>
      </c>
      <c r="O355" s="6">
        <v>80</v>
      </c>
      <c r="P355" s="6">
        <v>75</v>
      </c>
      <c r="Q355" s="6">
        <v>76</v>
      </c>
      <c r="R355" s="6">
        <v>82</v>
      </c>
      <c r="S355" s="6">
        <v>70</v>
      </c>
      <c r="T355" s="6">
        <v>69</v>
      </c>
      <c r="U355" s="6">
        <v>82</v>
      </c>
      <c r="V355" s="6">
        <v>69</v>
      </c>
      <c r="W355" s="6">
        <v>71</v>
      </c>
      <c r="X355" s="6">
        <v>83</v>
      </c>
      <c r="Y355" s="6">
        <v>72</v>
      </c>
      <c r="Z355" s="6">
        <v>77</v>
      </c>
      <c r="AA355" s="6">
        <v>70</v>
      </c>
      <c r="AB355" s="6">
        <v>73</v>
      </c>
      <c r="AC355" s="6">
        <v>74</v>
      </c>
      <c r="AD355" s="6">
        <v>73</v>
      </c>
      <c r="AE355" s="6">
        <v>82</v>
      </c>
      <c r="AF355" s="6">
        <v>66</v>
      </c>
      <c r="AG355" s="6" t="s">
        <v>6760</v>
      </c>
      <c r="AH355" s="6" t="s">
        <v>6640</v>
      </c>
    </row>
    <row r="356" spans="1:34" x14ac:dyDescent="0.2">
      <c r="A356" t="s">
        <v>3053</v>
      </c>
      <c r="B356" t="s">
        <v>1317</v>
      </c>
      <c r="C356" t="s">
        <v>2885</v>
      </c>
      <c r="D356" s="7" t="s">
        <v>131</v>
      </c>
      <c r="E356" t="s">
        <v>38</v>
      </c>
      <c r="F356">
        <v>23</v>
      </c>
      <c r="G356">
        <v>69</v>
      </c>
      <c r="H356">
        <v>79</v>
      </c>
      <c r="I356" t="s">
        <v>6340</v>
      </c>
      <c r="J356">
        <v>74</v>
      </c>
      <c r="K356">
        <v>247</v>
      </c>
      <c r="L356" t="s">
        <v>4747</v>
      </c>
      <c r="M356" s="6" t="s">
        <v>6558</v>
      </c>
      <c r="N356" s="6" t="s">
        <v>6565</v>
      </c>
      <c r="O356" s="6">
        <v>52</v>
      </c>
      <c r="P356" s="6">
        <v>66</v>
      </c>
      <c r="Q356" s="6">
        <v>71</v>
      </c>
      <c r="R356" s="6">
        <v>72</v>
      </c>
      <c r="S356" s="6">
        <v>76</v>
      </c>
      <c r="T356" s="6">
        <v>64</v>
      </c>
      <c r="U356" s="6">
        <v>64</v>
      </c>
      <c r="V356" s="6">
        <v>76</v>
      </c>
      <c r="W356" s="6">
        <v>59</v>
      </c>
      <c r="X356" s="6">
        <v>66</v>
      </c>
      <c r="Y356" s="6">
        <v>70</v>
      </c>
      <c r="Z356" s="6">
        <v>61</v>
      </c>
      <c r="AA356" s="6">
        <v>71</v>
      </c>
      <c r="AB356" s="6">
        <v>67</v>
      </c>
      <c r="AC356" s="6">
        <v>62</v>
      </c>
      <c r="AD356" s="6">
        <v>64</v>
      </c>
      <c r="AE356" s="6">
        <v>67</v>
      </c>
      <c r="AF356" s="6">
        <v>66</v>
      </c>
      <c r="AG356" s="6" t="s">
        <v>6767</v>
      </c>
      <c r="AH356" s="6" t="s">
        <v>6711</v>
      </c>
    </row>
    <row r="357" spans="1:34" x14ac:dyDescent="0.2">
      <c r="A357" t="s">
        <v>3080</v>
      </c>
      <c r="B357" t="s">
        <v>1344</v>
      </c>
      <c r="C357" t="s">
        <v>2878</v>
      </c>
      <c r="D357" s="7" t="s">
        <v>130</v>
      </c>
      <c r="E357" t="s">
        <v>38</v>
      </c>
      <c r="F357">
        <v>25</v>
      </c>
      <c r="G357">
        <v>80</v>
      </c>
      <c r="H357">
        <v>79</v>
      </c>
      <c r="I357" t="s">
        <v>6317</v>
      </c>
      <c r="J357">
        <v>76</v>
      </c>
      <c r="K357">
        <v>257</v>
      </c>
      <c r="L357" t="s">
        <v>4774</v>
      </c>
      <c r="M357" s="6" t="s">
        <v>6558</v>
      </c>
      <c r="N357" s="6" t="s">
        <v>6567</v>
      </c>
      <c r="O357" s="6">
        <v>76</v>
      </c>
      <c r="P357" s="6">
        <v>69</v>
      </c>
      <c r="Q357" s="6">
        <v>76</v>
      </c>
      <c r="R357" s="6">
        <v>65</v>
      </c>
      <c r="S357" s="6">
        <v>84</v>
      </c>
      <c r="T357" s="6">
        <v>74</v>
      </c>
      <c r="U357" s="6">
        <v>69</v>
      </c>
      <c r="V357" s="6">
        <v>66</v>
      </c>
      <c r="W357" s="6">
        <v>73</v>
      </c>
      <c r="X357" s="6">
        <v>69</v>
      </c>
      <c r="Y357" s="6">
        <v>82</v>
      </c>
      <c r="Z357" s="6">
        <v>77</v>
      </c>
      <c r="AA357" s="6">
        <v>72</v>
      </c>
      <c r="AB357" s="6">
        <v>69</v>
      </c>
      <c r="AC357" s="6">
        <v>76</v>
      </c>
      <c r="AD357" s="6">
        <v>70</v>
      </c>
      <c r="AE357" s="6">
        <v>72</v>
      </c>
      <c r="AF357" s="6">
        <v>77</v>
      </c>
      <c r="AG357" s="6" t="s">
        <v>6796</v>
      </c>
      <c r="AH357" s="6" t="s">
        <v>6797</v>
      </c>
    </row>
    <row r="358" spans="1:34" x14ac:dyDescent="0.2">
      <c r="A358" t="s">
        <v>3083</v>
      </c>
      <c r="B358" t="s">
        <v>1347</v>
      </c>
      <c r="C358" t="s">
        <v>2878</v>
      </c>
      <c r="D358" s="7" t="s">
        <v>130</v>
      </c>
      <c r="E358" t="s">
        <v>58</v>
      </c>
      <c r="F358">
        <v>30</v>
      </c>
      <c r="G358">
        <v>76</v>
      </c>
      <c r="H358">
        <v>79</v>
      </c>
      <c r="I358" t="s">
        <v>6320</v>
      </c>
      <c r="J358">
        <v>76</v>
      </c>
      <c r="K358">
        <v>276</v>
      </c>
      <c r="L358" t="s">
        <v>4777</v>
      </c>
      <c r="M358" s="6" t="s">
        <v>6558</v>
      </c>
      <c r="N358" s="6" t="s">
        <v>6583</v>
      </c>
      <c r="O358" s="6">
        <v>74</v>
      </c>
      <c r="P358" s="6">
        <v>85</v>
      </c>
      <c r="Q358" s="6">
        <v>76</v>
      </c>
      <c r="R358" s="6">
        <v>77</v>
      </c>
      <c r="S358" s="6">
        <v>74</v>
      </c>
      <c r="T358" s="6">
        <v>71</v>
      </c>
      <c r="U358" s="6">
        <v>79</v>
      </c>
      <c r="V358" s="6">
        <v>80</v>
      </c>
      <c r="W358" s="6">
        <v>73</v>
      </c>
      <c r="X358" s="6">
        <v>78</v>
      </c>
      <c r="Y358" s="6">
        <v>73</v>
      </c>
      <c r="Z358" s="6">
        <v>77</v>
      </c>
      <c r="AA358" s="6">
        <v>65</v>
      </c>
      <c r="AB358" s="6">
        <v>71</v>
      </c>
      <c r="AC358" s="6">
        <v>66</v>
      </c>
      <c r="AD358" s="6">
        <v>69</v>
      </c>
      <c r="AE358" s="6">
        <v>73</v>
      </c>
      <c r="AF358" s="6">
        <v>73</v>
      </c>
      <c r="AG358" s="6" t="s">
        <v>6800</v>
      </c>
      <c r="AH358" s="6" t="s">
        <v>6686</v>
      </c>
    </row>
    <row r="359" spans="1:34" x14ac:dyDescent="0.2">
      <c r="A359" t="s">
        <v>3115</v>
      </c>
      <c r="B359" t="s">
        <v>1379</v>
      </c>
      <c r="C359" t="s">
        <v>2871</v>
      </c>
      <c r="D359" s="7" t="s">
        <v>133</v>
      </c>
      <c r="E359" t="s">
        <v>58</v>
      </c>
      <c r="F359">
        <v>29</v>
      </c>
      <c r="G359">
        <v>63</v>
      </c>
      <c r="H359">
        <v>79</v>
      </c>
      <c r="I359" t="s">
        <v>6311</v>
      </c>
      <c r="J359">
        <v>76</v>
      </c>
      <c r="K359">
        <v>248</v>
      </c>
      <c r="L359" t="s">
        <v>4809</v>
      </c>
      <c r="M359" s="6" t="s">
        <v>6558</v>
      </c>
      <c r="N359" s="6" t="s">
        <v>6583</v>
      </c>
      <c r="O359" s="6">
        <v>75</v>
      </c>
      <c r="P359" s="6">
        <v>66</v>
      </c>
      <c r="Q359" s="6">
        <v>82</v>
      </c>
      <c r="R359" s="6">
        <v>79</v>
      </c>
      <c r="S359" s="6">
        <v>78</v>
      </c>
      <c r="T359" s="6">
        <v>60</v>
      </c>
      <c r="U359" s="6">
        <v>65</v>
      </c>
      <c r="V359" s="6">
        <v>64</v>
      </c>
      <c r="W359" s="6">
        <v>65</v>
      </c>
      <c r="X359" s="6">
        <v>77</v>
      </c>
      <c r="Y359" s="6">
        <v>65</v>
      </c>
      <c r="Z359" s="6">
        <v>68</v>
      </c>
      <c r="AA359" s="6">
        <v>63</v>
      </c>
      <c r="AB359" s="6">
        <v>65</v>
      </c>
      <c r="AC359" s="6">
        <v>66</v>
      </c>
      <c r="AD359" s="6">
        <v>77</v>
      </c>
      <c r="AE359" s="6">
        <v>64</v>
      </c>
      <c r="AF359" s="6">
        <v>62</v>
      </c>
      <c r="AG359" s="6" t="s">
        <v>6836</v>
      </c>
      <c r="AH359" s="6" t="s">
        <v>6591</v>
      </c>
    </row>
    <row r="360" spans="1:34" x14ac:dyDescent="0.2">
      <c r="A360" t="s">
        <v>3123</v>
      </c>
      <c r="B360" t="s">
        <v>1387</v>
      </c>
      <c r="C360" t="s">
        <v>2874</v>
      </c>
      <c r="D360" s="7" t="s">
        <v>133</v>
      </c>
      <c r="E360" t="s">
        <v>58</v>
      </c>
      <c r="F360">
        <v>33</v>
      </c>
      <c r="G360">
        <v>71</v>
      </c>
      <c r="H360">
        <v>79</v>
      </c>
      <c r="I360" t="s">
        <v>62</v>
      </c>
      <c r="J360">
        <v>75</v>
      </c>
      <c r="K360">
        <v>326</v>
      </c>
      <c r="L360" t="s">
        <v>4817</v>
      </c>
      <c r="M360" s="6" t="s">
        <v>6558</v>
      </c>
      <c r="N360" s="6" t="s">
        <v>6565</v>
      </c>
      <c r="O360" s="6">
        <v>77</v>
      </c>
      <c r="P360" s="6">
        <v>75</v>
      </c>
      <c r="Q360" s="6">
        <v>77</v>
      </c>
      <c r="R360" s="6">
        <v>71</v>
      </c>
      <c r="S360" s="6">
        <v>79</v>
      </c>
      <c r="T360" s="6">
        <v>72</v>
      </c>
      <c r="U360" s="6">
        <v>76</v>
      </c>
      <c r="V360" s="6">
        <v>74</v>
      </c>
      <c r="W360" s="6">
        <v>67</v>
      </c>
      <c r="X360" s="6">
        <v>78</v>
      </c>
      <c r="Y360" s="6">
        <v>71</v>
      </c>
      <c r="Z360" s="6">
        <v>65</v>
      </c>
      <c r="AA360" s="6">
        <v>65</v>
      </c>
      <c r="AB360" s="6">
        <v>71</v>
      </c>
      <c r="AC360" s="6">
        <v>57</v>
      </c>
      <c r="AD360" s="6">
        <v>58</v>
      </c>
      <c r="AE360" s="6">
        <v>60</v>
      </c>
      <c r="AF360" s="6">
        <v>67</v>
      </c>
      <c r="AG360" s="6" t="s">
        <v>6845</v>
      </c>
      <c r="AH360" s="6" t="s">
        <v>6600</v>
      </c>
    </row>
    <row r="361" spans="1:34" x14ac:dyDescent="0.2">
      <c r="A361" t="s">
        <v>3126</v>
      </c>
      <c r="B361" t="s">
        <v>1390</v>
      </c>
      <c r="C361" t="s">
        <v>2876</v>
      </c>
      <c r="D361" s="7" t="s">
        <v>133</v>
      </c>
      <c r="E361" t="s">
        <v>38</v>
      </c>
      <c r="F361">
        <v>33</v>
      </c>
      <c r="G361">
        <v>76</v>
      </c>
      <c r="H361">
        <v>79</v>
      </c>
      <c r="I361" t="s">
        <v>6306</v>
      </c>
      <c r="J361">
        <v>78</v>
      </c>
      <c r="K361">
        <v>300</v>
      </c>
      <c r="L361" t="s">
        <v>4820</v>
      </c>
      <c r="M361" s="6" t="s">
        <v>6558</v>
      </c>
      <c r="N361" s="6" t="s">
        <v>6583</v>
      </c>
      <c r="O361" s="6">
        <v>81</v>
      </c>
      <c r="P361" s="6">
        <v>80</v>
      </c>
      <c r="Q361" s="6">
        <v>78</v>
      </c>
      <c r="R361" s="6">
        <v>79</v>
      </c>
      <c r="S361" s="6">
        <v>84</v>
      </c>
      <c r="T361" s="6">
        <v>79</v>
      </c>
      <c r="U361" s="6">
        <v>76</v>
      </c>
      <c r="V361" s="6">
        <v>85</v>
      </c>
      <c r="W361" s="6">
        <v>86</v>
      </c>
      <c r="X361" s="6">
        <v>76</v>
      </c>
      <c r="Y361" s="6">
        <v>84</v>
      </c>
      <c r="Z361" s="6">
        <v>76</v>
      </c>
      <c r="AA361" s="6">
        <v>63</v>
      </c>
      <c r="AB361" s="6">
        <v>81</v>
      </c>
      <c r="AC361" s="6">
        <v>63</v>
      </c>
      <c r="AD361" s="6">
        <v>68</v>
      </c>
      <c r="AE361" s="6">
        <v>68</v>
      </c>
      <c r="AF361" s="6">
        <v>72</v>
      </c>
      <c r="AG361" s="6" t="s">
        <v>6848</v>
      </c>
      <c r="AH361" s="6" t="s">
        <v>6598</v>
      </c>
    </row>
    <row r="362" spans="1:34" x14ac:dyDescent="0.2">
      <c r="A362" t="s">
        <v>3127</v>
      </c>
      <c r="B362" t="s">
        <v>1391</v>
      </c>
      <c r="C362" t="s">
        <v>2878</v>
      </c>
      <c r="D362" s="7" t="s">
        <v>133</v>
      </c>
      <c r="E362" t="s">
        <v>38</v>
      </c>
      <c r="F362">
        <v>27</v>
      </c>
      <c r="G362">
        <v>94</v>
      </c>
      <c r="H362">
        <v>79</v>
      </c>
      <c r="I362" t="s">
        <v>6303</v>
      </c>
      <c r="J362">
        <v>78</v>
      </c>
      <c r="K362">
        <v>252</v>
      </c>
      <c r="L362" t="s">
        <v>4821</v>
      </c>
      <c r="M362" s="6" t="s">
        <v>6558</v>
      </c>
      <c r="N362" s="6" t="s">
        <v>6583</v>
      </c>
      <c r="O362" s="6">
        <v>84</v>
      </c>
      <c r="P362" s="6">
        <v>80</v>
      </c>
      <c r="Q362" s="6">
        <v>85</v>
      </c>
      <c r="R362" s="6">
        <v>79</v>
      </c>
      <c r="S362" s="6">
        <v>87</v>
      </c>
      <c r="T362" s="6">
        <v>75</v>
      </c>
      <c r="U362" s="6">
        <v>74</v>
      </c>
      <c r="V362" s="6">
        <v>79</v>
      </c>
      <c r="W362" s="6">
        <v>81</v>
      </c>
      <c r="X362" s="6">
        <v>75</v>
      </c>
      <c r="Y362" s="6">
        <v>90</v>
      </c>
      <c r="Z362" s="6">
        <v>84</v>
      </c>
      <c r="AA362" s="6">
        <v>75</v>
      </c>
      <c r="AB362" s="6">
        <v>87</v>
      </c>
      <c r="AC362" s="6">
        <v>74</v>
      </c>
      <c r="AD362" s="6">
        <v>74</v>
      </c>
      <c r="AE362" s="6">
        <v>75</v>
      </c>
      <c r="AF362" s="6">
        <v>75</v>
      </c>
      <c r="AG362" s="6" t="s">
        <v>6849</v>
      </c>
      <c r="AH362" s="6" t="s">
        <v>6797</v>
      </c>
    </row>
    <row r="363" spans="1:34" x14ac:dyDescent="0.2">
      <c r="A363" t="s">
        <v>3165</v>
      </c>
      <c r="B363" t="s">
        <v>1429</v>
      </c>
      <c r="C363" t="s">
        <v>57</v>
      </c>
      <c r="D363" s="7" t="s">
        <v>134</v>
      </c>
      <c r="E363" t="s">
        <v>58</v>
      </c>
      <c r="F363">
        <v>27</v>
      </c>
      <c r="G363">
        <v>73</v>
      </c>
      <c r="H363">
        <v>79</v>
      </c>
      <c r="I363" t="s">
        <v>6326</v>
      </c>
      <c r="J363">
        <v>73</v>
      </c>
      <c r="K363">
        <v>196</v>
      </c>
      <c r="L363" t="s">
        <v>4859</v>
      </c>
      <c r="M363" s="6" t="s">
        <v>6558</v>
      </c>
      <c r="N363" s="6" t="s">
        <v>6567</v>
      </c>
      <c r="O363" s="6">
        <v>74</v>
      </c>
      <c r="P363" s="6">
        <v>70</v>
      </c>
      <c r="Q363" s="6">
        <v>72</v>
      </c>
      <c r="R363" s="6">
        <v>69</v>
      </c>
      <c r="S363" s="6">
        <v>73</v>
      </c>
      <c r="T363" s="6">
        <v>76</v>
      </c>
      <c r="U363" s="6">
        <v>70</v>
      </c>
      <c r="V363" s="6">
        <v>81</v>
      </c>
      <c r="W363" s="6">
        <v>69</v>
      </c>
      <c r="X363" s="6">
        <v>75</v>
      </c>
      <c r="Y363" s="6">
        <v>76</v>
      </c>
      <c r="Z363" s="6">
        <v>71</v>
      </c>
      <c r="AA363" s="6">
        <v>72</v>
      </c>
      <c r="AB363" s="6">
        <v>68</v>
      </c>
      <c r="AC363" s="6">
        <v>65</v>
      </c>
      <c r="AD363" s="6">
        <v>75</v>
      </c>
      <c r="AE363" s="6">
        <v>66</v>
      </c>
      <c r="AF363" s="6">
        <v>68</v>
      </c>
      <c r="AG363" s="6" t="s">
        <v>6892</v>
      </c>
      <c r="AH363" s="6" t="s">
        <v>6574</v>
      </c>
    </row>
    <row r="364" spans="1:34" x14ac:dyDescent="0.2">
      <c r="A364" t="s">
        <v>3189</v>
      </c>
      <c r="B364" t="s">
        <v>1453</v>
      </c>
      <c r="C364" t="s">
        <v>2879</v>
      </c>
      <c r="D364" s="7" t="s">
        <v>134</v>
      </c>
      <c r="E364" t="s">
        <v>58</v>
      </c>
      <c r="F364">
        <v>31</v>
      </c>
      <c r="G364">
        <v>64</v>
      </c>
      <c r="H364">
        <v>79</v>
      </c>
      <c r="I364" t="s">
        <v>6379</v>
      </c>
      <c r="J364">
        <v>72</v>
      </c>
      <c r="K364">
        <v>320</v>
      </c>
      <c r="L364" t="s">
        <v>4883</v>
      </c>
      <c r="M364" s="6" t="s">
        <v>6558</v>
      </c>
      <c r="N364" s="6" t="s">
        <v>6567</v>
      </c>
      <c r="O364" s="6">
        <v>65</v>
      </c>
      <c r="P364" s="6">
        <v>66</v>
      </c>
      <c r="Q364" s="6">
        <v>77</v>
      </c>
      <c r="R364" s="6">
        <v>65</v>
      </c>
      <c r="S364" s="6">
        <v>76</v>
      </c>
      <c r="T364" s="6">
        <v>64</v>
      </c>
      <c r="U364" s="6">
        <v>75</v>
      </c>
      <c r="V364" s="6">
        <v>82</v>
      </c>
      <c r="W364" s="6">
        <v>80</v>
      </c>
      <c r="X364" s="6">
        <v>71</v>
      </c>
      <c r="Y364" s="6">
        <v>73</v>
      </c>
      <c r="Z364" s="6">
        <v>73</v>
      </c>
      <c r="AA364" s="6">
        <v>64</v>
      </c>
      <c r="AB364" s="6">
        <v>59</v>
      </c>
      <c r="AC364" s="6">
        <v>62</v>
      </c>
      <c r="AD364" s="6">
        <v>62</v>
      </c>
      <c r="AE364" s="6">
        <v>64</v>
      </c>
      <c r="AF364" s="6">
        <v>63</v>
      </c>
      <c r="AG364" s="6" t="s">
        <v>6915</v>
      </c>
      <c r="AH364" s="6" t="s">
        <v>6806</v>
      </c>
    </row>
    <row r="365" spans="1:34" x14ac:dyDescent="0.2">
      <c r="A365" t="s">
        <v>3206</v>
      </c>
      <c r="B365" t="s">
        <v>1470</v>
      </c>
      <c r="C365" t="s">
        <v>2890</v>
      </c>
      <c r="D365" s="7" t="s">
        <v>134</v>
      </c>
      <c r="E365" t="s">
        <v>58</v>
      </c>
      <c r="F365">
        <v>31</v>
      </c>
      <c r="G365">
        <v>68</v>
      </c>
      <c r="H365">
        <v>79</v>
      </c>
      <c r="I365" t="s">
        <v>6396</v>
      </c>
      <c r="J365">
        <v>72</v>
      </c>
      <c r="K365">
        <v>192</v>
      </c>
      <c r="L365" t="s">
        <v>4900</v>
      </c>
      <c r="M365" s="6" t="s">
        <v>6558</v>
      </c>
      <c r="N365" s="6" t="s">
        <v>6567</v>
      </c>
      <c r="O365" s="6">
        <v>76</v>
      </c>
      <c r="P365" s="6">
        <v>63</v>
      </c>
      <c r="Q365" s="6">
        <v>68</v>
      </c>
      <c r="R365" s="6">
        <v>69</v>
      </c>
      <c r="S365" s="6">
        <v>75</v>
      </c>
      <c r="T365" s="6">
        <v>57</v>
      </c>
      <c r="U365" s="6">
        <v>63</v>
      </c>
      <c r="V365" s="6">
        <v>73</v>
      </c>
      <c r="W365" s="6">
        <v>61</v>
      </c>
      <c r="X365" s="6">
        <v>72</v>
      </c>
      <c r="Y365" s="6">
        <v>81</v>
      </c>
      <c r="Z365" s="6">
        <v>72</v>
      </c>
      <c r="AA365" s="6">
        <v>65</v>
      </c>
      <c r="AB365" s="6">
        <v>63</v>
      </c>
      <c r="AC365" s="6">
        <v>63</v>
      </c>
      <c r="AD365" s="6">
        <v>51</v>
      </c>
      <c r="AE365" s="6">
        <v>61</v>
      </c>
      <c r="AF365" s="6">
        <v>63</v>
      </c>
      <c r="AG365" s="6" t="s">
        <v>6932</v>
      </c>
      <c r="AH365" s="6" t="s">
        <v>6630</v>
      </c>
    </row>
    <row r="366" spans="1:34" x14ac:dyDescent="0.2">
      <c r="A366" t="s">
        <v>3287</v>
      </c>
      <c r="B366" t="s">
        <v>1551</v>
      </c>
      <c r="C366" t="s">
        <v>2878</v>
      </c>
      <c r="D366" s="7" t="s">
        <v>136</v>
      </c>
      <c r="E366" t="s">
        <v>58</v>
      </c>
      <c r="F366">
        <v>30</v>
      </c>
      <c r="G366">
        <v>68</v>
      </c>
      <c r="H366">
        <v>79</v>
      </c>
      <c r="I366" t="s">
        <v>6476</v>
      </c>
      <c r="J366">
        <v>74</v>
      </c>
      <c r="K366">
        <v>261</v>
      </c>
      <c r="L366" t="s">
        <v>4981</v>
      </c>
      <c r="M366" s="6" t="s">
        <v>6558</v>
      </c>
      <c r="N366" s="6" t="s">
        <v>6567</v>
      </c>
      <c r="O366" s="6">
        <v>71</v>
      </c>
      <c r="P366" s="6">
        <v>71</v>
      </c>
      <c r="Q366" s="6">
        <v>81</v>
      </c>
      <c r="R366" s="6">
        <v>64</v>
      </c>
      <c r="S366" s="6">
        <v>85</v>
      </c>
      <c r="T366" s="6">
        <v>72</v>
      </c>
      <c r="U366" s="6">
        <v>77</v>
      </c>
      <c r="V366" s="6">
        <v>73</v>
      </c>
      <c r="W366" s="6">
        <v>72</v>
      </c>
      <c r="X366" s="6">
        <v>83</v>
      </c>
      <c r="Y366" s="6">
        <v>80</v>
      </c>
      <c r="Z366" s="6">
        <v>73</v>
      </c>
      <c r="AA366" s="6">
        <v>68</v>
      </c>
      <c r="AB366" s="6">
        <v>63</v>
      </c>
      <c r="AC366" s="6">
        <v>65</v>
      </c>
      <c r="AD366" s="6">
        <v>73</v>
      </c>
      <c r="AE366" s="6">
        <v>64</v>
      </c>
      <c r="AF366" s="6">
        <v>71</v>
      </c>
      <c r="AG366" s="6" t="s">
        <v>7018</v>
      </c>
      <c r="AH366" s="6" t="s">
        <v>6963</v>
      </c>
    </row>
    <row r="367" spans="1:34" x14ac:dyDescent="0.2">
      <c r="A367" t="s">
        <v>3329</v>
      </c>
      <c r="B367" t="s">
        <v>1593</v>
      </c>
      <c r="C367" t="s">
        <v>2877</v>
      </c>
      <c r="D367" s="7" t="s">
        <v>137</v>
      </c>
      <c r="E367" t="s">
        <v>38</v>
      </c>
      <c r="F367">
        <v>25</v>
      </c>
      <c r="G367">
        <v>82</v>
      </c>
      <c r="H367">
        <v>79</v>
      </c>
      <c r="I367" t="s">
        <v>6338</v>
      </c>
      <c r="J367">
        <v>76</v>
      </c>
      <c r="K367">
        <v>315</v>
      </c>
      <c r="L367" t="s">
        <v>5023</v>
      </c>
      <c r="M367" s="6" t="s">
        <v>6558</v>
      </c>
      <c r="N367" s="6" t="s">
        <v>6565</v>
      </c>
      <c r="O367" s="6">
        <v>84</v>
      </c>
      <c r="P367" s="6">
        <v>76</v>
      </c>
      <c r="Q367" s="6">
        <v>74</v>
      </c>
      <c r="R367" s="6">
        <v>72</v>
      </c>
      <c r="S367" s="6">
        <v>79</v>
      </c>
      <c r="T367" s="6">
        <v>70</v>
      </c>
      <c r="U367" s="6">
        <v>67</v>
      </c>
      <c r="V367" s="6">
        <v>82</v>
      </c>
      <c r="W367" s="6">
        <v>78</v>
      </c>
      <c r="X367" s="6">
        <v>82</v>
      </c>
      <c r="Y367" s="6">
        <v>81</v>
      </c>
      <c r="Z367" s="6">
        <v>72</v>
      </c>
      <c r="AA367" s="6">
        <v>83</v>
      </c>
      <c r="AB367" s="6">
        <v>76</v>
      </c>
      <c r="AC367" s="6">
        <v>69</v>
      </c>
      <c r="AD367" s="6">
        <v>82</v>
      </c>
      <c r="AE367" s="6">
        <v>77</v>
      </c>
      <c r="AF367" s="6">
        <v>76</v>
      </c>
      <c r="AG367" s="6" t="s">
        <v>7062</v>
      </c>
      <c r="AH367" s="6" t="s">
        <v>6596</v>
      </c>
    </row>
    <row r="368" spans="1:34" x14ac:dyDescent="0.2">
      <c r="A368" t="s">
        <v>3357</v>
      </c>
      <c r="B368" t="s">
        <v>1621</v>
      </c>
      <c r="C368" t="s">
        <v>2885</v>
      </c>
      <c r="D368" s="7" t="s">
        <v>137</v>
      </c>
      <c r="E368" t="s">
        <v>38</v>
      </c>
      <c r="F368">
        <v>23</v>
      </c>
      <c r="G368">
        <v>72</v>
      </c>
      <c r="H368">
        <v>79</v>
      </c>
      <c r="I368" t="s">
        <v>6364</v>
      </c>
      <c r="J368">
        <v>74</v>
      </c>
      <c r="K368">
        <v>237</v>
      </c>
      <c r="L368" t="s">
        <v>5051</v>
      </c>
      <c r="M368" s="6" t="s">
        <v>6558</v>
      </c>
      <c r="N368" s="6" t="s">
        <v>6565</v>
      </c>
      <c r="O368" s="6">
        <v>70</v>
      </c>
      <c r="P368" s="6">
        <v>65</v>
      </c>
      <c r="Q368" s="6">
        <v>77</v>
      </c>
      <c r="R368" s="6">
        <v>72</v>
      </c>
      <c r="S368" s="6">
        <v>70</v>
      </c>
      <c r="T368" s="6">
        <v>73</v>
      </c>
      <c r="U368" s="6">
        <v>68</v>
      </c>
      <c r="V368" s="6">
        <v>71</v>
      </c>
      <c r="W368" s="6">
        <v>74</v>
      </c>
      <c r="X368" s="6">
        <v>63</v>
      </c>
      <c r="Y368" s="6">
        <v>68</v>
      </c>
      <c r="Z368" s="6">
        <v>65</v>
      </c>
      <c r="AA368" s="6">
        <v>65</v>
      </c>
      <c r="AB368" s="6">
        <v>74</v>
      </c>
      <c r="AC368" s="6">
        <v>63</v>
      </c>
      <c r="AD368" s="6">
        <v>66</v>
      </c>
      <c r="AE368" s="6">
        <v>70</v>
      </c>
      <c r="AF368" s="6">
        <v>71</v>
      </c>
      <c r="AG368" s="6" t="s">
        <v>7091</v>
      </c>
      <c r="AH368" s="6" t="s">
        <v>6711</v>
      </c>
    </row>
    <row r="369" spans="1:34" x14ac:dyDescent="0.2">
      <c r="A369" t="s">
        <v>3380</v>
      </c>
      <c r="B369" t="s">
        <v>1644</v>
      </c>
      <c r="C369" t="s">
        <v>2887</v>
      </c>
      <c r="D369" s="7" t="s">
        <v>138</v>
      </c>
      <c r="E369" t="s">
        <v>38</v>
      </c>
      <c r="F369">
        <v>33</v>
      </c>
      <c r="G369">
        <v>70</v>
      </c>
      <c r="H369">
        <v>79</v>
      </c>
      <c r="I369" t="s">
        <v>6387</v>
      </c>
      <c r="J369">
        <v>75</v>
      </c>
      <c r="K369">
        <v>331</v>
      </c>
      <c r="L369" t="s">
        <v>5074</v>
      </c>
      <c r="M369" s="6" t="s">
        <v>6558</v>
      </c>
      <c r="N369" s="6" t="s">
        <v>6567</v>
      </c>
      <c r="O369" s="6">
        <v>80</v>
      </c>
      <c r="P369" s="6">
        <v>77</v>
      </c>
      <c r="Q369" s="6">
        <v>81</v>
      </c>
      <c r="R369" s="6">
        <v>65</v>
      </c>
      <c r="S369" s="6">
        <v>70</v>
      </c>
      <c r="T369" s="6">
        <v>83</v>
      </c>
      <c r="U369" s="6">
        <v>78</v>
      </c>
      <c r="V369" s="6">
        <v>76</v>
      </c>
      <c r="W369" s="6">
        <v>73</v>
      </c>
      <c r="X369" s="6">
        <v>77</v>
      </c>
      <c r="Y369" s="6">
        <v>73</v>
      </c>
      <c r="Z369" s="6">
        <v>75</v>
      </c>
      <c r="AA369" s="6">
        <v>69</v>
      </c>
      <c r="AB369" s="6">
        <v>65</v>
      </c>
      <c r="AC369" s="6">
        <v>74</v>
      </c>
      <c r="AD369" s="6">
        <v>75</v>
      </c>
      <c r="AE369" s="6">
        <v>69</v>
      </c>
      <c r="AF369" s="6">
        <v>62</v>
      </c>
      <c r="AG369" s="6" t="s">
        <v>7115</v>
      </c>
      <c r="AH369" s="6" t="s">
        <v>6598</v>
      </c>
    </row>
    <row r="370" spans="1:34" x14ac:dyDescent="0.2">
      <c r="A370" t="s">
        <v>3439</v>
      </c>
      <c r="B370" t="s">
        <v>1703</v>
      </c>
      <c r="C370" t="s">
        <v>2875</v>
      </c>
      <c r="D370" s="7" t="s">
        <v>139</v>
      </c>
      <c r="E370" t="s">
        <v>58</v>
      </c>
      <c r="F370">
        <v>31</v>
      </c>
      <c r="G370">
        <v>62</v>
      </c>
      <c r="H370">
        <v>79</v>
      </c>
      <c r="I370" t="s">
        <v>6457</v>
      </c>
      <c r="J370">
        <v>75</v>
      </c>
      <c r="K370">
        <v>295</v>
      </c>
      <c r="L370" t="s">
        <v>5133</v>
      </c>
      <c r="M370" s="6" t="s">
        <v>6558</v>
      </c>
      <c r="N370" s="6" t="s">
        <v>6565</v>
      </c>
      <c r="O370" s="6">
        <v>78</v>
      </c>
      <c r="P370" s="6">
        <v>76</v>
      </c>
      <c r="Q370" s="6">
        <v>81</v>
      </c>
      <c r="R370" s="6">
        <v>74</v>
      </c>
      <c r="S370" s="6">
        <v>81</v>
      </c>
      <c r="T370" s="6">
        <v>70</v>
      </c>
      <c r="U370" s="6">
        <v>69</v>
      </c>
      <c r="V370" s="6">
        <v>80</v>
      </c>
      <c r="W370" s="6">
        <v>74</v>
      </c>
      <c r="X370" s="6">
        <v>73</v>
      </c>
      <c r="Y370" s="6">
        <v>77</v>
      </c>
      <c r="Z370" s="6">
        <v>66</v>
      </c>
      <c r="AA370" s="6">
        <v>65</v>
      </c>
      <c r="AB370" s="6">
        <v>69</v>
      </c>
      <c r="AC370" s="6">
        <v>66</v>
      </c>
      <c r="AD370" s="6">
        <v>72</v>
      </c>
      <c r="AE370" s="6">
        <v>64</v>
      </c>
      <c r="AF370" s="6">
        <v>64</v>
      </c>
      <c r="AG370" s="6" t="s">
        <v>7174</v>
      </c>
      <c r="AH370" s="6" t="s">
        <v>6606</v>
      </c>
    </row>
    <row r="371" spans="1:34" x14ac:dyDescent="0.2">
      <c r="A371" t="s">
        <v>3447</v>
      </c>
      <c r="B371" t="s">
        <v>1711</v>
      </c>
      <c r="C371" t="s">
        <v>2878</v>
      </c>
      <c r="D371" s="7" t="s">
        <v>139</v>
      </c>
      <c r="E371" t="s">
        <v>38</v>
      </c>
      <c r="F371">
        <v>23</v>
      </c>
      <c r="G371">
        <v>70</v>
      </c>
      <c r="H371">
        <v>79</v>
      </c>
      <c r="I371" t="s">
        <v>6470</v>
      </c>
      <c r="J371">
        <v>76</v>
      </c>
      <c r="K371">
        <v>274</v>
      </c>
      <c r="L371" t="s">
        <v>5141</v>
      </c>
      <c r="M371" s="6" t="s">
        <v>6558</v>
      </c>
      <c r="N371" s="6" t="s">
        <v>6567</v>
      </c>
      <c r="O371" s="6">
        <v>69</v>
      </c>
      <c r="P371" s="6">
        <v>73</v>
      </c>
      <c r="Q371" s="6">
        <v>71</v>
      </c>
      <c r="R371" s="6">
        <v>64</v>
      </c>
      <c r="S371" s="6">
        <v>80</v>
      </c>
      <c r="T371" s="6">
        <v>72</v>
      </c>
      <c r="U371" s="6">
        <v>75</v>
      </c>
      <c r="V371" s="6">
        <v>69</v>
      </c>
      <c r="W371" s="6">
        <v>78</v>
      </c>
      <c r="X371" s="6">
        <v>52</v>
      </c>
      <c r="Y371" s="6">
        <v>68</v>
      </c>
      <c r="Z371" s="6">
        <v>65</v>
      </c>
      <c r="AA371" s="6">
        <v>69</v>
      </c>
      <c r="AB371" s="6">
        <v>80</v>
      </c>
      <c r="AC371" s="6">
        <v>61</v>
      </c>
      <c r="AD371" s="6">
        <v>76</v>
      </c>
      <c r="AE371" s="6">
        <v>74</v>
      </c>
      <c r="AF371" s="6">
        <v>70</v>
      </c>
      <c r="AG371" s="6" t="s">
        <v>7182</v>
      </c>
      <c r="AH371" s="6" t="s">
        <v>6686</v>
      </c>
    </row>
    <row r="372" spans="1:34" x14ac:dyDescent="0.2">
      <c r="A372" t="s">
        <v>3468</v>
      </c>
      <c r="B372" t="s">
        <v>1732</v>
      </c>
      <c r="C372" t="s">
        <v>2889</v>
      </c>
      <c r="D372" s="7" t="s">
        <v>139</v>
      </c>
      <c r="E372" t="s">
        <v>38</v>
      </c>
      <c r="F372">
        <v>26</v>
      </c>
      <c r="G372">
        <v>61</v>
      </c>
      <c r="H372">
        <v>79</v>
      </c>
      <c r="I372" t="s">
        <v>6442</v>
      </c>
      <c r="J372">
        <v>73</v>
      </c>
      <c r="K372">
        <v>235</v>
      </c>
      <c r="L372" t="s">
        <v>5162</v>
      </c>
      <c r="M372" s="6" t="s">
        <v>6558</v>
      </c>
      <c r="N372" s="6" t="s">
        <v>6565</v>
      </c>
      <c r="O372" s="6">
        <v>77</v>
      </c>
      <c r="P372" s="6">
        <v>72</v>
      </c>
      <c r="Q372" s="6">
        <v>73</v>
      </c>
      <c r="R372" s="6">
        <v>75</v>
      </c>
      <c r="S372" s="6">
        <v>70</v>
      </c>
      <c r="T372" s="6">
        <v>71</v>
      </c>
      <c r="U372" s="6">
        <v>65</v>
      </c>
      <c r="V372" s="6">
        <v>59</v>
      </c>
      <c r="W372" s="6">
        <v>66</v>
      </c>
      <c r="X372" s="6">
        <v>79</v>
      </c>
      <c r="Y372" s="6">
        <v>71</v>
      </c>
      <c r="Z372" s="6">
        <v>62</v>
      </c>
      <c r="AA372" s="6">
        <v>68</v>
      </c>
      <c r="AB372" s="6">
        <v>72</v>
      </c>
      <c r="AC372" s="6">
        <v>71</v>
      </c>
      <c r="AD372" s="6">
        <v>58</v>
      </c>
      <c r="AE372" s="6">
        <v>63</v>
      </c>
      <c r="AF372" s="6">
        <v>74</v>
      </c>
      <c r="AG372" s="6" t="s">
        <v>6764</v>
      </c>
      <c r="AH372" s="6" t="s">
        <v>6709</v>
      </c>
    </row>
    <row r="373" spans="1:34" x14ac:dyDescent="0.2">
      <c r="A373" t="s">
        <v>3485</v>
      </c>
      <c r="B373" t="s">
        <v>1749</v>
      </c>
      <c r="C373" t="s">
        <v>2872</v>
      </c>
      <c r="D373" s="7" t="s">
        <v>140</v>
      </c>
      <c r="E373" t="s">
        <v>58</v>
      </c>
      <c r="F373">
        <v>30</v>
      </c>
      <c r="G373">
        <v>81</v>
      </c>
      <c r="H373">
        <v>79</v>
      </c>
      <c r="I373" t="s">
        <v>6370</v>
      </c>
      <c r="J373">
        <v>79</v>
      </c>
      <c r="K373">
        <v>321</v>
      </c>
      <c r="L373" t="s">
        <v>5179</v>
      </c>
      <c r="M373" s="6" t="s">
        <v>6558</v>
      </c>
      <c r="N373" s="6" t="s">
        <v>6565</v>
      </c>
      <c r="O373" s="6">
        <v>72</v>
      </c>
      <c r="P373" s="6">
        <v>78</v>
      </c>
      <c r="Q373" s="6">
        <v>66</v>
      </c>
      <c r="R373" s="6">
        <v>74</v>
      </c>
      <c r="S373" s="6">
        <v>73</v>
      </c>
      <c r="T373" s="6">
        <v>64</v>
      </c>
      <c r="U373" s="6">
        <v>70</v>
      </c>
      <c r="V373" s="6">
        <v>74</v>
      </c>
      <c r="W373" s="6">
        <v>70</v>
      </c>
      <c r="X373" s="6">
        <v>68</v>
      </c>
      <c r="Y373" s="6">
        <v>69</v>
      </c>
      <c r="Z373" s="6">
        <v>76</v>
      </c>
      <c r="AA373" s="6">
        <v>71</v>
      </c>
      <c r="AB373" s="6">
        <v>71</v>
      </c>
      <c r="AC373" s="6">
        <v>74</v>
      </c>
      <c r="AD373" s="6">
        <v>72</v>
      </c>
      <c r="AE373" s="6">
        <v>66</v>
      </c>
      <c r="AF373" s="6">
        <v>72</v>
      </c>
      <c r="AG373" s="6" t="s">
        <v>7221</v>
      </c>
      <c r="AH373" s="6" t="s">
        <v>6593</v>
      </c>
    </row>
    <row r="374" spans="1:34" x14ac:dyDescent="0.2">
      <c r="A374" t="s">
        <v>3487</v>
      </c>
      <c r="B374" t="s">
        <v>1751</v>
      </c>
      <c r="C374" t="s">
        <v>2872</v>
      </c>
      <c r="D374" s="7" t="s">
        <v>140</v>
      </c>
      <c r="E374" t="s">
        <v>58</v>
      </c>
      <c r="F374">
        <v>33</v>
      </c>
      <c r="G374">
        <v>71</v>
      </c>
      <c r="H374">
        <v>79</v>
      </c>
      <c r="I374" t="s">
        <v>6368</v>
      </c>
      <c r="J374">
        <v>77</v>
      </c>
      <c r="K374">
        <v>334</v>
      </c>
      <c r="L374" t="s">
        <v>5181</v>
      </c>
      <c r="M374" s="6" t="s">
        <v>6558</v>
      </c>
      <c r="N374" s="6" t="s">
        <v>6614</v>
      </c>
      <c r="O374" s="6">
        <v>79</v>
      </c>
      <c r="P374" s="6">
        <v>71</v>
      </c>
      <c r="Q374" s="6">
        <v>82</v>
      </c>
      <c r="R374" s="6">
        <v>62</v>
      </c>
      <c r="S374" s="6">
        <v>75</v>
      </c>
      <c r="T374" s="6">
        <v>68</v>
      </c>
      <c r="U374" s="6">
        <v>72</v>
      </c>
      <c r="V374" s="6">
        <v>79</v>
      </c>
      <c r="W374" s="6">
        <v>69</v>
      </c>
      <c r="X374" s="6">
        <v>69</v>
      </c>
      <c r="Y374" s="6">
        <v>80</v>
      </c>
      <c r="Z374" s="6">
        <v>72</v>
      </c>
      <c r="AA374" s="6">
        <v>62</v>
      </c>
      <c r="AB374" s="6">
        <v>60</v>
      </c>
      <c r="AC374" s="6">
        <v>61</v>
      </c>
      <c r="AD374" s="6">
        <v>66</v>
      </c>
      <c r="AE374" s="6">
        <v>63</v>
      </c>
      <c r="AF374" s="6">
        <v>64</v>
      </c>
      <c r="AG374" s="6" t="s">
        <v>7223</v>
      </c>
      <c r="AH374" s="6" t="s">
        <v>6680</v>
      </c>
    </row>
    <row r="375" spans="1:34" x14ac:dyDescent="0.2">
      <c r="A375" t="s">
        <v>3489</v>
      </c>
      <c r="B375" t="s">
        <v>1753</v>
      </c>
      <c r="C375" t="s">
        <v>2873</v>
      </c>
      <c r="D375" s="7" t="s">
        <v>140</v>
      </c>
      <c r="E375" t="s">
        <v>38</v>
      </c>
      <c r="F375">
        <v>28</v>
      </c>
      <c r="G375">
        <v>75</v>
      </c>
      <c r="H375">
        <v>79</v>
      </c>
      <c r="I375" t="s">
        <v>6362</v>
      </c>
      <c r="J375">
        <v>80</v>
      </c>
      <c r="K375">
        <v>313</v>
      </c>
      <c r="L375" t="s">
        <v>5183</v>
      </c>
      <c r="M375" s="6" t="s">
        <v>6558</v>
      </c>
      <c r="N375" s="6" t="s">
        <v>6565</v>
      </c>
      <c r="O375" s="6">
        <v>81</v>
      </c>
      <c r="P375" s="6">
        <v>75</v>
      </c>
      <c r="Q375" s="6">
        <v>78</v>
      </c>
      <c r="R375" s="6">
        <v>75</v>
      </c>
      <c r="S375" s="6">
        <v>70</v>
      </c>
      <c r="T375" s="6">
        <v>82</v>
      </c>
      <c r="U375" s="6">
        <v>85</v>
      </c>
      <c r="V375" s="6">
        <v>81</v>
      </c>
      <c r="W375" s="6">
        <v>71</v>
      </c>
      <c r="X375" s="6">
        <v>79</v>
      </c>
      <c r="Y375" s="6">
        <v>77</v>
      </c>
      <c r="Z375" s="6">
        <v>83</v>
      </c>
      <c r="AA375" s="6">
        <v>73</v>
      </c>
      <c r="AB375" s="6">
        <v>68</v>
      </c>
      <c r="AC375" s="6">
        <v>68</v>
      </c>
      <c r="AD375" s="6">
        <v>77</v>
      </c>
      <c r="AE375" s="6">
        <v>80</v>
      </c>
      <c r="AF375" s="6">
        <v>75</v>
      </c>
      <c r="AG375" s="6" t="s">
        <v>7225</v>
      </c>
      <c r="AH375" s="6" t="s">
        <v>6610</v>
      </c>
    </row>
    <row r="376" spans="1:34" x14ac:dyDescent="0.2">
      <c r="A376" t="s">
        <v>3504</v>
      </c>
      <c r="B376" t="s">
        <v>1768</v>
      </c>
      <c r="C376" t="s">
        <v>2880</v>
      </c>
      <c r="D376" s="7" t="s">
        <v>140</v>
      </c>
      <c r="E376" t="s">
        <v>38</v>
      </c>
      <c r="F376">
        <v>23</v>
      </c>
      <c r="G376">
        <v>73</v>
      </c>
      <c r="H376">
        <v>79</v>
      </c>
      <c r="I376" t="s">
        <v>6307</v>
      </c>
      <c r="J376">
        <v>73</v>
      </c>
      <c r="K376">
        <v>260</v>
      </c>
      <c r="L376" t="s">
        <v>5198</v>
      </c>
      <c r="M376" s="6" t="s">
        <v>6558</v>
      </c>
      <c r="N376" s="6" t="s">
        <v>6565</v>
      </c>
      <c r="O376" s="6">
        <v>91</v>
      </c>
      <c r="P376" s="6">
        <v>70</v>
      </c>
      <c r="Q376" s="6">
        <v>73</v>
      </c>
      <c r="R376" s="6">
        <v>70</v>
      </c>
      <c r="S376" s="6">
        <v>58</v>
      </c>
      <c r="T376" s="6">
        <v>68</v>
      </c>
      <c r="U376" s="6">
        <v>70</v>
      </c>
      <c r="V376" s="6">
        <v>77</v>
      </c>
      <c r="W376" s="6">
        <v>66</v>
      </c>
      <c r="X376" s="6">
        <v>68</v>
      </c>
      <c r="Y376" s="6">
        <v>68</v>
      </c>
      <c r="Z376" s="6">
        <v>75</v>
      </c>
      <c r="AA376" s="6">
        <v>75</v>
      </c>
      <c r="AB376" s="6">
        <v>74</v>
      </c>
      <c r="AC376" s="6">
        <v>69</v>
      </c>
      <c r="AD376" s="6">
        <v>70</v>
      </c>
      <c r="AE376" s="6">
        <v>75</v>
      </c>
      <c r="AF376" s="6">
        <v>72</v>
      </c>
      <c r="AG376" s="6" t="s">
        <v>7240</v>
      </c>
      <c r="AH376" s="6" t="s">
        <v>6623</v>
      </c>
    </row>
    <row r="377" spans="1:34" x14ac:dyDescent="0.2">
      <c r="A377" t="s">
        <v>3513</v>
      </c>
      <c r="B377" t="s">
        <v>1777</v>
      </c>
      <c r="C377" t="s">
        <v>2882</v>
      </c>
      <c r="D377" s="7" t="s">
        <v>140</v>
      </c>
      <c r="E377" t="s">
        <v>58</v>
      </c>
      <c r="F377">
        <v>22</v>
      </c>
      <c r="G377">
        <v>76</v>
      </c>
      <c r="H377">
        <v>79</v>
      </c>
      <c r="I377" t="s">
        <v>6301</v>
      </c>
      <c r="J377">
        <v>70</v>
      </c>
      <c r="K377">
        <v>206</v>
      </c>
      <c r="L377" t="s">
        <v>5207</v>
      </c>
      <c r="M377" s="6" t="s">
        <v>6558</v>
      </c>
      <c r="N377" s="6" t="s">
        <v>6583</v>
      </c>
      <c r="O377" s="6">
        <v>62</v>
      </c>
      <c r="P377" s="6">
        <v>71</v>
      </c>
      <c r="Q377" s="6">
        <v>69</v>
      </c>
      <c r="R377" s="6">
        <v>76</v>
      </c>
      <c r="S377" s="6">
        <v>70</v>
      </c>
      <c r="T377" s="6">
        <v>65</v>
      </c>
      <c r="U377" s="6">
        <v>69</v>
      </c>
      <c r="V377" s="6">
        <v>70</v>
      </c>
      <c r="W377" s="6">
        <v>61</v>
      </c>
      <c r="X377" s="6">
        <v>73</v>
      </c>
      <c r="Y377" s="6">
        <v>65</v>
      </c>
      <c r="Z377" s="6">
        <v>72</v>
      </c>
      <c r="AA377" s="6">
        <v>65</v>
      </c>
      <c r="AB377" s="6">
        <v>70</v>
      </c>
      <c r="AC377" s="6">
        <v>68</v>
      </c>
      <c r="AD377" s="6">
        <v>74</v>
      </c>
      <c r="AE377" s="6">
        <v>72</v>
      </c>
      <c r="AF377" s="6">
        <v>71</v>
      </c>
      <c r="AG377" s="6" t="s">
        <v>7249</v>
      </c>
      <c r="AH377" s="6" t="s">
        <v>6636</v>
      </c>
    </row>
    <row r="378" spans="1:34" x14ac:dyDescent="0.2">
      <c r="A378" t="s">
        <v>3590</v>
      </c>
      <c r="B378" t="s">
        <v>1854</v>
      </c>
      <c r="C378" t="s">
        <v>57</v>
      </c>
      <c r="D378" s="7" t="s">
        <v>142</v>
      </c>
      <c r="E378" t="s">
        <v>38</v>
      </c>
      <c r="F378">
        <v>28</v>
      </c>
      <c r="G378">
        <v>73</v>
      </c>
      <c r="H378">
        <v>79</v>
      </c>
      <c r="I378" t="s">
        <v>6451</v>
      </c>
      <c r="J378">
        <v>71</v>
      </c>
      <c r="K378">
        <v>195</v>
      </c>
      <c r="L378" t="s">
        <v>5284</v>
      </c>
      <c r="M378" s="6" t="s">
        <v>6558</v>
      </c>
      <c r="N378" s="6" t="s">
        <v>6567</v>
      </c>
      <c r="O378" s="6">
        <v>76</v>
      </c>
      <c r="P378" s="6">
        <v>73</v>
      </c>
      <c r="Q378" s="6">
        <v>79</v>
      </c>
      <c r="R378" s="6">
        <v>63</v>
      </c>
      <c r="S378" s="6">
        <v>77</v>
      </c>
      <c r="T378" s="6">
        <v>75</v>
      </c>
      <c r="U378" s="6">
        <v>82</v>
      </c>
      <c r="V378" s="6">
        <v>82</v>
      </c>
      <c r="W378" s="6">
        <v>69</v>
      </c>
      <c r="X378" s="6">
        <v>79</v>
      </c>
      <c r="Y378" s="6">
        <v>75</v>
      </c>
      <c r="Z378" s="6">
        <v>79</v>
      </c>
      <c r="AA378" s="6">
        <v>73</v>
      </c>
      <c r="AB378" s="6">
        <v>72</v>
      </c>
      <c r="AC378" s="6">
        <v>71</v>
      </c>
      <c r="AD378" s="6">
        <v>67</v>
      </c>
      <c r="AE378" s="6">
        <v>71</v>
      </c>
      <c r="AF378" s="6">
        <v>74</v>
      </c>
      <c r="AG378" s="6" t="s">
        <v>7326</v>
      </c>
      <c r="AH378" s="6" t="s">
        <v>6670</v>
      </c>
    </row>
    <row r="379" spans="1:34" x14ac:dyDescent="0.2">
      <c r="A379" t="s">
        <v>3594</v>
      </c>
      <c r="B379" t="s">
        <v>1858</v>
      </c>
      <c r="C379" t="s">
        <v>2872</v>
      </c>
      <c r="D379" s="7" t="s">
        <v>142</v>
      </c>
      <c r="E379" t="s">
        <v>58</v>
      </c>
      <c r="F379">
        <v>32</v>
      </c>
      <c r="G379">
        <v>80</v>
      </c>
      <c r="H379">
        <v>79</v>
      </c>
      <c r="I379" t="s">
        <v>6434</v>
      </c>
      <c r="J379">
        <v>77</v>
      </c>
      <c r="K379">
        <v>322</v>
      </c>
      <c r="L379" t="s">
        <v>5288</v>
      </c>
      <c r="M379" s="6" t="s">
        <v>6558</v>
      </c>
      <c r="N379" s="6" t="s">
        <v>6583</v>
      </c>
      <c r="O379" s="6">
        <v>72</v>
      </c>
      <c r="P379" s="6">
        <v>82</v>
      </c>
      <c r="Q379" s="6">
        <v>82</v>
      </c>
      <c r="R379" s="6">
        <v>76</v>
      </c>
      <c r="S379" s="6">
        <v>70</v>
      </c>
      <c r="T379" s="6">
        <v>80</v>
      </c>
      <c r="U379" s="6">
        <v>81</v>
      </c>
      <c r="V379" s="6">
        <v>77</v>
      </c>
      <c r="W379" s="6">
        <v>80</v>
      </c>
      <c r="X379" s="6">
        <v>78</v>
      </c>
      <c r="Y379" s="6">
        <v>88</v>
      </c>
      <c r="Z379" s="6">
        <v>74</v>
      </c>
      <c r="AA379" s="6">
        <v>63</v>
      </c>
      <c r="AB379" s="6">
        <v>74</v>
      </c>
      <c r="AC379" s="6">
        <v>68</v>
      </c>
      <c r="AD379" s="6">
        <v>71</v>
      </c>
      <c r="AE379" s="6">
        <v>62</v>
      </c>
      <c r="AF379" s="6">
        <v>69</v>
      </c>
      <c r="AG379" s="6" t="s">
        <v>7330</v>
      </c>
      <c r="AH379" s="6" t="s">
        <v>6593</v>
      </c>
    </row>
    <row r="380" spans="1:34" x14ac:dyDescent="0.2">
      <c r="A380" t="s">
        <v>3601</v>
      </c>
      <c r="B380" t="s">
        <v>1865</v>
      </c>
      <c r="C380" t="s">
        <v>2875</v>
      </c>
      <c r="D380" s="7" t="s">
        <v>142</v>
      </c>
      <c r="E380" t="s">
        <v>38</v>
      </c>
      <c r="F380">
        <v>29</v>
      </c>
      <c r="G380">
        <v>80</v>
      </c>
      <c r="H380">
        <v>79</v>
      </c>
      <c r="I380" t="s">
        <v>6425</v>
      </c>
      <c r="J380">
        <v>76</v>
      </c>
      <c r="K380">
        <v>317</v>
      </c>
      <c r="L380" t="s">
        <v>5295</v>
      </c>
      <c r="M380" s="6" t="s">
        <v>6558</v>
      </c>
      <c r="N380" s="6" t="s">
        <v>6565</v>
      </c>
      <c r="O380" s="6">
        <v>81</v>
      </c>
      <c r="P380" s="6">
        <v>88</v>
      </c>
      <c r="Q380" s="6">
        <v>80</v>
      </c>
      <c r="R380" s="6">
        <v>75</v>
      </c>
      <c r="S380" s="6">
        <v>71</v>
      </c>
      <c r="T380" s="6">
        <v>81</v>
      </c>
      <c r="U380" s="6">
        <v>82</v>
      </c>
      <c r="V380" s="6">
        <v>82</v>
      </c>
      <c r="W380" s="6">
        <v>66</v>
      </c>
      <c r="X380" s="6">
        <v>80</v>
      </c>
      <c r="Y380" s="6">
        <v>85</v>
      </c>
      <c r="Z380" s="6">
        <v>86</v>
      </c>
      <c r="AA380" s="6">
        <v>75</v>
      </c>
      <c r="AB380" s="6">
        <v>64</v>
      </c>
      <c r="AC380" s="6">
        <v>80</v>
      </c>
      <c r="AD380" s="6">
        <v>69</v>
      </c>
      <c r="AE380" s="6">
        <v>69</v>
      </c>
      <c r="AF380" s="6">
        <v>71</v>
      </c>
      <c r="AG380" s="6" t="s">
        <v>7337</v>
      </c>
      <c r="AH380" s="6" t="s">
        <v>6606</v>
      </c>
    </row>
    <row r="381" spans="1:34" x14ac:dyDescent="0.2">
      <c r="A381" t="s">
        <v>3603</v>
      </c>
      <c r="B381" t="s">
        <v>1867</v>
      </c>
      <c r="C381" t="s">
        <v>2877</v>
      </c>
      <c r="D381" s="7" t="s">
        <v>142</v>
      </c>
      <c r="E381" t="s">
        <v>38</v>
      </c>
      <c r="F381">
        <v>24</v>
      </c>
      <c r="G381">
        <v>75</v>
      </c>
      <c r="H381">
        <v>79</v>
      </c>
      <c r="I381" t="s">
        <v>6436</v>
      </c>
      <c r="J381">
        <v>78</v>
      </c>
      <c r="K381">
        <v>340</v>
      </c>
      <c r="L381" t="s">
        <v>5297</v>
      </c>
      <c r="M381" s="6" t="s">
        <v>6558</v>
      </c>
      <c r="N381" s="6" t="s">
        <v>6567</v>
      </c>
      <c r="O381" s="6">
        <v>89</v>
      </c>
      <c r="P381" s="6">
        <v>71</v>
      </c>
      <c r="Q381" s="6">
        <v>66</v>
      </c>
      <c r="R381" s="6">
        <v>69</v>
      </c>
      <c r="S381" s="6">
        <v>77</v>
      </c>
      <c r="T381" s="6">
        <v>72</v>
      </c>
      <c r="U381" s="6">
        <v>76</v>
      </c>
      <c r="V381" s="6">
        <v>77</v>
      </c>
      <c r="W381" s="6">
        <v>70</v>
      </c>
      <c r="X381" s="6">
        <v>72</v>
      </c>
      <c r="Y381" s="6">
        <v>82</v>
      </c>
      <c r="Z381" s="6">
        <v>82</v>
      </c>
      <c r="AA381" s="6">
        <v>72</v>
      </c>
      <c r="AB381" s="6">
        <v>83</v>
      </c>
      <c r="AC381" s="6">
        <v>75</v>
      </c>
      <c r="AD381" s="6">
        <v>77</v>
      </c>
      <c r="AE381" s="6">
        <v>68</v>
      </c>
      <c r="AF381" s="6">
        <v>71</v>
      </c>
      <c r="AG381" s="6" t="s">
        <v>7338</v>
      </c>
      <c r="AH381" s="6" t="s">
        <v>6694</v>
      </c>
    </row>
    <row r="382" spans="1:34" x14ac:dyDescent="0.2">
      <c r="A382" t="s">
        <v>3612</v>
      </c>
      <c r="B382" t="s">
        <v>1876</v>
      </c>
      <c r="C382" t="s">
        <v>2879</v>
      </c>
      <c r="D382" s="7" t="s">
        <v>142</v>
      </c>
      <c r="E382" t="s">
        <v>58</v>
      </c>
      <c r="F382">
        <v>31</v>
      </c>
      <c r="G382">
        <v>64</v>
      </c>
      <c r="H382">
        <v>79</v>
      </c>
      <c r="I382" t="s">
        <v>6400</v>
      </c>
      <c r="J382">
        <v>73</v>
      </c>
      <c r="K382">
        <v>307</v>
      </c>
      <c r="L382" t="s">
        <v>5306</v>
      </c>
      <c r="M382" s="6" t="s">
        <v>6558</v>
      </c>
      <c r="N382" s="6" t="s">
        <v>6583</v>
      </c>
      <c r="O382" s="6">
        <v>77</v>
      </c>
      <c r="P382" s="6">
        <v>75</v>
      </c>
      <c r="Q382" s="6">
        <v>73</v>
      </c>
      <c r="R382" s="6">
        <v>81</v>
      </c>
      <c r="S382" s="6">
        <v>74</v>
      </c>
      <c r="T382" s="6">
        <v>72</v>
      </c>
      <c r="U382" s="6">
        <v>72</v>
      </c>
      <c r="V382" s="6">
        <v>69</v>
      </c>
      <c r="W382" s="6">
        <v>69</v>
      </c>
      <c r="X382" s="6">
        <v>80</v>
      </c>
      <c r="Y382" s="6">
        <v>81</v>
      </c>
      <c r="Z382" s="6">
        <v>71</v>
      </c>
      <c r="AA382" s="6">
        <v>66</v>
      </c>
      <c r="AB382" s="6">
        <v>64</v>
      </c>
      <c r="AC382" s="6">
        <v>64</v>
      </c>
      <c r="AD382" s="6">
        <v>67</v>
      </c>
      <c r="AE382" s="6">
        <v>68</v>
      </c>
      <c r="AF382" s="6">
        <v>64</v>
      </c>
      <c r="AG382" s="6" t="s">
        <v>7347</v>
      </c>
      <c r="AH382" s="6" t="s">
        <v>6617</v>
      </c>
    </row>
    <row r="383" spans="1:34" x14ac:dyDescent="0.2">
      <c r="A383" t="s">
        <v>3634</v>
      </c>
      <c r="B383" t="s">
        <v>1898</v>
      </c>
      <c r="C383" t="s">
        <v>53</v>
      </c>
      <c r="D383" s="7" t="s">
        <v>143</v>
      </c>
      <c r="E383" t="s">
        <v>38</v>
      </c>
      <c r="F383">
        <v>32</v>
      </c>
      <c r="G383">
        <v>80</v>
      </c>
      <c r="H383">
        <v>79</v>
      </c>
      <c r="I383" t="s">
        <v>6455</v>
      </c>
      <c r="J383">
        <v>74</v>
      </c>
      <c r="K383">
        <v>221</v>
      </c>
      <c r="L383" t="s">
        <v>5328</v>
      </c>
      <c r="M383" s="6" t="s">
        <v>6558</v>
      </c>
      <c r="N383" s="6" t="s">
        <v>6562</v>
      </c>
      <c r="O383" s="6">
        <v>89</v>
      </c>
      <c r="P383" s="6">
        <v>89</v>
      </c>
      <c r="Q383" s="6">
        <v>90</v>
      </c>
      <c r="R383" s="6">
        <v>88</v>
      </c>
      <c r="S383" s="6">
        <v>79</v>
      </c>
      <c r="T383" s="6">
        <v>81</v>
      </c>
      <c r="U383" s="6">
        <v>74</v>
      </c>
      <c r="V383" s="6">
        <v>74</v>
      </c>
      <c r="W383" s="6">
        <v>89</v>
      </c>
      <c r="X383" s="6">
        <v>79</v>
      </c>
      <c r="Y383" s="6">
        <v>92</v>
      </c>
      <c r="Z383" s="6">
        <v>89</v>
      </c>
      <c r="AA383" s="6">
        <v>77</v>
      </c>
      <c r="AB383" s="6">
        <v>75</v>
      </c>
      <c r="AC383" s="6">
        <v>70</v>
      </c>
      <c r="AD383" s="6">
        <v>68</v>
      </c>
      <c r="AE383" s="6">
        <v>68</v>
      </c>
      <c r="AF383" s="6">
        <v>73</v>
      </c>
      <c r="AG383" s="6" t="s">
        <v>7369</v>
      </c>
      <c r="AH383" s="6" t="s">
        <v>6651</v>
      </c>
    </row>
    <row r="384" spans="1:34" x14ac:dyDescent="0.2">
      <c r="A384" t="s">
        <v>3637</v>
      </c>
      <c r="B384" t="s">
        <v>1901</v>
      </c>
      <c r="C384" t="s">
        <v>2870</v>
      </c>
      <c r="D384" s="7" t="s">
        <v>143</v>
      </c>
      <c r="E384" t="s">
        <v>38</v>
      </c>
      <c r="F384">
        <v>24</v>
      </c>
      <c r="G384">
        <v>68</v>
      </c>
      <c r="H384">
        <v>79</v>
      </c>
      <c r="I384" t="s">
        <v>6497</v>
      </c>
      <c r="J384">
        <v>68</v>
      </c>
      <c r="K384">
        <v>206</v>
      </c>
      <c r="L384" t="s">
        <v>5331</v>
      </c>
      <c r="M384" s="6" t="s">
        <v>6558</v>
      </c>
      <c r="N384" s="6" t="s">
        <v>6614</v>
      </c>
      <c r="O384" s="6">
        <v>75</v>
      </c>
      <c r="P384" s="6">
        <v>66</v>
      </c>
      <c r="Q384" s="6">
        <v>76</v>
      </c>
      <c r="R384" s="6">
        <v>59</v>
      </c>
      <c r="S384" s="6">
        <v>75</v>
      </c>
      <c r="T384" s="6">
        <v>66</v>
      </c>
      <c r="U384" s="6">
        <v>62</v>
      </c>
      <c r="V384" s="6">
        <v>77</v>
      </c>
      <c r="W384" s="6">
        <v>74</v>
      </c>
      <c r="X384" s="6">
        <v>61</v>
      </c>
      <c r="Y384" s="6">
        <v>77</v>
      </c>
      <c r="Z384" s="6">
        <v>65</v>
      </c>
      <c r="AA384" s="6">
        <v>68</v>
      </c>
      <c r="AB384" s="6">
        <v>66</v>
      </c>
      <c r="AC384" s="6">
        <v>52</v>
      </c>
      <c r="AD384" s="6">
        <v>68</v>
      </c>
      <c r="AE384" s="6">
        <v>65</v>
      </c>
      <c r="AF384" s="6">
        <v>65</v>
      </c>
      <c r="AG384" s="6" t="s">
        <v>7372</v>
      </c>
      <c r="AH384" s="6" t="s">
        <v>6723</v>
      </c>
    </row>
    <row r="385" spans="1:34" x14ac:dyDescent="0.2">
      <c r="A385" t="s">
        <v>3639</v>
      </c>
      <c r="B385" t="s">
        <v>1903</v>
      </c>
      <c r="C385" t="s">
        <v>57</v>
      </c>
      <c r="D385" s="7" t="s">
        <v>143</v>
      </c>
      <c r="E385" t="s">
        <v>38</v>
      </c>
      <c r="F385">
        <v>24</v>
      </c>
      <c r="G385">
        <v>76</v>
      </c>
      <c r="H385">
        <v>79</v>
      </c>
      <c r="I385" t="s">
        <v>6472</v>
      </c>
      <c r="J385">
        <v>72</v>
      </c>
      <c r="K385">
        <v>188</v>
      </c>
      <c r="L385" t="s">
        <v>5333</v>
      </c>
      <c r="M385" s="6" t="s">
        <v>6558</v>
      </c>
      <c r="N385" s="6" t="s">
        <v>6567</v>
      </c>
      <c r="O385" s="6">
        <v>66</v>
      </c>
      <c r="P385" s="6">
        <v>70</v>
      </c>
      <c r="Q385" s="6">
        <v>70</v>
      </c>
      <c r="R385" s="6">
        <v>65</v>
      </c>
      <c r="S385" s="6">
        <v>75</v>
      </c>
      <c r="T385" s="6">
        <v>59</v>
      </c>
      <c r="U385" s="6">
        <v>75</v>
      </c>
      <c r="V385" s="6">
        <v>70</v>
      </c>
      <c r="W385" s="6">
        <v>76</v>
      </c>
      <c r="X385" s="6">
        <v>72</v>
      </c>
      <c r="Y385" s="6">
        <v>76</v>
      </c>
      <c r="Z385" s="6">
        <v>78</v>
      </c>
      <c r="AA385" s="6">
        <v>64</v>
      </c>
      <c r="AB385" s="6">
        <v>73</v>
      </c>
      <c r="AC385" s="6">
        <v>72</v>
      </c>
      <c r="AD385" s="6">
        <v>74</v>
      </c>
      <c r="AE385" s="6">
        <v>66</v>
      </c>
      <c r="AF385" s="6">
        <v>77</v>
      </c>
      <c r="AG385" s="6" t="s">
        <v>7374</v>
      </c>
      <c r="AH385" s="6" t="s">
        <v>6574</v>
      </c>
    </row>
    <row r="386" spans="1:34" x14ac:dyDescent="0.2">
      <c r="A386" t="s">
        <v>3647</v>
      </c>
      <c r="B386" t="s">
        <v>1911</v>
      </c>
      <c r="C386" t="s">
        <v>2871</v>
      </c>
      <c r="D386" s="7" t="s">
        <v>143</v>
      </c>
      <c r="E386" t="s">
        <v>58</v>
      </c>
      <c r="F386">
        <v>28</v>
      </c>
      <c r="G386">
        <v>83</v>
      </c>
      <c r="H386">
        <v>79</v>
      </c>
      <c r="I386" t="s">
        <v>6417</v>
      </c>
      <c r="J386">
        <v>76</v>
      </c>
      <c r="K386">
        <v>267</v>
      </c>
      <c r="L386" t="s">
        <v>5341</v>
      </c>
      <c r="M386" s="6" t="s">
        <v>6558</v>
      </c>
      <c r="N386" s="6" t="s">
        <v>6583</v>
      </c>
      <c r="O386" s="6">
        <v>89</v>
      </c>
      <c r="P386" s="6">
        <v>73</v>
      </c>
      <c r="Q386" s="6">
        <v>83</v>
      </c>
      <c r="R386" s="6">
        <v>80</v>
      </c>
      <c r="S386" s="6">
        <v>74</v>
      </c>
      <c r="T386" s="6">
        <v>75</v>
      </c>
      <c r="U386" s="6">
        <v>89</v>
      </c>
      <c r="V386" s="6">
        <v>76</v>
      </c>
      <c r="W386" s="6">
        <v>65</v>
      </c>
      <c r="X386" s="6">
        <v>70</v>
      </c>
      <c r="Y386" s="6">
        <v>76</v>
      </c>
      <c r="Z386" s="6">
        <v>81</v>
      </c>
      <c r="AA386" s="6">
        <v>72</v>
      </c>
      <c r="AB386" s="6">
        <v>78</v>
      </c>
      <c r="AC386" s="6">
        <v>72</v>
      </c>
      <c r="AD386" s="6">
        <v>80</v>
      </c>
      <c r="AE386" s="6">
        <v>72</v>
      </c>
      <c r="AF386" s="6">
        <v>83</v>
      </c>
      <c r="AG386" s="6" t="s">
        <v>7382</v>
      </c>
      <c r="AH386" s="6" t="s">
        <v>6587</v>
      </c>
    </row>
    <row r="387" spans="1:34" x14ac:dyDescent="0.2">
      <c r="A387" t="s">
        <v>3651</v>
      </c>
      <c r="B387" t="s">
        <v>1915</v>
      </c>
      <c r="C387" t="s">
        <v>2872</v>
      </c>
      <c r="D387" s="7" t="s">
        <v>143</v>
      </c>
      <c r="E387" t="s">
        <v>38</v>
      </c>
      <c r="F387">
        <v>27</v>
      </c>
      <c r="G387">
        <v>67</v>
      </c>
      <c r="H387">
        <v>79</v>
      </c>
      <c r="I387" t="s">
        <v>6441</v>
      </c>
      <c r="J387">
        <v>77</v>
      </c>
      <c r="K387">
        <v>334</v>
      </c>
      <c r="L387" t="s">
        <v>5345</v>
      </c>
      <c r="M387" s="6" t="s">
        <v>6558</v>
      </c>
      <c r="N387" s="6" t="s">
        <v>6565</v>
      </c>
      <c r="O387" s="6">
        <v>82</v>
      </c>
      <c r="P387" s="6">
        <v>67</v>
      </c>
      <c r="Q387" s="6">
        <v>68</v>
      </c>
      <c r="R387" s="6">
        <v>72</v>
      </c>
      <c r="S387" s="6">
        <v>65</v>
      </c>
      <c r="T387" s="6">
        <v>71</v>
      </c>
      <c r="U387" s="6">
        <v>77</v>
      </c>
      <c r="V387" s="6">
        <v>66</v>
      </c>
      <c r="W387" s="6">
        <v>78</v>
      </c>
      <c r="X387" s="6">
        <v>69</v>
      </c>
      <c r="Y387" s="6">
        <v>69</v>
      </c>
      <c r="Z387" s="6">
        <v>60</v>
      </c>
      <c r="AA387" s="6">
        <v>69</v>
      </c>
      <c r="AB387" s="6">
        <v>70</v>
      </c>
      <c r="AC387" s="6">
        <v>63</v>
      </c>
      <c r="AD387" s="6">
        <v>73</v>
      </c>
      <c r="AE387" s="6">
        <v>67</v>
      </c>
      <c r="AF387" s="6">
        <v>73</v>
      </c>
      <c r="AG387" s="6" t="s">
        <v>7386</v>
      </c>
      <c r="AH387" s="6" t="s">
        <v>6680</v>
      </c>
    </row>
    <row r="388" spans="1:34" x14ac:dyDescent="0.2">
      <c r="A388" t="s">
        <v>3672</v>
      </c>
      <c r="B388" t="s">
        <v>1936</v>
      </c>
      <c r="C388" t="s">
        <v>61</v>
      </c>
      <c r="D388" s="7" t="s">
        <v>143</v>
      </c>
      <c r="E388" t="s">
        <v>38</v>
      </c>
      <c r="F388">
        <v>23</v>
      </c>
      <c r="G388">
        <v>88</v>
      </c>
      <c r="H388">
        <v>79</v>
      </c>
      <c r="I388" t="s">
        <v>6453</v>
      </c>
      <c r="J388">
        <v>71</v>
      </c>
      <c r="K388">
        <v>196</v>
      </c>
      <c r="L388" t="s">
        <v>5366</v>
      </c>
      <c r="M388" s="6" t="s">
        <v>6558</v>
      </c>
      <c r="N388" s="6" t="s">
        <v>6565</v>
      </c>
      <c r="O388" s="6">
        <v>78</v>
      </c>
      <c r="P388" s="6">
        <v>73</v>
      </c>
      <c r="Q388" s="6">
        <v>74</v>
      </c>
      <c r="R388" s="6">
        <v>74</v>
      </c>
      <c r="S388" s="6">
        <v>80</v>
      </c>
      <c r="T388" s="6">
        <v>78</v>
      </c>
      <c r="U388" s="6">
        <v>73</v>
      </c>
      <c r="V388" s="6">
        <v>79</v>
      </c>
      <c r="W388" s="6">
        <v>71</v>
      </c>
      <c r="X388" s="6">
        <v>74</v>
      </c>
      <c r="Y388" s="6">
        <v>81</v>
      </c>
      <c r="Z388" s="6">
        <v>81</v>
      </c>
      <c r="AA388" s="6">
        <v>77</v>
      </c>
      <c r="AB388" s="6">
        <v>79</v>
      </c>
      <c r="AC388" s="6">
        <v>78</v>
      </c>
      <c r="AD388" s="6">
        <v>78</v>
      </c>
      <c r="AE388" s="6">
        <v>81</v>
      </c>
      <c r="AF388" s="6">
        <v>77</v>
      </c>
      <c r="AG388" s="6" t="s">
        <v>7407</v>
      </c>
      <c r="AH388" s="6" t="s">
        <v>7408</v>
      </c>
    </row>
    <row r="389" spans="1:34" x14ac:dyDescent="0.2">
      <c r="A389" t="s">
        <v>3673</v>
      </c>
      <c r="B389" t="s">
        <v>1937</v>
      </c>
      <c r="C389" t="s">
        <v>61</v>
      </c>
      <c r="D389" s="7" t="s">
        <v>143</v>
      </c>
      <c r="E389" t="s">
        <v>38</v>
      </c>
      <c r="F389">
        <v>29</v>
      </c>
      <c r="G389">
        <v>82</v>
      </c>
      <c r="H389">
        <v>79</v>
      </c>
      <c r="I389" t="s">
        <v>6450</v>
      </c>
      <c r="J389">
        <v>70</v>
      </c>
      <c r="K389">
        <v>185</v>
      </c>
      <c r="L389" t="s">
        <v>5367</v>
      </c>
      <c r="M389" s="6" t="s">
        <v>6558</v>
      </c>
      <c r="N389" s="6" t="s">
        <v>6565</v>
      </c>
      <c r="O389" s="6">
        <v>65</v>
      </c>
      <c r="P389" s="6">
        <v>79</v>
      </c>
      <c r="Q389" s="6">
        <v>81</v>
      </c>
      <c r="R389" s="6">
        <v>74</v>
      </c>
      <c r="S389" s="6">
        <v>81</v>
      </c>
      <c r="T389" s="6">
        <v>81</v>
      </c>
      <c r="U389" s="6">
        <v>85</v>
      </c>
      <c r="V389" s="6">
        <v>77</v>
      </c>
      <c r="W389" s="6">
        <v>83</v>
      </c>
      <c r="X389" s="6">
        <v>85</v>
      </c>
      <c r="Y389" s="6">
        <v>79</v>
      </c>
      <c r="Z389" s="6">
        <v>90</v>
      </c>
      <c r="AA389" s="6">
        <v>73</v>
      </c>
      <c r="AB389" s="6">
        <v>74</v>
      </c>
      <c r="AC389" s="6">
        <v>71</v>
      </c>
      <c r="AD389" s="6">
        <v>82</v>
      </c>
      <c r="AE389" s="6">
        <v>73</v>
      </c>
      <c r="AF389" s="6">
        <v>71</v>
      </c>
      <c r="AG389" s="6" t="s">
        <v>7409</v>
      </c>
      <c r="AH389" s="6" t="s">
        <v>6630</v>
      </c>
    </row>
    <row r="390" spans="1:34" x14ac:dyDescent="0.2">
      <c r="A390" t="s">
        <v>3675</v>
      </c>
      <c r="B390" t="s">
        <v>1939</v>
      </c>
      <c r="C390" t="s">
        <v>61</v>
      </c>
      <c r="D390" s="7" t="s">
        <v>143</v>
      </c>
      <c r="E390" t="s">
        <v>38</v>
      </c>
      <c r="F390">
        <v>26</v>
      </c>
      <c r="G390">
        <v>69</v>
      </c>
      <c r="H390">
        <v>79</v>
      </c>
      <c r="I390" t="s">
        <v>6452</v>
      </c>
      <c r="J390">
        <v>72</v>
      </c>
      <c r="K390">
        <v>190</v>
      </c>
      <c r="L390" t="s">
        <v>5369</v>
      </c>
      <c r="M390" s="6" t="s">
        <v>6558</v>
      </c>
      <c r="N390" s="6" t="s">
        <v>6567</v>
      </c>
      <c r="O390" s="6">
        <v>83</v>
      </c>
      <c r="P390" s="6">
        <v>68</v>
      </c>
      <c r="Q390" s="6">
        <v>76</v>
      </c>
      <c r="R390" s="6">
        <v>68</v>
      </c>
      <c r="S390" s="6">
        <v>85</v>
      </c>
      <c r="T390" s="6">
        <v>75</v>
      </c>
      <c r="U390" s="6">
        <v>69</v>
      </c>
      <c r="V390" s="6">
        <v>75</v>
      </c>
      <c r="W390" s="6">
        <v>65</v>
      </c>
      <c r="X390" s="6">
        <v>84</v>
      </c>
      <c r="Y390" s="6">
        <v>71</v>
      </c>
      <c r="Z390" s="6">
        <v>76</v>
      </c>
      <c r="AA390" s="6">
        <v>76</v>
      </c>
      <c r="AB390" s="6">
        <v>77</v>
      </c>
      <c r="AC390" s="6">
        <v>76</v>
      </c>
      <c r="AD390" s="6">
        <v>77</v>
      </c>
      <c r="AE390" s="6">
        <v>74</v>
      </c>
      <c r="AF390" s="6">
        <v>72</v>
      </c>
      <c r="AG390" s="6" t="s">
        <v>7411</v>
      </c>
      <c r="AH390" s="6" t="s">
        <v>6696</v>
      </c>
    </row>
    <row r="391" spans="1:34" x14ac:dyDescent="0.2">
      <c r="A391" t="s">
        <v>3678</v>
      </c>
      <c r="B391" t="s">
        <v>1942</v>
      </c>
      <c r="C391" t="s">
        <v>2882</v>
      </c>
      <c r="D391" s="7" t="s">
        <v>143</v>
      </c>
      <c r="E391" t="s">
        <v>38</v>
      </c>
      <c r="F391">
        <v>25</v>
      </c>
      <c r="G391">
        <v>84</v>
      </c>
      <c r="H391">
        <v>79</v>
      </c>
      <c r="I391" t="s">
        <v>6449</v>
      </c>
      <c r="J391">
        <v>71</v>
      </c>
      <c r="K391">
        <v>200</v>
      </c>
      <c r="L391" t="s">
        <v>5372</v>
      </c>
      <c r="M391" s="6" t="s">
        <v>6558</v>
      </c>
      <c r="N391" s="6" t="s">
        <v>6565</v>
      </c>
      <c r="O391" s="6">
        <v>82</v>
      </c>
      <c r="P391" s="6">
        <v>73</v>
      </c>
      <c r="Q391" s="6">
        <v>69</v>
      </c>
      <c r="R391" s="6">
        <v>74</v>
      </c>
      <c r="S391" s="6">
        <v>85</v>
      </c>
      <c r="T391" s="6">
        <v>75</v>
      </c>
      <c r="U391" s="6">
        <v>77</v>
      </c>
      <c r="V391" s="6">
        <v>82</v>
      </c>
      <c r="W391" s="6">
        <v>69</v>
      </c>
      <c r="X391" s="6">
        <v>67</v>
      </c>
      <c r="Y391" s="6">
        <v>83</v>
      </c>
      <c r="Z391" s="6">
        <v>82</v>
      </c>
      <c r="AA391" s="6">
        <v>71</v>
      </c>
      <c r="AB391" s="6">
        <v>83</v>
      </c>
      <c r="AC391" s="6">
        <v>80</v>
      </c>
      <c r="AD391" s="6">
        <v>72</v>
      </c>
      <c r="AE391" s="6">
        <v>75</v>
      </c>
      <c r="AF391" s="6">
        <v>83</v>
      </c>
      <c r="AG391" s="6" t="s">
        <v>7414</v>
      </c>
      <c r="AH391" s="6" t="s">
        <v>6636</v>
      </c>
    </row>
    <row r="392" spans="1:34" x14ac:dyDescent="0.2">
      <c r="A392" t="s">
        <v>3699</v>
      </c>
      <c r="B392" t="s">
        <v>1963</v>
      </c>
      <c r="C392" t="s">
        <v>2870</v>
      </c>
      <c r="D392" s="7" t="s">
        <v>154</v>
      </c>
      <c r="E392" t="s">
        <v>58</v>
      </c>
      <c r="F392">
        <v>28</v>
      </c>
      <c r="G392">
        <v>59</v>
      </c>
      <c r="H392">
        <v>79</v>
      </c>
      <c r="I392" t="s">
        <v>6340</v>
      </c>
      <c r="J392">
        <v>71</v>
      </c>
      <c r="K392">
        <v>213</v>
      </c>
      <c r="L392" t="s">
        <v>5393</v>
      </c>
      <c r="M392" s="6" t="s">
        <v>6558</v>
      </c>
      <c r="N392" s="6" t="s">
        <v>6567</v>
      </c>
      <c r="O392" s="6">
        <v>75</v>
      </c>
      <c r="P392" s="6">
        <v>69</v>
      </c>
      <c r="Q392" s="6">
        <v>72</v>
      </c>
      <c r="R392" s="6">
        <v>69</v>
      </c>
      <c r="S392" s="6">
        <v>83</v>
      </c>
      <c r="T392" s="6">
        <v>62</v>
      </c>
      <c r="U392" s="6">
        <v>79</v>
      </c>
      <c r="V392" s="6">
        <v>82</v>
      </c>
      <c r="W392" s="6">
        <v>72</v>
      </c>
      <c r="X392" s="6">
        <v>64</v>
      </c>
      <c r="Y392" s="6">
        <v>67</v>
      </c>
      <c r="Z392" s="6">
        <v>70</v>
      </c>
      <c r="AA392" s="6">
        <v>63</v>
      </c>
      <c r="AB392" s="6">
        <v>66</v>
      </c>
      <c r="AC392" s="6">
        <v>70</v>
      </c>
      <c r="AD392" s="6">
        <v>72</v>
      </c>
      <c r="AE392" s="6">
        <v>57</v>
      </c>
      <c r="AF392" s="6">
        <v>72</v>
      </c>
      <c r="AG392" s="6" t="s">
        <v>7435</v>
      </c>
      <c r="AH392" s="6" t="s">
        <v>6723</v>
      </c>
    </row>
    <row r="393" spans="1:34" x14ac:dyDescent="0.2">
      <c r="A393" t="s">
        <v>3713</v>
      </c>
      <c r="B393" t="s">
        <v>1977</v>
      </c>
      <c r="C393" t="s">
        <v>2874</v>
      </c>
      <c r="D393" s="7" t="s">
        <v>154</v>
      </c>
      <c r="E393" t="s">
        <v>38</v>
      </c>
      <c r="F393">
        <v>22</v>
      </c>
      <c r="G393">
        <v>88</v>
      </c>
      <c r="H393">
        <v>79</v>
      </c>
      <c r="I393" t="s">
        <v>6306</v>
      </c>
      <c r="J393">
        <v>75</v>
      </c>
      <c r="K393">
        <v>304</v>
      </c>
      <c r="L393" t="s">
        <v>5407</v>
      </c>
      <c r="M393" s="6" t="s">
        <v>6603</v>
      </c>
      <c r="N393" s="6" t="s">
        <v>6567</v>
      </c>
      <c r="O393" s="6">
        <v>67</v>
      </c>
      <c r="P393" s="6">
        <v>69</v>
      </c>
      <c r="Q393" s="6">
        <v>64</v>
      </c>
      <c r="R393" s="6">
        <v>69</v>
      </c>
      <c r="S393" s="6">
        <v>75</v>
      </c>
      <c r="T393" s="6">
        <v>60</v>
      </c>
      <c r="U393" s="6">
        <v>54</v>
      </c>
      <c r="V393" s="6">
        <v>73</v>
      </c>
      <c r="W393" s="6">
        <v>75</v>
      </c>
      <c r="X393" s="6">
        <v>67</v>
      </c>
      <c r="Y393" s="6">
        <v>68</v>
      </c>
      <c r="Z393" s="6">
        <v>73</v>
      </c>
      <c r="AA393" s="6">
        <v>67</v>
      </c>
      <c r="AB393" s="6">
        <v>64</v>
      </c>
      <c r="AC393" s="6">
        <v>73</v>
      </c>
      <c r="AD393" s="6">
        <v>70</v>
      </c>
      <c r="AE393" s="6">
        <v>77</v>
      </c>
      <c r="AF393" s="6">
        <v>68</v>
      </c>
      <c r="AG393" s="6" t="s">
        <v>7449</v>
      </c>
      <c r="AH393" s="6" t="s">
        <v>6600</v>
      </c>
    </row>
    <row r="394" spans="1:34" x14ac:dyDescent="0.2">
      <c r="A394" t="s">
        <v>3722</v>
      </c>
      <c r="B394" t="s">
        <v>1986</v>
      </c>
      <c r="C394" t="s">
        <v>2878</v>
      </c>
      <c r="D394" s="7" t="s">
        <v>154</v>
      </c>
      <c r="E394" t="s">
        <v>38</v>
      </c>
      <c r="F394">
        <v>26</v>
      </c>
      <c r="G394">
        <v>82</v>
      </c>
      <c r="H394">
        <v>79</v>
      </c>
      <c r="I394" t="s">
        <v>54</v>
      </c>
      <c r="J394">
        <v>79</v>
      </c>
      <c r="K394">
        <v>270</v>
      </c>
      <c r="L394" t="s">
        <v>5416</v>
      </c>
      <c r="M394" s="6" t="s">
        <v>6558</v>
      </c>
      <c r="N394" s="6" t="s">
        <v>6565</v>
      </c>
      <c r="O394" s="6">
        <v>79</v>
      </c>
      <c r="P394" s="6">
        <v>79</v>
      </c>
      <c r="Q394" s="6">
        <v>81</v>
      </c>
      <c r="R394" s="6">
        <v>74</v>
      </c>
      <c r="S394" s="6">
        <v>84</v>
      </c>
      <c r="T394" s="6">
        <v>73</v>
      </c>
      <c r="U394" s="6">
        <v>79</v>
      </c>
      <c r="V394" s="6">
        <v>73</v>
      </c>
      <c r="W394" s="6">
        <v>79</v>
      </c>
      <c r="X394" s="6">
        <v>70</v>
      </c>
      <c r="Y394" s="6">
        <v>71</v>
      </c>
      <c r="Z394" s="6">
        <v>79</v>
      </c>
      <c r="AA394" s="6">
        <v>72</v>
      </c>
      <c r="AB394" s="6">
        <v>74</v>
      </c>
      <c r="AC394" s="6">
        <v>70</v>
      </c>
      <c r="AD394" s="6">
        <v>80</v>
      </c>
      <c r="AE394" s="6">
        <v>70</v>
      </c>
      <c r="AF394" s="6">
        <v>79</v>
      </c>
      <c r="AG394" s="6" t="s">
        <v>7458</v>
      </c>
      <c r="AH394" s="6" t="s">
        <v>6963</v>
      </c>
    </row>
    <row r="395" spans="1:34" x14ac:dyDescent="0.2">
      <c r="A395" t="s">
        <v>3727</v>
      </c>
      <c r="B395" t="s">
        <v>1991</v>
      </c>
      <c r="C395" t="s">
        <v>2879</v>
      </c>
      <c r="D395" s="7" t="s">
        <v>154</v>
      </c>
      <c r="E395" t="s">
        <v>58</v>
      </c>
      <c r="F395">
        <v>31</v>
      </c>
      <c r="G395">
        <v>70</v>
      </c>
      <c r="H395">
        <v>79</v>
      </c>
      <c r="I395" t="s">
        <v>6331</v>
      </c>
      <c r="J395">
        <v>77</v>
      </c>
      <c r="K395">
        <v>293</v>
      </c>
      <c r="L395" t="s">
        <v>5421</v>
      </c>
      <c r="M395" s="6" t="s">
        <v>6558</v>
      </c>
      <c r="N395" s="6" t="s">
        <v>6614</v>
      </c>
      <c r="O395" s="6">
        <v>62</v>
      </c>
      <c r="P395" s="6">
        <v>77</v>
      </c>
      <c r="Q395" s="6">
        <v>68</v>
      </c>
      <c r="R395" s="6">
        <v>61</v>
      </c>
      <c r="S395" s="6">
        <v>78</v>
      </c>
      <c r="T395" s="6">
        <v>67</v>
      </c>
      <c r="U395" s="6">
        <v>67</v>
      </c>
      <c r="V395" s="6">
        <v>79</v>
      </c>
      <c r="W395" s="6">
        <v>75</v>
      </c>
      <c r="X395" s="6">
        <v>69</v>
      </c>
      <c r="Y395" s="6">
        <v>76</v>
      </c>
      <c r="Z395" s="6">
        <v>74</v>
      </c>
      <c r="AA395" s="6">
        <v>60</v>
      </c>
      <c r="AB395" s="6">
        <v>67</v>
      </c>
      <c r="AC395" s="6">
        <v>67</v>
      </c>
      <c r="AD395" s="6">
        <v>65</v>
      </c>
      <c r="AE395" s="6">
        <v>61</v>
      </c>
      <c r="AF395" s="6">
        <v>62</v>
      </c>
      <c r="AG395" s="6" t="s">
        <v>7463</v>
      </c>
      <c r="AH395" s="6" t="s">
        <v>6617</v>
      </c>
    </row>
    <row r="396" spans="1:34" x14ac:dyDescent="0.2">
      <c r="A396" t="s">
        <v>3728</v>
      </c>
      <c r="B396" t="s">
        <v>1992</v>
      </c>
      <c r="C396" t="s">
        <v>2880</v>
      </c>
      <c r="D396" s="7" t="s">
        <v>154</v>
      </c>
      <c r="E396" t="s">
        <v>58</v>
      </c>
      <c r="F396">
        <v>30</v>
      </c>
      <c r="G396">
        <v>80</v>
      </c>
      <c r="H396">
        <v>79</v>
      </c>
      <c r="I396" t="s">
        <v>6352</v>
      </c>
      <c r="J396">
        <v>73</v>
      </c>
      <c r="K396">
        <v>243</v>
      </c>
      <c r="L396" t="s">
        <v>5422</v>
      </c>
      <c r="M396" s="6" t="s">
        <v>6558</v>
      </c>
      <c r="N396" s="6" t="s">
        <v>6583</v>
      </c>
      <c r="O396" s="6">
        <v>90</v>
      </c>
      <c r="P396" s="6">
        <v>74</v>
      </c>
      <c r="Q396" s="6">
        <v>72</v>
      </c>
      <c r="R396" s="6">
        <v>79</v>
      </c>
      <c r="S396" s="6">
        <v>79</v>
      </c>
      <c r="T396" s="6">
        <v>80</v>
      </c>
      <c r="U396" s="6">
        <v>67</v>
      </c>
      <c r="V396" s="6">
        <v>66</v>
      </c>
      <c r="W396" s="6">
        <v>78</v>
      </c>
      <c r="X396" s="6">
        <v>71</v>
      </c>
      <c r="Y396" s="6">
        <v>73</v>
      </c>
      <c r="Z396" s="6">
        <v>77</v>
      </c>
      <c r="AA396" s="6">
        <v>73</v>
      </c>
      <c r="AB396" s="6">
        <v>72</v>
      </c>
      <c r="AC396" s="6">
        <v>72</v>
      </c>
      <c r="AD396" s="6">
        <v>81</v>
      </c>
      <c r="AE396" s="6">
        <v>73</v>
      </c>
      <c r="AF396" s="6">
        <v>67</v>
      </c>
      <c r="AG396" s="6" t="s">
        <v>7464</v>
      </c>
      <c r="AH396" s="6" t="s">
        <v>6623</v>
      </c>
    </row>
    <row r="397" spans="1:34" x14ac:dyDescent="0.2">
      <c r="A397" t="s">
        <v>3737</v>
      </c>
      <c r="B397" t="s">
        <v>2001</v>
      </c>
      <c r="C397" t="s">
        <v>2883</v>
      </c>
      <c r="D397" s="7" t="s">
        <v>154</v>
      </c>
      <c r="E397" t="s">
        <v>58</v>
      </c>
      <c r="F397">
        <v>30</v>
      </c>
      <c r="G397">
        <v>70</v>
      </c>
      <c r="H397">
        <v>79</v>
      </c>
      <c r="I397" t="s">
        <v>6354</v>
      </c>
      <c r="J397">
        <v>71</v>
      </c>
      <c r="K397">
        <v>207</v>
      </c>
      <c r="L397" t="s">
        <v>5431</v>
      </c>
      <c r="M397" s="6" t="s">
        <v>6558</v>
      </c>
      <c r="N397" s="6" t="s">
        <v>6565</v>
      </c>
      <c r="O397" s="6">
        <v>75</v>
      </c>
      <c r="P397" s="6">
        <v>77</v>
      </c>
      <c r="Q397" s="6">
        <v>76</v>
      </c>
      <c r="R397" s="6">
        <v>74</v>
      </c>
      <c r="S397" s="6">
        <v>82</v>
      </c>
      <c r="T397" s="6">
        <v>78</v>
      </c>
      <c r="U397" s="6">
        <v>57</v>
      </c>
      <c r="V397" s="6">
        <v>66</v>
      </c>
      <c r="W397" s="6">
        <v>73</v>
      </c>
      <c r="X397" s="6">
        <v>75</v>
      </c>
      <c r="Y397" s="6">
        <v>89</v>
      </c>
      <c r="Z397" s="6">
        <v>74</v>
      </c>
      <c r="AA397" s="6">
        <v>67</v>
      </c>
      <c r="AB397" s="6">
        <v>70</v>
      </c>
      <c r="AC397" s="6">
        <v>70</v>
      </c>
      <c r="AD397" s="6">
        <v>76</v>
      </c>
      <c r="AE397" s="6">
        <v>73</v>
      </c>
      <c r="AF397" s="6">
        <v>67</v>
      </c>
      <c r="AG397" s="6" t="s">
        <v>7473</v>
      </c>
      <c r="AH397" s="6" t="s">
        <v>6640</v>
      </c>
    </row>
    <row r="398" spans="1:34" x14ac:dyDescent="0.2">
      <c r="A398" t="s">
        <v>3749</v>
      </c>
      <c r="B398" t="s">
        <v>2013</v>
      </c>
      <c r="C398" t="s">
        <v>2870</v>
      </c>
      <c r="D398" s="7" t="s">
        <v>155</v>
      </c>
      <c r="E398" t="s">
        <v>58</v>
      </c>
      <c r="F398">
        <v>22</v>
      </c>
      <c r="G398">
        <v>69</v>
      </c>
      <c r="H398">
        <v>79</v>
      </c>
      <c r="I398" t="s">
        <v>6311</v>
      </c>
      <c r="J398">
        <v>70</v>
      </c>
      <c r="K398">
        <v>207</v>
      </c>
      <c r="L398" t="s">
        <v>5443</v>
      </c>
      <c r="M398" s="6" t="s">
        <v>6558</v>
      </c>
      <c r="N398" s="6" t="s">
        <v>6614</v>
      </c>
      <c r="O398" s="6">
        <v>72</v>
      </c>
      <c r="P398" s="6">
        <v>61</v>
      </c>
      <c r="Q398" s="6">
        <v>68</v>
      </c>
      <c r="R398" s="6">
        <v>61</v>
      </c>
      <c r="S398" s="6">
        <v>77</v>
      </c>
      <c r="T398" s="6">
        <v>67</v>
      </c>
      <c r="U398" s="6">
        <v>77</v>
      </c>
      <c r="V398" s="6">
        <v>66</v>
      </c>
      <c r="W398" s="6">
        <v>64</v>
      </c>
      <c r="X398" s="6">
        <v>64</v>
      </c>
      <c r="Y398" s="6">
        <v>72</v>
      </c>
      <c r="Z398" s="6">
        <v>60</v>
      </c>
      <c r="AA398" s="6">
        <v>63</v>
      </c>
      <c r="AB398" s="6">
        <v>71</v>
      </c>
      <c r="AC398" s="6">
        <v>78</v>
      </c>
      <c r="AD398" s="6">
        <v>69</v>
      </c>
      <c r="AE398" s="6">
        <v>71</v>
      </c>
      <c r="AF398" s="6">
        <v>69</v>
      </c>
      <c r="AG398" s="6" t="s">
        <v>7485</v>
      </c>
      <c r="AH398" s="6" t="s">
        <v>6885</v>
      </c>
    </row>
    <row r="399" spans="1:34" x14ac:dyDescent="0.2">
      <c r="A399" t="s">
        <v>3752</v>
      </c>
      <c r="B399" t="s">
        <v>2016</v>
      </c>
      <c r="C399" t="s">
        <v>57</v>
      </c>
      <c r="D399" s="7" t="s">
        <v>155</v>
      </c>
      <c r="E399" t="s">
        <v>38</v>
      </c>
      <c r="F399">
        <v>28</v>
      </c>
      <c r="G399">
        <v>76</v>
      </c>
      <c r="H399">
        <v>79</v>
      </c>
      <c r="I399" t="s">
        <v>6312</v>
      </c>
      <c r="J399">
        <v>70</v>
      </c>
      <c r="K399">
        <v>208</v>
      </c>
      <c r="L399" t="s">
        <v>5446</v>
      </c>
      <c r="M399" s="6" t="s">
        <v>6558</v>
      </c>
      <c r="N399" s="6" t="s">
        <v>6567</v>
      </c>
      <c r="O399" s="6">
        <v>72</v>
      </c>
      <c r="P399" s="6">
        <v>72</v>
      </c>
      <c r="Q399" s="6">
        <v>74</v>
      </c>
      <c r="R399" s="6">
        <v>68</v>
      </c>
      <c r="S399" s="6">
        <v>81</v>
      </c>
      <c r="T399" s="6">
        <v>81</v>
      </c>
      <c r="U399" s="6">
        <v>79</v>
      </c>
      <c r="V399" s="6">
        <v>76</v>
      </c>
      <c r="W399" s="6">
        <v>77</v>
      </c>
      <c r="X399" s="6">
        <v>75</v>
      </c>
      <c r="Y399" s="6">
        <v>74</v>
      </c>
      <c r="Z399" s="6">
        <v>81</v>
      </c>
      <c r="AA399" s="6">
        <v>71</v>
      </c>
      <c r="AB399" s="6">
        <v>77</v>
      </c>
      <c r="AC399" s="6">
        <v>75</v>
      </c>
      <c r="AD399" s="6">
        <v>76</v>
      </c>
      <c r="AE399" s="6">
        <v>80</v>
      </c>
      <c r="AF399" s="6">
        <v>80</v>
      </c>
      <c r="AG399" s="6" t="s">
        <v>7488</v>
      </c>
      <c r="AH399" s="6" t="s">
        <v>6581</v>
      </c>
    </row>
    <row r="400" spans="1:34" x14ac:dyDescent="0.2">
      <c r="A400" t="s">
        <v>3755</v>
      </c>
      <c r="B400" t="s">
        <v>2019</v>
      </c>
      <c r="C400" t="s">
        <v>57</v>
      </c>
      <c r="D400" s="7" t="s">
        <v>155</v>
      </c>
      <c r="E400" t="s">
        <v>38</v>
      </c>
      <c r="F400">
        <v>26</v>
      </c>
      <c r="G400">
        <v>71</v>
      </c>
      <c r="H400">
        <v>79</v>
      </c>
      <c r="I400" t="s">
        <v>6315</v>
      </c>
      <c r="J400">
        <v>69</v>
      </c>
      <c r="K400">
        <v>191</v>
      </c>
      <c r="L400" t="s">
        <v>5449</v>
      </c>
      <c r="M400" s="6" t="s">
        <v>6558</v>
      </c>
      <c r="N400" s="6" t="s">
        <v>6567</v>
      </c>
      <c r="O400" s="6">
        <v>70</v>
      </c>
      <c r="P400" s="6">
        <v>73</v>
      </c>
      <c r="Q400" s="6">
        <v>64</v>
      </c>
      <c r="R400" s="6">
        <v>64</v>
      </c>
      <c r="S400" s="6">
        <v>75</v>
      </c>
      <c r="T400" s="6">
        <v>75</v>
      </c>
      <c r="U400" s="6">
        <v>70</v>
      </c>
      <c r="V400" s="6">
        <v>72</v>
      </c>
      <c r="W400" s="6">
        <v>80</v>
      </c>
      <c r="X400" s="6">
        <v>71</v>
      </c>
      <c r="Y400" s="6">
        <v>75</v>
      </c>
      <c r="Z400" s="6">
        <v>85</v>
      </c>
      <c r="AA400" s="6">
        <v>76</v>
      </c>
      <c r="AB400" s="6">
        <v>68</v>
      </c>
      <c r="AC400" s="6">
        <v>68</v>
      </c>
      <c r="AD400" s="6">
        <v>75</v>
      </c>
      <c r="AE400" s="6">
        <v>77</v>
      </c>
      <c r="AF400" s="6">
        <v>79</v>
      </c>
      <c r="AG400" s="6" t="s">
        <v>7491</v>
      </c>
      <c r="AH400" s="6" t="s">
        <v>6782</v>
      </c>
    </row>
    <row r="401" spans="1:34" x14ac:dyDescent="0.2">
      <c r="A401" t="s">
        <v>3757</v>
      </c>
      <c r="B401" t="s">
        <v>2021</v>
      </c>
      <c r="C401" t="s">
        <v>57</v>
      </c>
      <c r="D401" s="7" t="s">
        <v>155</v>
      </c>
      <c r="E401" t="s">
        <v>38</v>
      </c>
      <c r="F401">
        <v>23</v>
      </c>
      <c r="G401">
        <v>65</v>
      </c>
      <c r="H401">
        <v>79</v>
      </c>
      <c r="I401" t="s">
        <v>6316</v>
      </c>
      <c r="J401">
        <v>71</v>
      </c>
      <c r="K401">
        <v>217</v>
      </c>
      <c r="L401" t="s">
        <v>5451</v>
      </c>
      <c r="M401" s="6" t="s">
        <v>6558</v>
      </c>
      <c r="N401" s="6" t="s">
        <v>6567</v>
      </c>
      <c r="O401" s="6">
        <v>68</v>
      </c>
      <c r="P401" s="6">
        <v>65</v>
      </c>
      <c r="Q401" s="6">
        <v>63</v>
      </c>
      <c r="R401" s="6">
        <v>67</v>
      </c>
      <c r="S401" s="6">
        <v>63</v>
      </c>
      <c r="T401" s="6">
        <v>66</v>
      </c>
      <c r="U401" s="6">
        <v>78</v>
      </c>
      <c r="V401" s="6">
        <v>73</v>
      </c>
      <c r="W401" s="6">
        <v>77</v>
      </c>
      <c r="X401" s="6">
        <v>64</v>
      </c>
      <c r="Y401" s="6">
        <v>69</v>
      </c>
      <c r="Z401" s="6">
        <v>68</v>
      </c>
      <c r="AA401" s="6">
        <v>67</v>
      </c>
      <c r="AB401" s="6">
        <v>71</v>
      </c>
      <c r="AC401" s="6">
        <v>62</v>
      </c>
      <c r="AD401" s="6">
        <v>63</v>
      </c>
      <c r="AE401" s="6">
        <v>67</v>
      </c>
      <c r="AF401" s="6">
        <v>70</v>
      </c>
      <c r="AG401" s="6" t="s">
        <v>7493</v>
      </c>
      <c r="AH401" s="6" t="s">
        <v>6782</v>
      </c>
    </row>
    <row r="402" spans="1:34" x14ac:dyDescent="0.2">
      <c r="A402" t="s">
        <v>3766</v>
      </c>
      <c r="B402" t="s">
        <v>2030</v>
      </c>
      <c r="C402" t="s">
        <v>2874</v>
      </c>
      <c r="D402" s="7" t="s">
        <v>155</v>
      </c>
      <c r="E402" t="s">
        <v>38</v>
      </c>
      <c r="F402">
        <v>26</v>
      </c>
      <c r="G402">
        <v>73</v>
      </c>
      <c r="H402">
        <v>79</v>
      </c>
      <c r="I402" t="s">
        <v>6415</v>
      </c>
      <c r="J402">
        <v>76</v>
      </c>
      <c r="K402">
        <v>312</v>
      </c>
      <c r="L402" t="s">
        <v>5460</v>
      </c>
      <c r="M402" s="6" t="s">
        <v>6558</v>
      </c>
      <c r="N402" s="6" t="s">
        <v>6567</v>
      </c>
      <c r="O402" s="6">
        <v>64</v>
      </c>
      <c r="P402" s="6">
        <v>72</v>
      </c>
      <c r="Q402" s="6">
        <v>71</v>
      </c>
      <c r="R402" s="6">
        <v>67</v>
      </c>
      <c r="S402" s="6">
        <v>65</v>
      </c>
      <c r="T402" s="6">
        <v>74</v>
      </c>
      <c r="U402" s="6">
        <v>70</v>
      </c>
      <c r="V402" s="6">
        <v>77</v>
      </c>
      <c r="W402" s="6">
        <v>69</v>
      </c>
      <c r="X402" s="6">
        <v>65</v>
      </c>
      <c r="Y402" s="6">
        <v>80</v>
      </c>
      <c r="Z402" s="6">
        <v>69</v>
      </c>
      <c r="AA402" s="6">
        <v>73</v>
      </c>
      <c r="AB402" s="6">
        <v>64</v>
      </c>
      <c r="AC402" s="6">
        <v>70</v>
      </c>
      <c r="AD402" s="6">
        <v>79</v>
      </c>
      <c r="AE402" s="6">
        <v>74</v>
      </c>
      <c r="AF402" s="6">
        <v>72</v>
      </c>
      <c r="AG402" s="6" t="s">
        <v>7502</v>
      </c>
      <c r="AH402" s="6" t="s">
        <v>6600</v>
      </c>
    </row>
    <row r="403" spans="1:34" x14ac:dyDescent="0.2">
      <c r="A403" t="s">
        <v>3784</v>
      </c>
      <c r="B403" t="s">
        <v>2048</v>
      </c>
      <c r="C403" t="s">
        <v>2881</v>
      </c>
      <c r="D403" s="7" t="s">
        <v>155</v>
      </c>
      <c r="E403" t="s">
        <v>38</v>
      </c>
      <c r="F403">
        <v>31</v>
      </c>
      <c r="G403">
        <v>65</v>
      </c>
      <c r="H403">
        <v>79</v>
      </c>
      <c r="I403" t="s">
        <v>6503</v>
      </c>
      <c r="J403">
        <v>75</v>
      </c>
      <c r="K403">
        <v>232</v>
      </c>
      <c r="L403" t="s">
        <v>5478</v>
      </c>
      <c r="M403" s="6" t="s">
        <v>6558</v>
      </c>
      <c r="N403" s="6" t="s">
        <v>6583</v>
      </c>
      <c r="O403" s="6">
        <v>65</v>
      </c>
      <c r="P403" s="6">
        <v>76</v>
      </c>
      <c r="Q403" s="6">
        <v>85</v>
      </c>
      <c r="R403" s="6">
        <v>76</v>
      </c>
      <c r="S403" s="6">
        <v>72</v>
      </c>
      <c r="T403" s="6">
        <v>70</v>
      </c>
      <c r="U403" s="6">
        <v>80</v>
      </c>
      <c r="V403" s="6">
        <v>76</v>
      </c>
      <c r="W403" s="6">
        <v>79</v>
      </c>
      <c r="X403" s="6">
        <v>71</v>
      </c>
      <c r="Y403" s="6">
        <v>72</v>
      </c>
      <c r="Z403" s="6">
        <v>80</v>
      </c>
      <c r="AA403" s="6">
        <v>65</v>
      </c>
      <c r="AB403" s="6">
        <v>61</v>
      </c>
      <c r="AC403" s="6">
        <v>77</v>
      </c>
      <c r="AD403" s="6">
        <v>72</v>
      </c>
      <c r="AE403" s="6">
        <v>70</v>
      </c>
      <c r="AF403" s="6">
        <v>66</v>
      </c>
      <c r="AG403" s="6" t="s">
        <v>7520</v>
      </c>
      <c r="AH403" s="6" t="s">
        <v>6711</v>
      </c>
    </row>
    <row r="404" spans="1:34" x14ac:dyDescent="0.2">
      <c r="A404" t="s">
        <v>3793</v>
      </c>
      <c r="B404" t="s">
        <v>2057</v>
      </c>
      <c r="C404" t="s">
        <v>2883</v>
      </c>
      <c r="D404" s="7" t="s">
        <v>155</v>
      </c>
      <c r="E404" t="s">
        <v>38</v>
      </c>
      <c r="F404">
        <v>22</v>
      </c>
      <c r="G404">
        <v>76</v>
      </c>
      <c r="H404">
        <v>79</v>
      </c>
      <c r="I404" t="s">
        <v>6393</v>
      </c>
      <c r="J404">
        <v>71</v>
      </c>
      <c r="K404">
        <v>209</v>
      </c>
      <c r="L404" t="s">
        <v>5487</v>
      </c>
      <c r="M404" s="6" t="s">
        <v>6558</v>
      </c>
      <c r="N404" s="6" t="s">
        <v>6565</v>
      </c>
      <c r="O404" s="6">
        <v>83</v>
      </c>
      <c r="P404" s="6">
        <v>72</v>
      </c>
      <c r="Q404" s="6">
        <v>66</v>
      </c>
      <c r="R404" s="6">
        <v>73</v>
      </c>
      <c r="S404" s="6">
        <v>80</v>
      </c>
      <c r="T404" s="6">
        <v>70</v>
      </c>
      <c r="U404" s="6">
        <v>70</v>
      </c>
      <c r="V404" s="6">
        <v>63</v>
      </c>
      <c r="W404" s="6">
        <v>70</v>
      </c>
      <c r="X404" s="6">
        <v>66</v>
      </c>
      <c r="Y404" s="6">
        <v>65</v>
      </c>
      <c r="Z404" s="6">
        <v>69</v>
      </c>
      <c r="AA404" s="6">
        <v>67</v>
      </c>
      <c r="AB404" s="6">
        <v>79</v>
      </c>
      <c r="AC404" s="6">
        <v>64</v>
      </c>
      <c r="AD404" s="6">
        <v>70</v>
      </c>
      <c r="AE404" s="6">
        <v>62</v>
      </c>
      <c r="AF404" s="6">
        <v>69</v>
      </c>
      <c r="AG404" s="6" t="s">
        <v>7529</v>
      </c>
      <c r="AH404" s="6" t="s">
        <v>7198</v>
      </c>
    </row>
    <row r="405" spans="1:34" x14ac:dyDescent="0.2">
      <c r="A405" t="s">
        <v>3828</v>
      </c>
      <c r="B405" t="s">
        <v>2092</v>
      </c>
      <c r="C405" t="s">
        <v>2879</v>
      </c>
      <c r="D405" s="7" t="s">
        <v>148</v>
      </c>
      <c r="E405" t="s">
        <v>38</v>
      </c>
      <c r="F405">
        <v>27</v>
      </c>
      <c r="G405">
        <v>87</v>
      </c>
      <c r="H405">
        <v>79</v>
      </c>
      <c r="I405" t="s">
        <v>6425</v>
      </c>
      <c r="J405">
        <v>73</v>
      </c>
      <c r="K405">
        <v>293</v>
      </c>
      <c r="L405" t="s">
        <v>5522</v>
      </c>
      <c r="M405" s="6" t="s">
        <v>6558</v>
      </c>
      <c r="N405" s="6" t="s">
        <v>6565</v>
      </c>
      <c r="O405" s="6">
        <v>74</v>
      </c>
      <c r="P405" s="6">
        <v>81</v>
      </c>
      <c r="Q405" s="6">
        <v>79</v>
      </c>
      <c r="R405" s="6">
        <v>74</v>
      </c>
      <c r="S405" s="6">
        <v>87</v>
      </c>
      <c r="T405" s="6">
        <v>73</v>
      </c>
      <c r="U405" s="6">
        <v>79</v>
      </c>
      <c r="V405" s="6">
        <v>79</v>
      </c>
      <c r="W405" s="6">
        <v>79</v>
      </c>
      <c r="X405" s="6">
        <v>85</v>
      </c>
      <c r="Y405" s="6">
        <v>80</v>
      </c>
      <c r="Z405" s="6">
        <v>76</v>
      </c>
      <c r="AA405" s="6">
        <v>76</v>
      </c>
      <c r="AB405" s="6">
        <v>66</v>
      </c>
      <c r="AC405" s="6">
        <v>81</v>
      </c>
      <c r="AD405" s="6">
        <v>76</v>
      </c>
      <c r="AE405" s="6">
        <v>73</v>
      </c>
      <c r="AF405" s="6">
        <v>79</v>
      </c>
      <c r="AG405" s="6" t="s">
        <v>7564</v>
      </c>
      <c r="AH405" s="6" t="s">
        <v>6855</v>
      </c>
    </row>
    <row r="406" spans="1:34" x14ac:dyDescent="0.2">
      <c r="A406" t="s">
        <v>3840</v>
      </c>
      <c r="B406" t="s">
        <v>2104</v>
      </c>
      <c r="C406" t="s">
        <v>2882</v>
      </c>
      <c r="D406" s="7" t="s">
        <v>148</v>
      </c>
      <c r="E406" t="s">
        <v>58</v>
      </c>
      <c r="F406">
        <v>31</v>
      </c>
      <c r="G406">
        <v>68</v>
      </c>
      <c r="H406">
        <v>79</v>
      </c>
      <c r="I406" t="s">
        <v>6441</v>
      </c>
      <c r="J406">
        <v>72</v>
      </c>
      <c r="K406">
        <v>199</v>
      </c>
      <c r="L406" t="s">
        <v>5534</v>
      </c>
      <c r="M406" s="6" t="s">
        <v>6558</v>
      </c>
      <c r="N406" s="6" t="s">
        <v>6567</v>
      </c>
      <c r="O406" s="6">
        <v>87</v>
      </c>
      <c r="P406" s="6">
        <v>67</v>
      </c>
      <c r="Q406" s="6">
        <v>68</v>
      </c>
      <c r="R406" s="6">
        <v>68</v>
      </c>
      <c r="S406" s="6">
        <v>62</v>
      </c>
      <c r="T406" s="6">
        <v>73</v>
      </c>
      <c r="U406" s="6">
        <v>71</v>
      </c>
      <c r="V406" s="6">
        <v>77</v>
      </c>
      <c r="W406" s="6">
        <v>85</v>
      </c>
      <c r="X406" s="6">
        <v>78</v>
      </c>
      <c r="Y406" s="6">
        <v>77</v>
      </c>
      <c r="Z406" s="6">
        <v>66</v>
      </c>
      <c r="AA406" s="6">
        <v>62</v>
      </c>
      <c r="AB406" s="6">
        <v>58</v>
      </c>
      <c r="AC406" s="6">
        <v>64</v>
      </c>
      <c r="AD406" s="6">
        <v>62</v>
      </c>
      <c r="AE406" s="6">
        <v>62</v>
      </c>
      <c r="AF406" s="6">
        <v>78</v>
      </c>
      <c r="AG406" s="6" t="s">
        <v>7576</v>
      </c>
      <c r="AH406" s="6" t="s">
        <v>6636</v>
      </c>
    </row>
    <row r="407" spans="1:34" x14ac:dyDescent="0.2">
      <c r="A407" t="s">
        <v>3845</v>
      </c>
      <c r="B407" t="s">
        <v>2109</v>
      </c>
      <c r="C407" t="s">
        <v>2889</v>
      </c>
      <c r="D407" s="7" t="s">
        <v>148</v>
      </c>
      <c r="E407" t="s">
        <v>58</v>
      </c>
      <c r="F407">
        <v>22</v>
      </c>
      <c r="G407">
        <v>64</v>
      </c>
      <c r="H407">
        <v>79</v>
      </c>
      <c r="I407" t="s">
        <v>6444</v>
      </c>
      <c r="J407">
        <v>73</v>
      </c>
      <c r="K407">
        <v>248</v>
      </c>
      <c r="L407" t="s">
        <v>5539</v>
      </c>
      <c r="M407" s="6" t="s">
        <v>6558</v>
      </c>
      <c r="N407" s="6" t="s">
        <v>6567</v>
      </c>
      <c r="O407" s="6">
        <v>61</v>
      </c>
      <c r="P407" s="6">
        <v>69</v>
      </c>
      <c r="Q407" s="6">
        <v>70</v>
      </c>
      <c r="R407" s="6">
        <v>65</v>
      </c>
      <c r="S407" s="6">
        <v>61</v>
      </c>
      <c r="T407" s="6">
        <v>74</v>
      </c>
      <c r="U407" s="6">
        <v>59</v>
      </c>
      <c r="V407" s="6">
        <v>68</v>
      </c>
      <c r="W407" s="6">
        <v>65</v>
      </c>
      <c r="X407" s="6">
        <v>65</v>
      </c>
      <c r="Y407" s="6">
        <v>67</v>
      </c>
      <c r="Z407" s="6">
        <v>66</v>
      </c>
      <c r="AA407" s="6">
        <v>63</v>
      </c>
      <c r="AB407" s="6">
        <v>65</v>
      </c>
      <c r="AC407" s="6">
        <v>71</v>
      </c>
      <c r="AD407" s="6">
        <v>61</v>
      </c>
      <c r="AE407" s="6">
        <v>65</v>
      </c>
      <c r="AF407" s="6">
        <v>68</v>
      </c>
      <c r="AG407" s="6" t="s">
        <v>7581</v>
      </c>
      <c r="AH407" s="6" t="s">
        <v>6709</v>
      </c>
    </row>
    <row r="408" spans="1:34" x14ac:dyDescent="0.2">
      <c r="A408" t="s">
        <v>3884</v>
      </c>
      <c r="B408" t="s">
        <v>2148</v>
      </c>
      <c r="C408" t="s">
        <v>2880</v>
      </c>
      <c r="D408" s="7" t="s">
        <v>147</v>
      </c>
      <c r="E408" t="s">
        <v>38</v>
      </c>
      <c r="F408">
        <v>25</v>
      </c>
      <c r="G408">
        <v>81</v>
      </c>
      <c r="H408">
        <v>79</v>
      </c>
      <c r="I408" t="s">
        <v>6466</v>
      </c>
      <c r="J408">
        <v>74</v>
      </c>
      <c r="K408">
        <v>247</v>
      </c>
      <c r="L408" t="s">
        <v>5578</v>
      </c>
      <c r="M408" s="6" t="s">
        <v>6558</v>
      </c>
      <c r="N408" s="6" t="s">
        <v>6583</v>
      </c>
      <c r="O408" s="6">
        <v>82</v>
      </c>
      <c r="P408" s="6">
        <v>73</v>
      </c>
      <c r="Q408" s="6">
        <v>77</v>
      </c>
      <c r="R408" s="6">
        <v>76</v>
      </c>
      <c r="S408" s="6">
        <v>78</v>
      </c>
      <c r="T408" s="6">
        <v>72</v>
      </c>
      <c r="U408" s="6">
        <v>86</v>
      </c>
      <c r="V408" s="6">
        <v>74</v>
      </c>
      <c r="W408" s="6">
        <v>93</v>
      </c>
      <c r="X408" s="6">
        <v>67</v>
      </c>
      <c r="Y408" s="6">
        <v>68</v>
      </c>
      <c r="Z408" s="6">
        <v>77</v>
      </c>
      <c r="AA408" s="6">
        <v>67</v>
      </c>
      <c r="AB408" s="6">
        <v>65</v>
      </c>
      <c r="AC408" s="6">
        <v>67</v>
      </c>
      <c r="AD408" s="6">
        <v>61</v>
      </c>
      <c r="AE408" s="6">
        <v>76</v>
      </c>
      <c r="AF408" s="6">
        <v>66</v>
      </c>
      <c r="AG408" s="6" t="s">
        <v>7619</v>
      </c>
      <c r="AH408" s="6" t="s">
        <v>6623</v>
      </c>
    </row>
    <row r="409" spans="1:34" x14ac:dyDescent="0.2">
      <c r="A409" t="s">
        <v>3896</v>
      </c>
      <c r="B409" t="s">
        <v>2160</v>
      </c>
      <c r="C409" t="s">
        <v>2885</v>
      </c>
      <c r="D409" s="7" t="s">
        <v>147</v>
      </c>
      <c r="E409" t="s">
        <v>58</v>
      </c>
      <c r="F409">
        <v>32</v>
      </c>
      <c r="G409">
        <v>67</v>
      </c>
      <c r="H409">
        <v>79</v>
      </c>
      <c r="I409" t="s">
        <v>6533</v>
      </c>
      <c r="J409">
        <v>72</v>
      </c>
      <c r="K409">
        <v>235</v>
      </c>
      <c r="L409" t="s">
        <v>5590</v>
      </c>
      <c r="M409" s="6" t="s">
        <v>6558</v>
      </c>
      <c r="N409" s="6" t="s">
        <v>6567</v>
      </c>
      <c r="O409" s="6">
        <v>69</v>
      </c>
      <c r="P409" s="6">
        <v>67</v>
      </c>
      <c r="Q409" s="6">
        <v>68</v>
      </c>
      <c r="R409" s="6">
        <v>64</v>
      </c>
      <c r="S409" s="6">
        <v>80</v>
      </c>
      <c r="T409" s="6">
        <v>70</v>
      </c>
      <c r="U409" s="6">
        <v>81</v>
      </c>
      <c r="V409" s="6">
        <v>82</v>
      </c>
      <c r="W409" s="6">
        <v>76</v>
      </c>
      <c r="X409" s="6">
        <v>78</v>
      </c>
      <c r="Y409" s="6">
        <v>80</v>
      </c>
      <c r="Z409" s="6">
        <v>71</v>
      </c>
      <c r="AA409" s="6">
        <v>67</v>
      </c>
      <c r="AB409" s="6">
        <v>66</v>
      </c>
      <c r="AC409" s="6">
        <v>59</v>
      </c>
      <c r="AD409" s="6">
        <v>72</v>
      </c>
      <c r="AE409" s="6">
        <v>61</v>
      </c>
      <c r="AF409" s="6">
        <v>64</v>
      </c>
      <c r="AG409" s="6" t="s">
        <v>7631</v>
      </c>
      <c r="AH409" s="6" t="s">
        <v>6711</v>
      </c>
    </row>
    <row r="410" spans="1:34" x14ac:dyDescent="0.2">
      <c r="A410" t="s">
        <v>3910</v>
      </c>
      <c r="B410" t="s">
        <v>2174</v>
      </c>
      <c r="C410" t="s">
        <v>57</v>
      </c>
      <c r="D410" s="7" t="s">
        <v>144</v>
      </c>
      <c r="E410" t="s">
        <v>58</v>
      </c>
      <c r="F410">
        <v>30</v>
      </c>
      <c r="G410">
        <v>81</v>
      </c>
      <c r="H410">
        <v>79</v>
      </c>
      <c r="I410" t="s">
        <v>6311</v>
      </c>
      <c r="J410">
        <v>75</v>
      </c>
      <c r="K410">
        <v>182</v>
      </c>
      <c r="L410" t="s">
        <v>5604</v>
      </c>
      <c r="M410" s="6" t="s">
        <v>6558</v>
      </c>
      <c r="N410" s="6" t="s">
        <v>6583</v>
      </c>
      <c r="O410" s="6">
        <v>77</v>
      </c>
      <c r="P410" s="6">
        <v>82</v>
      </c>
      <c r="Q410" s="6">
        <v>81</v>
      </c>
      <c r="R410" s="6">
        <v>81</v>
      </c>
      <c r="S410" s="6">
        <v>83</v>
      </c>
      <c r="T410" s="6">
        <v>91</v>
      </c>
      <c r="U410" s="6">
        <v>78</v>
      </c>
      <c r="V410" s="6">
        <v>86</v>
      </c>
      <c r="W410" s="6">
        <v>77</v>
      </c>
      <c r="X410" s="6">
        <v>78</v>
      </c>
      <c r="Y410" s="6">
        <v>83</v>
      </c>
      <c r="Z410" s="6">
        <v>84</v>
      </c>
      <c r="AA410" s="6">
        <v>79</v>
      </c>
      <c r="AB410" s="6">
        <v>82</v>
      </c>
      <c r="AC410" s="6">
        <v>83</v>
      </c>
      <c r="AD410" s="6">
        <v>88</v>
      </c>
      <c r="AE410" s="6">
        <v>71</v>
      </c>
      <c r="AF410" s="6">
        <v>78</v>
      </c>
      <c r="AG410" s="6" t="s">
        <v>7644</v>
      </c>
      <c r="AH410" s="6" t="s">
        <v>6664</v>
      </c>
    </row>
    <row r="411" spans="1:34" x14ac:dyDescent="0.2">
      <c r="A411" t="s">
        <v>3916</v>
      </c>
      <c r="B411" t="s">
        <v>2180</v>
      </c>
      <c r="C411" t="s">
        <v>2871</v>
      </c>
      <c r="D411" s="7" t="s">
        <v>144</v>
      </c>
      <c r="E411" t="s">
        <v>38</v>
      </c>
      <c r="F411">
        <v>26</v>
      </c>
      <c r="G411">
        <v>68</v>
      </c>
      <c r="H411">
        <v>79</v>
      </c>
      <c r="I411" t="s">
        <v>6316</v>
      </c>
      <c r="J411">
        <v>74</v>
      </c>
      <c r="K411">
        <v>261</v>
      </c>
      <c r="L411" t="s">
        <v>5610</v>
      </c>
      <c r="M411" s="6" t="s">
        <v>6558</v>
      </c>
      <c r="N411" s="6" t="s">
        <v>6583</v>
      </c>
      <c r="O411" s="6">
        <v>78</v>
      </c>
      <c r="P411" s="6">
        <v>73</v>
      </c>
      <c r="Q411" s="6">
        <v>68</v>
      </c>
      <c r="R411" s="6">
        <v>76</v>
      </c>
      <c r="S411" s="6">
        <v>77</v>
      </c>
      <c r="T411" s="6">
        <v>75</v>
      </c>
      <c r="U411" s="6">
        <v>72</v>
      </c>
      <c r="V411" s="6">
        <v>73</v>
      </c>
      <c r="W411" s="6">
        <v>69</v>
      </c>
      <c r="X411" s="6">
        <v>73</v>
      </c>
      <c r="Y411" s="6">
        <v>74</v>
      </c>
      <c r="Z411" s="6">
        <v>79</v>
      </c>
      <c r="AA411" s="6">
        <v>70</v>
      </c>
      <c r="AB411" s="6">
        <v>67</v>
      </c>
      <c r="AC411" s="6">
        <v>72</v>
      </c>
      <c r="AD411" s="6">
        <v>66</v>
      </c>
      <c r="AE411" s="6">
        <v>70</v>
      </c>
      <c r="AF411" s="6">
        <v>68</v>
      </c>
      <c r="AG411" s="6" t="s">
        <v>7650</v>
      </c>
      <c r="AH411" s="6" t="s">
        <v>6587</v>
      </c>
    </row>
    <row r="412" spans="1:34" x14ac:dyDescent="0.2">
      <c r="A412" t="s">
        <v>3930</v>
      </c>
      <c r="B412" t="s">
        <v>2194</v>
      </c>
      <c r="C412" t="s">
        <v>2878</v>
      </c>
      <c r="D412" s="7" t="s">
        <v>144</v>
      </c>
      <c r="E412" t="s">
        <v>38</v>
      </c>
      <c r="F412">
        <v>23</v>
      </c>
      <c r="G412">
        <v>71</v>
      </c>
      <c r="H412">
        <v>79</v>
      </c>
      <c r="I412" t="s">
        <v>6413</v>
      </c>
      <c r="J412">
        <v>75</v>
      </c>
      <c r="K412">
        <v>290</v>
      </c>
      <c r="L412" t="s">
        <v>5624</v>
      </c>
      <c r="M412" s="6" t="s">
        <v>6603</v>
      </c>
      <c r="N412" s="6" t="s">
        <v>6565</v>
      </c>
      <c r="O412" s="6">
        <v>63</v>
      </c>
      <c r="P412" s="6">
        <v>69</v>
      </c>
      <c r="Q412" s="6">
        <v>63</v>
      </c>
      <c r="R412" s="6">
        <v>72</v>
      </c>
      <c r="S412" s="6">
        <v>75</v>
      </c>
      <c r="T412" s="6">
        <v>60</v>
      </c>
      <c r="U412" s="6">
        <v>57</v>
      </c>
      <c r="V412" s="6">
        <v>79</v>
      </c>
      <c r="W412" s="6">
        <v>76</v>
      </c>
      <c r="X412" s="6">
        <v>65</v>
      </c>
      <c r="Y412" s="6">
        <v>72</v>
      </c>
      <c r="Z412" s="6">
        <v>75</v>
      </c>
      <c r="AA412" s="6">
        <v>74</v>
      </c>
      <c r="AB412" s="6">
        <v>65</v>
      </c>
      <c r="AC412" s="6">
        <v>73</v>
      </c>
      <c r="AD412" s="6">
        <v>69</v>
      </c>
      <c r="AE412" s="6">
        <v>70</v>
      </c>
      <c r="AF412" s="6">
        <v>74</v>
      </c>
      <c r="AG412" s="6" t="s">
        <v>7664</v>
      </c>
      <c r="AH412" s="6" t="s">
        <v>6682</v>
      </c>
    </row>
    <row r="413" spans="1:34" x14ac:dyDescent="0.2">
      <c r="A413" t="s">
        <v>3960</v>
      </c>
      <c r="B413" t="s">
        <v>2224</v>
      </c>
      <c r="C413" t="s">
        <v>53</v>
      </c>
      <c r="D413" s="7" t="s">
        <v>149</v>
      </c>
      <c r="E413" t="s">
        <v>58</v>
      </c>
      <c r="F413">
        <v>26</v>
      </c>
      <c r="G413">
        <v>74</v>
      </c>
      <c r="H413">
        <v>79</v>
      </c>
      <c r="I413" t="s">
        <v>6307</v>
      </c>
      <c r="J413">
        <v>74</v>
      </c>
      <c r="K413">
        <v>223</v>
      </c>
      <c r="L413" t="s">
        <v>5654</v>
      </c>
      <c r="M413" s="6" t="s">
        <v>6558</v>
      </c>
      <c r="N413" s="6" t="s">
        <v>6565</v>
      </c>
      <c r="O413" s="6">
        <v>74</v>
      </c>
      <c r="P413" s="6">
        <v>75</v>
      </c>
      <c r="Q413" s="6">
        <v>79</v>
      </c>
      <c r="R413" s="6">
        <v>71</v>
      </c>
      <c r="S413" s="6">
        <v>75</v>
      </c>
      <c r="T413" s="6">
        <v>76</v>
      </c>
      <c r="U413" s="6">
        <v>65</v>
      </c>
      <c r="V413" s="6">
        <v>78</v>
      </c>
      <c r="W413" s="6">
        <v>88</v>
      </c>
      <c r="X413" s="6">
        <v>75</v>
      </c>
      <c r="Y413" s="6">
        <v>82</v>
      </c>
      <c r="Z413" s="6">
        <v>77</v>
      </c>
      <c r="AA413" s="6">
        <v>76</v>
      </c>
      <c r="AB413" s="6">
        <v>70</v>
      </c>
      <c r="AC413" s="6">
        <v>80</v>
      </c>
      <c r="AD413" s="6">
        <v>76</v>
      </c>
      <c r="AE413" s="6">
        <v>67</v>
      </c>
      <c r="AF413" s="6">
        <v>73</v>
      </c>
      <c r="AG413" s="6" t="s">
        <v>7693</v>
      </c>
      <c r="AH413" s="6" t="s">
        <v>7149</v>
      </c>
    </row>
    <row r="414" spans="1:34" x14ac:dyDescent="0.2">
      <c r="A414" t="s">
        <v>3963</v>
      </c>
      <c r="B414" t="s">
        <v>2227</v>
      </c>
      <c r="C414" t="s">
        <v>2870</v>
      </c>
      <c r="D414" s="7" t="s">
        <v>149</v>
      </c>
      <c r="E414" t="s">
        <v>38</v>
      </c>
      <c r="F414">
        <v>29</v>
      </c>
      <c r="G414">
        <v>82</v>
      </c>
      <c r="H414">
        <v>79</v>
      </c>
      <c r="I414" t="s">
        <v>6381</v>
      </c>
      <c r="J414">
        <v>71</v>
      </c>
      <c r="K414">
        <v>211</v>
      </c>
      <c r="L414" t="s">
        <v>5657</v>
      </c>
      <c r="M414" s="6" t="s">
        <v>6558</v>
      </c>
      <c r="N414" s="6" t="s">
        <v>6567</v>
      </c>
      <c r="O414" s="6">
        <v>85</v>
      </c>
      <c r="P414" s="6">
        <v>71</v>
      </c>
      <c r="Q414" s="6">
        <v>74</v>
      </c>
      <c r="R414" s="6">
        <v>69</v>
      </c>
      <c r="S414" s="6">
        <v>81</v>
      </c>
      <c r="T414" s="6">
        <v>81</v>
      </c>
      <c r="U414" s="6">
        <v>84</v>
      </c>
      <c r="V414" s="6">
        <v>73</v>
      </c>
      <c r="W414" s="6">
        <v>75</v>
      </c>
      <c r="X414" s="6">
        <v>84</v>
      </c>
      <c r="Y414" s="6">
        <v>75</v>
      </c>
      <c r="Z414" s="6">
        <v>83</v>
      </c>
      <c r="AA414" s="6">
        <v>76</v>
      </c>
      <c r="AB414" s="6">
        <v>75</v>
      </c>
      <c r="AC414" s="6">
        <v>73</v>
      </c>
      <c r="AD414" s="6">
        <v>76</v>
      </c>
      <c r="AE414" s="6">
        <v>77</v>
      </c>
      <c r="AF414" s="6">
        <v>76</v>
      </c>
      <c r="AG414" s="6" t="s">
        <v>7696</v>
      </c>
      <c r="AH414" s="6" t="s">
        <v>6656</v>
      </c>
    </row>
    <row r="415" spans="1:34" x14ac:dyDescent="0.2">
      <c r="A415" t="s">
        <v>3975</v>
      </c>
      <c r="B415" t="s">
        <v>2239</v>
      </c>
      <c r="C415" t="s">
        <v>2871</v>
      </c>
      <c r="D415" s="7" t="s">
        <v>149</v>
      </c>
      <c r="E415" t="s">
        <v>38</v>
      </c>
      <c r="F415">
        <v>23</v>
      </c>
      <c r="G415">
        <v>71</v>
      </c>
      <c r="H415">
        <v>79</v>
      </c>
      <c r="I415" t="s">
        <v>6336</v>
      </c>
      <c r="J415">
        <v>78</v>
      </c>
      <c r="K415">
        <v>270</v>
      </c>
      <c r="L415" t="s">
        <v>5669</v>
      </c>
      <c r="M415" s="6" t="s">
        <v>6558</v>
      </c>
      <c r="N415" s="6" t="s">
        <v>6583</v>
      </c>
      <c r="O415" s="6">
        <v>83</v>
      </c>
      <c r="P415" s="6">
        <v>73</v>
      </c>
      <c r="Q415" s="6">
        <v>70</v>
      </c>
      <c r="R415" s="6">
        <v>76</v>
      </c>
      <c r="S415" s="6">
        <v>75</v>
      </c>
      <c r="T415" s="6">
        <v>71</v>
      </c>
      <c r="U415" s="6">
        <v>79</v>
      </c>
      <c r="V415" s="6">
        <v>75</v>
      </c>
      <c r="W415" s="6">
        <v>67</v>
      </c>
      <c r="X415" s="6">
        <v>69</v>
      </c>
      <c r="Y415" s="6">
        <v>74</v>
      </c>
      <c r="Z415" s="6">
        <v>72</v>
      </c>
      <c r="AA415" s="6">
        <v>76</v>
      </c>
      <c r="AB415" s="6">
        <v>72</v>
      </c>
      <c r="AC415" s="6">
        <v>82</v>
      </c>
      <c r="AD415" s="6">
        <v>71</v>
      </c>
      <c r="AE415" s="6">
        <v>69</v>
      </c>
      <c r="AF415" s="6">
        <v>74</v>
      </c>
      <c r="AG415" s="6" t="s">
        <v>7708</v>
      </c>
      <c r="AH415" s="6" t="s">
        <v>6737</v>
      </c>
    </row>
    <row r="416" spans="1:34" x14ac:dyDescent="0.2">
      <c r="A416" t="s">
        <v>3985</v>
      </c>
      <c r="B416" t="s">
        <v>2249</v>
      </c>
      <c r="C416" t="s">
        <v>2874</v>
      </c>
      <c r="D416" s="7" t="s">
        <v>149</v>
      </c>
      <c r="E416" t="s">
        <v>58</v>
      </c>
      <c r="F416">
        <v>31</v>
      </c>
      <c r="G416">
        <v>60</v>
      </c>
      <c r="H416">
        <v>79</v>
      </c>
      <c r="I416" t="s">
        <v>6395</v>
      </c>
      <c r="J416">
        <v>74</v>
      </c>
      <c r="K416">
        <v>312</v>
      </c>
      <c r="L416" t="s">
        <v>5679</v>
      </c>
      <c r="M416" s="6" t="s">
        <v>6558</v>
      </c>
      <c r="N416" s="6" t="s">
        <v>6565</v>
      </c>
      <c r="O416" s="6">
        <v>71</v>
      </c>
      <c r="P416" s="6">
        <v>56</v>
      </c>
      <c r="Q416" s="6">
        <v>73</v>
      </c>
      <c r="R416" s="6">
        <v>74</v>
      </c>
      <c r="S416" s="6">
        <v>68</v>
      </c>
      <c r="T416" s="6">
        <v>76</v>
      </c>
      <c r="U416" s="6">
        <v>68</v>
      </c>
      <c r="V416" s="6">
        <v>68</v>
      </c>
      <c r="W416" s="6">
        <v>70</v>
      </c>
      <c r="X416" s="6">
        <v>77</v>
      </c>
      <c r="Y416" s="6">
        <v>75</v>
      </c>
      <c r="Z416" s="6">
        <v>72</v>
      </c>
      <c r="AA416" s="6">
        <v>58</v>
      </c>
      <c r="AB416" s="6">
        <v>62</v>
      </c>
      <c r="AC416" s="6">
        <v>58</v>
      </c>
      <c r="AD416" s="6">
        <v>67</v>
      </c>
      <c r="AE416" s="6">
        <v>59</v>
      </c>
      <c r="AF416" s="6">
        <v>61</v>
      </c>
      <c r="AG416" s="6" t="s">
        <v>7718</v>
      </c>
      <c r="AH416" s="6" t="s">
        <v>6674</v>
      </c>
    </row>
    <row r="417" spans="1:34" x14ac:dyDescent="0.2">
      <c r="A417" t="s">
        <v>4022</v>
      </c>
      <c r="B417" t="s">
        <v>2286</v>
      </c>
      <c r="C417" t="s">
        <v>53</v>
      </c>
      <c r="D417" s="7" t="s">
        <v>22</v>
      </c>
      <c r="E417" t="s">
        <v>38</v>
      </c>
      <c r="F417">
        <v>22</v>
      </c>
      <c r="G417">
        <v>70</v>
      </c>
      <c r="H417">
        <v>79</v>
      </c>
      <c r="I417" t="s">
        <v>6374</v>
      </c>
      <c r="J417">
        <v>74</v>
      </c>
      <c r="K417">
        <v>233</v>
      </c>
      <c r="L417" t="s">
        <v>5716</v>
      </c>
      <c r="M417" s="6" t="s">
        <v>6558</v>
      </c>
      <c r="N417" s="6" t="s">
        <v>6565</v>
      </c>
      <c r="O417" s="6">
        <v>77</v>
      </c>
      <c r="P417" s="6">
        <v>68</v>
      </c>
      <c r="Q417" s="6">
        <v>67</v>
      </c>
      <c r="R417" s="6">
        <v>70</v>
      </c>
      <c r="S417" s="6">
        <v>69</v>
      </c>
      <c r="T417" s="6">
        <v>53</v>
      </c>
      <c r="U417" s="6">
        <v>67</v>
      </c>
      <c r="V417" s="6">
        <v>65</v>
      </c>
      <c r="W417" s="6">
        <v>73</v>
      </c>
      <c r="X417" s="6">
        <v>64</v>
      </c>
      <c r="Y417" s="6">
        <v>71</v>
      </c>
      <c r="Z417" s="6">
        <v>63</v>
      </c>
      <c r="AA417" s="6">
        <v>68</v>
      </c>
      <c r="AB417" s="6">
        <v>71</v>
      </c>
      <c r="AC417" s="6">
        <v>63</v>
      </c>
      <c r="AD417" s="6">
        <v>67</v>
      </c>
      <c r="AE417" s="6">
        <v>64</v>
      </c>
      <c r="AF417" s="6">
        <v>69</v>
      </c>
      <c r="AG417" s="6" t="s">
        <v>7754</v>
      </c>
      <c r="AH417" s="6" t="s">
        <v>6570</v>
      </c>
    </row>
    <row r="418" spans="1:34" x14ac:dyDescent="0.2">
      <c r="A418" t="s">
        <v>4032</v>
      </c>
      <c r="B418" t="s">
        <v>2296</v>
      </c>
      <c r="C418" t="s">
        <v>2871</v>
      </c>
      <c r="D418" s="7" t="s">
        <v>22</v>
      </c>
      <c r="E418" t="s">
        <v>38</v>
      </c>
      <c r="F418">
        <v>29</v>
      </c>
      <c r="G418">
        <v>81</v>
      </c>
      <c r="H418">
        <v>79</v>
      </c>
      <c r="I418" t="s">
        <v>6316</v>
      </c>
      <c r="J418">
        <v>77</v>
      </c>
      <c r="K418">
        <v>261</v>
      </c>
      <c r="L418" t="s">
        <v>5726</v>
      </c>
      <c r="M418" s="6" t="s">
        <v>6558</v>
      </c>
      <c r="N418" s="6" t="s">
        <v>6562</v>
      </c>
      <c r="O418" s="6">
        <v>82</v>
      </c>
      <c r="P418" s="6">
        <v>67</v>
      </c>
      <c r="Q418" s="6">
        <v>75</v>
      </c>
      <c r="R418" s="6">
        <v>85</v>
      </c>
      <c r="S418" s="6">
        <v>71</v>
      </c>
      <c r="T418" s="6">
        <v>75</v>
      </c>
      <c r="U418" s="6">
        <v>75</v>
      </c>
      <c r="V418" s="6">
        <v>77</v>
      </c>
      <c r="W418" s="6">
        <v>70</v>
      </c>
      <c r="X418" s="6">
        <v>83</v>
      </c>
      <c r="Y418" s="6">
        <v>84</v>
      </c>
      <c r="Z418" s="6">
        <v>83</v>
      </c>
      <c r="AA418" s="6">
        <v>72</v>
      </c>
      <c r="AB418" s="6">
        <v>75</v>
      </c>
      <c r="AC418" s="6">
        <v>73</v>
      </c>
      <c r="AD418" s="6">
        <v>72</v>
      </c>
      <c r="AE418" s="6">
        <v>73</v>
      </c>
      <c r="AF418" s="6">
        <v>76</v>
      </c>
      <c r="AG418" s="6" t="s">
        <v>7764</v>
      </c>
      <c r="AH418" s="6" t="s">
        <v>6838</v>
      </c>
    </row>
    <row r="419" spans="1:34" x14ac:dyDescent="0.2">
      <c r="A419" t="s">
        <v>4042</v>
      </c>
      <c r="B419" t="s">
        <v>2306</v>
      </c>
      <c r="C419" t="s">
        <v>2875</v>
      </c>
      <c r="D419" s="7" t="s">
        <v>22</v>
      </c>
      <c r="E419" t="s">
        <v>58</v>
      </c>
      <c r="F419">
        <v>33</v>
      </c>
      <c r="G419">
        <v>60</v>
      </c>
      <c r="H419">
        <v>79</v>
      </c>
      <c r="I419" t="s">
        <v>6385</v>
      </c>
      <c r="J419">
        <v>74</v>
      </c>
      <c r="K419">
        <v>303</v>
      </c>
      <c r="L419" t="s">
        <v>5736</v>
      </c>
      <c r="M419" s="6" t="s">
        <v>6558</v>
      </c>
      <c r="N419" s="6" t="s">
        <v>6583</v>
      </c>
      <c r="O419" s="6">
        <v>82</v>
      </c>
      <c r="P419" s="6">
        <v>77</v>
      </c>
      <c r="Q419" s="6">
        <v>75</v>
      </c>
      <c r="R419" s="6">
        <v>76</v>
      </c>
      <c r="S419" s="6">
        <v>77</v>
      </c>
      <c r="T419" s="6">
        <v>70</v>
      </c>
      <c r="U419" s="6">
        <v>84</v>
      </c>
      <c r="V419" s="6">
        <v>79</v>
      </c>
      <c r="W419" s="6">
        <v>63</v>
      </c>
      <c r="X419" s="6">
        <v>62</v>
      </c>
      <c r="Y419" s="6">
        <v>75</v>
      </c>
      <c r="Z419" s="6">
        <v>78</v>
      </c>
      <c r="AA419" s="6">
        <v>64</v>
      </c>
      <c r="AB419" s="6">
        <v>66</v>
      </c>
      <c r="AC419" s="6">
        <v>55</v>
      </c>
      <c r="AD419" s="6">
        <v>63</v>
      </c>
      <c r="AE419" s="6">
        <v>66</v>
      </c>
      <c r="AF419" s="6">
        <v>62</v>
      </c>
      <c r="AG419" s="6" t="s">
        <v>7774</v>
      </c>
      <c r="AH419" s="6" t="s">
        <v>6743</v>
      </c>
    </row>
    <row r="420" spans="1:34" x14ac:dyDescent="0.2">
      <c r="A420" t="s">
        <v>4045</v>
      </c>
      <c r="B420" t="s">
        <v>2309</v>
      </c>
      <c r="C420" t="s">
        <v>2877</v>
      </c>
      <c r="D420" s="7" t="s">
        <v>22</v>
      </c>
      <c r="E420" t="s">
        <v>38</v>
      </c>
      <c r="F420">
        <v>28</v>
      </c>
      <c r="G420">
        <v>85</v>
      </c>
      <c r="H420">
        <v>79</v>
      </c>
      <c r="I420" t="s">
        <v>54</v>
      </c>
      <c r="J420">
        <v>78</v>
      </c>
      <c r="K420">
        <v>309</v>
      </c>
      <c r="L420" t="s">
        <v>5739</v>
      </c>
      <c r="M420" s="6" t="s">
        <v>6558</v>
      </c>
      <c r="N420" s="6" t="s">
        <v>6583</v>
      </c>
      <c r="O420" s="6">
        <v>87</v>
      </c>
      <c r="P420" s="6">
        <v>76</v>
      </c>
      <c r="Q420" s="6">
        <v>72</v>
      </c>
      <c r="R420" s="6">
        <v>80</v>
      </c>
      <c r="S420" s="6">
        <v>79</v>
      </c>
      <c r="T420" s="6">
        <v>78</v>
      </c>
      <c r="U420" s="6">
        <v>72</v>
      </c>
      <c r="V420" s="6">
        <v>84</v>
      </c>
      <c r="W420" s="6">
        <v>82</v>
      </c>
      <c r="X420" s="6">
        <v>85</v>
      </c>
      <c r="Y420" s="6">
        <v>83</v>
      </c>
      <c r="Z420" s="6">
        <v>85</v>
      </c>
      <c r="AA420" s="6">
        <v>75</v>
      </c>
      <c r="AB420" s="6">
        <v>82</v>
      </c>
      <c r="AC420" s="6">
        <v>74</v>
      </c>
      <c r="AD420" s="6">
        <v>83</v>
      </c>
      <c r="AE420" s="6">
        <v>77</v>
      </c>
      <c r="AF420" s="6">
        <v>84</v>
      </c>
      <c r="AG420" s="6" t="s">
        <v>7777</v>
      </c>
      <c r="AH420" s="6" t="s">
        <v>6694</v>
      </c>
    </row>
    <row r="421" spans="1:34" x14ac:dyDescent="0.2">
      <c r="A421" t="s">
        <v>4051</v>
      </c>
      <c r="B421" t="s">
        <v>2315</v>
      </c>
      <c r="C421" t="s">
        <v>2879</v>
      </c>
      <c r="D421" s="7" t="s">
        <v>22</v>
      </c>
      <c r="E421" t="s">
        <v>38</v>
      </c>
      <c r="F421">
        <v>23</v>
      </c>
      <c r="G421">
        <v>75</v>
      </c>
      <c r="H421">
        <v>79</v>
      </c>
      <c r="I421" t="s">
        <v>6395</v>
      </c>
      <c r="J421">
        <v>73</v>
      </c>
      <c r="K421">
        <v>300</v>
      </c>
      <c r="L421" t="s">
        <v>5745</v>
      </c>
      <c r="M421" s="6" t="s">
        <v>6558</v>
      </c>
      <c r="N421" s="6" t="s">
        <v>6567</v>
      </c>
      <c r="O421" s="6">
        <v>62</v>
      </c>
      <c r="P421" s="6">
        <v>66</v>
      </c>
      <c r="Q421" s="6">
        <v>70</v>
      </c>
      <c r="R421" s="6">
        <v>69</v>
      </c>
      <c r="S421" s="6">
        <v>78</v>
      </c>
      <c r="T421" s="6">
        <v>70</v>
      </c>
      <c r="U421" s="6">
        <v>80</v>
      </c>
      <c r="V421" s="6">
        <v>67</v>
      </c>
      <c r="W421" s="6">
        <v>76</v>
      </c>
      <c r="X421" s="6">
        <v>61</v>
      </c>
      <c r="Y421" s="6">
        <v>67</v>
      </c>
      <c r="Z421" s="6">
        <v>72</v>
      </c>
      <c r="AA421" s="6">
        <v>67</v>
      </c>
      <c r="AB421" s="6">
        <v>72</v>
      </c>
      <c r="AC421" s="6">
        <v>74</v>
      </c>
      <c r="AD421" s="6">
        <v>69</v>
      </c>
      <c r="AE421" s="6">
        <v>69</v>
      </c>
      <c r="AF421" s="6">
        <v>70</v>
      </c>
      <c r="AG421" s="6" t="s">
        <v>7783</v>
      </c>
      <c r="AH421" s="6" t="s">
        <v>6617</v>
      </c>
    </row>
    <row r="422" spans="1:34" x14ac:dyDescent="0.2">
      <c r="A422" t="s">
        <v>4109</v>
      </c>
      <c r="B422" t="s">
        <v>2373</v>
      </c>
      <c r="C422" t="s">
        <v>2880</v>
      </c>
      <c r="D422" s="7" t="s">
        <v>25</v>
      </c>
      <c r="E422" t="s">
        <v>58</v>
      </c>
      <c r="F422">
        <v>32</v>
      </c>
      <c r="G422">
        <v>80</v>
      </c>
      <c r="H422">
        <v>79</v>
      </c>
      <c r="I422" t="s">
        <v>6326</v>
      </c>
      <c r="J422">
        <v>74</v>
      </c>
      <c r="K422">
        <v>253</v>
      </c>
      <c r="L422" t="s">
        <v>5803</v>
      </c>
      <c r="M422" s="6" t="s">
        <v>6558</v>
      </c>
      <c r="N422" s="6" t="s">
        <v>6583</v>
      </c>
      <c r="O422" s="6">
        <v>79</v>
      </c>
      <c r="P422" s="6">
        <v>86</v>
      </c>
      <c r="Q422" s="6">
        <v>85</v>
      </c>
      <c r="R422" s="6">
        <v>80</v>
      </c>
      <c r="S422" s="6">
        <v>84</v>
      </c>
      <c r="T422" s="6">
        <v>84</v>
      </c>
      <c r="U422" s="6">
        <v>74</v>
      </c>
      <c r="V422" s="6">
        <v>85</v>
      </c>
      <c r="W422" s="6">
        <v>79</v>
      </c>
      <c r="X422" s="6">
        <v>81</v>
      </c>
      <c r="Y422" s="6">
        <v>73</v>
      </c>
      <c r="Z422" s="6">
        <v>72</v>
      </c>
      <c r="AA422" s="6">
        <v>74</v>
      </c>
      <c r="AB422" s="6">
        <v>65</v>
      </c>
      <c r="AC422" s="6">
        <v>69</v>
      </c>
      <c r="AD422" s="6">
        <v>73</v>
      </c>
      <c r="AE422" s="6">
        <v>67</v>
      </c>
      <c r="AF422" s="6">
        <v>76</v>
      </c>
      <c r="AG422" s="6" t="s">
        <v>7841</v>
      </c>
      <c r="AH422" s="6" t="s">
        <v>6623</v>
      </c>
    </row>
    <row r="423" spans="1:34" x14ac:dyDescent="0.2">
      <c r="A423" t="s">
        <v>4141</v>
      </c>
      <c r="B423" t="s">
        <v>2405</v>
      </c>
      <c r="C423" t="s">
        <v>2872</v>
      </c>
      <c r="D423" s="7" t="s">
        <v>150</v>
      </c>
      <c r="E423" t="s">
        <v>38</v>
      </c>
      <c r="F423">
        <v>26</v>
      </c>
      <c r="G423">
        <v>83</v>
      </c>
      <c r="H423">
        <v>79</v>
      </c>
      <c r="I423" t="s">
        <v>6369</v>
      </c>
      <c r="J423">
        <v>77</v>
      </c>
      <c r="K423">
        <v>306</v>
      </c>
      <c r="L423" t="s">
        <v>5835</v>
      </c>
      <c r="M423" s="6" t="s">
        <v>6558</v>
      </c>
      <c r="N423" s="6" t="s">
        <v>6565</v>
      </c>
      <c r="O423" s="6">
        <v>75</v>
      </c>
      <c r="P423" s="6">
        <v>77</v>
      </c>
      <c r="Q423" s="6">
        <v>76</v>
      </c>
      <c r="R423" s="6">
        <v>75</v>
      </c>
      <c r="S423" s="6">
        <v>78</v>
      </c>
      <c r="T423" s="6">
        <v>76</v>
      </c>
      <c r="U423" s="6">
        <v>76</v>
      </c>
      <c r="V423" s="6">
        <v>80</v>
      </c>
      <c r="W423" s="6">
        <v>69</v>
      </c>
      <c r="X423" s="6">
        <v>77</v>
      </c>
      <c r="Y423" s="6">
        <v>78</v>
      </c>
      <c r="Z423" s="6">
        <v>80</v>
      </c>
      <c r="AA423" s="6">
        <v>77</v>
      </c>
      <c r="AB423" s="6">
        <v>70</v>
      </c>
      <c r="AC423" s="6">
        <v>66</v>
      </c>
      <c r="AD423" s="6">
        <v>71</v>
      </c>
      <c r="AE423" s="6">
        <v>80</v>
      </c>
      <c r="AF423" s="6">
        <v>78</v>
      </c>
      <c r="AG423" s="6" t="s">
        <v>7872</v>
      </c>
      <c r="AH423" s="6" t="s">
        <v>6610</v>
      </c>
    </row>
    <row r="424" spans="1:34" x14ac:dyDescent="0.2">
      <c r="A424" t="s">
        <v>4156</v>
      </c>
      <c r="B424" t="s">
        <v>2420</v>
      </c>
      <c r="C424" t="s">
        <v>2878</v>
      </c>
      <c r="D424" s="7" t="s">
        <v>150</v>
      </c>
      <c r="E424" t="s">
        <v>58</v>
      </c>
      <c r="F424">
        <v>30</v>
      </c>
      <c r="G424">
        <v>70</v>
      </c>
      <c r="H424">
        <v>79</v>
      </c>
      <c r="I424" t="s">
        <v>6420</v>
      </c>
      <c r="J424">
        <v>79</v>
      </c>
      <c r="K424">
        <v>275</v>
      </c>
      <c r="L424" t="s">
        <v>5850</v>
      </c>
      <c r="M424" s="6" t="s">
        <v>6558</v>
      </c>
      <c r="N424" s="6" t="s">
        <v>6614</v>
      </c>
      <c r="O424" s="6">
        <v>73</v>
      </c>
      <c r="P424" s="6">
        <v>75</v>
      </c>
      <c r="Q424" s="6">
        <v>68</v>
      </c>
      <c r="R424" s="6">
        <v>57</v>
      </c>
      <c r="S424" s="6">
        <v>77</v>
      </c>
      <c r="T424" s="6">
        <v>73</v>
      </c>
      <c r="U424" s="6">
        <v>74</v>
      </c>
      <c r="V424" s="6">
        <v>71</v>
      </c>
      <c r="W424" s="6">
        <v>70</v>
      </c>
      <c r="X424" s="6">
        <v>85</v>
      </c>
      <c r="Y424" s="6">
        <v>76</v>
      </c>
      <c r="Z424" s="6">
        <v>81</v>
      </c>
      <c r="AA424" s="6">
        <v>64</v>
      </c>
      <c r="AB424" s="6">
        <v>70</v>
      </c>
      <c r="AC424" s="6">
        <v>72</v>
      </c>
      <c r="AD424" s="6">
        <v>66</v>
      </c>
      <c r="AE424" s="6">
        <v>61</v>
      </c>
      <c r="AF424" s="6">
        <v>76</v>
      </c>
      <c r="AG424" s="6" t="s">
        <v>7887</v>
      </c>
      <c r="AH424" s="6" t="s">
        <v>6686</v>
      </c>
    </row>
    <row r="425" spans="1:34" x14ac:dyDescent="0.2">
      <c r="A425" t="s">
        <v>4181</v>
      </c>
      <c r="B425" t="s">
        <v>2445</v>
      </c>
      <c r="C425" t="s">
        <v>2870</v>
      </c>
      <c r="D425" s="7" t="s">
        <v>151</v>
      </c>
      <c r="E425" t="s">
        <v>38</v>
      </c>
      <c r="F425">
        <v>23</v>
      </c>
      <c r="G425">
        <v>86</v>
      </c>
      <c r="H425">
        <v>79</v>
      </c>
      <c r="I425" t="s">
        <v>6492</v>
      </c>
      <c r="J425">
        <v>71</v>
      </c>
      <c r="K425">
        <v>209</v>
      </c>
      <c r="L425" t="s">
        <v>5875</v>
      </c>
      <c r="M425" s="6" t="s">
        <v>6558</v>
      </c>
      <c r="N425" s="6" t="s">
        <v>6567</v>
      </c>
      <c r="O425" s="6">
        <v>70</v>
      </c>
      <c r="P425" s="6">
        <v>73</v>
      </c>
      <c r="Q425" s="6">
        <v>85</v>
      </c>
      <c r="R425" s="6">
        <v>65</v>
      </c>
      <c r="S425" s="6">
        <v>72</v>
      </c>
      <c r="T425" s="6">
        <v>71</v>
      </c>
      <c r="U425" s="6">
        <v>81</v>
      </c>
      <c r="V425" s="6">
        <v>74</v>
      </c>
      <c r="W425" s="6">
        <v>76</v>
      </c>
      <c r="X425" s="6">
        <v>64</v>
      </c>
      <c r="Y425" s="6">
        <v>79</v>
      </c>
      <c r="Z425" s="6">
        <v>74</v>
      </c>
      <c r="AA425" s="6">
        <v>73</v>
      </c>
      <c r="AB425" s="6">
        <v>77</v>
      </c>
      <c r="AC425" s="6">
        <v>74</v>
      </c>
      <c r="AD425" s="6">
        <v>76</v>
      </c>
      <c r="AE425" s="6">
        <v>76</v>
      </c>
      <c r="AF425" s="6">
        <v>78</v>
      </c>
      <c r="AG425" s="6" t="s">
        <v>7912</v>
      </c>
      <c r="AH425" s="6" t="s">
        <v>6725</v>
      </c>
    </row>
    <row r="426" spans="1:34" x14ac:dyDescent="0.2">
      <c r="A426" t="s">
        <v>4238</v>
      </c>
      <c r="B426" t="s">
        <v>2502</v>
      </c>
      <c r="C426" t="s">
        <v>2870</v>
      </c>
      <c r="D426" s="7" t="s">
        <v>152</v>
      </c>
      <c r="E426" t="s">
        <v>38</v>
      </c>
      <c r="F426">
        <v>22</v>
      </c>
      <c r="G426">
        <v>71</v>
      </c>
      <c r="H426">
        <v>79</v>
      </c>
      <c r="I426" t="s">
        <v>8334</v>
      </c>
      <c r="J426">
        <v>71</v>
      </c>
      <c r="K426">
        <v>210</v>
      </c>
      <c r="L426" t="s">
        <v>5932</v>
      </c>
      <c r="M426" s="6" t="s">
        <v>6558</v>
      </c>
      <c r="N426" s="6" t="s">
        <v>6567</v>
      </c>
      <c r="O426" s="6">
        <v>70</v>
      </c>
      <c r="P426" s="6">
        <v>70</v>
      </c>
      <c r="Q426" s="6">
        <v>68</v>
      </c>
      <c r="R426" s="6">
        <v>64</v>
      </c>
      <c r="S426" s="6">
        <v>64</v>
      </c>
      <c r="T426" s="6">
        <v>66</v>
      </c>
      <c r="U426" s="6">
        <v>72</v>
      </c>
      <c r="V426" s="6">
        <v>62</v>
      </c>
      <c r="W426" s="6">
        <v>72</v>
      </c>
      <c r="X426" s="6">
        <v>71</v>
      </c>
      <c r="Y426" s="6">
        <v>64</v>
      </c>
      <c r="Z426" s="6">
        <v>62</v>
      </c>
      <c r="AA426" s="6">
        <v>67</v>
      </c>
      <c r="AB426" s="6">
        <v>75</v>
      </c>
      <c r="AC426" s="6">
        <v>70</v>
      </c>
      <c r="AD426" s="6">
        <v>73</v>
      </c>
      <c r="AE426" s="6">
        <v>69</v>
      </c>
      <c r="AF426" s="6">
        <v>71</v>
      </c>
      <c r="AG426" s="6" t="s">
        <v>6886</v>
      </c>
      <c r="AH426" s="6" t="s">
        <v>6885</v>
      </c>
    </row>
    <row r="427" spans="1:34" x14ac:dyDescent="0.2">
      <c r="A427" t="s">
        <v>4244</v>
      </c>
      <c r="B427" t="s">
        <v>2508</v>
      </c>
      <c r="C427" t="s">
        <v>57</v>
      </c>
      <c r="D427" s="7" t="s">
        <v>152</v>
      </c>
      <c r="E427" t="s">
        <v>58</v>
      </c>
      <c r="F427">
        <v>22</v>
      </c>
      <c r="G427">
        <v>69</v>
      </c>
      <c r="H427">
        <v>79</v>
      </c>
      <c r="I427" t="s">
        <v>6338</v>
      </c>
      <c r="J427">
        <v>73</v>
      </c>
      <c r="K427">
        <v>210</v>
      </c>
      <c r="L427" t="s">
        <v>5938</v>
      </c>
      <c r="M427" s="6" t="s">
        <v>6558</v>
      </c>
      <c r="N427" s="6" t="s">
        <v>6614</v>
      </c>
      <c r="O427" s="6">
        <v>74</v>
      </c>
      <c r="P427" s="6">
        <v>63</v>
      </c>
      <c r="Q427" s="6">
        <v>69</v>
      </c>
      <c r="R427" s="6">
        <v>51</v>
      </c>
      <c r="S427" s="6">
        <v>63</v>
      </c>
      <c r="T427" s="6">
        <v>66</v>
      </c>
      <c r="U427" s="6">
        <v>71</v>
      </c>
      <c r="V427" s="6">
        <v>78</v>
      </c>
      <c r="W427" s="6">
        <v>72</v>
      </c>
      <c r="X427" s="6">
        <v>71</v>
      </c>
      <c r="Y427" s="6">
        <v>72</v>
      </c>
      <c r="Z427" s="6">
        <v>65</v>
      </c>
      <c r="AA427" s="6">
        <v>67</v>
      </c>
      <c r="AB427" s="6">
        <v>71</v>
      </c>
      <c r="AC427" s="6">
        <v>63</v>
      </c>
      <c r="AD427" s="6">
        <v>68</v>
      </c>
      <c r="AE427" s="6">
        <v>58</v>
      </c>
      <c r="AF427" s="6">
        <v>69</v>
      </c>
      <c r="AG427" s="6" t="s">
        <v>7975</v>
      </c>
      <c r="AH427" s="6" t="s">
        <v>6576</v>
      </c>
    </row>
    <row r="428" spans="1:34" x14ac:dyDescent="0.2">
      <c r="A428" t="s">
        <v>4281</v>
      </c>
      <c r="B428" t="s">
        <v>2544</v>
      </c>
      <c r="C428" t="s">
        <v>2885</v>
      </c>
      <c r="D428" s="7" t="s">
        <v>152</v>
      </c>
      <c r="E428" t="s">
        <v>58</v>
      </c>
      <c r="F428">
        <v>30</v>
      </c>
      <c r="G428">
        <v>86</v>
      </c>
      <c r="H428">
        <v>79</v>
      </c>
      <c r="I428" t="s">
        <v>6463</v>
      </c>
      <c r="J428">
        <v>74</v>
      </c>
      <c r="K428">
        <v>255</v>
      </c>
      <c r="L428" t="s">
        <v>5975</v>
      </c>
      <c r="M428" s="6" t="s">
        <v>6558</v>
      </c>
      <c r="N428" s="6" t="s">
        <v>6565</v>
      </c>
      <c r="O428" s="6">
        <v>73</v>
      </c>
      <c r="P428" s="6">
        <v>72</v>
      </c>
      <c r="Q428" s="6">
        <v>81</v>
      </c>
      <c r="R428" s="6">
        <v>75</v>
      </c>
      <c r="S428" s="6">
        <v>76</v>
      </c>
      <c r="T428" s="6">
        <v>72</v>
      </c>
      <c r="U428" s="6">
        <v>80</v>
      </c>
      <c r="V428" s="6">
        <v>87</v>
      </c>
      <c r="W428" s="6">
        <v>68</v>
      </c>
      <c r="X428" s="6">
        <v>75</v>
      </c>
      <c r="Y428" s="6">
        <v>85</v>
      </c>
      <c r="Z428" s="6">
        <v>80</v>
      </c>
      <c r="AA428" s="6">
        <v>74</v>
      </c>
      <c r="AB428" s="6">
        <v>80</v>
      </c>
      <c r="AC428" s="6">
        <v>71</v>
      </c>
      <c r="AD428" s="6">
        <v>73</v>
      </c>
      <c r="AE428" s="6">
        <v>72</v>
      </c>
      <c r="AF428" s="6">
        <v>71</v>
      </c>
      <c r="AG428" s="6" t="s">
        <v>8011</v>
      </c>
      <c r="AH428" s="6" t="s">
        <v>6628</v>
      </c>
    </row>
    <row r="429" spans="1:34" x14ac:dyDescent="0.2">
      <c r="A429" t="s">
        <v>4287</v>
      </c>
      <c r="B429" t="s">
        <v>2550</v>
      </c>
      <c r="C429" t="s">
        <v>2890</v>
      </c>
      <c r="D429" s="7" t="s">
        <v>152</v>
      </c>
      <c r="E429" t="s">
        <v>58</v>
      </c>
      <c r="F429">
        <v>26</v>
      </c>
      <c r="G429">
        <v>81</v>
      </c>
      <c r="H429">
        <v>79</v>
      </c>
      <c r="I429" t="s">
        <v>62</v>
      </c>
      <c r="J429">
        <v>70</v>
      </c>
      <c r="K429">
        <v>189</v>
      </c>
      <c r="L429" t="s">
        <v>5981</v>
      </c>
      <c r="M429" s="6" t="s">
        <v>6558</v>
      </c>
      <c r="N429" s="6" t="s">
        <v>6565</v>
      </c>
      <c r="O429" s="6">
        <v>65</v>
      </c>
      <c r="P429" s="6">
        <v>69</v>
      </c>
      <c r="Q429" s="6">
        <v>70</v>
      </c>
      <c r="R429" s="6">
        <v>75</v>
      </c>
      <c r="S429" s="6">
        <v>64</v>
      </c>
      <c r="T429" s="6">
        <v>67</v>
      </c>
      <c r="U429" s="6">
        <v>77</v>
      </c>
      <c r="V429" s="6">
        <v>70</v>
      </c>
      <c r="W429" s="6">
        <v>80</v>
      </c>
      <c r="X429" s="6">
        <v>64</v>
      </c>
      <c r="Y429" s="6">
        <v>72</v>
      </c>
      <c r="Z429" s="6">
        <v>74</v>
      </c>
      <c r="AA429" s="6">
        <v>69</v>
      </c>
      <c r="AB429" s="6">
        <v>68</v>
      </c>
      <c r="AC429" s="6">
        <v>64</v>
      </c>
      <c r="AD429" s="6">
        <v>68</v>
      </c>
      <c r="AE429" s="6">
        <v>66</v>
      </c>
      <c r="AF429" s="6">
        <v>69</v>
      </c>
      <c r="AG429" s="6" t="s">
        <v>8016</v>
      </c>
      <c r="AH429" s="6" t="s">
        <v>6630</v>
      </c>
    </row>
    <row r="430" spans="1:34" x14ac:dyDescent="0.2">
      <c r="A430" t="s">
        <v>4296</v>
      </c>
      <c r="B430" t="s">
        <v>2559</v>
      </c>
      <c r="C430" t="s">
        <v>2870</v>
      </c>
      <c r="D430" s="7" t="s">
        <v>153</v>
      </c>
      <c r="E430" t="s">
        <v>38</v>
      </c>
      <c r="F430">
        <v>26</v>
      </c>
      <c r="G430">
        <v>65</v>
      </c>
      <c r="H430">
        <v>79</v>
      </c>
      <c r="I430" t="s">
        <v>6466</v>
      </c>
      <c r="J430">
        <v>69</v>
      </c>
      <c r="K430">
        <v>226</v>
      </c>
      <c r="L430" t="s">
        <v>5990</v>
      </c>
      <c r="M430" s="6" t="s">
        <v>6733</v>
      </c>
      <c r="N430" s="6" t="s">
        <v>6565</v>
      </c>
      <c r="O430" s="6">
        <v>69</v>
      </c>
      <c r="P430" s="6">
        <v>63</v>
      </c>
      <c r="Q430" s="6">
        <v>71</v>
      </c>
      <c r="R430" s="6">
        <v>73</v>
      </c>
      <c r="S430" s="6">
        <v>73</v>
      </c>
      <c r="T430" s="6">
        <v>66</v>
      </c>
      <c r="U430" s="6">
        <v>74</v>
      </c>
      <c r="V430" s="6">
        <v>68</v>
      </c>
      <c r="W430" s="6">
        <v>63</v>
      </c>
      <c r="X430" s="6">
        <v>62</v>
      </c>
      <c r="Y430" s="6">
        <v>69</v>
      </c>
      <c r="Z430" s="6">
        <v>56</v>
      </c>
      <c r="AA430" s="6">
        <v>67</v>
      </c>
      <c r="AB430" s="6">
        <v>67</v>
      </c>
      <c r="AC430" s="6">
        <v>67</v>
      </c>
      <c r="AD430" s="6">
        <v>72</v>
      </c>
      <c r="AE430" s="6">
        <v>67</v>
      </c>
      <c r="AF430" s="6">
        <v>72</v>
      </c>
      <c r="AG430" s="6" t="s">
        <v>8025</v>
      </c>
      <c r="AH430" s="6" t="s">
        <v>6725</v>
      </c>
    </row>
    <row r="431" spans="1:34" x14ac:dyDescent="0.2">
      <c r="A431" t="s">
        <v>4310</v>
      </c>
      <c r="B431" t="s">
        <v>2573</v>
      </c>
      <c r="C431" t="s">
        <v>2874</v>
      </c>
      <c r="D431" s="7" t="s">
        <v>153</v>
      </c>
      <c r="E431" t="s">
        <v>38</v>
      </c>
      <c r="F431">
        <v>25</v>
      </c>
      <c r="G431">
        <v>82</v>
      </c>
      <c r="H431">
        <v>79</v>
      </c>
      <c r="I431" t="s">
        <v>8333</v>
      </c>
      <c r="J431">
        <v>77</v>
      </c>
      <c r="K431">
        <v>321</v>
      </c>
      <c r="L431" t="s">
        <v>6004</v>
      </c>
      <c r="M431" s="6" t="s">
        <v>6603</v>
      </c>
      <c r="N431" s="6" t="s">
        <v>6567</v>
      </c>
      <c r="O431" s="6">
        <v>80</v>
      </c>
      <c r="P431" s="6">
        <v>74</v>
      </c>
      <c r="Q431" s="6">
        <v>69</v>
      </c>
      <c r="R431" s="6">
        <v>65</v>
      </c>
      <c r="S431" s="6">
        <v>78</v>
      </c>
      <c r="T431" s="6">
        <v>82</v>
      </c>
      <c r="U431" s="6">
        <v>54</v>
      </c>
      <c r="V431" s="6">
        <v>73</v>
      </c>
      <c r="W431" s="6">
        <v>61</v>
      </c>
      <c r="X431" s="6">
        <v>62</v>
      </c>
      <c r="Y431" s="6">
        <v>75</v>
      </c>
      <c r="Z431" s="6">
        <v>75</v>
      </c>
      <c r="AA431" s="6">
        <v>68</v>
      </c>
      <c r="AB431" s="6">
        <v>67</v>
      </c>
      <c r="AC431" s="6">
        <v>79</v>
      </c>
      <c r="AD431" s="6">
        <v>71</v>
      </c>
      <c r="AE431" s="6">
        <v>75</v>
      </c>
      <c r="AF431" s="6">
        <v>76</v>
      </c>
      <c r="AG431" s="6" t="s">
        <v>8039</v>
      </c>
      <c r="AH431" s="6" t="s">
        <v>6598</v>
      </c>
    </row>
    <row r="432" spans="1:34" x14ac:dyDescent="0.2">
      <c r="A432" t="s">
        <v>4327</v>
      </c>
      <c r="B432" t="s">
        <v>2590</v>
      </c>
      <c r="C432" t="s">
        <v>61</v>
      </c>
      <c r="D432" s="7" t="s">
        <v>153</v>
      </c>
      <c r="E432" t="s">
        <v>38</v>
      </c>
      <c r="F432">
        <v>26</v>
      </c>
      <c r="G432">
        <v>78</v>
      </c>
      <c r="H432">
        <v>79</v>
      </c>
      <c r="I432" t="s">
        <v>6303</v>
      </c>
      <c r="J432">
        <v>72</v>
      </c>
      <c r="K432">
        <v>197</v>
      </c>
      <c r="L432" t="s">
        <v>6021</v>
      </c>
      <c r="M432" s="6" t="s">
        <v>6558</v>
      </c>
      <c r="N432" s="6" t="s">
        <v>6567</v>
      </c>
      <c r="O432" s="6">
        <v>72</v>
      </c>
      <c r="P432" s="6">
        <v>80</v>
      </c>
      <c r="Q432" s="6">
        <v>76</v>
      </c>
      <c r="R432" s="6">
        <v>63</v>
      </c>
      <c r="S432" s="6">
        <v>83</v>
      </c>
      <c r="T432" s="6">
        <v>73</v>
      </c>
      <c r="U432" s="6">
        <v>78</v>
      </c>
      <c r="V432" s="6">
        <v>76</v>
      </c>
      <c r="W432" s="6">
        <v>76</v>
      </c>
      <c r="X432" s="6">
        <v>74</v>
      </c>
      <c r="Y432" s="6">
        <v>75</v>
      </c>
      <c r="Z432" s="6">
        <v>84</v>
      </c>
      <c r="AA432" s="6">
        <v>77</v>
      </c>
      <c r="AB432" s="6">
        <v>79</v>
      </c>
      <c r="AC432" s="6">
        <v>65</v>
      </c>
      <c r="AD432" s="6">
        <v>82</v>
      </c>
      <c r="AE432" s="6">
        <v>76</v>
      </c>
      <c r="AF432" s="6">
        <v>81</v>
      </c>
      <c r="AG432" s="6" t="s">
        <v>8056</v>
      </c>
      <c r="AH432" s="6" t="s">
        <v>6811</v>
      </c>
    </row>
    <row r="433" spans="1:34" x14ac:dyDescent="0.2">
      <c r="A433" t="s">
        <v>4342</v>
      </c>
      <c r="B433" t="s">
        <v>2605</v>
      </c>
      <c r="C433" t="s">
        <v>53</v>
      </c>
      <c r="D433" s="7" t="s">
        <v>156</v>
      </c>
      <c r="E433" t="s">
        <v>58</v>
      </c>
      <c r="F433">
        <v>34</v>
      </c>
      <c r="G433">
        <v>69</v>
      </c>
      <c r="H433">
        <v>79</v>
      </c>
      <c r="I433" t="s">
        <v>6459</v>
      </c>
      <c r="J433">
        <v>75</v>
      </c>
      <c r="K433">
        <v>222</v>
      </c>
      <c r="L433" t="s">
        <v>6036</v>
      </c>
      <c r="M433" s="6" t="s">
        <v>6558</v>
      </c>
      <c r="N433" s="6" t="s">
        <v>6565</v>
      </c>
      <c r="O433" s="6">
        <v>70</v>
      </c>
      <c r="P433" s="6">
        <v>74</v>
      </c>
      <c r="Q433" s="6">
        <v>73</v>
      </c>
      <c r="R433" s="6">
        <v>73</v>
      </c>
      <c r="S433" s="6">
        <v>72</v>
      </c>
      <c r="T433" s="6">
        <v>65</v>
      </c>
      <c r="U433" s="6">
        <v>79</v>
      </c>
      <c r="V433" s="6">
        <v>73</v>
      </c>
      <c r="W433" s="6">
        <v>77</v>
      </c>
      <c r="X433" s="6">
        <v>63</v>
      </c>
      <c r="Y433" s="6">
        <v>77</v>
      </c>
      <c r="Z433" s="6">
        <v>72</v>
      </c>
      <c r="AA433" s="6">
        <v>57</v>
      </c>
      <c r="AB433" s="6">
        <v>60</v>
      </c>
      <c r="AC433" s="6">
        <v>63</v>
      </c>
      <c r="AD433" s="6">
        <v>74</v>
      </c>
      <c r="AE433" s="6">
        <v>60</v>
      </c>
      <c r="AF433" s="6">
        <v>62</v>
      </c>
      <c r="AG433" s="6" t="s">
        <v>8070</v>
      </c>
      <c r="AH433" s="6" t="s">
        <v>6990</v>
      </c>
    </row>
    <row r="434" spans="1:34" x14ac:dyDescent="0.2">
      <c r="A434" t="s">
        <v>4346</v>
      </c>
      <c r="B434" t="s">
        <v>2609</v>
      </c>
      <c r="C434" t="s">
        <v>57</v>
      </c>
      <c r="D434" s="7" t="s">
        <v>156</v>
      </c>
      <c r="E434" t="s">
        <v>38</v>
      </c>
      <c r="F434">
        <v>29</v>
      </c>
      <c r="G434">
        <v>79</v>
      </c>
      <c r="H434">
        <v>79</v>
      </c>
      <c r="I434" t="s">
        <v>59</v>
      </c>
      <c r="J434">
        <v>75</v>
      </c>
      <c r="K434">
        <v>195</v>
      </c>
      <c r="L434" t="s">
        <v>6040</v>
      </c>
      <c r="M434" s="6" t="s">
        <v>6558</v>
      </c>
      <c r="N434" s="6" t="s">
        <v>6559</v>
      </c>
      <c r="O434" s="6">
        <v>87</v>
      </c>
      <c r="P434" s="6">
        <v>73</v>
      </c>
      <c r="Q434" s="6">
        <v>77</v>
      </c>
      <c r="R434" s="6">
        <v>84</v>
      </c>
      <c r="S434" s="6">
        <v>85</v>
      </c>
      <c r="T434" s="6">
        <v>78</v>
      </c>
      <c r="U434" s="6">
        <v>75</v>
      </c>
      <c r="V434" s="6">
        <v>67</v>
      </c>
      <c r="W434" s="6">
        <v>85</v>
      </c>
      <c r="X434" s="6">
        <v>84</v>
      </c>
      <c r="Y434" s="6">
        <v>74</v>
      </c>
      <c r="Z434" s="6">
        <v>85</v>
      </c>
      <c r="AA434" s="6">
        <v>73</v>
      </c>
      <c r="AB434" s="6">
        <v>77</v>
      </c>
      <c r="AC434" s="6">
        <v>72</v>
      </c>
      <c r="AD434" s="6">
        <v>73</v>
      </c>
      <c r="AE434" s="6">
        <v>76</v>
      </c>
      <c r="AF434" s="6">
        <v>67</v>
      </c>
      <c r="AG434" s="6" t="s">
        <v>8073</v>
      </c>
      <c r="AH434" s="6" t="s">
        <v>6664</v>
      </c>
    </row>
    <row r="435" spans="1:34" x14ac:dyDescent="0.2">
      <c r="A435" t="s">
        <v>4357</v>
      </c>
      <c r="B435" t="s">
        <v>2620</v>
      </c>
      <c r="C435" t="s">
        <v>2872</v>
      </c>
      <c r="D435" s="7" t="s">
        <v>156</v>
      </c>
      <c r="E435" t="s">
        <v>58</v>
      </c>
      <c r="F435">
        <v>34</v>
      </c>
      <c r="G435">
        <v>68</v>
      </c>
      <c r="H435">
        <v>79</v>
      </c>
      <c r="I435" t="s">
        <v>6492</v>
      </c>
      <c r="J435">
        <v>75</v>
      </c>
      <c r="K435">
        <v>325</v>
      </c>
      <c r="L435" t="s">
        <v>6051</v>
      </c>
      <c r="M435" s="6" t="s">
        <v>6558</v>
      </c>
      <c r="N435" s="6" t="s">
        <v>6567</v>
      </c>
      <c r="O435" s="6">
        <v>67</v>
      </c>
      <c r="P435" s="6">
        <v>68</v>
      </c>
      <c r="Q435" s="6">
        <v>75</v>
      </c>
      <c r="R435" s="6">
        <v>64</v>
      </c>
      <c r="S435" s="6">
        <v>71</v>
      </c>
      <c r="T435" s="6">
        <v>77</v>
      </c>
      <c r="U435" s="6">
        <v>83</v>
      </c>
      <c r="V435" s="6">
        <v>64</v>
      </c>
      <c r="W435" s="6">
        <v>51</v>
      </c>
      <c r="X435" s="6">
        <v>82</v>
      </c>
      <c r="Y435" s="6">
        <v>69</v>
      </c>
      <c r="Z435" s="6">
        <v>73</v>
      </c>
      <c r="AA435" s="6">
        <v>60</v>
      </c>
      <c r="AB435" s="6">
        <v>62</v>
      </c>
      <c r="AC435" s="6">
        <v>69</v>
      </c>
      <c r="AD435" s="6">
        <v>52</v>
      </c>
      <c r="AE435" s="6">
        <v>54</v>
      </c>
      <c r="AF435" s="6">
        <v>65</v>
      </c>
      <c r="AG435" s="6" t="s">
        <v>8084</v>
      </c>
      <c r="AH435" s="6" t="s">
        <v>6610</v>
      </c>
    </row>
    <row r="436" spans="1:34" x14ac:dyDescent="0.2">
      <c r="A436" t="s">
        <v>4366</v>
      </c>
      <c r="B436" t="s">
        <v>2629</v>
      </c>
      <c r="C436" t="s">
        <v>2879</v>
      </c>
      <c r="D436" s="7" t="s">
        <v>156</v>
      </c>
      <c r="E436" t="s">
        <v>38</v>
      </c>
      <c r="F436">
        <v>24</v>
      </c>
      <c r="G436">
        <v>85</v>
      </c>
      <c r="H436">
        <v>79</v>
      </c>
      <c r="I436" t="s">
        <v>6311</v>
      </c>
      <c r="J436">
        <v>73</v>
      </c>
      <c r="K436">
        <v>312</v>
      </c>
      <c r="L436" t="s">
        <v>6060</v>
      </c>
      <c r="M436" s="6" t="s">
        <v>6558</v>
      </c>
      <c r="N436" s="6" t="s">
        <v>6583</v>
      </c>
      <c r="O436" s="6">
        <v>77</v>
      </c>
      <c r="P436" s="6">
        <v>68</v>
      </c>
      <c r="Q436" s="6">
        <v>79</v>
      </c>
      <c r="R436" s="6">
        <v>77</v>
      </c>
      <c r="S436" s="6">
        <v>86</v>
      </c>
      <c r="T436" s="6">
        <v>83</v>
      </c>
      <c r="U436" s="6">
        <v>78</v>
      </c>
      <c r="V436" s="6">
        <v>81</v>
      </c>
      <c r="W436" s="6">
        <v>88</v>
      </c>
      <c r="X436" s="6">
        <v>76</v>
      </c>
      <c r="Y436" s="6">
        <v>69</v>
      </c>
      <c r="Z436" s="6">
        <v>86</v>
      </c>
      <c r="AA436" s="6">
        <v>73</v>
      </c>
      <c r="AB436" s="6">
        <v>74</v>
      </c>
      <c r="AC436" s="6">
        <v>81</v>
      </c>
      <c r="AD436" s="6">
        <v>82</v>
      </c>
      <c r="AE436" s="6">
        <v>75</v>
      </c>
      <c r="AF436" s="6">
        <v>80</v>
      </c>
      <c r="AG436" s="6" t="s">
        <v>8093</v>
      </c>
      <c r="AH436" s="6" t="s">
        <v>6861</v>
      </c>
    </row>
    <row r="437" spans="1:34" x14ac:dyDescent="0.2">
      <c r="A437" t="s">
        <v>4374</v>
      </c>
      <c r="B437" t="s">
        <v>2637</v>
      </c>
      <c r="C437" t="s">
        <v>2881</v>
      </c>
      <c r="D437" s="7" t="s">
        <v>156</v>
      </c>
      <c r="E437" t="s">
        <v>38</v>
      </c>
      <c r="F437">
        <v>29</v>
      </c>
      <c r="G437">
        <v>70</v>
      </c>
      <c r="H437">
        <v>79</v>
      </c>
      <c r="I437" t="s">
        <v>6428</v>
      </c>
      <c r="J437">
        <v>72</v>
      </c>
      <c r="K437">
        <v>238</v>
      </c>
      <c r="L437" t="s">
        <v>6068</v>
      </c>
      <c r="M437" s="6" t="s">
        <v>6558</v>
      </c>
      <c r="N437" s="6" t="s">
        <v>6565</v>
      </c>
      <c r="O437" s="6">
        <v>82</v>
      </c>
      <c r="P437" s="6">
        <v>83</v>
      </c>
      <c r="Q437" s="6">
        <v>74</v>
      </c>
      <c r="R437" s="6">
        <v>70</v>
      </c>
      <c r="S437" s="6">
        <v>86</v>
      </c>
      <c r="T437" s="6">
        <v>79</v>
      </c>
      <c r="U437" s="6">
        <v>76</v>
      </c>
      <c r="V437" s="6">
        <v>79</v>
      </c>
      <c r="W437" s="6">
        <v>71</v>
      </c>
      <c r="X437" s="6">
        <v>79</v>
      </c>
      <c r="Y437" s="6">
        <v>75</v>
      </c>
      <c r="Z437" s="6">
        <v>60</v>
      </c>
      <c r="AA437" s="6">
        <v>69</v>
      </c>
      <c r="AB437" s="6">
        <v>75</v>
      </c>
      <c r="AC437" s="6">
        <v>66</v>
      </c>
      <c r="AD437" s="6">
        <v>76</v>
      </c>
      <c r="AE437" s="6">
        <v>70</v>
      </c>
      <c r="AF437" s="6">
        <v>72</v>
      </c>
      <c r="AG437" s="6" t="s">
        <v>8101</v>
      </c>
      <c r="AH437" s="6" t="s">
        <v>6628</v>
      </c>
    </row>
    <row r="438" spans="1:34" x14ac:dyDescent="0.2">
      <c r="A438" t="s">
        <v>4382</v>
      </c>
      <c r="B438" t="s">
        <v>2645</v>
      </c>
      <c r="C438" t="s">
        <v>2888</v>
      </c>
      <c r="D438" s="7" t="s">
        <v>156</v>
      </c>
      <c r="E438" t="s">
        <v>38</v>
      </c>
      <c r="F438">
        <v>31</v>
      </c>
      <c r="G438">
        <v>71</v>
      </c>
      <c r="H438">
        <v>79</v>
      </c>
      <c r="I438" t="s">
        <v>6311</v>
      </c>
      <c r="J438">
        <v>74</v>
      </c>
      <c r="K438">
        <v>182</v>
      </c>
      <c r="L438" t="s">
        <v>6076</v>
      </c>
      <c r="M438" s="6" t="s">
        <v>6558</v>
      </c>
      <c r="N438" s="6" t="s">
        <v>6565</v>
      </c>
      <c r="O438" s="6">
        <v>76</v>
      </c>
      <c r="P438" s="6">
        <v>74</v>
      </c>
      <c r="Q438" s="6">
        <v>77</v>
      </c>
      <c r="R438" s="6">
        <v>71</v>
      </c>
      <c r="S438" s="6">
        <v>81</v>
      </c>
      <c r="T438" s="6">
        <v>73</v>
      </c>
      <c r="U438" s="6">
        <v>93</v>
      </c>
      <c r="V438" s="6">
        <v>77</v>
      </c>
      <c r="W438" s="6">
        <v>81</v>
      </c>
      <c r="X438" s="6">
        <v>73</v>
      </c>
      <c r="Y438" s="6">
        <v>73</v>
      </c>
      <c r="Z438" s="6">
        <v>75</v>
      </c>
      <c r="AA438" s="6">
        <v>75</v>
      </c>
      <c r="AB438" s="6">
        <v>67</v>
      </c>
      <c r="AC438" s="6">
        <v>64</v>
      </c>
      <c r="AD438" s="6">
        <v>75</v>
      </c>
      <c r="AE438" s="6">
        <v>75</v>
      </c>
      <c r="AF438" s="6">
        <v>80</v>
      </c>
      <c r="AG438" s="6" t="s">
        <v>8108</v>
      </c>
      <c r="AH438" s="6" t="s">
        <v>6762</v>
      </c>
    </row>
    <row r="439" spans="1:34" x14ac:dyDescent="0.2">
      <c r="A439" t="s">
        <v>2987</v>
      </c>
      <c r="B439" t="s">
        <v>1251</v>
      </c>
      <c r="C439" t="s">
        <v>2878</v>
      </c>
      <c r="D439" s="7" t="s">
        <v>146</v>
      </c>
      <c r="E439" t="s">
        <v>38</v>
      </c>
      <c r="F439">
        <v>26</v>
      </c>
      <c r="G439">
        <v>70</v>
      </c>
      <c r="H439">
        <v>78</v>
      </c>
      <c r="I439" t="s">
        <v>6324</v>
      </c>
      <c r="J439">
        <v>77</v>
      </c>
      <c r="K439">
        <v>290</v>
      </c>
      <c r="L439" t="s">
        <v>4681</v>
      </c>
      <c r="M439" s="6" t="s">
        <v>6558</v>
      </c>
      <c r="N439" s="6" t="s">
        <v>6614</v>
      </c>
      <c r="O439" s="6">
        <v>60</v>
      </c>
      <c r="P439" s="6">
        <v>69</v>
      </c>
      <c r="Q439" s="6">
        <v>65</v>
      </c>
      <c r="R439" s="6">
        <v>62</v>
      </c>
      <c r="S439" s="6">
        <v>77</v>
      </c>
      <c r="T439" s="6">
        <v>66</v>
      </c>
      <c r="U439" s="6">
        <v>75</v>
      </c>
      <c r="V439" s="6">
        <v>77</v>
      </c>
      <c r="W439" s="6">
        <v>76</v>
      </c>
      <c r="X439" s="6">
        <v>67</v>
      </c>
      <c r="Y439" s="6">
        <v>77</v>
      </c>
      <c r="Z439" s="6">
        <v>71</v>
      </c>
      <c r="AA439" s="6">
        <v>71</v>
      </c>
      <c r="AB439" s="6">
        <v>73</v>
      </c>
      <c r="AC439" s="6">
        <v>76</v>
      </c>
      <c r="AD439" s="6">
        <v>61</v>
      </c>
      <c r="AE439" s="6">
        <v>65</v>
      </c>
      <c r="AF439" s="6">
        <v>68</v>
      </c>
      <c r="AG439" s="6" t="s">
        <v>6683</v>
      </c>
      <c r="AH439" s="6" t="s">
        <v>6684</v>
      </c>
    </row>
    <row r="440" spans="1:34" x14ac:dyDescent="0.2">
      <c r="A440" t="s">
        <v>3019</v>
      </c>
      <c r="B440" t="s">
        <v>1283</v>
      </c>
      <c r="C440" t="s">
        <v>57</v>
      </c>
      <c r="D440" s="7" t="s">
        <v>131</v>
      </c>
      <c r="E440" t="s">
        <v>38</v>
      </c>
      <c r="F440">
        <v>24</v>
      </c>
      <c r="G440">
        <v>88</v>
      </c>
      <c r="H440">
        <v>78</v>
      </c>
      <c r="I440" t="s">
        <v>59</v>
      </c>
      <c r="J440">
        <v>69</v>
      </c>
      <c r="K440">
        <v>202</v>
      </c>
      <c r="L440" t="s">
        <v>4713</v>
      </c>
      <c r="M440" s="6" t="s">
        <v>6558</v>
      </c>
      <c r="N440" s="6" t="s">
        <v>6565</v>
      </c>
      <c r="O440" s="6">
        <v>72</v>
      </c>
      <c r="P440" s="6">
        <v>76</v>
      </c>
      <c r="Q440" s="6">
        <v>74</v>
      </c>
      <c r="R440" s="6">
        <v>75</v>
      </c>
      <c r="S440" s="6">
        <v>75</v>
      </c>
      <c r="T440" s="6">
        <v>78</v>
      </c>
      <c r="U440" s="6">
        <v>67</v>
      </c>
      <c r="V440" s="6">
        <v>76</v>
      </c>
      <c r="W440" s="6">
        <v>73</v>
      </c>
      <c r="X440" s="6">
        <v>74</v>
      </c>
      <c r="Y440" s="6">
        <v>79</v>
      </c>
      <c r="Z440" s="6">
        <v>77</v>
      </c>
      <c r="AA440" s="6">
        <v>80</v>
      </c>
      <c r="AB440" s="6">
        <v>75</v>
      </c>
      <c r="AC440" s="6">
        <v>70</v>
      </c>
      <c r="AD440" s="6">
        <v>77</v>
      </c>
      <c r="AE440" s="6">
        <v>73</v>
      </c>
      <c r="AF440" s="6">
        <v>74</v>
      </c>
      <c r="AG440" s="6" t="s">
        <v>6727</v>
      </c>
      <c r="AH440" s="6" t="s">
        <v>6581</v>
      </c>
    </row>
    <row r="441" spans="1:34" x14ac:dyDescent="0.2">
      <c r="A441" t="s">
        <v>3028</v>
      </c>
      <c r="B441" t="s">
        <v>1292</v>
      </c>
      <c r="C441" t="s">
        <v>2871</v>
      </c>
      <c r="D441" s="7" t="s">
        <v>131</v>
      </c>
      <c r="E441" t="s">
        <v>58</v>
      </c>
      <c r="F441">
        <v>21</v>
      </c>
      <c r="G441">
        <v>67</v>
      </c>
      <c r="H441">
        <v>78</v>
      </c>
      <c r="I441" t="s">
        <v>62</v>
      </c>
      <c r="J441">
        <v>74</v>
      </c>
      <c r="K441">
        <v>266</v>
      </c>
      <c r="L441" t="s">
        <v>4722</v>
      </c>
      <c r="M441" s="6" t="s">
        <v>6558</v>
      </c>
      <c r="N441" s="6" t="s">
        <v>6567</v>
      </c>
      <c r="O441" s="6">
        <v>76</v>
      </c>
      <c r="P441" s="6">
        <v>67</v>
      </c>
      <c r="Q441" s="6">
        <v>60</v>
      </c>
      <c r="R441" s="6">
        <v>68</v>
      </c>
      <c r="S441" s="6">
        <v>72</v>
      </c>
      <c r="T441" s="6">
        <v>69</v>
      </c>
      <c r="U441" s="6">
        <v>69</v>
      </c>
      <c r="V441" s="6">
        <v>71</v>
      </c>
      <c r="W441" s="6">
        <v>66</v>
      </c>
      <c r="X441" s="6">
        <v>65</v>
      </c>
      <c r="Y441" s="6">
        <v>70</v>
      </c>
      <c r="Z441" s="6">
        <v>69</v>
      </c>
      <c r="AA441" s="6">
        <v>71</v>
      </c>
      <c r="AB441" s="6">
        <v>64</v>
      </c>
      <c r="AC441" s="6">
        <v>64</v>
      </c>
      <c r="AD441" s="6">
        <v>70</v>
      </c>
      <c r="AE441" s="6">
        <v>71</v>
      </c>
      <c r="AF441" s="6">
        <v>83</v>
      </c>
      <c r="AG441" s="6" t="s">
        <v>6739</v>
      </c>
      <c r="AH441" s="6" t="s">
        <v>6585</v>
      </c>
    </row>
    <row r="442" spans="1:34" x14ac:dyDescent="0.2">
      <c r="A442" t="s">
        <v>3034</v>
      </c>
      <c r="B442" t="s">
        <v>1298</v>
      </c>
      <c r="C442" t="s">
        <v>2878</v>
      </c>
      <c r="D442" s="7" t="s">
        <v>131</v>
      </c>
      <c r="E442" t="s">
        <v>38</v>
      </c>
      <c r="F442">
        <v>27</v>
      </c>
      <c r="G442">
        <v>88</v>
      </c>
      <c r="H442">
        <v>78</v>
      </c>
      <c r="I442" t="s">
        <v>6321</v>
      </c>
      <c r="J442">
        <v>75</v>
      </c>
      <c r="K442">
        <v>272</v>
      </c>
      <c r="L442" t="s">
        <v>4728</v>
      </c>
      <c r="M442" s="6" t="s">
        <v>6558</v>
      </c>
      <c r="N442" s="6" t="s">
        <v>6567</v>
      </c>
      <c r="O442" s="6">
        <v>80</v>
      </c>
      <c r="P442" s="6">
        <v>75</v>
      </c>
      <c r="Q442" s="6">
        <v>75</v>
      </c>
      <c r="R442" s="6">
        <v>67</v>
      </c>
      <c r="S442" s="6">
        <v>90</v>
      </c>
      <c r="T442" s="6">
        <v>73</v>
      </c>
      <c r="U442" s="6">
        <v>70</v>
      </c>
      <c r="V442" s="6">
        <v>75</v>
      </c>
      <c r="W442" s="6">
        <v>76</v>
      </c>
      <c r="X442" s="6">
        <v>83</v>
      </c>
      <c r="Y442" s="6">
        <v>85</v>
      </c>
      <c r="Z442" s="6">
        <v>79</v>
      </c>
      <c r="AA442" s="6">
        <v>77</v>
      </c>
      <c r="AB442" s="6">
        <v>79</v>
      </c>
      <c r="AC442" s="6">
        <v>71</v>
      </c>
      <c r="AD442" s="6">
        <v>78</v>
      </c>
      <c r="AE442" s="6">
        <v>74</v>
      </c>
      <c r="AF442" s="6">
        <v>74</v>
      </c>
      <c r="AG442" s="6" t="s">
        <v>6746</v>
      </c>
      <c r="AH442" s="6" t="s">
        <v>6684</v>
      </c>
    </row>
    <row r="443" spans="1:34" x14ac:dyDescent="0.2">
      <c r="A443" t="s">
        <v>3035</v>
      </c>
      <c r="B443" t="s">
        <v>1299</v>
      </c>
      <c r="C443" t="s">
        <v>2878</v>
      </c>
      <c r="D443" s="7" t="s">
        <v>131</v>
      </c>
      <c r="E443" t="s">
        <v>38</v>
      </c>
      <c r="F443">
        <v>30</v>
      </c>
      <c r="G443">
        <v>83</v>
      </c>
      <c r="H443">
        <v>78</v>
      </c>
      <c r="I443" t="s">
        <v>6322</v>
      </c>
      <c r="J443">
        <v>75</v>
      </c>
      <c r="K443">
        <v>260</v>
      </c>
      <c r="L443" t="s">
        <v>4729</v>
      </c>
      <c r="M443" s="6" t="s">
        <v>6558</v>
      </c>
      <c r="N443" s="6" t="s">
        <v>6583</v>
      </c>
      <c r="O443" s="6">
        <v>74</v>
      </c>
      <c r="P443" s="6">
        <v>80</v>
      </c>
      <c r="Q443" s="6">
        <v>81</v>
      </c>
      <c r="R443" s="6">
        <v>78</v>
      </c>
      <c r="S443" s="6">
        <v>87</v>
      </c>
      <c r="T443" s="6">
        <v>78</v>
      </c>
      <c r="U443" s="6">
        <v>89</v>
      </c>
      <c r="V443" s="6">
        <v>83</v>
      </c>
      <c r="W443" s="6">
        <v>77</v>
      </c>
      <c r="X443" s="6">
        <v>67</v>
      </c>
      <c r="Y443" s="6">
        <v>91</v>
      </c>
      <c r="Z443" s="6">
        <v>84</v>
      </c>
      <c r="AA443" s="6">
        <v>73</v>
      </c>
      <c r="AB443" s="6">
        <v>70</v>
      </c>
      <c r="AC443" s="6">
        <v>76</v>
      </c>
      <c r="AD443" s="6">
        <v>71</v>
      </c>
      <c r="AE443" s="6">
        <v>76</v>
      </c>
      <c r="AF443" s="6">
        <v>72</v>
      </c>
      <c r="AG443" s="6" t="s">
        <v>6747</v>
      </c>
      <c r="AH443" s="6" t="s">
        <v>6684</v>
      </c>
    </row>
    <row r="444" spans="1:34" x14ac:dyDescent="0.2">
      <c r="A444" t="s">
        <v>3054</v>
      </c>
      <c r="B444" t="s">
        <v>1318</v>
      </c>
      <c r="C444" t="s">
        <v>2886</v>
      </c>
      <c r="D444" s="7" t="s">
        <v>131</v>
      </c>
      <c r="E444" t="s">
        <v>38</v>
      </c>
      <c r="F444">
        <v>31</v>
      </c>
      <c r="G444">
        <v>64</v>
      </c>
      <c r="H444">
        <v>78</v>
      </c>
      <c r="I444" t="s">
        <v>6341</v>
      </c>
      <c r="J444">
        <v>75</v>
      </c>
      <c r="K444">
        <v>230</v>
      </c>
      <c r="L444" t="s">
        <v>4748</v>
      </c>
      <c r="M444" s="6" t="s">
        <v>6558</v>
      </c>
      <c r="N444" s="6" t="s">
        <v>6583</v>
      </c>
      <c r="O444" s="6">
        <v>67</v>
      </c>
      <c r="P444" s="6">
        <v>80</v>
      </c>
      <c r="Q444" s="6">
        <v>82</v>
      </c>
      <c r="R444" s="6">
        <v>80</v>
      </c>
      <c r="S444" s="6">
        <v>70</v>
      </c>
      <c r="T444" s="6">
        <v>70</v>
      </c>
      <c r="U444" s="6">
        <v>80</v>
      </c>
      <c r="V444" s="6">
        <v>71</v>
      </c>
      <c r="W444" s="6">
        <v>69</v>
      </c>
      <c r="X444" s="6">
        <v>73</v>
      </c>
      <c r="Y444" s="6">
        <v>71</v>
      </c>
      <c r="Z444" s="6">
        <v>72</v>
      </c>
      <c r="AA444" s="6">
        <v>69</v>
      </c>
      <c r="AB444" s="6">
        <v>66</v>
      </c>
      <c r="AC444" s="6">
        <v>60</v>
      </c>
      <c r="AD444" s="6">
        <v>73</v>
      </c>
      <c r="AE444" s="6">
        <v>63</v>
      </c>
      <c r="AF444" s="6">
        <v>63</v>
      </c>
      <c r="AG444" s="6" t="s">
        <v>6768</v>
      </c>
      <c r="AH444" s="6" t="s">
        <v>6649</v>
      </c>
    </row>
    <row r="445" spans="1:34" x14ac:dyDescent="0.2">
      <c r="A445" t="s">
        <v>3124</v>
      </c>
      <c r="B445" t="s">
        <v>1388</v>
      </c>
      <c r="C445" t="s">
        <v>2887</v>
      </c>
      <c r="D445" s="7" t="s">
        <v>133</v>
      </c>
      <c r="E445" t="s">
        <v>38</v>
      </c>
      <c r="F445">
        <v>27</v>
      </c>
      <c r="G445">
        <v>68</v>
      </c>
      <c r="H445">
        <v>78</v>
      </c>
      <c r="I445" t="s">
        <v>6316</v>
      </c>
      <c r="J445">
        <v>74</v>
      </c>
      <c r="K445">
        <v>309</v>
      </c>
      <c r="L445" t="s">
        <v>4818</v>
      </c>
      <c r="M445" s="6" t="s">
        <v>6558</v>
      </c>
      <c r="N445" s="6" t="s">
        <v>6583</v>
      </c>
      <c r="O445" s="6">
        <v>82</v>
      </c>
      <c r="P445" s="6">
        <v>75</v>
      </c>
      <c r="Q445" s="6">
        <v>75</v>
      </c>
      <c r="R445" s="6">
        <v>76</v>
      </c>
      <c r="S445" s="6">
        <v>82</v>
      </c>
      <c r="T445" s="6">
        <v>78</v>
      </c>
      <c r="U445" s="6">
        <v>78</v>
      </c>
      <c r="V445" s="6">
        <v>72</v>
      </c>
      <c r="W445" s="6">
        <v>76</v>
      </c>
      <c r="X445" s="6">
        <v>74</v>
      </c>
      <c r="Y445" s="6">
        <v>75</v>
      </c>
      <c r="Z445" s="6">
        <v>77</v>
      </c>
      <c r="AA445" s="6">
        <v>69</v>
      </c>
      <c r="AB445" s="6">
        <v>80</v>
      </c>
      <c r="AC445" s="6">
        <v>72</v>
      </c>
      <c r="AD445" s="6">
        <v>70</v>
      </c>
      <c r="AE445" s="6">
        <v>74</v>
      </c>
      <c r="AF445" s="6">
        <v>77</v>
      </c>
      <c r="AG445" s="6" t="s">
        <v>6846</v>
      </c>
      <c r="AH445" s="6" t="s">
        <v>6598</v>
      </c>
    </row>
    <row r="446" spans="1:34" x14ac:dyDescent="0.2">
      <c r="A446" t="s">
        <v>3140</v>
      </c>
      <c r="B446" t="s">
        <v>1404</v>
      </c>
      <c r="C446" t="s">
        <v>2881</v>
      </c>
      <c r="D446" s="7" t="s">
        <v>133</v>
      </c>
      <c r="E446" t="s">
        <v>58</v>
      </c>
      <c r="F446">
        <v>31</v>
      </c>
      <c r="G446">
        <v>75</v>
      </c>
      <c r="H446">
        <v>78</v>
      </c>
      <c r="I446" t="s">
        <v>6332</v>
      </c>
      <c r="J446">
        <v>73</v>
      </c>
      <c r="K446">
        <v>255</v>
      </c>
      <c r="L446" t="s">
        <v>4834</v>
      </c>
      <c r="M446" s="6" t="s">
        <v>6558</v>
      </c>
      <c r="N446" s="6" t="s">
        <v>6562</v>
      </c>
      <c r="O446" s="6">
        <v>91</v>
      </c>
      <c r="P446" s="6">
        <v>73</v>
      </c>
      <c r="Q446" s="6">
        <v>71</v>
      </c>
      <c r="R446" s="6">
        <v>88</v>
      </c>
      <c r="S446" s="6">
        <v>79</v>
      </c>
      <c r="T446" s="6">
        <v>66</v>
      </c>
      <c r="U446" s="6">
        <v>73</v>
      </c>
      <c r="V446" s="6">
        <v>83</v>
      </c>
      <c r="W446" s="6">
        <v>85</v>
      </c>
      <c r="X446" s="6">
        <v>80</v>
      </c>
      <c r="Y446" s="6">
        <v>77</v>
      </c>
      <c r="Z446" s="6">
        <v>73</v>
      </c>
      <c r="AA446" s="6">
        <v>67</v>
      </c>
      <c r="AB446" s="6">
        <v>69</v>
      </c>
      <c r="AC446" s="6">
        <v>68</v>
      </c>
      <c r="AD446" s="6">
        <v>71</v>
      </c>
      <c r="AE446" s="6">
        <v>68</v>
      </c>
      <c r="AF446" s="6">
        <v>72</v>
      </c>
      <c r="AG446" s="6" t="s">
        <v>6864</v>
      </c>
      <c r="AH446" s="6" t="s">
        <v>6628</v>
      </c>
    </row>
    <row r="447" spans="1:34" x14ac:dyDescent="0.2">
      <c r="A447" t="s">
        <v>3164</v>
      </c>
      <c r="B447" t="s">
        <v>1428</v>
      </c>
      <c r="C447" t="s">
        <v>57</v>
      </c>
      <c r="D447" s="7" t="s">
        <v>134</v>
      </c>
      <c r="E447" t="s">
        <v>58</v>
      </c>
      <c r="F447">
        <v>23</v>
      </c>
      <c r="G447">
        <v>76</v>
      </c>
      <c r="H447">
        <v>78</v>
      </c>
      <c r="I447" t="s">
        <v>6356</v>
      </c>
      <c r="J447">
        <v>71</v>
      </c>
      <c r="K447">
        <v>206</v>
      </c>
      <c r="L447" t="s">
        <v>4858</v>
      </c>
      <c r="M447" s="6" t="s">
        <v>6558</v>
      </c>
      <c r="N447" s="6" t="s">
        <v>6567</v>
      </c>
      <c r="O447" s="6">
        <v>76</v>
      </c>
      <c r="P447" s="6">
        <v>69</v>
      </c>
      <c r="Q447" s="6">
        <v>71</v>
      </c>
      <c r="R447" s="6">
        <v>69</v>
      </c>
      <c r="S447" s="6">
        <v>80</v>
      </c>
      <c r="T447" s="6">
        <v>68</v>
      </c>
      <c r="U447" s="6">
        <v>66</v>
      </c>
      <c r="V447" s="6">
        <v>68</v>
      </c>
      <c r="W447" s="6">
        <v>65</v>
      </c>
      <c r="X447" s="6">
        <v>66</v>
      </c>
      <c r="Y447" s="6">
        <v>74</v>
      </c>
      <c r="Z447" s="6">
        <v>70</v>
      </c>
      <c r="AA447" s="6">
        <v>71</v>
      </c>
      <c r="AB447" s="6">
        <v>76</v>
      </c>
      <c r="AC447" s="6">
        <v>71</v>
      </c>
      <c r="AD447" s="6">
        <v>69</v>
      </c>
      <c r="AE447" s="6">
        <v>68</v>
      </c>
      <c r="AF447" s="6">
        <v>74</v>
      </c>
      <c r="AG447" s="6" t="s">
        <v>6891</v>
      </c>
      <c r="AH447" s="6" t="s">
        <v>6574</v>
      </c>
    </row>
    <row r="448" spans="1:34" x14ac:dyDescent="0.2">
      <c r="A448" t="s">
        <v>3213</v>
      </c>
      <c r="B448" t="s">
        <v>1477</v>
      </c>
      <c r="C448" t="s">
        <v>2870</v>
      </c>
      <c r="D448" s="7" t="s">
        <v>132</v>
      </c>
      <c r="E448" t="s">
        <v>38</v>
      </c>
      <c r="F448">
        <v>29</v>
      </c>
      <c r="G448">
        <v>76</v>
      </c>
      <c r="H448">
        <v>78</v>
      </c>
      <c r="I448" t="s">
        <v>6403</v>
      </c>
      <c r="J448">
        <v>68</v>
      </c>
      <c r="K448">
        <v>214</v>
      </c>
      <c r="L448" t="s">
        <v>4907</v>
      </c>
      <c r="M448" s="6" t="s">
        <v>6558</v>
      </c>
      <c r="N448" s="6" t="s">
        <v>6567</v>
      </c>
      <c r="O448" s="6">
        <v>77</v>
      </c>
      <c r="P448" s="6">
        <v>77</v>
      </c>
      <c r="Q448" s="6">
        <v>73</v>
      </c>
      <c r="R448" s="6">
        <v>63</v>
      </c>
      <c r="S448" s="6">
        <v>81</v>
      </c>
      <c r="T448" s="6">
        <v>80</v>
      </c>
      <c r="U448" s="6">
        <v>60</v>
      </c>
      <c r="V448" s="6">
        <v>76</v>
      </c>
      <c r="W448" s="6">
        <v>79</v>
      </c>
      <c r="X448" s="6">
        <v>83</v>
      </c>
      <c r="Y448" s="6">
        <v>71</v>
      </c>
      <c r="Z448" s="6">
        <v>71</v>
      </c>
      <c r="AA448" s="6">
        <v>73</v>
      </c>
      <c r="AB448" s="6">
        <v>72</v>
      </c>
      <c r="AC448" s="6">
        <v>65</v>
      </c>
      <c r="AD448" s="6">
        <v>70</v>
      </c>
      <c r="AE448" s="6">
        <v>68</v>
      </c>
      <c r="AF448" s="6">
        <v>70</v>
      </c>
      <c r="AG448" s="6" t="s">
        <v>6940</v>
      </c>
      <c r="AH448" s="6" t="s">
        <v>6656</v>
      </c>
    </row>
    <row r="449" spans="1:34" x14ac:dyDescent="0.2">
      <c r="A449" t="s">
        <v>3231</v>
      </c>
      <c r="B449" t="s">
        <v>1495</v>
      </c>
      <c r="C449" t="s">
        <v>2878</v>
      </c>
      <c r="D449" s="7" t="s">
        <v>132</v>
      </c>
      <c r="E449" t="s">
        <v>38</v>
      </c>
      <c r="F449">
        <v>26</v>
      </c>
      <c r="G449">
        <v>87</v>
      </c>
      <c r="H449">
        <v>78</v>
      </c>
      <c r="I449" t="s">
        <v>6420</v>
      </c>
      <c r="J449">
        <v>76</v>
      </c>
      <c r="K449">
        <v>281</v>
      </c>
      <c r="L449" t="s">
        <v>4925</v>
      </c>
      <c r="M449" s="6" t="s">
        <v>6558</v>
      </c>
      <c r="N449" s="6" t="s">
        <v>6567</v>
      </c>
      <c r="O449" s="6">
        <v>76</v>
      </c>
      <c r="P449" s="6">
        <v>82</v>
      </c>
      <c r="Q449" s="6">
        <v>76</v>
      </c>
      <c r="R449" s="6">
        <v>63</v>
      </c>
      <c r="S449" s="6">
        <v>84</v>
      </c>
      <c r="T449" s="6">
        <v>79</v>
      </c>
      <c r="U449" s="6">
        <v>72</v>
      </c>
      <c r="V449" s="6">
        <v>79</v>
      </c>
      <c r="W449" s="6">
        <v>86</v>
      </c>
      <c r="X449" s="6">
        <v>78</v>
      </c>
      <c r="Y449" s="6">
        <v>74</v>
      </c>
      <c r="Z449" s="6">
        <v>72</v>
      </c>
      <c r="AA449" s="6">
        <v>73</v>
      </c>
      <c r="AB449" s="6">
        <v>77</v>
      </c>
      <c r="AC449" s="6">
        <v>74</v>
      </c>
      <c r="AD449" s="6">
        <v>76</v>
      </c>
      <c r="AE449" s="6">
        <v>73</v>
      </c>
      <c r="AF449" s="6">
        <v>78</v>
      </c>
      <c r="AG449" s="6" t="s">
        <v>6958</v>
      </c>
      <c r="AH449" s="6" t="s">
        <v>6797</v>
      </c>
    </row>
    <row r="450" spans="1:34" x14ac:dyDescent="0.2">
      <c r="A450" t="s">
        <v>3254</v>
      </c>
      <c r="B450" t="s">
        <v>1518</v>
      </c>
      <c r="C450" t="s">
        <v>2891</v>
      </c>
      <c r="D450" s="7" t="s">
        <v>132</v>
      </c>
      <c r="E450" t="s">
        <v>38</v>
      </c>
      <c r="F450">
        <v>29</v>
      </c>
      <c r="G450">
        <v>71</v>
      </c>
      <c r="H450">
        <v>78</v>
      </c>
      <c r="I450" t="s">
        <v>6443</v>
      </c>
      <c r="J450">
        <v>73</v>
      </c>
      <c r="K450">
        <v>247</v>
      </c>
      <c r="L450" t="s">
        <v>4948</v>
      </c>
      <c r="M450" s="6" t="s">
        <v>6558</v>
      </c>
      <c r="N450" s="6" t="s">
        <v>6565</v>
      </c>
      <c r="O450" s="6">
        <v>81</v>
      </c>
      <c r="P450" s="6">
        <v>73</v>
      </c>
      <c r="Q450" s="6">
        <v>70</v>
      </c>
      <c r="R450" s="6">
        <v>75</v>
      </c>
      <c r="S450" s="6">
        <v>73</v>
      </c>
      <c r="T450" s="6">
        <v>69</v>
      </c>
      <c r="U450" s="6">
        <v>80</v>
      </c>
      <c r="V450" s="6">
        <v>75</v>
      </c>
      <c r="W450" s="6">
        <v>69</v>
      </c>
      <c r="X450" s="6">
        <v>74</v>
      </c>
      <c r="Y450" s="6">
        <v>73</v>
      </c>
      <c r="Z450" s="6">
        <v>73</v>
      </c>
      <c r="AA450" s="6">
        <v>68</v>
      </c>
      <c r="AB450" s="6">
        <v>67</v>
      </c>
      <c r="AC450" s="6">
        <v>60</v>
      </c>
      <c r="AD450" s="6">
        <v>69</v>
      </c>
      <c r="AE450" s="6">
        <v>61</v>
      </c>
      <c r="AF450" s="6">
        <v>73</v>
      </c>
      <c r="AG450" s="6" t="s">
        <v>6983</v>
      </c>
      <c r="AH450" s="6" t="s">
        <v>6824</v>
      </c>
    </row>
    <row r="451" spans="1:34" x14ac:dyDescent="0.2">
      <c r="A451" t="s">
        <v>3261</v>
      </c>
      <c r="B451" t="s">
        <v>1525</v>
      </c>
      <c r="C451" t="s">
        <v>53</v>
      </c>
      <c r="D451" s="7" t="s">
        <v>136</v>
      </c>
      <c r="E451" t="s">
        <v>58</v>
      </c>
      <c r="F451">
        <v>24</v>
      </c>
      <c r="G451">
        <v>69</v>
      </c>
      <c r="H451">
        <v>78</v>
      </c>
      <c r="I451" t="s">
        <v>6450</v>
      </c>
      <c r="J451">
        <v>77</v>
      </c>
      <c r="K451">
        <v>231</v>
      </c>
      <c r="L451" t="s">
        <v>4955</v>
      </c>
      <c r="M451" s="6" t="s">
        <v>6558</v>
      </c>
      <c r="N451" s="6" t="s">
        <v>6583</v>
      </c>
      <c r="O451" s="6">
        <v>93</v>
      </c>
      <c r="P451" s="6">
        <v>78</v>
      </c>
      <c r="Q451" s="6">
        <v>73</v>
      </c>
      <c r="R451" s="6">
        <v>80</v>
      </c>
      <c r="S451" s="6">
        <v>73</v>
      </c>
      <c r="T451" s="6">
        <v>74</v>
      </c>
      <c r="U451" s="6">
        <v>74</v>
      </c>
      <c r="V451" s="6">
        <v>78</v>
      </c>
      <c r="W451" s="6">
        <v>76</v>
      </c>
      <c r="X451" s="6">
        <v>65</v>
      </c>
      <c r="Y451" s="6">
        <v>58</v>
      </c>
      <c r="Z451" s="6">
        <v>69</v>
      </c>
      <c r="AA451" s="6">
        <v>75</v>
      </c>
      <c r="AB451" s="6">
        <v>69</v>
      </c>
      <c r="AC451" s="6">
        <v>66</v>
      </c>
      <c r="AD451" s="6">
        <v>61</v>
      </c>
      <c r="AE451" s="6">
        <v>67</v>
      </c>
      <c r="AF451" s="6">
        <v>64</v>
      </c>
      <c r="AG451" s="6" t="s">
        <v>6991</v>
      </c>
      <c r="AH451" s="6" t="s">
        <v>6570</v>
      </c>
    </row>
    <row r="452" spans="1:34" x14ac:dyDescent="0.2">
      <c r="A452" t="s">
        <v>3265</v>
      </c>
      <c r="B452" t="s">
        <v>1529</v>
      </c>
      <c r="C452" t="s">
        <v>2870</v>
      </c>
      <c r="D452" s="7" t="s">
        <v>136</v>
      </c>
      <c r="E452" t="s">
        <v>38</v>
      </c>
      <c r="F452">
        <v>23</v>
      </c>
      <c r="G452">
        <v>75</v>
      </c>
      <c r="H452">
        <v>78</v>
      </c>
      <c r="I452" t="s">
        <v>6454</v>
      </c>
      <c r="J452">
        <v>69</v>
      </c>
      <c r="K452">
        <v>206</v>
      </c>
      <c r="L452" t="s">
        <v>4959</v>
      </c>
      <c r="M452" s="6" t="s">
        <v>6558</v>
      </c>
      <c r="N452" s="6" t="s">
        <v>6567</v>
      </c>
      <c r="O452" s="6">
        <v>62</v>
      </c>
      <c r="P452" s="6">
        <v>68</v>
      </c>
      <c r="Q452" s="6">
        <v>77</v>
      </c>
      <c r="R452" s="6">
        <v>67</v>
      </c>
      <c r="S452" s="6">
        <v>78</v>
      </c>
      <c r="T452" s="6">
        <v>73</v>
      </c>
      <c r="U452" s="6">
        <v>73</v>
      </c>
      <c r="V452" s="6">
        <v>76</v>
      </c>
      <c r="W452" s="6">
        <v>68</v>
      </c>
      <c r="X452" s="6">
        <v>74</v>
      </c>
      <c r="Y452" s="6">
        <v>68</v>
      </c>
      <c r="Z452" s="6">
        <v>66</v>
      </c>
      <c r="AA452" s="6">
        <v>72</v>
      </c>
      <c r="AB452" s="6">
        <v>73</v>
      </c>
      <c r="AC452" s="6">
        <v>65</v>
      </c>
      <c r="AD452" s="6">
        <v>72</v>
      </c>
      <c r="AE452" s="6">
        <v>72</v>
      </c>
      <c r="AF452" s="6">
        <v>76</v>
      </c>
      <c r="AG452" s="6" t="s">
        <v>6996</v>
      </c>
      <c r="AH452" s="6" t="s">
        <v>6721</v>
      </c>
    </row>
    <row r="453" spans="1:34" x14ac:dyDescent="0.2">
      <c r="A453" t="s">
        <v>3269</v>
      </c>
      <c r="B453" t="s">
        <v>1533</v>
      </c>
      <c r="C453" t="s">
        <v>57</v>
      </c>
      <c r="D453" s="7" t="s">
        <v>136</v>
      </c>
      <c r="E453" t="s">
        <v>58</v>
      </c>
      <c r="F453">
        <v>30</v>
      </c>
      <c r="G453">
        <v>70</v>
      </c>
      <c r="H453">
        <v>78</v>
      </c>
      <c r="I453" t="s">
        <v>6458</v>
      </c>
      <c r="J453">
        <v>74</v>
      </c>
      <c r="K453">
        <v>194</v>
      </c>
      <c r="L453" t="s">
        <v>4963</v>
      </c>
      <c r="M453" s="6" t="s">
        <v>6558</v>
      </c>
      <c r="N453" s="6" t="s">
        <v>6583</v>
      </c>
      <c r="O453" s="6">
        <v>81</v>
      </c>
      <c r="P453" s="6">
        <v>71</v>
      </c>
      <c r="Q453" s="6">
        <v>77</v>
      </c>
      <c r="R453" s="6">
        <v>76</v>
      </c>
      <c r="S453" s="6">
        <v>75</v>
      </c>
      <c r="T453" s="6">
        <v>72</v>
      </c>
      <c r="U453" s="6">
        <v>67</v>
      </c>
      <c r="V453" s="6">
        <v>77</v>
      </c>
      <c r="W453" s="6">
        <v>72</v>
      </c>
      <c r="X453" s="6">
        <v>64</v>
      </c>
      <c r="Y453" s="6">
        <v>74</v>
      </c>
      <c r="Z453" s="6">
        <v>80</v>
      </c>
      <c r="AA453" s="6">
        <v>75</v>
      </c>
      <c r="AB453" s="6">
        <v>68</v>
      </c>
      <c r="AC453" s="6">
        <v>63</v>
      </c>
      <c r="AD453" s="6">
        <v>74</v>
      </c>
      <c r="AE453" s="6">
        <v>76</v>
      </c>
      <c r="AF453" s="6">
        <v>72</v>
      </c>
      <c r="AG453" s="6" t="s">
        <v>7000</v>
      </c>
      <c r="AH453" s="6" t="s">
        <v>6578</v>
      </c>
    </row>
    <row r="454" spans="1:34" x14ac:dyDescent="0.2">
      <c r="A454" t="s">
        <v>3286</v>
      </c>
      <c r="B454" t="s">
        <v>1550</v>
      </c>
      <c r="C454" t="s">
        <v>2878</v>
      </c>
      <c r="D454" s="7" t="s">
        <v>136</v>
      </c>
      <c r="E454" t="s">
        <v>38</v>
      </c>
      <c r="F454">
        <v>28</v>
      </c>
      <c r="G454">
        <v>79</v>
      </c>
      <c r="H454">
        <v>78</v>
      </c>
      <c r="I454" t="s">
        <v>6475</v>
      </c>
      <c r="J454">
        <v>74</v>
      </c>
      <c r="K454">
        <v>267</v>
      </c>
      <c r="L454" t="s">
        <v>4980</v>
      </c>
      <c r="M454" s="6" t="s">
        <v>6558</v>
      </c>
      <c r="N454" s="6" t="s">
        <v>6567</v>
      </c>
      <c r="O454" s="6">
        <v>80</v>
      </c>
      <c r="P454" s="6">
        <v>68</v>
      </c>
      <c r="Q454" s="6">
        <v>80</v>
      </c>
      <c r="R454" s="6">
        <v>68</v>
      </c>
      <c r="S454" s="6">
        <v>75</v>
      </c>
      <c r="T454" s="6">
        <v>74</v>
      </c>
      <c r="U454" s="6">
        <v>72</v>
      </c>
      <c r="V454" s="6">
        <v>79</v>
      </c>
      <c r="W454" s="6">
        <v>76</v>
      </c>
      <c r="X454" s="6">
        <v>79</v>
      </c>
      <c r="Y454" s="6">
        <v>83</v>
      </c>
      <c r="Z454" s="6">
        <v>83</v>
      </c>
      <c r="AA454" s="6">
        <v>75</v>
      </c>
      <c r="AB454" s="6">
        <v>67</v>
      </c>
      <c r="AC454" s="6">
        <v>78</v>
      </c>
      <c r="AD454" s="6">
        <v>80</v>
      </c>
      <c r="AE454" s="6">
        <v>65</v>
      </c>
      <c r="AF454" s="6">
        <v>67</v>
      </c>
      <c r="AG454" s="6" t="s">
        <v>7017</v>
      </c>
      <c r="AH454" s="6" t="s">
        <v>6682</v>
      </c>
    </row>
    <row r="455" spans="1:34" x14ac:dyDescent="0.2">
      <c r="A455" t="s">
        <v>3313</v>
      </c>
      <c r="B455" t="s">
        <v>1577</v>
      </c>
      <c r="C455" t="s">
        <v>2870</v>
      </c>
      <c r="D455" s="7" t="s">
        <v>137</v>
      </c>
      <c r="E455" t="s">
        <v>58</v>
      </c>
      <c r="F455">
        <v>27</v>
      </c>
      <c r="G455">
        <v>68</v>
      </c>
      <c r="H455">
        <v>78</v>
      </c>
      <c r="I455" t="s">
        <v>6309</v>
      </c>
      <c r="J455">
        <v>70</v>
      </c>
      <c r="K455">
        <v>198</v>
      </c>
      <c r="L455" t="s">
        <v>5007</v>
      </c>
      <c r="M455" s="6" t="s">
        <v>6733</v>
      </c>
      <c r="N455" s="6" t="s">
        <v>6565</v>
      </c>
      <c r="O455" s="6">
        <v>66</v>
      </c>
      <c r="P455" s="6">
        <v>67</v>
      </c>
      <c r="Q455" s="6">
        <v>70</v>
      </c>
      <c r="R455" s="6">
        <v>73</v>
      </c>
      <c r="S455" s="6">
        <v>69</v>
      </c>
      <c r="T455" s="6">
        <v>66</v>
      </c>
      <c r="U455" s="6">
        <v>69</v>
      </c>
      <c r="V455" s="6">
        <v>71</v>
      </c>
      <c r="W455" s="6">
        <v>67</v>
      </c>
      <c r="X455" s="6">
        <v>65</v>
      </c>
      <c r="Y455" s="6">
        <v>73</v>
      </c>
      <c r="Z455" s="6">
        <v>57</v>
      </c>
      <c r="AA455" s="6">
        <v>69</v>
      </c>
      <c r="AB455" s="6">
        <v>67</v>
      </c>
      <c r="AC455" s="6">
        <v>65</v>
      </c>
      <c r="AD455" s="6">
        <v>70</v>
      </c>
      <c r="AE455" s="6">
        <v>65</v>
      </c>
      <c r="AF455" s="6">
        <v>68</v>
      </c>
      <c r="AG455" s="6" t="s">
        <v>7046</v>
      </c>
      <c r="AH455" s="6" t="s">
        <v>6723</v>
      </c>
    </row>
    <row r="456" spans="1:34" x14ac:dyDescent="0.2">
      <c r="A456" t="s">
        <v>3340</v>
      </c>
      <c r="B456" t="s">
        <v>1604</v>
      </c>
      <c r="C456" t="s">
        <v>2879</v>
      </c>
      <c r="D456" s="7" t="s">
        <v>137</v>
      </c>
      <c r="E456" t="s">
        <v>38</v>
      </c>
      <c r="F456">
        <v>31</v>
      </c>
      <c r="G456">
        <v>69</v>
      </c>
      <c r="H456">
        <v>78</v>
      </c>
      <c r="I456" t="s">
        <v>6350</v>
      </c>
      <c r="J456">
        <v>74</v>
      </c>
      <c r="K456">
        <v>321</v>
      </c>
      <c r="L456" t="s">
        <v>5034</v>
      </c>
      <c r="M456" s="6" t="s">
        <v>6558</v>
      </c>
      <c r="N456" s="6" t="s">
        <v>6567</v>
      </c>
      <c r="O456" s="6">
        <v>60</v>
      </c>
      <c r="P456" s="6">
        <v>74</v>
      </c>
      <c r="Q456" s="6">
        <v>71</v>
      </c>
      <c r="R456" s="6">
        <v>68</v>
      </c>
      <c r="S456" s="6">
        <v>75</v>
      </c>
      <c r="T456" s="6">
        <v>71</v>
      </c>
      <c r="U456" s="6">
        <v>82</v>
      </c>
      <c r="V456" s="6">
        <v>76</v>
      </c>
      <c r="W456" s="6">
        <v>79</v>
      </c>
      <c r="X456" s="6">
        <v>85</v>
      </c>
      <c r="Y456" s="6">
        <v>76</v>
      </c>
      <c r="Z456" s="6">
        <v>76</v>
      </c>
      <c r="AA456" s="6">
        <v>67</v>
      </c>
      <c r="AB456" s="6">
        <v>66</v>
      </c>
      <c r="AC456" s="6">
        <v>70</v>
      </c>
      <c r="AD456" s="6">
        <v>73</v>
      </c>
      <c r="AE456" s="6">
        <v>65</v>
      </c>
      <c r="AF456" s="6">
        <v>65</v>
      </c>
      <c r="AG456" s="6" t="s">
        <v>7073</v>
      </c>
      <c r="AH456" s="6" t="s">
        <v>6806</v>
      </c>
    </row>
    <row r="457" spans="1:34" x14ac:dyDescent="0.2">
      <c r="A457" t="s">
        <v>3376</v>
      </c>
      <c r="B457" t="s">
        <v>1640</v>
      </c>
      <c r="C457" t="s">
        <v>2872</v>
      </c>
      <c r="D457" s="7" t="s">
        <v>138</v>
      </c>
      <c r="E457" t="s">
        <v>58</v>
      </c>
      <c r="F457">
        <v>34</v>
      </c>
      <c r="G457">
        <v>76</v>
      </c>
      <c r="H457">
        <v>78</v>
      </c>
      <c r="I457" t="s">
        <v>6383</v>
      </c>
      <c r="J457">
        <v>79</v>
      </c>
      <c r="K457">
        <v>327</v>
      </c>
      <c r="L457" t="s">
        <v>5070</v>
      </c>
      <c r="M457" s="6" t="s">
        <v>6558</v>
      </c>
      <c r="N457" s="6" t="s">
        <v>6567</v>
      </c>
      <c r="O457" s="6">
        <v>85</v>
      </c>
      <c r="P457" s="6">
        <v>79</v>
      </c>
      <c r="Q457" s="6">
        <v>75</v>
      </c>
      <c r="R457" s="6">
        <v>68</v>
      </c>
      <c r="S457" s="6">
        <v>77</v>
      </c>
      <c r="T457" s="6">
        <v>68</v>
      </c>
      <c r="U457" s="6">
        <v>67</v>
      </c>
      <c r="V457" s="6">
        <v>79</v>
      </c>
      <c r="W457" s="6">
        <v>72</v>
      </c>
      <c r="X457" s="6">
        <v>72</v>
      </c>
      <c r="Y457" s="6">
        <v>77</v>
      </c>
      <c r="Z457" s="6">
        <v>66</v>
      </c>
      <c r="AA457" s="6">
        <v>59</v>
      </c>
      <c r="AB457" s="6">
        <v>66</v>
      </c>
      <c r="AC457" s="6">
        <v>58</v>
      </c>
      <c r="AD457" s="6">
        <v>66</v>
      </c>
      <c r="AE457" s="6">
        <v>66</v>
      </c>
      <c r="AF457" s="6">
        <v>67</v>
      </c>
      <c r="AG457" s="6" t="s">
        <v>7111</v>
      </c>
      <c r="AH457" s="6" t="s">
        <v>6593</v>
      </c>
    </row>
    <row r="458" spans="1:34" x14ac:dyDescent="0.2">
      <c r="A458" t="s">
        <v>3378</v>
      </c>
      <c r="B458" t="s">
        <v>1642</v>
      </c>
      <c r="C458" t="s">
        <v>2874</v>
      </c>
      <c r="D458" s="7" t="s">
        <v>138</v>
      </c>
      <c r="E458" t="s">
        <v>38</v>
      </c>
      <c r="F458">
        <v>26</v>
      </c>
      <c r="G458">
        <v>90</v>
      </c>
      <c r="H458">
        <v>78</v>
      </c>
      <c r="I458" t="s">
        <v>6385</v>
      </c>
      <c r="J458">
        <v>75</v>
      </c>
      <c r="K458">
        <v>308</v>
      </c>
      <c r="L458" t="s">
        <v>5072</v>
      </c>
      <c r="M458" s="6" t="s">
        <v>6558</v>
      </c>
      <c r="N458" s="6" t="s">
        <v>6583</v>
      </c>
      <c r="O458" s="6">
        <v>75</v>
      </c>
      <c r="P458" s="6">
        <v>73</v>
      </c>
      <c r="Q458" s="6">
        <v>86</v>
      </c>
      <c r="R458" s="6">
        <v>81</v>
      </c>
      <c r="S458" s="6">
        <v>74</v>
      </c>
      <c r="T458" s="6">
        <v>74</v>
      </c>
      <c r="U458" s="6">
        <v>76</v>
      </c>
      <c r="V458" s="6">
        <v>75</v>
      </c>
      <c r="W458" s="6">
        <v>80</v>
      </c>
      <c r="X458" s="6">
        <v>73</v>
      </c>
      <c r="Y458" s="6">
        <v>75</v>
      </c>
      <c r="Z458" s="6">
        <v>78</v>
      </c>
      <c r="AA458" s="6">
        <v>75</v>
      </c>
      <c r="AB458" s="6">
        <v>81</v>
      </c>
      <c r="AC458" s="6">
        <v>78</v>
      </c>
      <c r="AD458" s="6">
        <v>76</v>
      </c>
      <c r="AE458" s="6">
        <v>71</v>
      </c>
      <c r="AF458" s="6">
        <v>70</v>
      </c>
      <c r="AG458" s="6" t="s">
        <v>7113</v>
      </c>
      <c r="AH458" s="6" t="s">
        <v>6598</v>
      </c>
    </row>
    <row r="459" spans="1:34" x14ac:dyDescent="0.2">
      <c r="A459" t="s">
        <v>3393</v>
      </c>
      <c r="B459" t="s">
        <v>1657</v>
      </c>
      <c r="C459" t="s">
        <v>61</v>
      </c>
      <c r="D459" s="7" t="s">
        <v>138</v>
      </c>
      <c r="E459" t="s">
        <v>38</v>
      </c>
      <c r="F459">
        <v>25</v>
      </c>
      <c r="G459">
        <v>84</v>
      </c>
      <c r="H459">
        <v>78</v>
      </c>
      <c r="I459" t="s">
        <v>6400</v>
      </c>
      <c r="J459">
        <v>68</v>
      </c>
      <c r="K459">
        <v>206</v>
      </c>
      <c r="L459" t="s">
        <v>5087</v>
      </c>
      <c r="M459" s="6" t="s">
        <v>6558</v>
      </c>
      <c r="N459" s="6" t="s">
        <v>6565</v>
      </c>
      <c r="O459" s="6">
        <v>73</v>
      </c>
      <c r="P459" s="6">
        <v>78</v>
      </c>
      <c r="Q459" s="6">
        <v>82</v>
      </c>
      <c r="R459" s="6">
        <v>75</v>
      </c>
      <c r="S459" s="6">
        <v>85</v>
      </c>
      <c r="T459" s="6">
        <v>69</v>
      </c>
      <c r="U459" s="6">
        <v>76</v>
      </c>
      <c r="V459" s="6">
        <v>73</v>
      </c>
      <c r="W459" s="6">
        <v>72</v>
      </c>
      <c r="X459" s="6">
        <v>74</v>
      </c>
      <c r="Y459" s="6">
        <v>74</v>
      </c>
      <c r="Z459" s="6">
        <v>81</v>
      </c>
      <c r="AA459" s="6">
        <v>71</v>
      </c>
      <c r="AB459" s="6">
        <v>84</v>
      </c>
      <c r="AC459" s="6">
        <v>79</v>
      </c>
      <c r="AD459" s="6">
        <v>83</v>
      </c>
      <c r="AE459" s="6">
        <v>80</v>
      </c>
      <c r="AF459" s="6">
        <v>85</v>
      </c>
      <c r="AG459" s="6" t="s">
        <v>7128</v>
      </c>
      <c r="AH459" s="6" t="s">
        <v>6630</v>
      </c>
    </row>
    <row r="460" spans="1:34" x14ac:dyDescent="0.2">
      <c r="A460" t="s">
        <v>3494</v>
      </c>
      <c r="B460" t="s">
        <v>1758</v>
      </c>
      <c r="C460" t="s">
        <v>2877</v>
      </c>
      <c r="D460" s="7" t="s">
        <v>140</v>
      </c>
      <c r="E460" t="s">
        <v>38</v>
      </c>
      <c r="F460">
        <v>29</v>
      </c>
      <c r="G460">
        <v>72</v>
      </c>
      <c r="H460">
        <v>78</v>
      </c>
      <c r="I460" t="s">
        <v>6339</v>
      </c>
      <c r="J460">
        <v>78</v>
      </c>
      <c r="K460">
        <v>317</v>
      </c>
      <c r="L460" t="s">
        <v>5188</v>
      </c>
      <c r="M460" s="6" t="s">
        <v>6558</v>
      </c>
      <c r="N460" s="6" t="s">
        <v>6565</v>
      </c>
      <c r="O460" s="6">
        <v>69</v>
      </c>
      <c r="P460" s="6">
        <v>85</v>
      </c>
      <c r="Q460" s="6">
        <v>71</v>
      </c>
      <c r="R460" s="6">
        <v>71</v>
      </c>
      <c r="S460" s="6">
        <v>81</v>
      </c>
      <c r="T460" s="6">
        <v>69</v>
      </c>
      <c r="U460" s="6">
        <v>88</v>
      </c>
      <c r="V460" s="6">
        <v>84</v>
      </c>
      <c r="W460" s="6">
        <v>81</v>
      </c>
      <c r="X460" s="6">
        <v>83</v>
      </c>
      <c r="Y460" s="6">
        <v>71</v>
      </c>
      <c r="Z460" s="6">
        <v>77</v>
      </c>
      <c r="AA460" s="6">
        <v>72</v>
      </c>
      <c r="AB460" s="6">
        <v>68</v>
      </c>
      <c r="AC460" s="6">
        <v>75</v>
      </c>
      <c r="AD460" s="6">
        <v>66</v>
      </c>
      <c r="AE460" s="6">
        <v>65</v>
      </c>
      <c r="AF460" s="6">
        <v>70</v>
      </c>
      <c r="AG460" s="6" t="s">
        <v>7230</v>
      </c>
      <c r="AH460" s="6" t="s">
        <v>6680</v>
      </c>
    </row>
    <row r="461" spans="1:34" x14ac:dyDescent="0.2">
      <c r="A461" t="s">
        <v>3512</v>
      </c>
      <c r="B461" t="s">
        <v>1776</v>
      </c>
      <c r="C461" t="s">
        <v>61</v>
      </c>
      <c r="D461" s="7" t="s">
        <v>140</v>
      </c>
      <c r="E461" t="s">
        <v>58</v>
      </c>
      <c r="F461">
        <v>30</v>
      </c>
      <c r="G461">
        <v>68</v>
      </c>
      <c r="H461">
        <v>78</v>
      </c>
      <c r="I461" t="s">
        <v>6302</v>
      </c>
      <c r="J461">
        <v>73</v>
      </c>
      <c r="K461">
        <v>200</v>
      </c>
      <c r="L461" t="s">
        <v>5206</v>
      </c>
      <c r="M461" s="6" t="s">
        <v>6558</v>
      </c>
      <c r="N461" s="6" t="s">
        <v>6565</v>
      </c>
      <c r="O461" s="6">
        <v>82</v>
      </c>
      <c r="P461" s="6">
        <v>75</v>
      </c>
      <c r="Q461" s="6">
        <v>78</v>
      </c>
      <c r="R461" s="6">
        <v>71</v>
      </c>
      <c r="S461" s="6">
        <v>84</v>
      </c>
      <c r="T461" s="6">
        <v>65</v>
      </c>
      <c r="U461" s="6">
        <v>73</v>
      </c>
      <c r="V461" s="6">
        <v>73</v>
      </c>
      <c r="W461" s="6">
        <v>72</v>
      </c>
      <c r="X461" s="6">
        <v>75</v>
      </c>
      <c r="Y461" s="6">
        <v>81</v>
      </c>
      <c r="Z461" s="6">
        <v>84</v>
      </c>
      <c r="AA461" s="6">
        <v>69</v>
      </c>
      <c r="AB461" s="6">
        <v>74</v>
      </c>
      <c r="AC461" s="6">
        <v>69</v>
      </c>
      <c r="AD461" s="6">
        <v>63</v>
      </c>
      <c r="AE461" s="6">
        <v>71</v>
      </c>
      <c r="AF461" s="6">
        <v>72</v>
      </c>
      <c r="AG461" s="6" t="s">
        <v>7248</v>
      </c>
      <c r="AH461" s="6" t="s">
        <v>6696</v>
      </c>
    </row>
    <row r="462" spans="1:34" x14ac:dyDescent="0.2">
      <c r="A462" t="s">
        <v>3519</v>
      </c>
      <c r="B462" t="s">
        <v>1783</v>
      </c>
      <c r="C462" t="s">
        <v>2885</v>
      </c>
      <c r="D462" s="7" t="s">
        <v>140</v>
      </c>
      <c r="E462" t="s">
        <v>38</v>
      </c>
      <c r="F462">
        <v>25</v>
      </c>
      <c r="G462">
        <v>89</v>
      </c>
      <c r="H462">
        <v>78</v>
      </c>
      <c r="I462" t="s">
        <v>59</v>
      </c>
      <c r="J462">
        <v>74</v>
      </c>
      <c r="K462">
        <v>230</v>
      </c>
      <c r="L462" t="s">
        <v>5213</v>
      </c>
      <c r="M462" s="6" t="s">
        <v>6558</v>
      </c>
      <c r="N462" s="6" t="s">
        <v>6565</v>
      </c>
      <c r="O462" s="6">
        <v>78</v>
      </c>
      <c r="P462" s="6">
        <v>76</v>
      </c>
      <c r="Q462" s="6">
        <v>68</v>
      </c>
      <c r="R462" s="6">
        <v>74</v>
      </c>
      <c r="S462" s="6">
        <v>74</v>
      </c>
      <c r="T462" s="6">
        <v>74</v>
      </c>
      <c r="U462" s="6">
        <v>78</v>
      </c>
      <c r="V462" s="6">
        <v>74</v>
      </c>
      <c r="W462" s="6">
        <v>75</v>
      </c>
      <c r="X462" s="6">
        <v>85</v>
      </c>
      <c r="Y462" s="6">
        <v>77</v>
      </c>
      <c r="Z462" s="6">
        <v>74</v>
      </c>
      <c r="AA462" s="6">
        <v>75</v>
      </c>
      <c r="AB462" s="6">
        <v>74</v>
      </c>
      <c r="AC462" s="6">
        <v>67</v>
      </c>
      <c r="AD462" s="6">
        <v>76</v>
      </c>
      <c r="AE462" s="6">
        <v>73</v>
      </c>
      <c r="AF462" s="6">
        <v>70</v>
      </c>
      <c r="AG462" s="6" t="s">
        <v>7256</v>
      </c>
      <c r="AH462" s="6" t="s">
        <v>6628</v>
      </c>
    </row>
    <row r="463" spans="1:34" x14ac:dyDescent="0.2">
      <c r="A463" t="s">
        <v>3521</v>
      </c>
      <c r="B463" t="s">
        <v>1785</v>
      </c>
      <c r="C463" t="s">
        <v>2886</v>
      </c>
      <c r="D463" s="7" t="s">
        <v>140</v>
      </c>
      <c r="E463" t="s">
        <v>38</v>
      </c>
      <c r="F463">
        <v>24</v>
      </c>
      <c r="G463">
        <v>59</v>
      </c>
      <c r="H463">
        <v>78</v>
      </c>
      <c r="I463" t="s">
        <v>6323</v>
      </c>
      <c r="J463">
        <v>75</v>
      </c>
      <c r="K463">
        <v>242</v>
      </c>
      <c r="L463" t="s">
        <v>5215</v>
      </c>
      <c r="M463" s="6" t="s">
        <v>6558</v>
      </c>
      <c r="N463" s="6" t="s">
        <v>6565</v>
      </c>
      <c r="O463" s="6">
        <v>72</v>
      </c>
      <c r="P463" s="6">
        <v>65</v>
      </c>
      <c r="Q463" s="6">
        <v>77</v>
      </c>
      <c r="R463" s="6">
        <v>72</v>
      </c>
      <c r="S463" s="6">
        <v>76</v>
      </c>
      <c r="T463" s="6">
        <v>66</v>
      </c>
      <c r="U463" s="6">
        <v>68</v>
      </c>
      <c r="V463" s="6">
        <v>68</v>
      </c>
      <c r="W463" s="6">
        <v>71</v>
      </c>
      <c r="X463" s="6">
        <v>71</v>
      </c>
      <c r="Y463" s="6">
        <v>77</v>
      </c>
      <c r="Z463" s="6">
        <v>78</v>
      </c>
      <c r="AA463" s="6">
        <v>76</v>
      </c>
      <c r="AB463" s="6">
        <v>68</v>
      </c>
      <c r="AC463" s="6">
        <v>72</v>
      </c>
      <c r="AD463" s="6">
        <v>69</v>
      </c>
      <c r="AE463" s="6">
        <v>66</v>
      </c>
      <c r="AF463" s="6">
        <v>70</v>
      </c>
      <c r="AG463" s="6" t="s">
        <v>7258</v>
      </c>
      <c r="AH463" s="6" t="s">
        <v>6649</v>
      </c>
    </row>
    <row r="464" spans="1:34" x14ac:dyDescent="0.2">
      <c r="A464" t="s">
        <v>3548</v>
      </c>
      <c r="B464" t="s">
        <v>1812</v>
      </c>
      <c r="C464" t="s">
        <v>2887</v>
      </c>
      <c r="D464" s="7" t="s">
        <v>141</v>
      </c>
      <c r="E464" t="s">
        <v>38</v>
      </c>
      <c r="F464">
        <v>33</v>
      </c>
      <c r="G464">
        <v>82</v>
      </c>
      <c r="H464">
        <v>78</v>
      </c>
      <c r="I464" t="s">
        <v>6413</v>
      </c>
      <c r="J464">
        <v>76</v>
      </c>
      <c r="K464">
        <v>334</v>
      </c>
      <c r="L464" t="s">
        <v>5242</v>
      </c>
      <c r="M464" s="6" t="s">
        <v>6558</v>
      </c>
      <c r="N464" s="6" t="s">
        <v>6583</v>
      </c>
      <c r="O464" s="6">
        <v>79</v>
      </c>
      <c r="P464" s="6">
        <v>83</v>
      </c>
      <c r="Q464" s="6">
        <v>75</v>
      </c>
      <c r="R464" s="6">
        <v>76</v>
      </c>
      <c r="S464" s="6">
        <v>83</v>
      </c>
      <c r="T464" s="6">
        <v>80</v>
      </c>
      <c r="U464" s="6">
        <v>82</v>
      </c>
      <c r="V464" s="6">
        <v>87</v>
      </c>
      <c r="W464" s="6">
        <v>79</v>
      </c>
      <c r="X464" s="6">
        <v>92</v>
      </c>
      <c r="Y464" s="6">
        <v>83</v>
      </c>
      <c r="Z464" s="6">
        <v>81</v>
      </c>
      <c r="AA464" s="6">
        <v>71</v>
      </c>
      <c r="AB464" s="6">
        <v>70</v>
      </c>
      <c r="AC464" s="6">
        <v>73</v>
      </c>
      <c r="AD464" s="6">
        <v>71</v>
      </c>
      <c r="AE464" s="6">
        <v>64</v>
      </c>
      <c r="AF464" s="6">
        <v>77</v>
      </c>
      <c r="AG464" s="6" t="s">
        <v>7285</v>
      </c>
      <c r="AH464" s="6" t="s">
        <v>6598</v>
      </c>
    </row>
    <row r="465" spans="1:34" x14ac:dyDescent="0.2">
      <c r="A465" t="s">
        <v>3554</v>
      </c>
      <c r="B465" t="s">
        <v>1818</v>
      </c>
      <c r="C465" t="s">
        <v>2878</v>
      </c>
      <c r="D465" s="7" t="s">
        <v>141</v>
      </c>
      <c r="E465" t="s">
        <v>38</v>
      </c>
      <c r="F465">
        <v>23</v>
      </c>
      <c r="G465">
        <v>76</v>
      </c>
      <c r="H465">
        <v>78</v>
      </c>
      <c r="I465" t="s">
        <v>6415</v>
      </c>
      <c r="J465">
        <v>77</v>
      </c>
      <c r="K465">
        <v>272</v>
      </c>
      <c r="L465" t="s">
        <v>5248</v>
      </c>
      <c r="M465" s="6" t="s">
        <v>6558</v>
      </c>
      <c r="N465" s="6" t="s">
        <v>6614</v>
      </c>
      <c r="O465" s="6">
        <v>66</v>
      </c>
      <c r="P465" s="6">
        <v>71</v>
      </c>
      <c r="Q465" s="6">
        <v>75</v>
      </c>
      <c r="R465" s="6">
        <v>59</v>
      </c>
      <c r="S465" s="6">
        <v>82</v>
      </c>
      <c r="T465" s="6">
        <v>65</v>
      </c>
      <c r="U465" s="6">
        <v>64</v>
      </c>
      <c r="V465" s="6">
        <v>71</v>
      </c>
      <c r="W465" s="6">
        <v>71</v>
      </c>
      <c r="X465" s="6">
        <v>72</v>
      </c>
      <c r="Y465" s="6">
        <v>69</v>
      </c>
      <c r="Z465" s="6">
        <v>75</v>
      </c>
      <c r="AA465" s="6">
        <v>68</v>
      </c>
      <c r="AB465" s="6">
        <v>66</v>
      </c>
      <c r="AC465" s="6">
        <v>62</v>
      </c>
      <c r="AD465" s="6">
        <v>71</v>
      </c>
      <c r="AE465" s="6">
        <v>73</v>
      </c>
      <c r="AF465" s="6">
        <v>73</v>
      </c>
      <c r="AG465" s="6" t="s">
        <v>7291</v>
      </c>
      <c r="AH465" s="6" t="s">
        <v>6797</v>
      </c>
    </row>
    <row r="466" spans="1:34" x14ac:dyDescent="0.2">
      <c r="A466" t="s">
        <v>3555</v>
      </c>
      <c r="B466" t="s">
        <v>1819</v>
      </c>
      <c r="C466" t="s">
        <v>2878</v>
      </c>
      <c r="D466" s="7" t="s">
        <v>141</v>
      </c>
      <c r="E466" t="s">
        <v>38</v>
      </c>
      <c r="F466">
        <v>27</v>
      </c>
      <c r="G466">
        <v>71</v>
      </c>
      <c r="H466">
        <v>78</v>
      </c>
      <c r="I466" t="s">
        <v>6343</v>
      </c>
      <c r="J466">
        <v>76</v>
      </c>
      <c r="K466">
        <v>259</v>
      </c>
      <c r="L466" t="s">
        <v>5249</v>
      </c>
      <c r="M466" s="6" t="s">
        <v>6558</v>
      </c>
      <c r="N466" s="6" t="s">
        <v>6583</v>
      </c>
      <c r="O466" s="6">
        <v>67</v>
      </c>
      <c r="P466" s="6">
        <v>72</v>
      </c>
      <c r="Q466" s="6">
        <v>74</v>
      </c>
      <c r="R466" s="6">
        <v>78</v>
      </c>
      <c r="S466" s="6">
        <v>80</v>
      </c>
      <c r="T466" s="6">
        <v>75</v>
      </c>
      <c r="U466" s="6">
        <v>69</v>
      </c>
      <c r="V466" s="6">
        <v>72</v>
      </c>
      <c r="W466" s="6">
        <v>63</v>
      </c>
      <c r="X466" s="6">
        <v>63</v>
      </c>
      <c r="Y466" s="6">
        <v>69</v>
      </c>
      <c r="Z466" s="6">
        <v>70</v>
      </c>
      <c r="AA466" s="6">
        <v>70</v>
      </c>
      <c r="AB466" s="6">
        <v>67</v>
      </c>
      <c r="AC466" s="6">
        <v>71</v>
      </c>
      <c r="AD466" s="6">
        <v>64</v>
      </c>
      <c r="AE466" s="6">
        <v>64</v>
      </c>
      <c r="AF466" s="6">
        <v>74</v>
      </c>
      <c r="AG466" s="6" t="s">
        <v>7292</v>
      </c>
      <c r="AH466" s="6" t="s">
        <v>6612</v>
      </c>
    </row>
    <row r="467" spans="1:34" x14ac:dyDescent="0.2">
      <c r="A467" t="s">
        <v>3556</v>
      </c>
      <c r="B467" t="s">
        <v>1820</v>
      </c>
      <c r="C467" t="s">
        <v>2878</v>
      </c>
      <c r="D467" s="7" t="s">
        <v>141</v>
      </c>
      <c r="E467" t="s">
        <v>58</v>
      </c>
      <c r="F467">
        <v>30</v>
      </c>
      <c r="G467">
        <v>69</v>
      </c>
      <c r="H467">
        <v>78</v>
      </c>
      <c r="I467" t="s">
        <v>6344</v>
      </c>
      <c r="J467">
        <v>77</v>
      </c>
      <c r="K467">
        <v>265</v>
      </c>
      <c r="L467" t="s">
        <v>5250</v>
      </c>
      <c r="M467" s="6" t="s">
        <v>6558</v>
      </c>
      <c r="N467" s="6" t="s">
        <v>6614</v>
      </c>
      <c r="O467" s="6">
        <v>86</v>
      </c>
      <c r="P467" s="6">
        <v>72</v>
      </c>
      <c r="Q467" s="6">
        <v>70</v>
      </c>
      <c r="R467" s="6">
        <v>55</v>
      </c>
      <c r="S467" s="6">
        <v>83</v>
      </c>
      <c r="T467" s="6">
        <v>72</v>
      </c>
      <c r="U467" s="6">
        <v>79</v>
      </c>
      <c r="V467" s="6">
        <v>73</v>
      </c>
      <c r="W467" s="6">
        <v>75</v>
      </c>
      <c r="X467" s="6">
        <v>72</v>
      </c>
      <c r="Y467" s="6">
        <v>71</v>
      </c>
      <c r="Z467" s="6">
        <v>72</v>
      </c>
      <c r="AA467" s="6">
        <v>69</v>
      </c>
      <c r="AB467" s="6">
        <v>66</v>
      </c>
      <c r="AC467" s="6">
        <v>66</v>
      </c>
      <c r="AD467" s="6">
        <v>72</v>
      </c>
      <c r="AE467" s="6">
        <v>61</v>
      </c>
      <c r="AF467" s="6">
        <v>68</v>
      </c>
      <c r="AG467" s="6" t="s">
        <v>7293</v>
      </c>
      <c r="AH467" s="6" t="s">
        <v>6682</v>
      </c>
    </row>
    <row r="468" spans="1:34" x14ac:dyDescent="0.2">
      <c r="A468" t="s">
        <v>3560</v>
      </c>
      <c r="B468" t="s">
        <v>1824</v>
      </c>
      <c r="C468" t="s">
        <v>2879</v>
      </c>
      <c r="D468" s="7" t="s">
        <v>141</v>
      </c>
      <c r="E468" t="s">
        <v>38</v>
      </c>
      <c r="F468">
        <v>26</v>
      </c>
      <c r="G468">
        <v>69</v>
      </c>
      <c r="H468">
        <v>78</v>
      </c>
      <c r="I468" t="s">
        <v>6411</v>
      </c>
      <c r="J468">
        <v>75</v>
      </c>
      <c r="K468">
        <v>317</v>
      </c>
      <c r="L468" t="s">
        <v>5254</v>
      </c>
      <c r="M468" s="6" t="s">
        <v>6558</v>
      </c>
      <c r="N468" s="6" t="s">
        <v>6567</v>
      </c>
      <c r="O468" s="6">
        <v>62</v>
      </c>
      <c r="P468" s="6">
        <v>70</v>
      </c>
      <c r="Q468" s="6">
        <v>73</v>
      </c>
      <c r="R468" s="6">
        <v>64</v>
      </c>
      <c r="S468" s="6">
        <v>75</v>
      </c>
      <c r="T468" s="6">
        <v>71</v>
      </c>
      <c r="U468" s="6">
        <v>69</v>
      </c>
      <c r="V468" s="6">
        <v>76</v>
      </c>
      <c r="W468" s="6">
        <v>75</v>
      </c>
      <c r="X468" s="6">
        <v>70</v>
      </c>
      <c r="Y468" s="6">
        <v>77</v>
      </c>
      <c r="Z468" s="6">
        <v>72</v>
      </c>
      <c r="AA468" s="6">
        <v>71</v>
      </c>
      <c r="AB468" s="6">
        <v>70</v>
      </c>
      <c r="AC468" s="6">
        <v>70</v>
      </c>
      <c r="AD468" s="6">
        <v>68</v>
      </c>
      <c r="AE468" s="6">
        <v>69</v>
      </c>
      <c r="AF468" s="6">
        <v>70</v>
      </c>
      <c r="AG468" s="6" t="s">
        <v>7297</v>
      </c>
      <c r="AH468" s="6" t="s">
        <v>6855</v>
      </c>
    </row>
    <row r="469" spans="1:34" x14ac:dyDescent="0.2">
      <c r="A469" t="s">
        <v>3562</v>
      </c>
      <c r="B469" t="s">
        <v>1826</v>
      </c>
      <c r="C469" t="s">
        <v>2880</v>
      </c>
      <c r="D469" s="7" t="s">
        <v>141</v>
      </c>
      <c r="E469" t="s">
        <v>38</v>
      </c>
      <c r="F469">
        <v>28</v>
      </c>
      <c r="G469">
        <v>70</v>
      </c>
      <c r="H469">
        <v>78</v>
      </c>
      <c r="I469" t="s">
        <v>6409</v>
      </c>
      <c r="J469">
        <v>75</v>
      </c>
      <c r="K469">
        <v>257</v>
      </c>
      <c r="L469" t="s">
        <v>5256</v>
      </c>
      <c r="M469" s="6" t="s">
        <v>6558</v>
      </c>
      <c r="N469" s="6" t="s">
        <v>6567</v>
      </c>
      <c r="O469" s="6">
        <v>83</v>
      </c>
      <c r="P469" s="6">
        <v>68</v>
      </c>
      <c r="Q469" s="6">
        <v>70</v>
      </c>
      <c r="R469" s="6">
        <v>67</v>
      </c>
      <c r="S469" s="6">
        <v>76</v>
      </c>
      <c r="T469" s="6">
        <v>66</v>
      </c>
      <c r="U469" s="6">
        <v>69</v>
      </c>
      <c r="V469" s="6">
        <v>69</v>
      </c>
      <c r="W469" s="6">
        <v>80</v>
      </c>
      <c r="X469" s="6">
        <v>70</v>
      </c>
      <c r="Y469" s="6">
        <v>65</v>
      </c>
      <c r="Z469" s="6">
        <v>74</v>
      </c>
      <c r="AA469" s="6">
        <v>68</v>
      </c>
      <c r="AB469" s="6">
        <v>70</v>
      </c>
      <c r="AC469" s="6">
        <v>63</v>
      </c>
      <c r="AD469" s="6">
        <v>62</v>
      </c>
      <c r="AE469" s="6">
        <v>68</v>
      </c>
      <c r="AF469" s="6">
        <v>67</v>
      </c>
      <c r="AG469" s="6" t="s">
        <v>7299</v>
      </c>
      <c r="AH469" s="6" t="s">
        <v>6623</v>
      </c>
    </row>
    <row r="470" spans="1:34" x14ac:dyDescent="0.2">
      <c r="A470" t="s">
        <v>3564</v>
      </c>
      <c r="B470" t="s">
        <v>1828</v>
      </c>
      <c r="C470" t="s">
        <v>2881</v>
      </c>
      <c r="D470" s="7" t="s">
        <v>141</v>
      </c>
      <c r="E470" t="s">
        <v>38</v>
      </c>
      <c r="F470">
        <v>23</v>
      </c>
      <c r="G470">
        <v>73</v>
      </c>
      <c r="H470">
        <v>78</v>
      </c>
      <c r="I470" t="s">
        <v>6408</v>
      </c>
      <c r="J470">
        <v>74</v>
      </c>
      <c r="K470">
        <v>238</v>
      </c>
      <c r="L470" t="s">
        <v>5258</v>
      </c>
      <c r="M470" s="6" t="s">
        <v>6558</v>
      </c>
      <c r="N470" s="6" t="s">
        <v>6567</v>
      </c>
      <c r="O470" s="6">
        <v>71</v>
      </c>
      <c r="P470" s="6">
        <v>77</v>
      </c>
      <c r="Q470" s="6">
        <v>73</v>
      </c>
      <c r="R470" s="6">
        <v>69</v>
      </c>
      <c r="S470" s="6">
        <v>74</v>
      </c>
      <c r="T470" s="6">
        <v>71</v>
      </c>
      <c r="U470" s="6">
        <v>79</v>
      </c>
      <c r="V470" s="6">
        <v>71</v>
      </c>
      <c r="W470" s="6">
        <v>90</v>
      </c>
      <c r="X470" s="6">
        <v>73</v>
      </c>
      <c r="Y470" s="6">
        <v>78</v>
      </c>
      <c r="Z470" s="6">
        <v>70</v>
      </c>
      <c r="AA470" s="6">
        <v>68</v>
      </c>
      <c r="AB470" s="6">
        <v>72</v>
      </c>
      <c r="AC470" s="6">
        <v>66</v>
      </c>
      <c r="AD470" s="6">
        <v>72</v>
      </c>
      <c r="AE470" s="6">
        <v>72</v>
      </c>
      <c r="AF470" s="6">
        <v>68</v>
      </c>
      <c r="AG470" s="6" t="s">
        <v>7301</v>
      </c>
      <c r="AH470" s="6" t="s">
        <v>6628</v>
      </c>
    </row>
    <row r="471" spans="1:34" x14ac:dyDescent="0.2">
      <c r="A471" t="s">
        <v>3593</v>
      </c>
      <c r="B471" t="s">
        <v>1857</v>
      </c>
      <c r="C471" t="s">
        <v>2871</v>
      </c>
      <c r="D471" s="7" t="s">
        <v>142</v>
      </c>
      <c r="E471" t="s">
        <v>38</v>
      </c>
      <c r="F471">
        <v>24</v>
      </c>
      <c r="G471">
        <v>80</v>
      </c>
      <c r="H471">
        <v>78</v>
      </c>
      <c r="I471" t="s">
        <v>6433</v>
      </c>
      <c r="J471">
        <v>76</v>
      </c>
      <c r="K471">
        <v>250</v>
      </c>
      <c r="L471" t="s">
        <v>5287</v>
      </c>
      <c r="M471" s="6" t="s">
        <v>6558</v>
      </c>
      <c r="N471" s="6" t="s">
        <v>6565</v>
      </c>
      <c r="O471" s="6">
        <v>76</v>
      </c>
      <c r="P471" s="6">
        <v>75</v>
      </c>
      <c r="Q471" s="6">
        <v>72</v>
      </c>
      <c r="R471" s="6">
        <v>73</v>
      </c>
      <c r="S471" s="6">
        <v>74</v>
      </c>
      <c r="T471" s="6">
        <v>74</v>
      </c>
      <c r="U471" s="6">
        <v>62</v>
      </c>
      <c r="V471" s="6">
        <v>78</v>
      </c>
      <c r="W471" s="6">
        <v>71</v>
      </c>
      <c r="X471" s="6">
        <v>72</v>
      </c>
      <c r="Y471" s="6">
        <v>80</v>
      </c>
      <c r="Z471" s="6">
        <v>67</v>
      </c>
      <c r="AA471" s="6">
        <v>74</v>
      </c>
      <c r="AB471" s="6">
        <v>73</v>
      </c>
      <c r="AC471" s="6">
        <v>69</v>
      </c>
      <c r="AD471" s="6">
        <v>69</v>
      </c>
      <c r="AE471" s="6">
        <v>70</v>
      </c>
      <c r="AF471" s="6">
        <v>69</v>
      </c>
      <c r="AG471" s="6" t="s">
        <v>7329</v>
      </c>
      <c r="AH471" s="6" t="s">
        <v>6585</v>
      </c>
    </row>
    <row r="472" spans="1:34" x14ac:dyDescent="0.2">
      <c r="A472" t="s">
        <v>3605</v>
      </c>
      <c r="B472" t="s">
        <v>1869</v>
      </c>
      <c r="C472" t="s">
        <v>2878</v>
      </c>
      <c r="D472" s="7" t="s">
        <v>142</v>
      </c>
      <c r="E472" t="s">
        <v>38</v>
      </c>
      <c r="F472">
        <v>30</v>
      </c>
      <c r="G472">
        <v>75</v>
      </c>
      <c r="H472">
        <v>78</v>
      </c>
      <c r="I472" t="s">
        <v>6470</v>
      </c>
      <c r="J472">
        <v>76</v>
      </c>
      <c r="K472">
        <v>269</v>
      </c>
      <c r="L472" t="s">
        <v>5299</v>
      </c>
      <c r="M472" s="6" t="s">
        <v>6558</v>
      </c>
      <c r="N472" s="6" t="s">
        <v>6565</v>
      </c>
      <c r="O472" s="6">
        <v>74</v>
      </c>
      <c r="P472" s="6">
        <v>78</v>
      </c>
      <c r="Q472" s="6">
        <v>75</v>
      </c>
      <c r="R472" s="6">
        <v>73</v>
      </c>
      <c r="S472" s="6">
        <v>96</v>
      </c>
      <c r="T472" s="6">
        <v>78</v>
      </c>
      <c r="U472" s="6">
        <v>73</v>
      </c>
      <c r="V472" s="6">
        <v>73</v>
      </c>
      <c r="W472" s="6">
        <v>71</v>
      </c>
      <c r="X472" s="6">
        <v>82</v>
      </c>
      <c r="Y472" s="6">
        <v>83</v>
      </c>
      <c r="Z472" s="6">
        <v>63</v>
      </c>
      <c r="AA472" s="6">
        <v>72</v>
      </c>
      <c r="AB472" s="6">
        <v>74</v>
      </c>
      <c r="AC472" s="6">
        <v>71</v>
      </c>
      <c r="AD472" s="6">
        <v>69</v>
      </c>
      <c r="AE472" s="6">
        <v>72</v>
      </c>
      <c r="AF472" s="6">
        <v>70</v>
      </c>
      <c r="AG472" s="6" t="s">
        <v>7340</v>
      </c>
      <c r="AH472" s="6" t="s">
        <v>6682</v>
      </c>
    </row>
    <row r="473" spans="1:34" x14ac:dyDescent="0.2">
      <c r="A473" t="s">
        <v>3631</v>
      </c>
      <c r="B473" t="s">
        <v>1895</v>
      </c>
      <c r="C473" t="s">
        <v>2890</v>
      </c>
      <c r="D473" s="7" t="s">
        <v>142</v>
      </c>
      <c r="E473" t="s">
        <v>58</v>
      </c>
      <c r="F473">
        <v>26</v>
      </c>
      <c r="G473">
        <v>69</v>
      </c>
      <c r="H473">
        <v>78</v>
      </c>
      <c r="I473" t="s">
        <v>6468</v>
      </c>
      <c r="J473">
        <v>71</v>
      </c>
      <c r="K473">
        <v>201</v>
      </c>
      <c r="L473" t="s">
        <v>5325</v>
      </c>
      <c r="M473" s="6" t="s">
        <v>6558</v>
      </c>
      <c r="N473" s="6" t="s">
        <v>6565</v>
      </c>
      <c r="O473" s="6">
        <v>76</v>
      </c>
      <c r="P473" s="6">
        <v>71</v>
      </c>
      <c r="Q473" s="6">
        <v>75</v>
      </c>
      <c r="R473" s="6">
        <v>70</v>
      </c>
      <c r="S473" s="6">
        <v>73</v>
      </c>
      <c r="T473" s="6">
        <v>67</v>
      </c>
      <c r="U473" s="6">
        <v>69</v>
      </c>
      <c r="V473" s="6">
        <v>72</v>
      </c>
      <c r="W473" s="6">
        <v>78</v>
      </c>
      <c r="X473" s="6">
        <v>64</v>
      </c>
      <c r="Y473" s="6">
        <v>68</v>
      </c>
      <c r="Z473" s="6">
        <v>72</v>
      </c>
      <c r="AA473" s="6">
        <v>71</v>
      </c>
      <c r="AB473" s="6">
        <v>67</v>
      </c>
      <c r="AC473" s="6">
        <v>68</v>
      </c>
      <c r="AD473" s="6">
        <v>68</v>
      </c>
      <c r="AE473" s="6">
        <v>67</v>
      </c>
      <c r="AF473" s="6">
        <v>75</v>
      </c>
      <c r="AG473" s="6" t="s">
        <v>7366</v>
      </c>
      <c r="AH473" s="6" t="s">
        <v>7082</v>
      </c>
    </row>
    <row r="474" spans="1:34" x14ac:dyDescent="0.2">
      <c r="A474" t="s">
        <v>3664</v>
      </c>
      <c r="B474" t="s">
        <v>1928</v>
      </c>
      <c r="C474" t="s">
        <v>2878</v>
      </c>
      <c r="D474" s="7" t="s">
        <v>143</v>
      </c>
      <c r="E474" t="s">
        <v>38</v>
      </c>
      <c r="F474">
        <v>29</v>
      </c>
      <c r="G474">
        <v>72</v>
      </c>
      <c r="H474">
        <v>78</v>
      </c>
      <c r="I474" t="s">
        <v>6426</v>
      </c>
      <c r="J474">
        <v>77</v>
      </c>
      <c r="K474">
        <v>270</v>
      </c>
      <c r="L474" t="s">
        <v>5358</v>
      </c>
      <c r="M474" s="6" t="s">
        <v>6558</v>
      </c>
      <c r="N474" s="6" t="s">
        <v>6565</v>
      </c>
      <c r="O474" s="6">
        <v>76</v>
      </c>
      <c r="P474" s="6">
        <v>68</v>
      </c>
      <c r="Q474" s="6">
        <v>71</v>
      </c>
      <c r="R474" s="6">
        <v>70</v>
      </c>
      <c r="S474" s="6">
        <v>84</v>
      </c>
      <c r="T474" s="6">
        <v>77</v>
      </c>
      <c r="U474" s="6">
        <v>85</v>
      </c>
      <c r="V474" s="6">
        <v>82</v>
      </c>
      <c r="W474" s="6">
        <v>78</v>
      </c>
      <c r="X474" s="6">
        <v>74</v>
      </c>
      <c r="Y474" s="6">
        <v>79</v>
      </c>
      <c r="Z474" s="6">
        <v>78</v>
      </c>
      <c r="AA474" s="6">
        <v>71</v>
      </c>
      <c r="AB474" s="6">
        <v>68</v>
      </c>
      <c r="AC474" s="6">
        <v>73</v>
      </c>
      <c r="AD474" s="6">
        <v>65</v>
      </c>
      <c r="AE474" s="6">
        <v>63</v>
      </c>
      <c r="AF474" s="6">
        <v>73</v>
      </c>
      <c r="AG474" s="6" t="s">
        <v>7399</v>
      </c>
      <c r="AH474" s="6" t="s">
        <v>6686</v>
      </c>
    </row>
    <row r="475" spans="1:34" x14ac:dyDescent="0.2">
      <c r="A475" t="s">
        <v>3691</v>
      </c>
      <c r="B475" t="s">
        <v>1955</v>
      </c>
      <c r="C475" t="s">
        <v>53</v>
      </c>
      <c r="D475" s="7" t="s">
        <v>154</v>
      </c>
      <c r="E475" t="s">
        <v>38</v>
      </c>
      <c r="F475">
        <v>27</v>
      </c>
      <c r="G475">
        <v>81</v>
      </c>
      <c r="H475">
        <v>78</v>
      </c>
      <c r="I475" t="s">
        <v>6370</v>
      </c>
      <c r="J475">
        <v>75</v>
      </c>
      <c r="K475">
        <v>227</v>
      </c>
      <c r="L475" t="s">
        <v>5385</v>
      </c>
      <c r="M475" s="6" t="s">
        <v>6558</v>
      </c>
      <c r="N475" s="6" t="s">
        <v>6559</v>
      </c>
      <c r="O475" s="6">
        <v>91</v>
      </c>
      <c r="P475" s="6">
        <v>86</v>
      </c>
      <c r="Q475" s="6">
        <v>80</v>
      </c>
      <c r="R475" s="6">
        <v>94</v>
      </c>
      <c r="S475" s="6">
        <v>85</v>
      </c>
      <c r="T475" s="6">
        <v>78</v>
      </c>
      <c r="U475" s="6">
        <v>90</v>
      </c>
      <c r="V475" s="6">
        <v>78</v>
      </c>
      <c r="W475" s="6">
        <v>84</v>
      </c>
      <c r="X475" s="6">
        <v>82</v>
      </c>
      <c r="Y475" s="6">
        <v>70</v>
      </c>
      <c r="Z475" s="6">
        <v>81</v>
      </c>
      <c r="AA475" s="6">
        <v>77</v>
      </c>
      <c r="AB475" s="6">
        <v>71</v>
      </c>
      <c r="AC475" s="6">
        <v>81</v>
      </c>
      <c r="AD475" s="6">
        <v>85</v>
      </c>
      <c r="AE475" s="6">
        <v>77</v>
      </c>
      <c r="AF475" s="6">
        <v>84</v>
      </c>
      <c r="AG475" s="6" t="s">
        <v>7428</v>
      </c>
      <c r="AH475" s="6" t="s">
        <v>6770</v>
      </c>
    </row>
    <row r="476" spans="1:34" x14ac:dyDescent="0.2">
      <c r="A476" t="s">
        <v>3695</v>
      </c>
      <c r="B476" t="s">
        <v>1959</v>
      </c>
      <c r="C476" t="s">
        <v>2870</v>
      </c>
      <c r="D476" s="7" t="s">
        <v>154</v>
      </c>
      <c r="E476" t="s">
        <v>38</v>
      </c>
      <c r="F476">
        <v>25</v>
      </c>
      <c r="G476">
        <v>85</v>
      </c>
      <c r="H476">
        <v>78</v>
      </c>
      <c r="I476" t="s">
        <v>6367</v>
      </c>
      <c r="J476">
        <v>68</v>
      </c>
      <c r="K476">
        <v>208</v>
      </c>
      <c r="L476" t="s">
        <v>5389</v>
      </c>
      <c r="M476" s="6" t="s">
        <v>6558</v>
      </c>
      <c r="N476" s="6" t="s">
        <v>6559</v>
      </c>
      <c r="O476" s="6">
        <v>77</v>
      </c>
      <c r="P476" s="6">
        <v>80</v>
      </c>
      <c r="Q476" s="6">
        <v>77</v>
      </c>
      <c r="R476" s="6">
        <v>82</v>
      </c>
      <c r="S476" s="6">
        <v>85</v>
      </c>
      <c r="T476" s="6">
        <v>74</v>
      </c>
      <c r="U476" s="6">
        <v>91</v>
      </c>
      <c r="V476" s="6">
        <v>71</v>
      </c>
      <c r="W476" s="6">
        <v>80</v>
      </c>
      <c r="X476" s="6">
        <v>75</v>
      </c>
      <c r="Y476" s="6">
        <v>91</v>
      </c>
      <c r="Z476" s="6">
        <v>76</v>
      </c>
      <c r="AA476" s="6">
        <v>73</v>
      </c>
      <c r="AB476" s="6">
        <v>85</v>
      </c>
      <c r="AC476" s="6">
        <v>77</v>
      </c>
      <c r="AD476" s="6">
        <v>77</v>
      </c>
      <c r="AE476" s="6">
        <v>84</v>
      </c>
      <c r="AF476" s="6">
        <v>80</v>
      </c>
      <c r="AG476" s="6" t="s">
        <v>7431</v>
      </c>
      <c r="AH476" s="6" t="s">
        <v>6725</v>
      </c>
    </row>
    <row r="477" spans="1:34" x14ac:dyDescent="0.2">
      <c r="A477" t="s">
        <v>3726</v>
      </c>
      <c r="B477" t="s">
        <v>1990</v>
      </c>
      <c r="C477" t="s">
        <v>2879</v>
      </c>
      <c r="D477" s="7" t="s">
        <v>154</v>
      </c>
      <c r="E477" t="s">
        <v>38</v>
      </c>
      <c r="F477">
        <v>26</v>
      </c>
      <c r="G477">
        <v>71</v>
      </c>
      <c r="H477">
        <v>78</v>
      </c>
      <c r="I477" t="s">
        <v>6351</v>
      </c>
      <c r="J477">
        <v>75</v>
      </c>
      <c r="K477">
        <v>303</v>
      </c>
      <c r="L477" t="s">
        <v>5420</v>
      </c>
      <c r="M477" s="6" t="s">
        <v>6558</v>
      </c>
      <c r="N477" s="6" t="s">
        <v>6614</v>
      </c>
      <c r="O477" s="6">
        <v>84</v>
      </c>
      <c r="P477" s="6">
        <v>68</v>
      </c>
      <c r="Q477" s="6">
        <v>74</v>
      </c>
      <c r="R477" s="6">
        <v>62</v>
      </c>
      <c r="S477" s="6">
        <v>73</v>
      </c>
      <c r="T477" s="6">
        <v>68</v>
      </c>
      <c r="U477" s="6">
        <v>72</v>
      </c>
      <c r="V477" s="6">
        <v>79</v>
      </c>
      <c r="W477" s="6">
        <v>82</v>
      </c>
      <c r="X477" s="6">
        <v>73</v>
      </c>
      <c r="Y477" s="6">
        <v>66</v>
      </c>
      <c r="Z477" s="6">
        <v>70</v>
      </c>
      <c r="AA477" s="6">
        <v>70</v>
      </c>
      <c r="AB477" s="6">
        <v>74</v>
      </c>
      <c r="AC477" s="6">
        <v>64</v>
      </c>
      <c r="AD477" s="6">
        <v>69</v>
      </c>
      <c r="AE477" s="6">
        <v>76</v>
      </c>
      <c r="AF477" s="6">
        <v>64</v>
      </c>
      <c r="AG477" s="6" t="s">
        <v>7462</v>
      </c>
      <c r="AH477" s="6" t="s">
        <v>6617</v>
      </c>
    </row>
    <row r="478" spans="1:34" x14ac:dyDescent="0.2">
      <c r="A478" t="s">
        <v>3789</v>
      </c>
      <c r="B478" t="s">
        <v>2053</v>
      </c>
      <c r="C478" t="s">
        <v>2882</v>
      </c>
      <c r="D478" s="7" t="s">
        <v>155</v>
      </c>
      <c r="E478" t="s">
        <v>38</v>
      </c>
      <c r="F478">
        <v>24</v>
      </c>
      <c r="G478">
        <v>84</v>
      </c>
      <c r="H478">
        <v>78</v>
      </c>
      <c r="I478" t="s">
        <v>6493</v>
      </c>
      <c r="J478">
        <v>73</v>
      </c>
      <c r="K478">
        <v>205</v>
      </c>
      <c r="L478" t="s">
        <v>5483</v>
      </c>
      <c r="M478" s="6" t="s">
        <v>6558</v>
      </c>
      <c r="N478" s="6" t="s">
        <v>6559</v>
      </c>
      <c r="O478" s="6">
        <v>86</v>
      </c>
      <c r="P478" s="6">
        <v>83</v>
      </c>
      <c r="Q478" s="6">
        <v>79</v>
      </c>
      <c r="R478" s="6">
        <v>87</v>
      </c>
      <c r="S478" s="6">
        <v>70</v>
      </c>
      <c r="T478" s="6">
        <v>63</v>
      </c>
      <c r="U478" s="6">
        <v>74</v>
      </c>
      <c r="V478" s="6">
        <v>60</v>
      </c>
      <c r="W478" s="6">
        <v>72</v>
      </c>
      <c r="X478" s="6">
        <v>76</v>
      </c>
      <c r="Y478" s="6">
        <v>77</v>
      </c>
      <c r="Z478" s="6">
        <v>80</v>
      </c>
      <c r="AA478" s="6">
        <v>79</v>
      </c>
      <c r="AB478" s="6">
        <v>75</v>
      </c>
      <c r="AC478" s="6">
        <v>69</v>
      </c>
      <c r="AD478" s="6">
        <v>78</v>
      </c>
      <c r="AE478" s="6">
        <v>73</v>
      </c>
      <c r="AF478" s="6">
        <v>76</v>
      </c>
      <c r="AG478" s="6" t="s">
        <v>7525</v>
      </c>
      <c r="AH478" s="6" t="s">
        <v>6636</v>
      </c>
    </row>
    <row r="479" spans="1:34" x14ac:dyDescent="0.2">
      <c r="A479" t="s">
        <v>3805</v>
      </c>
      <c r="B479" t="s">
        <v>2069</v>
      </c>
      <c r="C479" t="s">
        <v>2870</v>
      </c>
      <c r="D479" s="7" t="s">
        <v>148</v>
      </c>
      <c r="E479" t="s">
        <v>38</v>
      </c>
      <c r="F479">
        <v>25</v>
      </c>
      <c r="G479">
        <v>83</v>
      </c>
      <c r="H479">
        <v>78</v>
      </c>
      <c r="I479" t="s">
        <v>6508</v>
      </c>
      <c r="J479">
        <v>71</v>
      </c>
      <c r="K479">
        <v>222</v>
      </c>
      <c r="L479" t="s">
        <v>5499</v>
      </c>
      <c r="M479" s="6" t="s">
        <v>6558</v>
      </c>
      <c r="N479" s="6" t="s">
        <v>6565</v>
      </c>
      <c r="O479" s="6">
        <v>75</v>
      </c>
      <c r="P479" s="6">
        <v>72</v>
      </c>
      <c r="Q479" s="6">
        <v>60</v>
      </c>
      <c r="R479" s="6">
        <v>75</v>
      </c>
      <c r="S479" s="6">
        <v>88</v>
      </c>
      <c r="T479" s="6">
        <v>81</v>
      </c>
      <c r="U479" s="6">
        <v>72</v>
      </c>
      <c r="V479" s="6">
        <v>73</v>
      </c>
      <c r="W479" s="6">
        <v>79</v>
      </c>
      <c r="X479" s="6">
        <v>67</v>
      </c>
      <c r="Y479" s="6">
        <v>77</v>
      </c>
      <c r="Z479" s="6">
        <v>71</v>
      </c>
      <c r="AA479" s="6">
        <v>73</v>
      </c>
      <c r="AB479" s="6">
        <v>76</v>
      </c>
      <c r="AC479" s="6">
        <v>66</v>
      </c>
      <c r="AD479" s="6">
        <v>85</v>
      </c>
      <c r="AE479" s="6">
        <v>71</v>
      </c>
      <c r="AF479" s="6">
        <v>77</v>
      </c>
      <c r="AG479" s="6" t="s">
        <v>7541</v>
      </c>
      <c r="AH479" s="6" t="s">
        <v>6994</v>
      </c>
    </row>
    <row r="480" spans="1:34" x14ac:dyDescent="0.2">
      <c r="A480" t="s">
        <v>3827</v>
      </c>
      <c r="B480" t="s">
        <v>2091</v>
      </c>
      <c r="C480" t="s">
        <v>2878</v>
      </c>
      <c r="D480" s="7" t="s">
        <v>148</v>
      </c>
      <c r="E480" t="s">
        <v>38</v>
      </c>
      <c r="F480">
        <v>26</v>
      </c>
      <c r="G480">
        <v>62</v>
      </c>
      <c r="H480">
        <v>78</v>
      </c>
      <c r="I480" t="s">
        <v>6495</v>
      </c>
      <c r="J480">
        <v>78</v>
      </c>
      <c r="K480">
        <v>273</v>
      </c>
      <c r="L480" t="s">
        <v>5521</v>
      </c>
      <c r="M480" s="6" t="s">
        <v>6558</v>
      </c>
      <c r="N480" s="6" t="s">
        <v>6567</v>
      </c>
      <c r="O480" s="6">
        <v>78</v>
      </c>
      <c r="P480" s="6">
        <v>68</v>
      </c>
      <c r="Q480" s="6">
        <v>68</v>
      </c>
      <c r="R480" s="6">
        <v>69</v>
      </c>
      <c r="S480" s="6">
        <v>75</v>
      </c>
      <c r="T480" s="6">
        <v>71</v>
      </c>
      <c r="U480" s="6">
        <v>66</v>
      </c>
      <c r="V480" s="6">
        <v>73</v>
      </c>
      <c r="W480" s="6">
        <v>78</v>
      </c>
      <c r="X480" s="6">
        <v>72</v>
      </c>
      <c r="Y480" s="6">
        <v>67</v>
      </c>
      <c r="Z480" s="6">
        <v>70</v>
      </c>
      <c r="AA480" s="6">
        <v>75</v>
      </c>
      <c r="AB480" s="6">
        <v>72</v>
      </c>
      <c r="AC480" s="6">
        <v>63</v>
      </c>
      <c r="AD480" s="6">
        <v>71</v>
      </c>
      <c r="AE480" s="6">
        <v>71</v>
      </c>
      <c r="AF480" s="6">
        <v>70</v>
      </c>
      <c r="AG480" s="6" t="s">
        <v>7563</v>
      </c>
      <c r="AH480" s="6" t="s">
        <v>6686</v>
      </c>
    </row>
    <row r="481" spans="1:34" x14ac:dyDescent="0.2">
      <c r="A481" t="s">
        <v>3918</v>
      </c>
      <c r="B481" t="s">
        <v>2182</v>
      </c>
      <c r="C481" t="s">
        <v>2871</v>
      </c>
      <c r="D481" s="7" t="s">
        <v>144</v>
      </c>
      <c r="E481" t="s">
        <v>38</v>
      </c>
      <c r="F481">
        <v>26</v>
      </c>
      <c r="G481">
        <v>58</v>
      </c>
      <c r="H481">
        <v>78</v>
      </c>
      <c r="I481" t="s">
        <v>6318</v>
      </c>
      <c r="J481">
        <v>76</v>
      </c>
      <c r="K481">
        <v>252</v>
      </c>
      <c r="L481" t="s">
        <v>5612</v>
      </c>
      <c r="M481" s="6" t="s">
        <v>6558</v>
      </c>
      <c r="N481" s="6" t="s">
        <v>6614</v>
      </c>
      <c r="O481" s="6">
        <v>79</v>
      </c>
      <c r="P481" s="6">
        <v>65</v>
      </c>
      <c r="Q481" s="6">
        <v>69</v>
      </c>
      <c r="R481" s="6">
        <v>57</v>
      </c>
      <c r="S481" s="6">
        <v>68</v>
      </c>
      <c r="T481" s="6">
        <v>71</v>
      </c>
      <c r="U481" s="6">
        <v>79</v>
      </c>
      <c r="V481" s="6">
        <v>68</v>
      </c>
      <c r="W481" s="6">
        <v>78</v>
      </c>
      <c r="X481" s="6">
        <v>63</v>
      </c>
      <c r="Y481" s="6">
        <v>73</v>
      </c>
      <c r="Z481" s="6">
        <v>78</v>
      </c>
      <c r="AA481" s="6">
        <v>74</v>
      </c>
      <c r="AB481" s="6">
        <v>74</v>
      </c>
      <c r="AC481" s="6">
        <v>72</v>
      </c>
      <c r="AD481" s="6">
        <v>63</v>
      </c>
      <c r="AE481" s="6">
        <v>69</v>
      </c>
      <c r="AF481" s="6">
        <v>70</v>
      </c>
      <c r="AG481" s="6" t="s">
        <v>7652</v>
      </c>
      <c r="AH481" s="6" t="s">
        <v>6838</v>
      </c>
    </row>
    <row r="482" spans="1:34" x14ac:dyDescent="0.2">
      <c r="A482" t="s">
        <v>3938</v>
      </c>
      <c r="B482" t="s">
        <v>2202</v>
      </c>
      <c r="C482" t="s">
        <v>2881</v>
      </c>
      <c r="D482" s="7" t="s">
        <v>144</v>
      </c>
      <c r="E482" t="s">
        <v>38</v>
      </c>
      <c r="F482">
        <v>24</v>
      </c>
      <c r="G482">
        <v>78</v>
      </c>
      <c r="H482">
        <v>78</v>
      </c>
      <c r="I482" t="s">
        <v>6418</v>
      </c>
      <c r="J482">
        <v>73</v>
      </c>
      <c r="K482">
        <v>230</v>
      </c>
      <c r="L482" t="s">
        <v>5632</v>
      </c>
      <c r="M482" s="6" t="s">
        <v>6558</v>
      </c>
      <c r="N482" s="6" t="s">
        <v>6559</v>
      </c>
      <c r="O482" s="6">
        <v>88</v>
      </c>
      <c r="P482" s="6">
        <v>81</v>
      </c>
      <c r="Q482" s="6">
        <v>76</v>
      </c>
      <c r="R482" s="6">
        <v>83</v>
      </c>
      <c r="S482" s="6">
        <v>70</v>
      </c>
      <c r="T482" s="6">
        <v>64</v>
      </c>
      <c r="U482" s="6">
        <v>79</v>
      </c>
      <c r="V482" s="6">
        <v>77</v>
      </c>
      <c r="W482" s="6">
        <v>84</v>
      </c>
      <c r="X482" s="6">
        <v>74</v>
      </c>
      <c r="Y482" s="6">
        <v>79</v>
      </c>
      <c r="Z482" s="6">
        <v>77</v>
      </c>
      <c r="AA482" s="6">
        <v>75</v>
      </c>
      <c r="AB482" s="6">
        <v>83</v>
      </c>
      <c r="AC482" s="6">
        <v>64</v>
      </c>
      <c r="AD482" s="6">
        <v>70</v>
      </c>
      <c r="AE482" s="6">
        <v>74</v>
      </c>
      <c r="AF482" s="6">
        <v>76</v>
      </c>
      <c r="AG482" s="6" t="s">
        <v>7672</v>
      </c>
      <c r="AH482" s="6" t="s">
        <v>6628</v>
      </c>
    </row>
    <row r="483" spans="1:34" x14ac:dyDescent="0.2">
      <c r="A483" t="s">
        <v>3970</v>
      </c>
      <c r="B483" t="s">
        <v>2234</v>
      </c>
      <c r="C483" t="s">
        <v>57</v>
      </c>
      <c r="D483" s="7" t="s">
        <v>149</v>
      </c>
      <c r="E483" t="s">
        <v>38</v>
      </c>
      <c r="F483">
        <v>26</v>
      </c>
      <c r="G483">
        <v>71</v>
      </c>
      <c r="H483">
        <v>78</v>
      </c>
      <c r="I483" t="s">
        <v>6397</v>
      </c>
      <c r="J483">
        <v>69</v>
      </c>
      <c r="K483">
        <v>200</v>
      </c>
      <c r="L483" t="s">
        <v>5664</v>
      </c>
      <c r="M483" s="6" t="s">
        <v>6558</v>
      </c>
      <c r="N483" s="6" t="s">
        <v>6583</v>
      </c>
      <c r="O483" s="6">
        <v>73</v>
      </c>
      <c r="P483" s="6">
        <v>69</v>
      </c>
      <c r="Q483" s="6">
        <v>78</v>
      </c>
      <c r="R483" s="6">
        <v>78</v>
      </c>
      <c r="S483" s="6">
        <v>72</v>
      </c>
      <c r="T483" s="6">
        <v>71</v>
      </c>
      <c r="U483" s="6">
        <v>70</v>
      </c>
      <c r="V483" s="6">
        <v>77</v>
      </c>
      <c r="W483" s="6">
        <v>68</v>
      </c>
      <c r="X483" s="6">
        <v>79</v>
      </c>
      <c r="Y483" s="6">
        <v>67</v>
      </c>
      <c r="Z483" s="6">
        <v>77</v>
      </c>
      <c r="AA483" s="6">
        <v>70</v>
      </c>
      <c r="AB483" s="6">
        <v>61</v>
      </c>
      <c r="AC483" s="6">
        <v>68</v>
      </c>
      <c r="AD483" s="6">
        <v>73</v>
      </c>
      <c r="AE483" s="6">
        <v>66</v>
      </c>
      <c r="AF483" s="6">
        <v>73</v>
      </c>
      <c r="AG483" s="6" t="s">
        <v>7703</v>
      </c>
      <c r="AH483" s="6" t="s">
        <v>6664</v>
      </c>
    </row>
    <row r="484" spans="1:34" x14ac:dyDescent="0.2">
      <c r="A484" t="s">
        <v>3998</v>
      </c>
      <c r="B484" t="s">
        <v>2262</v>
      </c>
      <c r="C484" t="s">
        <v>2879</v>
      </c>
      <c r="D484" s="7" t="s">
        <v>149</v>
      </c>
      <c r="E484" t="s">
        <v>38</v>
      </c>
      <c r="F484">
        <v>25</v>
      </c>
      <c r="G484">
        <v>82</v>
      </c>
      <c r="H484">
        <v>78</v>
      </c>
      <c r="I484" t="s">
        <v>8330</v>
      </c>
      <c r="J484">
        <v>75</v>
      </c>
      <c r="K484">
        <v>296</v>
      </c>
      <c r="L484" t="s">
        <v>5692</v>
      </c>
      <c r="M484" s="6" t="s">
        <v>6558</v>
      </c>
      <c r="N484" s="6" t="s">
        <v>6565</v>
      </c>
      <c r="O484" s="6">
        <v>75</v>
      </c>
      <c r="P484" s="6">
        <v>70</v>
      </c>
      <c r="Q484" s="6">
        <v>68</v>
      </c>
      <c r="R484" s="6">
        <v>75</v>
      </c>
      <c r="S484" s="6">
        <v>79</v>
      </c>
      <c r="T484" s="6">
        <v>67</v>
      </c>
      <c r="U484" s="6">
        <v>74</v>
      </c>
      <c r="V484" s="6">
        <v>75</v>
      </c>
      <c r="W484" s="6">
        <v>81</v>
      </c>
      <c r="X484" s="6">
        <v>72</v>
      </c>
      <c r="Y484" s="6">
        <v>79</v>
      </c>
      <c r="Z484" s="6">
        <v>73</v>
      </c>
      <c r="AA484" s="6">
        <v>74</v>
      </c>
      <c r="AB484" s="6">
        <v>72</v>
      </c>
      <c r="AC484" s="6">
        <v>75</v>
      </c>
      <c r="AD484" s="6">
        <v>78</v>
      </c>
      <c r="AE484" s="6">
        <v>70</v>
      </c>
      <c r="AF484" s="6">
        <v>69</v>
      </c>
      <c r="AG484" s="6" t="s">
        <v>7731</v>
      </c>
      <c r="AH484" s="6" t="s">
        <v>6617</v>
      </c>
    </row>
    <row r="485" spans="1:34" x14ac:dyDescent="0.2">
      <c r="A485" t="s">
        <v>4013</v>
      </c>
      <c r="B485" t="s">
        <v>2277</v>
      </c>
      <c r="C485" t="s">
        <v>2884</v>
      </c>
      <c r="D485" s="7" t="s">
        <v>149</v>
      </c>
      <c r="E485" t="s">
        <v>38</v>
      </c>
      <c r="F485">
        <v>32</v>
      </c>
      <c r="G485">
        <v>61</v>
      </c>
      <c r="H485">
        <v>78</v>
      </c>
      <c r="I485" t="s">
        <v>6333</v>
      </c>
      <c r="J485">
        <v>71</v>
      </c>
      <c r="K485">
        <v>208</v>
      </c>
      <c r="L485" t="s">
        <v>5707</v>
      </c>
      <c r="M485" s="6" t="s">
        <v>6558</v>
      </c>
      <c r="N485" s="6" t="s">
        <v>6583</v>
      </c>
      <c r="O485" s="6">
        <v>67</v>
      </c>
      <c r="P485" s="6">
        <v>71</v>
      </c>
      <c r="Q485" s="6">
        <v>76</v>
      </c>
      <c r="R485" s="6">
        <v>80</v>
      </c>
      <c r="S485" s="6">
        <v>58</v>
      </c>
      <c r="T485" s="6">
        <v>66</v>
      </c>
      <c r="U485" s="6">
        <v>77</v>
      </c>
      <c r="V485" s="6">
        <v>82</v>
      </c>
      <c r="W485" s="6">
        <v>76</v>
      </c>
      <c r="X485" s="6">
        <v>77</v>
      </c>
      <c r="Y485" s="6">
        <v>85</v>
      </c>
      <c r="Z485" s="6">
        <v>77</v>
      </c>
      <c r="AA485" s="6">
        <v>73</v>
      </c>
      <c r="AB485" s="6">
        <v>67</v>
      </c>
      <c r="AC485" s="6">
        <v>74</v>
      </c>
      <c r="AD485" s="6">
        <v>61</v>
      </c>
      <c r="AE485" s="6">
        <v>68</v>
      </c>
      <c r="AF485" s="6">
        <v>72</v>
      </c>
      <c r="AG485" s="6" t="s">
        <v>7746</v>
      </c>
      <c r="AH485" s="6" t="s">
        <v>6644</v>
      </c>
    </row>
    <row r="486" spans="1:34" x14ac:dyDescent="0.2">
      <c r="A486" t="s">
        <v>4065</v>
      </c>
      <c r="B486" t="s">
        <v>2329</v>
      </c>
      <c r="C486" t="s">
        <v>2883</v>
      </c>
      <c r="D486" s="7" t="s">
        <v>22</v>
      </c>
      <c r="E486" t="s">
        <v>38</v>
      </c>
      <c r="F486">
        <v>26</v>
      </c>
      <c r="G486">
        <v>70</v>
      </c>
      <c r="H486">
        <v>78</v>
      </c>
      <c r="I486" t="s">
        <v>6354</v>
      </c>
      <c r="J486">
        <v>75</v>
      </c>
      <c r="K486">
        <v>208</v>
      </c>
      <c r="L486" t="s">
        <v>5759</v>
      </c>
      <c r="M486" s="6" t="s">
        <v>6558</v>
      </c>
      <c r="N486" s="6" t="s">
        <v>6583</v>
      </c>
      <c r="O486" s="6">
        <v>85</v>
      </c>
      <c r="P486" s="6">
        <v>76</v>
      </c>
      <c r="Q486" s="6">
        <v>80</v>
      </c>
      <c r="R486" s="6">
        <v>78</v>
      </c>
      <c r="S486" s="6">
        <v>84</v>
      </c>
      <c r="T486" s="6">
        <v>69</v>
      </c>
      <c r="U486" s="6">
        <v>79</v>
      </c>
      <c r="V486" s="6">
        <v>71</v>
      </c>
      <c r="W486" s="6">
        <v>67</v>
      </c>
      <c r="X486" s="6">
        <v>68</v>
      </c>
      <c r="Y486" s="6">
        <v>74</v>
      </c>
      <c r="Z486" s="6">
        <v>75</v>
      </c>
      <c r="AA486" s="6">
        <v>72</v>
      </c>
      <c r="AB486" s="6">
        <v>66</v>
      </c>
      <c r="AC486" s="6">
        <v>73</v>
      </c>
      <c r="AD486" s="6">
        <v>74</v>
      </c>
      <c r="AE486" s="6">
        <v>68</v>
      </c>
      <c r="AF486" s="6">
        <v>71</v>
      </c>
      <c r="AG486" s="6" t="s">
        <v>7797</v>
      </c>
      <c r="AH486" s="6" t="s">
        <v>6640</v>
      </c>
    </row>
    <row r="487" spans="1:34" x14ac:dyDescent="0.2">
      <c r="A487" t="s">
        <v>4128</v>
      </c>
      <c r="B487" t="s">
        <v>2392</v>
      </c>
      <c r="C487" t="s">
        <v>53</v>
      </c>
      <c r="D487" s="7" t="s">
        <v>150</v>
      </c>
      <c r="E487" t="s">
        <v>38</v>
      </c>
      <c r="F487">
        <v>21</v>
      </c>
      <c r="G487">
        <v>74</v>
      </c>
      <c r="H487">
        <v>78</v>
      </c>
      <c r="I487" t="s">
        <v>6412</v>
      </c>
      <c r="J487">
        <v>73</v>
      </c>
      <c r="K487">
        <v>214</v>
      </c>
      <c r="L487" t="s">
        <v>5822</v>
      </c>
      <c r="M487" s="6" t="s">
        <v>6558</v>
      </c>
      <c r="N487" s="6" t="s">
        <v>6565</v>
      </c>
      <c r="O487" s="6">
        <v>78</v>
      </c>
      <c r="P487" s="6">
        <v>69</v>
      </c>
      <c r="Q487" s="6">
        <v>60</v>
      </c>
      <c r="R487" s="6">
        <v>72</v>
      </c>
      <c r="S487" s="6">
        <v>74</v>
      </c>
      <c r="T487" s="6">
        <v>61</v>
      </c>
      <c r="U487" s="6">
        <v>75</v>
      </c>
      <c r="V487" s="6">
        <v>73</v>
      </c>
      <c r="W487" s="6">
        <v>74</v>
      </c>
      <c r="X487" s="6">
        <v>66</v>
      </c>
      <c r="Y487" s="6">
        <v>65</v>
      </c>
      <c r="Z487" s="6">
        <v>67</v>
      </c>
      <c r="AA487" s="6">
        <v>68</v>
      </c>
      <c r="AB487" s="6">
        <v>67</v>
      </c>
      <c r="AC487" s="6">
        <v>68</v>
      </c>
      <c r="AD487" s="6">
        <v>63</v>
      </c>
      <c r="AE487" s="6">
        <v>61</v>
      </c>
      <c r="AF487" s="6">
        <v>75</v>
      </c>
      <c r="AG487" s="6" t="s">
        <v>7752</v>
      </c>
      <c r="AH487" s="6" t="s">
        <v>6715</v>
      </c>
    </row>
    <row r="488" spans="1:34" x14ac:dyDescent="0.2">
      <c r="A488" t="s">
        <v>52</v>
      </c>
      <c r="B488" t="s">
        <v>1175</v>
      </c>
      <c r="C488" t="s">
        <v>53</v>
      </c>
      <c r="D488" s="7" t="s">
        <v>129</v>
      </c>
      <c r="E488" t="s">
        <v>38</v>
      </c>
      <c r="F488">
        <v>33</v>
      </c>
      <c r="G488">
        <v>78</v>
      </c>
      <c r="H488">
        <v>77</v>
      </c>
      <c r="I488" t="s">
        <v>6301</v>
      </c>
      <c r="J488">
        <v>74</v>
      </c>
      <c r="K488">
        <v>220</v>
      </c>
      <c r="L488" t="s">
        <v>55</v>
      </c>
      <c r="M488" s="6" t="s">
        <v>6558</v>
      </c>
      <c r="N488" s="6" t="s">
        <v>6559</v>
      </c>
      <c r="O488" s="6">
        <v>92</v>
      </c>
      <c r="P488" s="6">
        <v>85</v>
      </c>
      <c r="Q488" s="6">
        <v>73</v>
      </c>
      <c r="R488" s="6">
        <v>84</v>
      </c>
      <c r="S488" s="6">
        <v>84</v>
      </c>
      <c r="T488" s="6">
        <v>86</v>
      </c>
      <c r="U488" s="6">
        <v>83</v>
      </c>
      <c r="V488" s="6">
        <v>82</v>
      </c>
      <c r="W488" s="6">
        <v>88</v>
      </c>
      <c r="X488" s="6">
        <v>84</v>
      </c>
      <c r="Y488" s="6">
        <v>87</v>
      </c>
      <c r="Z488" s="6">
        <v>80</v>
      </c>
      <c r="AA488" s="6">
        <v>74</v>
      </c>
      <c r="AB488" s="6">
        <v>69</v>
      </c>
      <c r="AC488" s="6">
        <v>73</v>
      </c>
      <c r="AD488" s="6">
        <v>76</v>
      </c>
      <c r="AE488" s="6">
        <v>66</v>
      </c>
      <c r="AF488" s="6">
        <v>78</v>
      </c>
      <c r="AG488" s="6" t="s">
        <v>6560</v>
      </c>
      <c r="AH488" s="6" t="s">
        <v>6561</v>
      </c>
    </row>
    <row r="489" spans="1:34" x14ac:dyDescent="0.2">
      <c r="A489" t="s">
        <v>56</v>
      </c>
      <c r="B489" t="s">
        <v>1176</v>
      </c>
      <c r="C489" t="s">
        <v>53</v>
      </c>
      <c r="D489" s="7" t="s">
        <v>129</v>
      </c>
      <c r="E489" t="s">
        <v>58</v>
      </c>
      <c r="F489">
        <v>29</v>
      </c>
      <c r="G489">
        <v>74</v>
      </c>
      <c r="H489">
        <v>77</v>
      </c>
      <c r="I489" t="s">
        <v>6302</v>
      </c>
      <c r="J489">
        <v>77</v>
      </c>
      <c r="K489">
        <v>237</v>
      </c>
      <c r="L489" t="s">
        <v>60</v>
      </c>
      <c r="M489" s="6" t="s">
        <v>6558</v>
      </c>
      <c r="N489" s="6" t="s">
        <v>6562</v>
      </c>
      <c r="O489" s="6">
        <v>73</v>
      </c>
      <c r="P489" s="6">
        <v>81</v>
      </c>
      <c r="Q489" s="6">
        <v>76</v>
      </c>
      <c r="R489" s="6">
        <v>88</v>
      </c>
      <c r="S489" s="6">
        <v>82</v>
      </c>
      <c r="T489" s="6">
        <v>67</v>
      </c>
      <c r="U489" s="6">
        <v>75</v>
      </c>
      <c r="V489" s="6">
        <v>75</v>
      </c>
      <c r="W489" s="6">
        <v>75</v>
      </c>
      <c r="X489" s="6">
        <v>73</v>
      </c>
      <c r="Y489" s="6">
        <v>79</v>
      </c>
      <c r="Z489" s="6">
        <v>78</v>
      </c>
      <c r="AA489" s="6">
        <v>66</v>
      </c>
      <c r="AB489" s="6">
        <v>74</v>
      </c>
      <c r="AC489" s="6">
        <v>71</v>
      </c>
      <c r="AD489" s="6">
        <v>65</v>
      </c>
      <c r="AE489" s="6">
        <v>60</v>
      </c>
      <c r="AF489" s="6">
        <v>70</v>
      </c>
      <c r="AG489" s="6" t="s">
        <v>6563</v>
      </c>
      <c r="AH489" s="6" t="s">
        <v>6564</v>
      </c>
    </row>
    <row r="490" spans="1:34" x14ac:dyDescent="0.2">
      <c r="A490" t="s">
        <v>2933</v>
      </c>
      <c r="B490" t="s">
        <v>1197</v>
      </c>
      <c r="C490" t="s">
        <v>2874</v>
      </c>
      <c r="D490" s="7" t="s">
        <v>129</v>
      </c>
      <c r="E490" t="s">
        <v>58</v>
      </c>
      <c r="F490">
        <v>31</v>
      </c>
      <c r="G490">
        <v>76</v>
      </c>
      <c r="H490">
        <v>77</v>
      </c>
      <c r="I490" t="s">
        <v>6320</v>
      </c>
      <c r="J490">
        <v>77</v>
      </c>
      <c r="K490">
        <v>303</v>
      </c>
      <c r="L490" t="s">
        <v>4627</v>
      </c>
      <c r="M490" s="6" t="s">
        <v>6558</v>
      </c>
      <c r="N490" s="6" t="s">
        <v>6567</v>
      </c>
      <c r="O490" s="6">
        <v>76</v>
      </c>
      <c r="P490" s="6">
        <v>73</v>
      </c>
      <c r="Q490" s="6">
        <v>69</v>
      </c>
      <c r="R490" s="6">
        <v>69</v>
      </c>
      <c r="S490" s="6">
        <v>79</v>
      </c>
      <c r="T490" s="6">
        <v>60</v>
      </c>
      <c r="U490" s="6">
        <v>74</v>
      </c>
      <c r="V490" s="6">
        <v>75</v>
      </c>
      <c r="W490" s="6">
        <v>70</v>
      </c>
      <c r="X490" s="6">
        <v>79</v>
      </c>
      <c r="Y490" s="6">
        <v>70</v>
      </c>
      <c r="Z490" s="6">
        <v>73</v>
      </c>
      <c r="AA490" s="6">
        <v>66</v>
      </c>
      <c r="AB490" s="6">
        <v>61</v>
      </c>
      <c r="AC490" s="6">
        <v>66</v>
      </c>
      <c r="AD490" s="6">
        <v>64</v>
      </c>
      <c r="AE490" s="6">
        <v>66</v>
      </c>
      <c r="AF490" s="6">
        <v>65</v>
      </c>
      <c r="AG490" s="6" t="s">
        <v>6601</v>
      </c>
      <c r="AH490" s="6" t="s">
        <v>6598</v>
      </c>
    </row>
    <row r="491" spans="1:34" x14ac:dyDescent="0.2">
      <c r="A491" t="s">
        <v>2980</v>
      </c>
      <c r="B491" t="s">
        <v>1244</v>
      </c>
      <c r="C491" t="s">
        <v>2874</v>
      </c>
      <c r="D491" s="7" t="s">
        <v>146</v>
      </c>
      <c r="E491" t="s">
        <v>58</v>
      </c>
      <c r="F491">
        <v>31</v>
      </c>
      <c r="G491">
        <v>74</v>
      </c>
      <c r="H491">
        <v>77</v>
      </c>
      <c r="I491" t="s">
        <v>6317</v>
      </c>
      <c r="J491">
        <v>74</v>
      </c>
      <c r="K491">
        <v>313</v>
      </c>
      <c r="L491" t="s">
        <v>4674</v>
      </c>
      <c r="M491" s="6" t="s">
        <v>6558</v>
      </c>
      <c r="N491" s="6" t="s">
        <v>6565</v>
      </c>
      <c r="O491" s="6">
        <v>70</v>
      </c>
      <c r="P491" s="6">
        <v>76</v>
      </c>
      <c r="Q491" s="6">
        <v>76</v>
      </c>
      <c r="R491" s="6">
        <v>70</v>
      </c>
      <c r="S491" s="6">
        <v>71</v>
      </c>
      <c r="T491" s="6">
        <v>70</v>
      </c>
      <c r="U491" s="6">
        <v>74</v>
      </c>
      <c r="V491" s="6">
        <v>85</v>
      </c>
      <c r="W491" s="6">
        <v>83</v>
      </c>
      <c r="X491" s="6">
        <v>84</v>
      </c>
      <c r="Y491" s="6">
        <v>74</v>
      </c>
      <c r="Z491" s="6">
        <v>76</v>
      </c>
      <c r="AA491" s="6">
        <v>65</v>
      </c>
      <c r="AB491" s="6">
        <v>66</v>
      </c>
      <c r="AC491" s="6">
        <v>66</v>
      </c>
      <c r="AD491" s="6">
        <v>73</v>
      </c>
      <c r="AE491" s="6">
        <v>63</v>
      </c>
      <c r="AF491" s="6">
        <v>68</v>
      </c>
      <c r="AG491" s="6" t="s">
        <v>6673</v>
      </c>
      <c r="AH491" s="6" t="s">
        <v>6674</v>
      </c>
    </row>
    <row r="492" spans="1:34" x14ac:dyDescent="0.2">
      <c r="A492" t="s">
        <v>2984</v>
      </c>
      <c r="B492" t="s">
        <v>1248</v>
      </c>
      <c r="C492" t="s">
        <v>2876</v>
      </c>
      <c r="D492" s="7" t="s">
        <v>146</v>
      </c>
      <c r="E492" t="s">
        <v>38</v>
      </c>
      <c r="F492">
        <v>30</v>
      </c>
      <c r="G492">
        <v>60</v>
      </c>
      <c r="H492">
        <v>77</v>
      </c>
      <c r="I492" t="s">
        <v>6321</v>
      </c>
      <c r="J492">
        <v>76</v>
      </c>
      <c r="K492">
        <v>305</v>
      </c>
      <c r="L492" t="s">
        <v>4678</v>
      </c>
      <c r="M492" s="6" t="s">
        <v>6558</v>
      </c>
      <c r="N492" s="6" t="s">
        <v>6565</v>
      </c>
      <c r="O492" s="6">
        <v>74</v>
      </c>
      <c r="P492" s="6">
        <v>74</v>
      </c>
      <c r="Q492" s="6">
        <v>76</v>
      </c>
      <c r="R492" s="6">
        <v>73</v>
      </c>
      <c r="S492" s="6">
        <v>80</v>
      </c>
      <c r="T492" s="6">
        <v>73</v>
      </c>
      <c r="U492" s="6">
        <v>85</v>
      </c>
      <c r="V492" s="6">
        <v>74</v>
      </c>
      <c r="W492" s="6">
        <v>82</v>
      </c>
      <c r="X492" s="6">
        <v>76</v>
      </c>
      <c r="Y492" s="6">
        <v>77</v>
      </c>
      <c r="Z492" s="6">
        <v>81</v>
      </c>
      <c r="AA492" s="6">
        <v>67</v>
      </c>
      <c r="AB492" s="6">
        <v>75</v>
      </c>
      <c r="AC492" s="6">
        <v>67</v>
      </c>
      <c r="AD492" s="6">
        <v>75</v>
      </c>
      <c r="AE492" s="6">
        <v>63</v>
      </c>
      <c r="AF492" s="6">
        <v>68</v>
      </c>
      <c r="AG492" s="6" t="s">
        <v>6678</v>
      </c>
      <c r="AH492" s="6" t="s">
        <v>6598</v>
      </c>
    </row>
    <row r="493" spans="1:34" x14ac:dyDescent="0.2">
      <c r="A493" t="s">
        <v>2991</v>
      </c>
      <c r="B493" t="s">
        <v>1255</v>
      </c>
      <c r="C493" t="s">
        <v>2879</v>
      </c>
      <c r="D493" s="7" t="s">
        <v>146</v>
      </c>
      <c r="E493" t="s">
        <v>38</v>
      </c>
      <c r="F493">
        <v>24</v>
      </c>
      <c r="G493">
        <v>82</v>
      </c>
      <c r="H493">
        <v>77</v>
      </c>
      <c r="I493" t="s">
        <v>6328</v>
      </c>
      <c r="J493">
        <v>74</v>
      </c>
      <c r="K493">
        <v>316</v>
      </c>
      <c r="L493" t="s">
        <v>4685</v>
      </c>
      <c r="M493" s="6" t="s">
        <v>6558</v>
      </c>
      <c r="N493" s="6" t="s">
        <v>6567</v>
      </c>
      <c r="O493" s="6">
        <v>77</v>
      </c>
      <c r="P493" s="6">
        <v>64</v>
      </c>
      <c r="Q493" s="6">
        <v>75</v>
      </c>
      <c r="R493" s="6">
        <v>67</v>
      </c>
      <c r="S493" s="6">
        <v>78</v>
      </c>
      <c r="T493" s="6">
        <v>82</v>
      </c>
      <c r="U493" s="6">
        <v>78</v>
      </c>
      <c r="V493" s="6">
        <v>76</v>
      </c>
      <c r="W493" s="6">
        <v>77</v>
      </c>
      <c r="X493" s="6">
        <v>83</v>
      </c>
      <c r="Y493" s="6">
        <v>77</v>
      </c>
      <c r="Z493" s="6">
        <v>79</v>
      </c>
      <c r="AA493" s="6">
        <v>71</v>
      </c>
      <c r="AB493" s="6">
        <v>81</v>
      </c>
      <c r="AC493" s="6">
        <v>70</v>
      </c>
      <c r="AD493" s="6">
        <v>73</v>
      </c>
      <c r="AE493" s="6">
        <v>70</v>
      </c>
      <c r="AF493" s="6">
        <v>75</v>
      </c>
      <c r="AG493" s="6" t="s">
        <v>6689</v>
      </c>
      <c r="AH493" s="6" t="s">
        <v>6617</v>
      </c>
    </row>
    <row r="494" spans="1:34" x14ac:dyDescent="0.2">
      <c r="A494" t="s">
        <v>3004</v>
      </c>
      <c r="B494" t="s">
        <v>1268</v>
      </c>
      <c r="C494" t="s">
        <v>2883</v>
      </c>
      <c r="D494" s="7" t="s">
        <v>146</v>
      </c>
      <c r="E494" t="s">
        <v>38</v>
      </c>
      <c r="F494">
        <v>29</v>
      </c>
      <c r="G494">
        <v>78</v>
      </c>
      <c r="H494">
        <v>77</v>
      </c>
      <c r="I494" t="s">
        <v>6341</v>
      </c>
      <c r="J494">
        <v>72</v>
      </c>
      <c r="K494">
        <v>212</v>
      </c>
      <c r="L494" t="s">
        <v>4698</v>
      </c>
      <c r="M494" s="6" t="s">
        <v>6558</v>
      </c>
      <c r="N494" s="6" t="s">
        <v>6565</v>
      </c>
      <c r="O494" s="6">
        <v>68</v>
      </c>
      <c r="P494" s="6">
        <v>72</v>
      </c>
      <c r="Q494" s="6">
        <v>68</v>
      </c>
      <c r="R494" s="6">
        <v>75</v>
      </c>
      <c r="S494" s="6">
        <v>77</v>
      </c>
      <c r="T494" s="6">
        <v>69</v>
      </c>
      <c r="U494" s="6">
        <v>72</v>
      </c>
      <c r="V494" s="6">
        <v>78</v>
      </c>
      <c r="W494" s="6">
        <v>78</v>
      </c>
      <c r="X494" s="6">
        <v>78</v>
      </c>
      <c r="Y494" s="6">
        <v>79</v>
      </c>
      <c r="Z494" s="6">
        <v>79</v>
      </c>
      <c r="AA494" s="6">
        <v>77</v>
      </c>
      <c r="AB494" s="6">
        <v>74</v>
      </c>
      <c r="AC494" s="6">
        <v>72</v>
      </c>
      <c r="AD494" s="6">
        <v>75</v>
      </c>
      <c r="AE494" s="6">
        <v>71</v>
      </c>
      <c r="AF494" s="6">
        <v>71</v>
      </c>
      <c r="AG494" s="6" t="s">
        <v>6705</v>
      </c>
      <c r="AH494" s="6" t="s">
        <v>6640</v>
      </c>
    </row>
    <row r="495" spans="1:34" x14ac:dyDescent="0.2">
      <c r="A495" t="s">
        <v>3012</v>
      </c>
      <c r="B495" t="s">
        <v>1276</v>
      </c>
      <c r="C495" t="s">
        <v>2870</v>
      </c>
      <c r="D495" s="7" t="s">
        <v>131</v>
      </c>
      <c r="E495" t="s">
        <v>38</v>
      </c>
      <c r="F495">
        <v>26</v>
      </c>
      <c r="G495">
        <v>79</v>
      </c>
      <c r="H495">
        <v>77</v>
      </c>
      <c r="I495" t="s">
        <v>6302</v>
      </c>
      <c r="J495">
        <v>70</v>
      </c>
      <c r="K495">
        <v>207</v>
      </c>
      <c r="L495" t="s">
        <v>4706</v>
      </c>
      <c r="M495" s="6" t="s">
        <v>6558</v>
      </c>
      <c r="N495" s="6" t="s">
        <v>6559</v>
      </c>
      <c r="O495" s="6">
        <v>77</v>
      </c>
      <c r="P495" s="6">
        <v>69</v>
      </c>
      <c r="Q495" s="6">
        <v>69</v>
      </c>
      <c r="R495" s="6">
        <v>88</v>
      </c>
      <c r="S495" s="6">
        <v>84</v>
      </c>
      <c r="T495" s="6">
        <v>74</v>
      </c>
      <c r="U495" s="6">
        <v>74</v>
      </c>
      <c r="V495" s="6">
        <v>81</v>
      </c>
      <c r="W495" s="6">
        <v>80</v>
      </c>
      <c r="X495" s="6">
        <v>83</v>
      </c>
      <c r="Y495" s="6">
        <v>76</v>
      </c>
      <c r="Z495" s="6">
        <v>79</v>
      </c>
      <c r="AA495" s="6">
        <v>73</v>
      </c>
      <c r="AB495" s="6">
        <v>77</v>
      </c>
      <c r="AC495" s="6">
        <v>66</v>
      </c>
      <c r="AD495" s="6">
        <v>77</v>
      </c>
      <c r="AE495" s="6">
        <v>79</v>
      </c>
      <c r="AF495" s="6">
        <v>75</v>
      </c>
      <c r="AG495" s="6" t="s">
        <v>6717</v>
      </c>
      <c r="AH495" s="6" t="s">
        <v>6572</v>
      </c>
    </row>
    <row r="496" spans="1:34" x14ac:dyDescent="0.2">
      <c r="A496" t="s">
        <v>3024</v>
      </c>
      <c r="B496" t="s">
        <v>1288</v>
      </c>
      <c r="C496" t="s">
        <v>57</v>
      </c>
      <c r="D496" s="7" t="s">
        <v>131</v>
      </c>
      <c r="E496" t="s">
        <v>58</v>
      </c>
      <c r="F496">
        <v>22</v>
      </c>
      <c r="G496">
        <v>70</v>
      </c>
      <c r="H496">
        <v>77</v>
      </c>
      <c r="I496" t="s">
        <v>6312</v>
      </c>
      <c r="J496">
        <v>72</v>
      </c>
      <c r="K496">
        <v>215</v>
      </c>
      <c r="L496" t="s">
        <v>4718</v>
      </c>
      <c r="M496" s="6" t="s">
        <v>6733</v>
      </c>
      <c r="N496" s="6" t="s">
        <v>6583</v>
      </c>
      <c r="O496" s="6">
        <v>63</v>
      </c>
      <c r="P496" s="6">
        <v>65</v>
      </c>
      <c r="Q496" s="6">
        <v>62</v>
      </c>
      <c r="R496" s="6">
        <v>77</v>
      </c>
      <c r="S496" s="6">
        <v>82</v>
      </c>
      <c r="T496" s="6">
        <v>60</v>
      </c>
      <c r="U496" s="6">
        <v>59</v>
      </c>
      <c r="V496" s="6">
        <v>72</v>
      </c>
      <c r="W496" s="6">
        <v>66</v>
      </c>
      <c r="X496" s="6">
        <v>72</v>
      </c>
      <c r="Y496" s="6">
        <v>76</v>
      </c>
      <c r="Z496" s="6">
        <v>58</v>
      </c>
      <c r="AA496" s="6">
        <v>71</v>
      </c>
      <c r="AB496" s="6">
        <v>65</v>
      </c>
      <c r="AC496" s="6">
        <v>68</v>
      </c>
      <c r="AD496" s="6">
        <v>69</v>
      </c>
      <c r="AE496" s="6">
        <v>68</v>
      </c>
      <c r="AF496" s="6">
        <v>75</v>
      </c>
      <c r="AG496" s="6" t="s">
        <v>6734</v>
      </c>
      <c r="AH496" s="6" t="s">
        <v>6574</v>
      </c>
    </row>
    <row r="497" spans="1:34" x14ac:dyDescent="0.2">
      <c r="A497" t="s">
        <v>3039</v>
      </c>
      <c r="B497" t="s">
        <v>1303</v>
      </c>
      <c r="C497" t="s">
        <v>2879</v>
      </c>
      <c r="D497" s="7" t="s">
        <v>131</v>
      </c>
      <c r="E497" t="s">
        <v>58</v>
      </c>
      <c r="F497">
        <v>23</v>
      </c>
      <c r="G497">
        <v>71</v>
      </c>
      <c r="H497">
        <v>77</v>
      </c>
      <c r="I497" t="s">
        <v>6326</v>
      </c>
      <c r="J497">
        <v>76</v>
      </c>
      <c r="K497">
        <v>340</v>
      </c>
      <c r="L497" t="s">
        <v>4733</v>
      </c>
      <c r="M497" s="6" t="s">
        <v>6558</v>
      </c>
      <c r="N497" s="6" t="s">
        <v>6583</v>
      </c>
      <c r="O497" s="6">
        <v>75</v>
      </c>
      <c r="P497" s="6">
        <v>67</v>
      </c>
      <c r="Q497" s="6">
        <v>65</v>
      </c>
      <c r="R497" s="6">
        <v>79</v>
      </c>
      <c r="S497" s="6">
        <v>69</v>
      </c>
      <c r="T497" s="6">
        <v>65</v>
      </c>
      <c r="U497" s="6">
        <v>75</v>
      </c>
      <c r="V497" s="6">
        <v>71</v>
      </c>
      <c r="W497" s="6">
        <v>66</v>
      </c>
      <c r="X497" s="6">
        <v>71</v>
      </c>
      <c r="Y497" s="6">
        <v>73</v>
      </c>
      <c r="Z497" s="6">
        <v>78</v>
      </c>
      <c r="AA497" s="6">
        <v>73</v>
      </c>
      <c r="AB497" s="6">
        <v>71</v>
      </c>
      <c r="AC497" s="6">
        <v>63</v>
      </c>
      <c r="AD497" s="6">
        <v>74</v>
      </c>
      <c r="AE497" s="6">
        <v>68</v>
      </c>
      <c r="AF497" s="6">
        <v>75</v>
      </c>
      <c r="AG497" s="6" t="s">
        <v>6751</v>
      </c>
      <c r="AH497" s="6" t="s">
        <v>6752</v>
      </c>
    </row>
    <row r="498" spans="1:34" x14ac:dyDescent="0.2">
      <c r="A498" t="s">
        <v>3065</v>
      </c>
      <c r="B498" t="s">
        <v>1329</v>
      </c>
      <c r="C498" t="s">
        <v>57</v>
      </c>
      <c r="D498" s="7" t="s">
        <v>130</v>
      </c>
      <c r="E498" t="s">
        <v>58</v>
      </c>
      <c r="F498">
        <v>30</v>
      </c>
      <c r="G498">
        <v>67</v>
      </c>
      <c r="H498">
        <v>77</v>
      </c>
      <c r="I498" t="s">
        <v>6305</v>
      </c>
      <c r="J498">
        <v>74</v>
      </c>
      <c r="K498">
        <v>211</v>
      </c>
      <c r="L498" t="s">
        <v>4759</v>
      </c>
      <c r="M498" s="6" t="s">
        <v>6558</v>
      </c>
      <c r="N498" s="6" t="s">
        <v>6567</v>
      </c>
      <c r="O498" s="6">
        <v>72</v>
      </c>
      <c r="P498" s="6">
        <v>68</v>
      </c>
      <c r="Q498" s="6">
        <v>78</v>
      </c>
      <c r="R498" s="6">
        <v>66</v>
      </c>
      <c r="S498" s="6">
        <v>62</v>
      </c>
      <c r="T498" s="6">
        <v>63</v>
      </c>
      <c r="U498" s="6">
        <v>79</v>
      </c>
      <c r="V498" s="6">
        <v>75</v>
      </c>
      <c r="W498" s="6">
        <v>69</v>
      </c>
      <c r="X498" s="6">
        <v>68</v>
      </c>
      <c r="Y498" s="6">
        <v>68</v>
      </c>
      <c r="Z498" s="6">
        <v>72</v>
      </c>
      <c r="AA498" s="6">
        <v>63</v>
      </c>
      <c r="AB498" s="6">
        <v>77</v>
      </c>
      <c r="AC498" s="6">
        <v>63</v>
      </c>
      <c r="AD498" s="6">
        <v>76</v>
      </c>
      <c r="AE498" s="6">
        <v>68</v>
      </c>
      <c r="AF498" s="6">
        <v>65</v>
      </c>
      <c r="AG498" s="6" t="s">
        <v>6780</v>
      </c>
      <c r="AH498" s="6" t="s">
        <v>6578</v>
      </c>
    </row>
    <row r="499" spans="1:34" x14ac:dyDescent="0.2">
      <c r="A499" t="s">
        <v>3067</v>
      </c>
      <c r="B499" t="s">
        <v>1331</v>
      </c>
      <c r="C499" t="s">
        <v>2871</v>
      </c>
      <c r="D499" s="7" t="s">
        <v>130</v>
      </c>
      <c r="E499" t="s">
        <v>38</v>
      </c>
      <c r="F499">
        <v>29</v>
      </c>
      <c r="G499">
        <v>76</v>
      </c>
      <c r="H499">
        <v>77</v>
      </c>
      <c r="I499" t="s">
        <v>6307</v>
      </c>
      <c r="J499">
        <v>76</v>
      </c>
      <c r="K499">
        <v>248</v>
      </c>
      <c r="L499" t="s">
        <v>4761</v>
      </c>
      <c r="M499" s="6" t="s">
        <v>6558</v>
      </c>
      <c r="N499" s="6" t="s">
        <v>6565</v>
      </c>
      <c r="O499" s="6">
        <v>75</v>
      </c>
      <c r="P499" s="6">
        <v>66</v>
      </c>
      <c r="Q499" s="6">
        <v>68</v>
      </c>
      <c r="R499" s="6">
        <v>72</v>
      </c>
      <c r="S499" s="6">
        <v>80</v>
      </c>
      <c r="T499" s="6">
        <v>73</v>
      </c>
      <c r="U499" s="6">
        <v>84</v>
      </c>
      <c r="V499" s="6">
        <v>81</v>
      </c>
      <c r="W499" s="6">
        <v>80</v>
      </c>
      <c r="X499" s="6">
        <v>79</v>
      </c>
      <c r="Y499" s="6">
        <v>88</v>
      </c>
      <c r="Z499" s="6">
        <v>72</v>
      </c>
      <c r="AA499" s="6">
        <v>70</v>
      </c>
      <c r="AB499" s="6">
        <v>71</v>
      </c>
      <c r="AC499" s="6">
        <v>70</v>
      </c>
      <c r="AD499" s="6">
        <v>74</v>
      </c>
      <c r="AE499" s="6">
        <v>71</v>
      </c>
      <c r="AF499" s="6">
        <v>68</v>
      </c>
      <c r="AG499" s="6" t="s">
        <v>6783</v>
      </c>
      <c r="AH499" s="6" t="s">
        <v>6585</v>
      </c>
    </row>
    <row r="500" spans="1:34" x14ac:dyDescent="0.2">
      <c r="A500" t="s">
        <v>3088</v>
      </c>
      <c r="B500" t="s">
        <v>1352</v>
      </c>
      <c r="C500" t="s">
        <v>2879</v>
      </c>
      <c r="D500" s="7" t="s">
        <v>130</v>
      </c>
      <c r="E500" t="s">
        <v>58</v>
      </c>
      <c r="F500">
        <v>31</v>
      </c>
      <c r="G500">
        <v>78</v>
      </c>
      <c r="H500">
        <v>77</v>
      </c>
      <c r="I500" t="s">
        <v>6325</v>
      </c>
      <c r="J500">
        <v>76</v>
      </c>
      <c r="K500">
        <v>330</v>
      </c>
      <c r="L500" t="s">
        <v>4782</v>
      </c>
      <c r="M500" s="6" t="s">
        <v>6558</v>
      </c>
      <c r="N500" s="6" t="s">
        <v>6565</v>
      </c>
      <c r="O500" s="6">
        <v>81</v>
      </c>
      <c r="P500" s="6">
        <v>70</v>
      </c>
      <c r="Q500" s="6">
        <v>74</v>
      </c>
      <c r="R500" s="6">
        <v>73</v>
      </c>
      <c r="S500" s="6">
        <v>86</v>
      </c>
      <c r="T500" s="6">
        <v>66</v>
      </c>
      <c r="U500" s="6">
        <v>80</v>
      </c>
      <c r="V500" s="6">
        <v>77</v>
      </c>
      <c r="W500" s="6">
        <v>84</v>
      </c>
      <c r="X500" s="6">
        <v>82</v>
      </c>
      <c r="Y500" s="6">
        <v>78</v>
      </c>
      <c r="Z500" s="6">
        <v>69</v>
      </c>
      <c r="AA500" s="6">
        <v>65</v>
      </c>
      <c r="AB500" s="6">
        <v>65</v>
      </c>
      <c r="AC500" s="6">
        <v>73</v>
      </c>
      <c r="AD500" s="6">
        <v>69</v>
      </c>
      <c r="AE500" s="6">
        <v>67</v>
      </c>
      <c r="AF500" s="6">
        <v>66</v>
      </c>
      <c r="AG500" s="6" t="s">
        <v>6805</v>
      </c>
      <c r="AH500" s="6" t="s">
        <v>6806</v>
      </c>
    </row>
    <row r="501" spans="1:34" x14ac:dyDescent="0.2">
      <c r="A501" t="s">
        <v>3096</v>
      </c>
      <c r="B501" t="s">
        <v>1360</v>
      </c>
      <c r="C501" t="s">
        <v>2883</v>
      </c>
      <c r="D501" s="7" t="s">
        <v>130</v>
      </c>
      <c r="E501" t="s">
        <v>38</v>
      </c>
      <c r="F501">
        <v>30</v>
      </c>
      <c r="G501">
        <v>76</v>
      </c>
      <c r="H501">
        <v>77</v>
      </c>
      <c r="I501" t="s">
        <v>6333</v>
      </c>
      <c r="J501">
        <v>71</v>
      </c>
      <c r="K501">
        <v>218</v>
      </c>
      <c r="L501" t="s">
        <v>4790</v>
      </c>
      <c r="M501" s="6" t="s">
        <v>6558</v>
      </c>
      <c r="N501" s="6" t="s">
        <v>6583</v>
      </c>
      <c r="O501" s="6">
        <v>83</v>
      </c>
      <c r="P501" s="6">
        <v>80</v>
      </c>
      <c r="Q501" s="6">
        <v>80</v>
      </c>
      <c r="R501" s="6">
        <v>78</v>
      </c>
      <c r="S501" s="6">
        <v>86</v>
      </c>
      <c r="T501" s="6">
        <v>81</v>
      </c>
      <c r="U501" s="6">
        <v>79</v>
      </c>
      <c r="V501" s="6">
        <v>87</v>
      </c>
      <c r="W501" s="6">
        <v>76</v>
      </c>
      <c r="X501" s="6">
        <v>74</v>
      </c>
      <c r="Y501" s="6">
        <v>76</v>
      </c>
      <c r="Z501" s="6">
        <v>86</v>
      </c>
      <c r="AA501" s="6">
        <v>77</v>
      </c>
      <c r="AB501" s="6">
        <v>74</v>
      </c>
      <c r="AC501" s="6">
        <v>74</v>
      </c>
      <c r="AD501" s="6">
        <v>65</v>
      </c>
      <c r="AE501" s="6">
        <v>73</v>
      </c>
      <c r="AF501" s="6">
        <v>75</v>
      </c>
      <c r="AG501" s="6" t="s">
        <v>6815</v>
      </c>
      <c r="AH501" s="6" t="s">
        <v>6640</v>
      </c>
    </row>
    <row r="502" spans="1:34" x14ac:dyDescent="0.2">
      <c r="A502" t="s">
        <v>3109</v>
      </c>
      <c r="B502" t="s">
        <v>1373</v>
      </c>
      <c r="C502" t="s">
        <v>2870</v>
      </c>
      <c r="D502" s="7" t="s">
        <v>133</v>
      </c>
      <c r="E502" t="s">
        <v>58</v>
      </c>
      <c r="F502">
        <v>24</v>
      </c>
      <c r="G502">
        <v>62</v>
      </c>
      <c r="H502">
        <v>77</v>
      </c>
      <c r="I502" t="s">
        <v>6346</v>
      </c>
      <c r="J502">
        <v>70</v>
      </c>
      <c r="K502">
        <v>230</v>
      </c>
      <c r="L502" t="s">
        <v>4803</v>
      </c>
      <c r="M502" s="6" t="s">
        <v>6558</v>
      </c>
      <c r="N502" s="6" t="s">
        <v>6567</v>
      </c>
      <c r="O502" s="6">
        <v>70</v>
      </c>
      <c r="P502" s="6">
        <v>66</v>
      </c>
      <c r="Q502" s="6">
        <v>60</v>
      </c>
      <c r="R502" s="6">
        <v>64</v>
      </c>
      <c r="S502" s="6">
        <v>69</v>
      </c>
      <c r="T502" s="6">
        <v>58</v>
      </c>
      <c r="U502" s="6">
        <v>66</v>
      </c>
      <c r="V502" s="6">
        <v>72</v>
      </c>
      <c r="W502" s="6">
        <v>70</v>
      </c>
      <c r="X502" s="6">
        <v>61</v>
      </c>
      <c r="Y502" s="6">
        <v>71</v>
      </c>
      <c r="Z502" s="6">
        <v>73</v>
      </c>
      <c r="AA502" s="6">
        <v>61</v>
      </c>
      <c r="AB502" s="6">
        <v>73</v>
      </c>
      <c r="AC502" s="6">
        <v>65</v>
      </c>
      <c r="AD502" s="6">
        <v>64</v>
      </c>
      <c r="AE502" s="6">
        <v>66</v>
      </c>
      <c r="AF502" s="6">
        <v>65</v>
      </c>
      <c r="AG502" s="6" t="s">
        <v>6830</v>
      </c>
      <c r="AH502" s="6" t="s">
        <v>6656</v>
      </c>
    </row>
    <row r="503" spans="1:34" x14ac:dyDescent="0.2">
      <c r="A503" t="s">
        <v>3110</v>
      </c>
      <c r="B503" t="s">
        <v>1374</v>
      </c>
      <c r="C503" t="s">
        <v>57</v>
      </c>
      <c r="D503" s="7" t="s">
        <v>133</v>
      </c>
      <c r="E503" t="s">
        <v>38</v>
      </c>
      <c r="F503">
        <v>30</v>
      </c>
      <c r="G503">
        <v>80</v>
      </c>
      <c r="H503">
        <v>77</v>
      </c>
      <c r="I503" t="s">
        <v>6347</v>
      </c>
      <c r="J503">
        <v>72</v>
      </c>
      <c r="K503">
        <v>185</v>
      </c>
      <c r="L503" t="s">
        <v>4804</v>
      </c>
      <c r="M503" s="6" t="s">
        <v>6558</v>
      </c>
      <c r="N503" s="6" t="s">
        <v>6565</v>
      </c>
      <c r="O503" s="6">
        <v>94</v>
      </c>
      <c r="P503" s="6">
        <v>73</v>
      </c>
      <c r="Q503" s="6">
        <v>82</v>
      </c>
      <c r="R503" s="6">
        <v>75</v>
      </c>
      <c r="S503" s="6">
        <v>79</v>
      </c>
      <c r="T503" s="6">
        <v>83</v>
      </c>
      <c r="U503" s="6">
        <v>77</v>
      </c>
      <c r="V503" s="6">
        <v>87</v>
      </c>
      <c r="W503" s="6">
        <v>78</v>
      </c>
      <c r="X503" s="6">
        <v>73</v>
      </c>
      <c r="Y503" s="6">
        <v>83</v>
      </c>
      <c r="Z503" s="6">
        <v>81</v>
      </c>
      <c r="AA503" s="6">
        <v>77</v>
      </c>
      <c r="AB503" s="6">
        <v>82</v>
      </c>
      <c r="AC503" s="6">
        <v>69</v>
      </c>
      <c r="AD503" s="6">
        <v>79</v>
      </c>
      <c r="AE503" s="6">
        <v>75</v>
      </c>
      <c r="AF503" s="6">
        <v>73</v>
      </c>
      <c r="AG503" s="6" t="s">
        <v>6831</v>
      </c>
      <c r="AH503" s="6" t="s">
        <v>6730</v>
      </c>
    </row>
    <row r="504" spans="1:34" x14ac:dyDescent="0.2">
      <c r="A504" t="s">
        <v>3111</v>
      </c>
      <c r="B504" t="s">
        <v>1375</v>
      </c>
      <c r="C504" t="s">
        <v>57</v>
      </c>
      <c r="D504" s="7" t="s">
        <v>133</v>
      </c>
      <c r="E504" t="s">
        <v>38</v>
      </c>
      <c r="F504">
        <v>23</v>
      </c>
      <c r="G504">
        <v>79</v>
      </c>
      <c r="H504">
        <v>77</v>
      </c>
      <c r="I504" t="s">
        <v>6310</v>
      </c>
      <c r="J504">
        <v>75</v>
      </c>
      <c r="K504">
        <v>192</v>
      </c>
      <c r="L504" t="s">
        <v>4805</v>
      </c>
      <c r="M504" s="6" t="s">
        <v>6558</v>
      </c>
      <c r="N504" s="6" t="s">
        <v>6614</v>
      </c>
      <c r="O504" s="6">
        <v>64</v>
      </c>
      <c r="P504" s="6">
        <v>70</v>
      </c>
      <c r="Q504" s="6">
        <v>74</v>
      </c>
      <c r="R504" s="6">
        <v>61</v>
      </c>
      <c r="S504" s="6">
        <v>79</v>
      </c>
      <c r="T504" s="6">
        <v>69</v>
      </c>
      <c r="U504" s="6">
        <v>63</v>
      </c>
      <c r="V504" s="6">
        <v>66</v>
      </c>
      <c r="W504" s="6">
        <v>80</v>
      </c>
      <c r="X504" s="6">
        <v>63</v>
      </c>
      <c r="Y504" s="6">
        <v>74</v>
      </c>
      <c r="Z504" s="6">
        <v>67</v>
      </c>
      <c r="AA504" s="6">
        <v>69</v>
      </c>
      <c r="AB504" s="6">
        <v>76</v>
      </c>
      <c r="AC504" s="6">
        <v>76</v>
      </c>
      <c r="AD504" s="6">
        <v>67</v>
      </c>
      <c r="AE504" s="6">
        <v>73</v>
      </c>
      <c r="AF504" s="6">
        <v>77</v>
      </c>
      <c r="AG504" s="6" t="s">
        <v>6832</v>
      </c>
      <c r="AH504" s="6" t="s">
        <v>6574</v>
      </c>
    </row>
    <row r="505" spans="1:34" x14ac:dyDescent="0.2">
      <c r="A505" t="s">
        <v>3117</v>
      </c>
      <c r="B505" t="s">
        <v>1381</v>
      </c>
      <c r="C505" t="s">
        <v>2872</v>
      </c>
      <c r="D505" s="7" t="s">
        <v>133</v>
      </c>
      <c r="E505" t="s">
        <v>38</v>
      </c>
      <c r="F505">
        <v>22</v>
      </c>
      <c r="G505">
        <v>81</v>
      </c>
      <c r="H505">
        <v>77</v>
      </c>
      <c r="I505" t="s">
        <v>6301</v>
      </c>
      <c r="J505">
        <v>78</v>
      </c>
      <c r="K505">
        <v>312</v>
      </c>
      <c r="L505" t="s">
        <v>4811</v>
      </c>
      <c r="M505" s="6" t="s">
        <v>6558</v>
      </c>
      <c r="N505" s="6" t="s">
        <v>6583</v>
      </c>
      <c r="O505" s="6">
        <v>76</v>
      </c>
      <c r="P505" s="6">
        <v>72</v>
      </c>
      <c r="Q505" s="6">
        <v>73</v>
      </c>
      <c r="R505" s="6">
        <v>80</v>
      </c>
      <c r="S505" s="6">
        <v>76</v>
      </c>
      <c r="T505" s="6">
        <v>74</v>
      </c>
      <c r="U505" s="6">
        <v>64</v>
      </c>
      <c r="V505" s="6">
        <v>74</v>
      </c>
      <c r="W505" s="6">
        <v>68</v>
      </c>
      <c r="X505" s="6">
        <v>71</v>
      </c>
      <c r="Y505" s="6">
        <v>73</v>
      </c>
      <c r="Z505" s="6">
        <v>70</v>
      </c>
      <c r="AA505" s="6">
        <v>74</v>
      </c>
      <c r="AB505" s="6">
        <v>74</v>
      </c>
      <c r="AC505" s="6">
        <v>69</v>
      </c>
      <c r="AD505" s="6">
        <v>73</v>
      </c>
      <c r="AE505" s="6">
        <v>73</v>
      </c>
      <c r="AF505" s="6">
        <v>74</v>
      </c>
      <c r="AG505" s="6" t="s">
        <v>6839</v>
      </c>
      <c r="AH505" s="6" t="s">
        <v>6610</v>
      </c>
    </row>
    <row r="506" spans="1:34" x14ac:dyDescent="0.2">
      <c r="A506" t="s">
        <v>3134</v>
      </c>
      <c r="B506" t="s">
        <v>1398</v>
      </c>
      <c r="C506" t="s">
        <v>2879</v>
      </c>
      <c r="D506" s="7" t="s">
        <v>133</v>
      </c>
      <c r="E506" t="s">
        <v>38</v>
      </c>
      <c r="F506">
        <v>29</v>
      </c>
      <c r="G506">
        <v>77</v>
      </c>
      <c r="H506">
        <v>77</v>
      </c>
      <c r="I506" t="s">
        <v>6322</v>
      </c>
      <c r="J506">
        <v>74</v>
      </c>
      <c r="K506">
        <v>318</v>
      </c>
      <c r="L506" t="s">
        <v>4828</v>
      </c>
      <c r="M506" s="6" t="s">
        <v>6558</v>
      </c>
      <c r="N506" s="6" t="s">
        <v>6583</v>
      </c>
      <c r="O506" s="6">
        <v>85</v>
      </c>
      <c r="P506" s="6">
        <v>78</v>
      </c>
      <c r="Q506" s="6">
        <v>72</v>
      </c>
      <c r="R506" s="6">
        <v>76</v>
      </c>
      <c r="S506" s="6">
        <v>75</v>
      </c>
      <c r="T506" s="6">
        <v>82</v>
      </c>
      <c r="U506" s="6">
        <v>81</v>
      </c>
      <c r="V506" s="6">
        <v>81</v>
      </c>
      <c r="W506" s="6">
        <v>82</v>
      </c>
      <c r="X506" s="6">
        <v>68</v>
      </c>
      <c r="Y506" s="6">
        <v>75</v>
      </c>
      <c r="Z506" s="6">
        <v>83</v>
      </c>
      <c r="AA506" s="6">
        <v>65</v>
      </c>
      <c r="AB506" s="6">
        <v>71</v>
      </c>
      <c r="AC506" s="6">
        <v>71</v>
      </c>
      <c r="AD506" s="6">
        <v>91</v>
      </c>
      <c r="AE506" s="6">
        <v>73</v>
      </c>
      <c r="AF506" s="6">
        <v>82</v>
      </c>
      <c r="AG506" s="6" t="s">
        <v>6857</v>
      </c>
      <c r="AH506" s="6" t="s">
        <v>6617</v>
      </c>
    </row>
    <row r="507" spans="1:34" x14ac:dyDescent="0.2">
      <c r="A507" t="s">
        <v>3157</v>
      </c>
      <c r="B507" t="s">
        <v>1421</v>
      </c>
      <c r="C507" t="s">
        <v>53</v>
      </c>
      <c r="D507" s="7" t="s">
        <v>134</v>
      </c>
      <c r="E507" t="s">
        <v>58</v>
      </c>
      <c r="F507">
        <v>21</v>
      </c>
      <c r="G507">
        <v>60</v>
      </c>
      <c r="H507">
        <v>77</v>
      </c>
      <c r="I507" t="s">
        <v>6350</v>
      </c>
      <c r="J507">
        <v>73</v>
      </c>
      <c r="K507">
        <v>226</v>
      </c>
      <c r="L507" t="s">
        <v>4851</v>
      </c>
      <c r="M507" s="6" t="s">
        <v>6558</v>
      </c>
      <c r="N507" s="6" t="s">
        <v>6567</v>
      </c>
      <c r="O507" s="6">
        <v>62</v>
      </c>
      <c r="P507" s="6">
        <v>62</v>
      </c>
      <c r="Q507" s="6">
        <v>65</v>
      </c>
      <c r="R507" s="6">
        <v>68</v>
      </c>
      <c r="S507" s="6">
        <v>79</v>
      </c>
      <c r="T507" s="6">
        <v>62</v>
      </c>
      <c r="U507" s="6">
        <v>69</v>
      </c>
      <c r="V507" s="6">
        <v>69</v>
      </c>
      <c r="W507" s="6">
        <v>67</v>
      </c>
      <c r="X507" s="6">
        <v>58</v>
      </c>
      <c r="Y507" s="6">
        <v>65</v>
      </c>
      <c r="Z507" s="6">
        <v>66</v>
      </c>
      <c r="AA507" s="6">
        <v>67</v>
      </c>
      <c r="AB507" s="6">
        <v>70</v>
      </c>
      <c r="AC507" s="6">
        <v>58</v>
      </c>
      <c r="AD507" s="6">
        <v>67</v>
      </c>
      <c r="AE507" s="6">
        <v>65</v>
      </c>
      <c r="AF507" s="6">
        <v>73</v>
      </c>
      <c r="AG507" s="6" t="s">
        <v>6881</v>
      </c>
      <c r="AH507" s="6" t="s">
        <v>6882</v>
      </c>
    </row>
    <row r="508" spans="1:34" x14ac:dyDescent="0.2">
      <c r="A508" t="s">
        <v>3171</v>
      </c>
      <c r="B508" t="s">
        <v>1435</v>
      </c>
      <c r="C508" t="s">
        <v>2874</v>
      </c>
      <c r="D508" s="7" t="s">
        <v>134</v>
      </c>
      <c r="E508" t="s">
        <v>38</v>
      </c>
      <c r="F508">
        <v>29</v>
      </c>
      <c r="G508">
        <v>73</v>
      </c>
      <c r="H508">
        <v>77</v>
      </c>
      <c r="I508" t="s">
        <v>6362</v>
      </c>
      <c r="J508">
        <v>76</v>
      </c>
      <c r="K508">
        <v>309</v>
      </c>
      <c r="L508" t="s">
        <v>4865</v>
      </c>
      <c r="M508" s="6" t="s">
        <v>6558</v>
      </c>
      <c r="N508" s="6" t="s">
        <v>6565</v>
      </c>
      <c r="O508" s="6">
        <v>65</v>
      </c>
      <c r="P508" s="6">
        <v>76</v>
      </c>
      <c r="Q508" s="6">
        <v>74</v>
      </c>
      <c r="R508" s="6">
        <v>75</v>
      </c>
      <c r="S508" s="6">
        <v>70</v>
      </c>
      <c r="T508" s="6">
        <v>73</v>
      </c>
      <c r="U508" s="6">
        <v>72</v>
      </c>
      <c r="V508" s="6">
        <v>74</v>
      </c>
      <c r="W508" s="6">
        <v>73</v>
      </c>
      <c r="X508" s="6">
        <v>67</v>
      </c>
      <c r="Y508" s="6">
        <v>78</v>
      </c>
      <c r="Z508" s="6">
        <v>71</v>
      </c>
      <c r="AA508" s="6">
        <v>69</v>
      </c>
      <c r="AB508" s="6">
        <v>69</v>
      </c>
      <c r="AC508" s="6">
        <v>70</v>
      </c>
      <c r="AD508" s="6">
        <v>71</v>
      </c>
      <c r="AE508" s="6">
        <v>70</v>
      </c>
      <c r="AF508" s="6">
        <v>65</v>
      </c>
      <c r="AG508" s="6" t="s">
        <v>6897</v>
      </c>
      <c r="AH508" s="6" t="s">
        <v>6598</v>
      </c>
    </row>
    <row r="509" spans="1:34" x14ac:dyDescent="0.2">
      <c r="A509" t="s">
        <v>3184</v>
      </c>
      <c r="B509" t="s">
        <v>1448</v>
      </c>
      <c r="C509" t="s">
        <v>2879</v>
      </c>
      <c r="D509" s="7" t="s">
        <v>134</v>
      </c>
      <c r="E509" t="s">
        <v>38</v>
      </c>
      <c r="F509">
        <v>31</v>
      </c>
      <c r="G509">
        <v>93</v>
      </c>
      <c r="H509">
        <v>77</v>
      </c>
      <c r="I509" t="s">
        <v>6374</v>
      </c>
      <c r="J509">
        <v>74</v>
      </c>
      <c r="K509">
        <v>302</v>
      </c>
      <c r="L509" t="s">
        <v>4878</v>
      </c>
      <c r="M509" s="6" t="s">
        <v>6558</v>
      </c>
      <c r="N509" s="6" t="s">
        <v>6565</v>
      </c>
      <c r="O509" s="6">
        <v>78</v>
      </c>
      <c r="P509" s="6">
        <v>71</v>
      </c>
      <c r="Q509" s="6">
        <v>87</v>
      </c>
      <c r="R509" s="6">
        <v>75</v>
      </c>
      <c r="S509" s="6">
        <v>80</v>
      </c>
      <c r="T509" s="6">
        <v>76</v>
      </c>
      <c r="U509" s="6">
        <v>83</v>
      </c>
      <c r="V509" s="6">
        <v>78</v>
      </c>
      <c r="W509" s="6">
        <v>77</v>
      </c>
      <c r="X509" s="6">
        <v>63</v>
      </c>
      <c r="Y509" s="6">
        <v>80</v>
      </c>
      <c r="Z509" s="6">
        <v>81</v>
      </c>
      <c r="AA509" s="6">
        <v>73</v>
      </c>
      <c r="AB509" s="6">
        <v>71</v>
      </c>
      <c r="AC509" s="6">
        <v>69</v>
      </c>
      <c r="AD509" s="6">
        <v>77</v>
      </c>
      <c r="AE509" s="6">
        <v>70</v>
      </c>
      <c r="AF509" s="6">
        <v>80</v>
      </c>
      <c r="AG509" s="6" t="s">
        <v>6910</v>
      </c>
      <c r="AH509" s="6" t="s">
        <v>6861</v>
      </c>
    </row>
    <row r="510" spans="1:34" x14ac:dyDescent="0.2">
      <c r="A510" t="s">
        <v>3187</v>
      </c>
      <c r="B510" t="s">
        <v>1451</v>
      </c>
      <c r="C510" t="s">
        <v>2879</v>
      </c>
      <c r="D510" s="7" t="s">
        <v>134</v>
      </c>
      <c r="E510" t="s">
        <v>38</v>
      </c>
      <c r="F510">
        <v>27</v>
      </c>
      <c r="G510">
        <v>73</v>
      </c>
      <c r="H510">
        <v>77</v>
      </c>
      <c r="I510" t="s">
        <v>6377</v>
      </c>
      <c r="J510">
        <v>73</v>
      </c>
      <c r="K510">
        <v>317</v>
      </c>
      <c r="L510" t="s">
        <v>4881</v>
      </c>
      <c r="M510" s="6" t="s">
        <v>6558</v>
      </c>
      <c r="N510" s="6" t="s">
        <v>6565</v>
      </c>
      <c r="O510" s="6">
        <v>83</v>
      </c>
      <c r="P510" s="6">
        <v>65</v>
      </c>
      <c r="Q510" s="6">
        <v>74</v>
      </c>
      <c r="R510" s="6">
        <v>70</v>
      </c>
      <c r="S510" s="6">
        <v>80</v>
      </c>
      <c r="T510" s="6">
        <v>80</v>
      </c>
      <c r="U510" s="6">
        <v>67</v>
      </c>
      <c r="V510" s="6">
        <v>69</v>
      </c>
      <c r="W510" s="6">
        <v>73</v>
      </c>
      <c r="X510" s="6">
        <v>70</v>
      </c>
      <c r="Y510" s="6">
        <v>70</v>
      </c>
      <c r="Z510" s="6">
        <v>67</v>
      </c>
      <c r="AA510" s="6">
        <v>67</v>
      </c>
      <c r="AB510" s="6">
        <v>71</v>
      </c>
      <c r="AC510" s="6">
        <v>64</v>
      </c>
      <c r="AD510" s="6">
        <v>72</v>
      </c>
      <c r="AE510" s="6">
        <v>68</v>
      </c>
      <c r="AF510" s="6">
        <v>81</v>
      </c>
      <c r="AG510" s="6" t="s">
        <v>6913</v>
      </c>
      <c r="AH510" s="6" t="s">
        <v>6617</v>
      </c>
    </row>
    <row r="511" spans="1:34" x14ac:dyDescent="0.2">
      <c r="A511" t="s">
        <v>3191</v>
      </c>
      <c r="B511" t="s">
        <v>1455</v>
      </c>
      <c r="C511" t="s">
        <v>61</v>
      </c>
      <c r="D511" s="7" t="s">
        <v>134</v>
      </c>
      <c r="E511" t="s">
        <v>38</v>
      </c>
      <c r="F511">
        <v>23</v>
      </c>
      <c r="G511">
        <v>74</v>
      </c>
      <c r="H511">
        <v>77</v>
      </c>
      <c r="I511" t="s">
        <v>6381</v>
      </c>
      <c r="J511">
        <v>70</v>
      </c>
      <c r="K511">
        <v>198</v>
      </c>
      <c r="L511" t="s">
        <v>4885</v>
      </c>
      <c r="M511" s="6" t="s">
        <v>6558</v>
      </c>
      <c r="N511" s="6" t="s">
        <v>6567</v>
      </c>
      <c r="O511" s="6">
        <v>76</v>
      </c>
      <c r="P511" s="6">
        <v>73</v>
      </c>
      <c r="Q511" s="6">
        <v>67</v>
      </c>
      <c r="R511" s="6">
        <v>65</v>
      </c>
      <c r="S511" s="6">
        <v>76</v>
      </c>
      <c r="T511" s="6">
        <v>79</v>
      </c>
      <c r="U511" s="6">
        <v>67</v>
      </c>
      <c r="V511" s="6">
        <v>79</v>
      </c>
      <c r="W511" s="6">
        <v>71</v>
      </c>
      <c r="X511" s="6">
        <v>66</v>
      </c>
      <c r="Y511" s="6">
        <v>70</v>
      </c>
      <c r="Z511" s="6">
        <v>77</v>
      </c>
      <c r="AA511" s="6">
        <v>68</v>
      </c>
      <c r="AB511" s="6">
        <v>74</v>
      </c>
      <c r="AC511" s="6">
        <v>65</v>
      </c>
      <c r="AD511" s="6">
        <v>77</v>
      </c>
      <c r="AE511" s="6">
        <v>69</v>
      </c>
      <c r="AF511" s="6">
        <v>66</v>
      </c>
      <c r="AG511" s="6" t="s">
        <v>6917</v>
      </c>
      <c r="AH511" s="6" t="s">
        <v>6630</v>
      </c>
    </row>
    <row r="512" spans="1:34" x14ac:dyDescent="0.2">
      <c r="A512" t="s">
        <v>3211</v>
      </c>
      <c r="B512" t="s">
        <v>1475</v>
      </c>
      <c r="C512" t="s">
        <v>53</v>
      </c>
      <c r="D512" s="7" t="s">
        <v>132</v>
      </c>
      <c r="E512" t="s">
        <v>58</v>
      </c>
      <c r="F512">
        <v>31</v>
      </c>
      <c r="G512">
        <v>67</v>
      </c>
      <c r="H512">
        <v>77</v>
      </c>
      <c r="I512" t="s">
        <v>6401</v>
      </c>
      <c r="J512">
        <v>76</v>
      </c>
      <c r="K512">
        <v>220</v>
      </c>
      <c r="L512" t="s">
        <v>4905</v>
      </c>
      <c r="M512" s="6" t="s">
        <v>6558</v>
      </c>
      <c r="N512" s="6" t="s">
        <v>6559</v>
      </c>
      <c r="O512" s="6">
        <v>83</v>
      </c>
      <c r="P512" s="6">
        <v>76</v>
      </c>
      <c r="Q512" s="6">
        <v>67</v>
      </c>
      <c r="R512" s="6">
        <v>83</v>
      </c>
      <c r="S512" s="6">
        <v>74</v>
      </c>
      <c r="T512" s="6">
        <v>77</v>
      </c>
      <c r="U512" s="6">
        <v>70</v>
      </c>
      <c r="V512" s="6">
        <v>79</v>
      </c>
      <c r="W512" s="6">
        <v>75</v>
      </c>
      <c r="X512" s="6">
        <v>75</v>
      </c>
      <c r="Y512" s="6">
        <v>69</v>
      </c>
      <c r="Z512" s="6">
        <v>74</v>
      </c>
      <c r="AA512" s="6">
        <v>65</v>
      </c>
      <c r="AB512" s="6">
        <v>62</v>
      </c>
      <c r="AC512" s="6">
        <v>69</v>
      </c>
      <c r="AD512" s="6">
        <v>65</v>
      </c>
      <c r="AE512" s="6">
        <v>60</v>
      </c>
      <c r="AF512" s="6">
        <v>71</v>
      </c>
      <c r="AG512" s="6" t="s">
        <v>6938</v>
      </c>
      <c r="AH512" s="6" t="s">
        <v>6882</v>
      </c>
    </row>
    <row r="513" spans="1:34" x14ac:dyDescent="0.2">
      <c r="A513" t="s">
        <v>3247</v>
      </c>
      <c r="B513" t="s">
        <v>1511</v>
      </c>
      <c r="C513" t="s">
        <v>2882</v>
      </c>
      <c r="D513" s="7" t="s">
        <v>132</v>
      </c>
      <c r="E513" t="s">
        <v>38</v>
      </c>
      <c r="F513">
        <v>25</v>
      </c>
      <c r="G513">
        <v>71</v>
      </c>
      <c r="H513">
        <v>77</v>
      </c>
      <c r="I513" t="s">
        <v>6436</v>
      </c>
      <c r="J513">
        <v>71</v>
      </c>
      <c r="K513">
        <v>203</v>
      </c>
      <c r="L513" t="s">
        <v>4941</v>
      </c>
      <c r="M513" s="6" t="s">
        <v>6558</v>
      </c>
      <c r="N513" s="6" t="s">
        <v>6565</v>
      </c>
      <c r="O513" s="6">
        <v>74</v>
      </c>
      <c r="P513" s="6">
        <v>66</v>
      </c>
      <c r="Q513" s="6">
        <v>71</v>
      </c>
      <c r="R513" s="6">
        <v>73</v>
      </c>
      <c r="S513" s="6">
        <v>68</v>
      </c>
      <c r="T513" s="6">
        <v>67</v>
      </c>
      <c r="U513" s="6">
        <v>77</v>
      </c>
      <c r="V513" s="6">
        <v>72</v>
      </c>
      <c r="W513" s="6">
        <v>70</v>
      </c>
      <c r="X513" s="6">
        <v>62</v>
      </c>
      <c r="Y513" s="6">
        <v>65</v>
      </c>
      <c r="Z513" s="6">
        <v>74</v>
      </c>
      <c r="AA513" s="6">
        <v>72</v>
      </c>
      <c r="AB513" s="6">
        <v>73</v>
      </c>
      <c r="AC513" s="6">
        <v>72</v>
      </c>
      <c r="AD513" s="6">
        <v>77</v>
      </c>
      <c r="AE513" s="6">
        <v>69</v>
      </c>
      <c r="AF513" s="6">
        <v>76</v>
      </c>
      <c r="AG513" s="6" t="s">
        <v>6975</v>
      </c>
      <c r="AH513" s="6" t="s">
        <v>6636</v>
      </c>
    </row>
    <row r="514" spans="1:34" x14ac:dyDescent="0.2">
      <c r="A514" t="s">
        <v>3275</v>
      </c>
      <c r="B514" t="s">
        <v>1539</v>
      </c>
      <c r="C514" t="s">
        <v>2872</v>
      </c>
      <c r="D514" s="7" t="s">
        <v>136</v>
      </c>
      <c r="E514" t="s">
        <v>58</v>
      </c>
      <c r="F514">
        <v>33</v>
      </c>
      <c r="G514">
        <v>85</v>
      </c>
      <c r="H514">
        <v>77</v>
      </c>
      <c r="I514" t="s">
        <v>6464</v>
      </c>
      <c r="J514">
        <v>76</v>
      </c>
      <c r="K514">
        <v>309</v>
      </c>
      <c r="L514" t="s">
        <v>4969</v>
      </c>
      <c r="M514" s="6" t="s">
        <v>6558</v>
      </c>
      <c r="N514" s="6" t="s">
        <v>6583</v>
      </c>
      <c r="O514" s="6">
        <v>86</v>
      </c>
      <c r="P514" s="6">
        <v>74</v>
      </c>
      <c r="Q514" s="6">
        <v>75</v>
      </c>
      <c r="R514" s="6">
        <v>76</v>
      </c>
      <c r="S514" s="6">
        <v>81</v>
      </c>
      <c r="T514" s="6">
        <v>83</v>
      </c>
      <c r="U514" s="6">
        <v>78</v>
      </c>
      <c r="V514" s="6">
        <v>84</v>
      </c>
      <c r="W514" s="6">
        <v>80</v>
      </c>
      <c r="X514" s="6">
        <v>76</v>
      </c>
      <c r="Y514" s="6">
        <v>83</v>
      </c>
      <c r="Z514" s="6">
        <v>76</v>
      </c>
      <c r="AA514" s="6">
        <v>71</v>
      </c>
      <c r="AB514" s="6">
        <v>70</v>
      </c>
      <c r="AC514" s="6">
        <v>65</v>
      </c>
      <c r="AD514" s="6">
        <v>62</v>
      </c>
      <c r="AE514" s="6">
        <v>65</v>
      </c>
      <c r="AF514" s="6">
        <v>62</v>
      </c>
      <c r="AG514" s="6" t="s">
        <v>7006</v>
      </c>
      <c r="AH514" s="6" t="s">
        <v>6610</v>
      </c>
    </row>
    <row r="515" spans="1:34" x14ac:dyDescent="0.2">
      <c r="A515" t="s">
        <v>3277</v>
      </c>
      <c r="B515" t="s">
        <v>1541</v>
      </c>
      <c r="C515" t="s">
        <v>2873</v>
      </c>
      <c r="D515" s="7" t="s">
        <v>136</v>
      </c>
      <c r="E515" t="s">
        <v>38</v>
      </c>
      <c r="F515">
        <v>25</v>
      </c>
      <c r="G515">
        <v>74</v>
      </c>
      <c r="H515">
        <v>77</v>
      </c>
      <c r="I515" t="s">
        <v>6466</v>
      </c>
      <c r="J515">
        <v>79</v>
      </c>
      <c r="K515">
        <v>325</v>
      </c>
      <c r="L515" t="s">
        <v>4971</v>
      </c>
      <c r="M515" s="6" t="s">
        <v>6558</v>
      </c>
      <c r="N515" s="6" t="s">
        <v>6565</v>
      </c>
      <c r="O515" s="6">
        <v>68</v>
      </c>
      <c r="P515" s="6">
        <v>77</v>
      </c>
      <c r="Q515" s="6">
        <v>86</v>
      </c>
      <c r="R515" s="6">
        <v>70</v>
      </c>
      <c r="S515" s="6">
        <v>78</v>
      </c>
      <c r="T515" s="6">
        <v>71</v>
      </c>
      <c r="U515" s="6">
        <v>66</v>
      </c>
      <c r="V515" s="6">
        <v>69</v>
      </c>
      <c r="W515" s="6">
        <v>70</v>
      </c>
      <c r="X515" s="6">
        <v>74</v>
      </c>
      <c r="Y515" s="6">
        <v>64</v>
      </c>
      <c r="Z515" s="6">
        <v>75</v>
      </c>
      <c r="AA515" s="6">
        <v>79</v>
      </c>
      <c r="AB515" s="6">
        <v>70</v>
      </c>
      <c r="AC515" s="6">
        <v>76</v>
      </c>
      <c r="AD515" s="6">
        <v>80</v>
      </c>
      <c r="AE515" s="6">
        <v>70</v>
      </c>
      <c r="AF515" s="6">
        <v>73</v>
      </c>
      <c r="AG515" s="6" t="s">
        <v>7008</v>
      </c>
      <c r="AH515" s="6" t="s">
        <v>6610</v>
      </c>
    </row>
    <row r="516" spans="1:34" x14ac:dyDescent="0.2">
      <c r="A516" t="s">
        <v>3290</v>
      </c>
      <c r="B516" t="s">
        <v>1554</v>
      </c>
      <c r="C516" t="s">
        <v>2879</v>
      </c>
      <c r="D516" s="7" t="s">
        <v>136</v>
      </c>
      <c r="E516" t="s">
        <v>58</v>
      </c>
      <c r="F516">
        <v>32</v>
      </c>
      <c r="G516">
        <v>72</v>
      </c>
      <c r="H516">
        <v>77</v>
      </c>
      <c r="I516" t="s">
        <v>6423</v>
      </c>
      <c r="J516">
        <v>74</v>
      </c>
      <c r="K516">
        <v>315</v>
      </c>
      <c r="L516" t="s">
        <v>4984</v>
      </c>
      <c r="M516" s="6" t="s">
        <v>6558</v>
      </c>
      <c r="N516" s="6" t="s">
        <v>6565</v>
      </c>
      <c r="O516" s="6">
        <v>79</v>
      </c>
      <c r="P516" s="6">
        <v>74</v>
      </c>
      <c r="Q516" s="6">
        <v>77</v>
      </c>
      <c r="R516" s="6">
        <v>75</v>
      </c>
      <c r="S516" s="6">
        <v>76</v>
      </c>
      <c r="T516" s="6">
        <v>74</v>
      </c>
      <c r="U516" s="6">
        <v>83</v>
      </c>
      <c r="V516" s="6">
        <v>85</v>
      </c>
      <c r="W516" s="6">
        <v>85</v>
      </c>
      <c r="X516" s="6">
        <v>82</v>
      </c>
      <c r="Y516" s="6">
        <v>79</v>
      </c>
      <c r="Z516" s="6">
        <v>77</v>
      </c>
      <c r="AA516" s="6">
        <v>72</v>
      </c>
      <c r="AB516" s="6">
        <v>70</v>
      </c>
      <c r="AC516" s="6">
        <v>68</v>
      </c>
      <c r="AD516" s="6">
        <v>73</v>
      </c>
      <c r="AE516" s="6">
        <v>66</v>
      </c>
      <c r="AF516" s="6">
        <v>64</v>
      </c>
      <c r="AG516" s="6" t="s">
        <v>7021</v>
      </c>
      <c r="AH516" s="6" t="s">
        <v>6617</v>
      </c>
    </row>
    <row r="517" spans="1:34" x14ac:dyDescent="0.2">
      <c r="A517" t="s">
        <v>3318</v>
      </c>
      <c r="B517" t="s">
        <v>1582</v>
      </c>
      <c r="C517" t="s">
        <v>57</v>
      </c>
      <c r="D517" s="7" t="s">
        <v>137</v>
      </c>
      <c r="E517" t="s">
        <v>38</v>
      </c>
      <c r="F517">
        <v>30</v>
      </c>
      <c r="G517">
        <v>75</v>
      </c>
      <c r="H517">
        <v>77</v>
      </c>
      <c r="I517" t="s">
        <v>59</v>
      </c>
      <c r="J517">
        <v>69</v>
      </c>
      <c r="K517">
        <v>190</v>
      </c>
      <c r="L517" t="s">
        <v>5012</v>
      </c>
      <c r="M517" s="6" t="s">
        <v>6558</v>
      </c>
      <c r="N517" s="6" t="s">
        <v>6567</v>
      </c>
      <c r="O517" s="6">
        <v>76</v>
      </c>
      <c r="P517" s="6">
        <v>72</v>
      </c>
      <c r="Q517" s="6">
        <v>75</v>
      </c>
      <c r="R517" s="6">
        <v>68</v>
      </c>
      <c r="S517" s="6">
        <v>78</v>
      </c>
      <c r="T517" s="6">
        <v>76</v>
      </c>
      <c r="U517" s="6">
        <v>84</v>
      </c>
      <c r="V517" s="6">
        <v>79</v>
      </c>
      <c r="W517" s="6">
        <v>85</v>
      </c>
      <c r="X517" s="6">
        <v>77</v>
      </c>
      <c r="Y517" s="6">
        <v>82</v>
      </c>
      <c r="Z517" s="6">
        <v>85</v>
      </c>
      <c r="AA517" s="6">
        <v>71</v>
      </c>
      <c r="AB517" s="6">
        <v>79</v>
      </c>
      <c r="AC517" s="6">
        <v>69</v>
      </c>
      <c r="AD517" s="6">
        <v>73</v>
      </c>
      <c r="AE517" s="6">
        <v>73</v>
      </c>
      <c r="AF517" s="6">
        <v>80</v>
      </c>
      <c r="AG517" s="6" t="s">
        <v>7052</v>
      </c>
      <c r="AH517" s="6" t="s">
        <v>6664</v>
      </c>
    </row>
    <row r="518" spans="1:34" x14ac:dyDescent="0.2">
      <c r="A518" t="s">
        <v>3320</v>
      </c>
      <c r="B518" t="s">
        <v>1584</v>
      </c>
      <c r="C518" t="s">
        <v>57</v>
      </c>
      <c r="D518" s="7" t="s">
        <v>137</v>
      </c>
      <c r="E518" t="s">
        <v>58</v>
      </c>
      <c r="F518">
        <v>26</v>
      </c>
      <c r="G518">
        <v>65</v>
      </c>
      <c r="H518">
        <v>77</v>
      </c>
      <c r="I518" t="s">
        <v>6312</v>
      </c>
      <c r="J518">
        <v>75</v>
      </c>
      <c r="K518">
        <v>205</v>
      </c>
      <c r="L518" t="s">
        <v>5014</v>
      </c>
      <c r="M518" s="6" t="s">
        <v>6558</v>
      </c>
      <c r="N518" s="6" t="s">
        <v>6614</v>
      </c>
      <c r="O518" s="6">
        <v>72</v>
      </c>
      <c r="P518" s="6">
        <v>62</v>
      </c>
      <c r="Q518" s="6">
        <v>69</v>
      </c>
      <c r="R518" s="6">
        <v>62</v>
      </c>
      <c r="S518" s="6">
        <v>77</v>
      </c>
      <c r="T518" s="6">
        <v>72</v>
      </c>
      <c r="U518" s="6">
        <v>64</v>
      </c>
      <c r="V518" s="6">
        <v>77</v>
      </c>
      <c r="W518" s="6">
        <v>61</v>
      </c>
      <c r="X518" s="6">
        <v>75</v>
      </c>
      <c r="Y518" s="6">
        <v>86</v>
      </c>
      <c r="Z518" s="6">
        <v>74</v>
      </c>
      <c r="AA518" s="6">
        <v>64</v>
      </c>
      <c r="AB518" s="6">
        <v>66</v>
      </c>
      <c r="AC518" s="6">
        <v>71</v>
      </c>
      <c r="AD518" s="6">
        <v>69</v>
      </c>
      <c r="AE518" s="6">
        <v>63</v>
      </c>
      <c r="AF518" s="6">
        <v>63</v>
      </c>
      <c r="AG518" s="6" t="s">
        <v>6577</v>
      </c>
      <c r="AH518" s="6" t="s">
        <v>6664</v>
      </c>
    </row>
    <row r="519" spans="1:34" x14ac:dyDescent="0.2">
      <c r="A519" t="s">
        <v>3323</v>
      </c>
      <c r="B519" t="s">
        <v>1587</v>
      </c>
      <c r="C519" t="s">
        <v>2871</v>
      </c>
      <c r="D519" s="7" t="s">
        <v>137</v>
      </c>
      <c r="E519" t="s">
        <v>38</v>
      </c>
      <c r="F519">
        <v>26</v>
      </c>
      <c r="G519">
        <v>65</v>
      </c>
      <c r="H519">
        <v>77</v>
      </c>
      <c r="I519" t="s">
        <v>6310</v>
      </c>
      <c r="J519">
        <v>77</v>
      </c>
      <c r="K519">
        <v>246</v>
      </c>
      <c r="L519" t="s">
        <v>5017</v>
      </c>
      <c r="M519" s="6" t="s">
        <v>6558</v>
      </c>
      <c r="N519" s="6" t="s">
        <v>6583</v>
      </c>
      <c r="O519" s="6">
        <v>69</v>
      </c>
      <c r="P519" s="6">
        <v>61</v>
      </c>
      <c r="Q519" s="6">
        <v>77</v>
      </c>
      <c r="R519" s="6">
        <v>76</v>
      </c>
      <c r="S519" s="6">
        <v>84</v>
      </c>
      <c r="T519" s="6">
        <v>69</v>
      </c>
      <c r="U519" s="6">
        <v>66</v>
      </c>
      <c r="V519" s="6">
        <v>76</v>
      </c>
      <c r="W519" s="6">
        <v>76</v>
      </c>
      <c r="X519" s="6">
        <v>68</v>
      </c>
      <c r="Y519" s="6">
        <v>76</v>
      </c>
      <c r="Z519" s="6">
        <v>67</v>
      </c>
      <c r="AA519" s="6">
        <v>70</v>
      </c>
      <c r="AB519" s="6">
        <v>64</v>
      </c>
      <c r="AC519" s="6">
        <v>65</v>
      </c>
      <c r="AD519" s="6">
        <v>73</v>
      </c>
      <c r="AE519" s="6">
        <v>67</v>
      </c>
      <c r="AF519" s="6">
        <v>69</v>
      </c>
      <c r="AG519" s="6" t="s">
        <v>7056</v>
      </c>
      <c r="AH519" s="6" t="s">
        <v>6587</v>
      </c>
    </row>
    <row r="520" spans="1:34" x14ac:dyDescent="0.2">
      <c r="A520" t="s">
        <v>3326</v>
      </c>
      <c r="B520" t="s">
        <v>1590</v>
      </c>
      <c r="C520" t="s">
        <v>2873</v>
      </c>
      <c r="D520" s="7" t="s">
        <v>137</v>
      </c>
      <c r="E520" t="s">
        <v>38</v>
      </c>
      <c r="F520">
        <v>33</v>
      </c>
      <c r="G520">
        <v>89</v>
      </c>
      <c r="H520">
        <v>77</v>
      </c>
      <c r="I520" t="s">
        <v>6335</v>
      </c>
      <c r="J520">
        <v>76</v>
      </c>
      <c r="K520">
        <v>310</v>
      </c>
      <c r="L520" t="s">
        <v>5020</v>
      </c>
      <c r="M520" s="6" t="s">
        <v>6558</v>
      </c>
      <c r="N520" s="6" t="s">
        <v>6565</v>
      </c>
      <c r="O520" s="6">
        <v>81</v>
      </c>
      <c r="P520" s="6">
        <v>81</v>
      </c>
      <c r="Q520" s="6">
        <v>79</v>
      </c>
      <c r="R520" s="6">
        <v>75</v>
      </c>
      <c r="S520" s="6">
        <v>89</v>
      </c>
      <c r="T520" s="6">
        <v>90</v>
      </c>
      <c r="U520" s="6">
        <v>77</v>
      </c>
      <c r="V520" s="6">
        <v>87</v>
      </c>
      <c r="W520" s="6">
        <v>84</v>
      </c>
      <c r="X520" s="6">
        <v>82</v>
      </c>
      <c r="Y520" s="6">
        <v>75</v>
      </c>
      <c r="Z520" s="6">
        <v>90</v>
      </c>
      <c r="AA520" s="6">
        <v>67</v>
      </c>
      <c r="AB520" s="6">
        <v>72</v>
      </c>
      <c r="AC520" s="6">
        <v>66</v>
      </c>
      <c r="AD520" s="6">
        <v>77</v>
      </c>
      <c r="AE520" s="6">
        <v>75</v>
      </c>
      <c r="AF520" s="6">
        <v>80</v>
      </c>
      <c r="AG520" s="6" t="s">
        <v>7059</v>
      </c>
      <c r="AH520" s="6" t="s">
        <v>6610</v>
      </c>
    </row>
    <row r="521" spans="1:34" x14ac:dyDescent="0.2">
      <c r="A521" t="s">
        <v>3330</v>
      </c>
      <c r="B521" t="s">
        <v>1594</v>
      </c>
      <c r="C521" t="s">
        <v>2878</v>
      </c>
      <c r="D521" s="7" t="s">
        <v>137</v>
      </c>
      <c r="E521" t="s">
        <v>38</v>
      </c>
      <c r="F521">
        <v>24</v>
      </c>
      <c r="G521">
        <v>78</v>
      </c>
      <c r="H521">
        <v>77</v>
      </c>
      <c r="I521" t="s">
        <v>6339</v>
      </c>
      <c r="J521">
        <v>78</v>
      </c>
      <c r="K521">
        <v>273</v>
      </c>
      <c r="L521" t="s">
        <v>5024</v>
      </c>
      <c r="M521" s="6" t="s">
        <v>6558</v>
      </c>
      <c r="N521" s="6" t="s">
        <v>6567</v>
      </c>
      <c r="O521" s="6">
        <v>64</v>
      </c>
      <c r="P521" s="6">
        <v>72</v>
      </c>
      <c r="Q521" s="6">
        <v>68</v>
      </c>
      <c r="R521" s="6">
        <v>63</v>
      </c>
      <c r="S521" s="6">
        <v>74</v>
      </c>
      <c r="T521" s="6">
        <v>76</v>
      </c>
      <c r="U521" s="6">
        <v>68</v>
      </c>
      <c r="V521" s="6">
        <v>75</v>
      </c>
      <c r="W521" s="6">
        <v>84</v>
      </c>
      <c r="X521" s="6">
        <v>74</v>
      </c>
      <c r="Y521" s="6">
        <v>75</v>
      </c>
      <c r="Z521" s="6">
        <v>72</v>
      </c>
      <c r="AA521" s="6">
        <v>77</v>
      </c>
      <c r="AB521" s="6">
        <v>77</v>
      </c>
      <c r="AC521" s="6">
        <v>73</v>
      </c>
      <c r="AD521" s="6">
        <v>66</v>
      </c>
      <c r="AE521" s="6">
        <v>69</v>
      </c>
      <c r="AF521" s="6">
        <v>77</v>
      </c>
      <c r="AG521" s="6" t="s">
        <v>7063</v>
      </c>
      <c r="AH521" s="6" t="s">
        <v>6797</v>
      </c>
    </row>
    <row r="522" spans="1:34" x14ac:dyDescent="0.2">
      <c r="A522" t="s">
        <v>3345</v>
      </c>
      <c r="B522" t="s">
        <v>1609</v>
      </c>
      <c r="C522" t="s">
        <v>61</v>
      </c>
      <c r="D522" s="7" t="s">
        <v>137</v>
      </c>
      <c r="E522" t="s">
        <v>38</v>
      </c>
      <c r="F522">
        <v>23</v>
      </c>
      <c r="G522">
        <v>78</v>
      </c>
      <c r="H522">
        <v>77</v>
      </c>
      <c r="I522" t="s">
        <v>6354</v>
      </c>
      <c r="J522">
        <v>72</v>
      </c>
      <c r="K522">
        <v>190</v>
      </c>
      <c r="L522" t="s">
        <v>5039</v>
      </c>
      <c r="M522" s="6" t="s">
        <v>6558</v>
      </c>
      <c r="N522" s="6" t="s">
        <v>6567</v>
      </c>
      <c r="O522" s="6">
        <v>77</v>
      </c>
      <c r="P522" s="6">
        <v>68</v>
      </c>
      <c r="Q522" s="6">
        <v>77</v>
      </c>
      <c r="R522" s="6">
        <v>66</v>
      </c>
      <c r="S522" s="6">
        <v>89</v>
      </c>
      <c r="T522" s="6">
        <v>80</v>
      </c>
      <c r="U522" s="6">
        <v>78</v>
      </c>
      <c r="V522" s="6">
        <v>76</v>
      </c>
      <c r="W522" s="6">
        <v>86</v>
      </c>
      <c r="X522" s="6">
        <v>73</v>
      </c>
      <c r="Y522" s="6">
        <v>75</v>
      </c>
      <c r="Z522" s="6">
        <v>78</v>
      </c>
      <c r="AA522" s="6">
        <v>76</v>
      </c>
      <c r="AB522" s="6">
        <v>73</v>
      </c>
      <c r="AC522" s="6">
        <v>73</v>
      </c>
      <c r="AD522" s="6">
        <v>70</v>
      </c>
      <c r="AE522" s="6">
        <v>76</v>
      </c>
      <c r="AF522" s="6">
        <v>82</v>
      </c>
      <c r="AG522" s="6" t="s">
        <v>7078</v>
      </c>
      <c r="AH522" s="6" t="s">
        <v>6811</v>
      </c>
    </row>
    <row r="523" spans="1:34" x14ac:dyDescent="0.2">
      <c r="A523" t="s">
        <v>3362</v>
      </c>
      <c r="B523" t="s">
        <v>1626</v>
      </c>
      <c r="C523" t="s">
        <v>53</v>
      </c>
      <c r="D523" s="7" t="s">
        <v>138</v>
      </c>
      <c r="E523" t="s">
        <v>38</v>
      </c>
      <c r="F523">
        <v>25</v>
      </c>
      <c r="G523">
        <v>72</v>
      </c>
      <c r="H523">
        <v>77</v>
      </c>
      <c r="I523" t="s">
        <v>6369</v>
      </c>
      <c r="J523">
        <v>74</v>
      </c>
      <c r="K523">
        <v>219</v>
      </c>
      <c r="L523" t="s">
        <v>5056</v>
      </c>
      <c r="M523" s="6" t="s">
        <v>6558</v>
      </c>
      <c r="N523" s="6" t="s">
        <v>6583</v>
      </c>
      <c r="O523" s="6">
        <v>71</v>
      </c>
      <c r="P523" s="6">
        <v>71</v>
      </c>
      <c r="Q523" s="6">
        <v>71</v>
      </c>
      <c r="R523" s="6">
        <v>81</v>
      </c>
      <c r="S523" s="6">
        <v>71</v>
      </c>
      <c r="T523" s="6">
        <v>66</v>
      </c>
      <c r="U523" s="6">
        <v>71</v>
      </c>
      <c r="V523" s="6">
        <v>62</v>
      </c>
      <c r="W523" s="6">
        <v>83</v>
      </c>
      <c r="X523" s="6">
        <v>65</v>
      </c>
      <c r="Y523" s="6">
        <v>69</v>
      </c>
      <c r="Z523" s="6">
        <v>84</v>
      </c>
      <c r="AA523" s="6">
        <v>76</v>
      </c>
      <c r="AB523" s="6">
        <v>74</v>
      </c>
      <c r="AC523" s="6">
        <v>69</v>
      </c>
      <c r="AD523" s="6">
        <v>74</v>
      </c>
      <c r="AE523" s="6">
        <v>69</v>
      </c>
      <c r="AF523" s="6">
        <v>68</v>
      </c>
      <c r="AG523" s="6" t="s">
        <v>7097</v>
      </c>
      <c r="AH523" s="6" t="s">
        <v>6715</v>
      </c>
    </row>
    <row r="524" spans="1:34" x14ac:dyDescent="0.2">
      <c r="A524" t="s">
        <v>3394</v>
      </c>
      <c r="B524" t="s">
        <v>1658</v>
      </c>
      <c r="C524" t="s">
        <v>61</v>
      </c>
      <c r="D524" s="7" t="s">
        <v>138</v>
      </c>
      <c r="E524" t="s">
        <v>38</v>
      </c>
      <c r="F524">
        <v>26</v>
      </c>
      <c r="G524">
        <v>81</v>
      </c>
      <c r="H524">
        <v>77</v>
      </c>
      <c r="I524" t="s">
        <v>6401</v>
      </c>
      <c r="J524">
        <v>71</v>
      </c>
      <c r="K524">
        <v>185</v>
      </c>
      <c r="L524" t="s">
        <v>5088</v>
      </c>
      <c r="M524" s="6" t="s">
        <v>6558</v>
      </c>
      <c r="N524" s="6" t="s">
        <v>6567</v>
      </c>
      <c r="O524" s="6">
        <v>85</v>
      </c>
      <c r="P524" s="6">
        <v>78</v>
      </c>
      <c r="Q524" s="6">
        <v>69</v>
      </c>
      <c r="R524" s="6">
        <v>66</v>
      </c>
      <c r="S524" s="6">
        <v>88</v>
      </c>
      <c r="T524" s="6">
        <v>73</v>
      </c>
      <c r="U524" s="6">
        <v>85</v>
      </c>
      <c r="V524" s="6">
        <v>79</v>
      </c>
      <c r="W524" s="6">
        <v>74</v>
      </c>
      <c r="X524" s="6">
        <v>73</v>
      </c>
      <c r="Y524" s="6">
        <v>81</v>
      </c>
      <c r="Z524" s="6">
        <v>86</v>
      </c>
      <c r="AA524" s="6">
        <v>76</v>
      </c>
      <c r="AB524" s="6">
        <v>82</v>
      </c>
      <c r="AC524" s="6">
        <v>82</v>
      </c>
      <c r="AD524" s="6">
        <v>84</v>
      </c>
      <c r="AE524" s="6">
        <v>75</v>
      </c>
      <c r="AF524" s="6">
        <v>84</v>
      </c>
      <c r="AG524" s="6" t="s">
        <v>7129</v>
      </c>
      <c r="AH524" s="6" t="s">
        <v>6630</v>
      </c>
    </row>
    <row r="525" spans="1:34" x14ac:dyDescent="0.2">
      <c r="A525" t="s">
        <v>3449</v>
      </c>
      <c r="B525" t="s">
        <v>1713</v>
      </c>
      <c r="C525" t="s">
        <v>2879</v>
      </c>
      <c r="D525" s="7" t="s">
        <v>139</v>
      </c>
      <c r="E525" t="s">
        <v>58</v>
      </c>
      <c r="F525">
        <v>31</v>
      </c>
      <c r="G525">
        <v>78</v>
      </c>
      <c r="H525">
        <v>77</v>
      </c>
      <c r="I525" t="s">
        <v>6473</v>
      </c>
      <c r="J525">
        <v>74</v>
      </c>
      <c r="K525">
        <v>315</v>
      </c>
      <c r="L525" t="s">
        <v>5143</v>
      </c>
      <c r="M525" s="6" t="s">
        <v>6558</v>
      </c>
      <c r="N525" s="6" t="s">
        <v>6565</v>
      </c>
      <c r="O525" s="6">
        <v>85</v>
      </c>
      <c r="P525" s="6">
        <v>82</v>
      </c>
      <c r="Q525" s="6">
        <v>80</v>
      </c>
      <c r="R525" s="6">
        <v>73</v>
      </c>
      <c r="S525" s="6">
        <v>67</v>
      </c>
      <c r="T525" s="6">
        <v>74</v>
      </c>
      <c r="U525" s="6">
        <v>81</v>
      </c>
      <c r="V525" s="6">
        <v>77</v>
      </c>
      <c r="W525" s="6">
        <v>78</v>
      </c>
      <c r="X525" s="6">
        <v>71</v>
      </c>
      <c r="Y525" s="6">
        <v>75</v>
      </c>
      <c r="Z525" s="6">
        <v>81</v>
      </c>
      <c r="AA525" s="6">
        <v>70</v>
      </c>
      <c r="AB525" s="6">
        <v>77</v>
      </c>
      <c r="AC525" s="6">
        <v>66</v>
      </c>
      <c r="AD525" s="6">
        <v>68</v>
      </c>
      <c r="AE525" s="6">
        <v>67</v>
      </c>
      <c r="AF525" s="6">
        <v>80</v>
      </c>
      <c r="AG525" s="6" t="s">
        <v>7184</v>
      </c>
      <c r="AH525" s="6" t="s">
        <v>6861</v>
      </c>
    </row>
    <row r="526" spans="1:34" x14ac:dyDescent="0.2">
      <c r="A526" t="s">
        <v>3465</v>
      </c>
      <c r="B526" t="s">
        <v>1729</v>
      </c>
      <c r="C526" t="s">
        <v>2888</v>
      </c>
      <c r="D526" s="7" t="s">
        <v>139</v>
      </c>
      <c r="E526" t="s">
        <v>38</v>
      </c>
      <c r="F526">
        <v>29</v>
      </c>
      <c r="G526">
        <v>63</v>
      </c>
      <c r="H526">
        <v>77</v>
      </c>
      <c r="I526" t="s">
        <v>6411</v>
      </c>
      <c r="J526">
        <v>71</v>
      </c>
      <c r="K526">
        <v>180</v>
      </c>
      <c r="L526" t="s">
        <v>5159</v>
      </c>
      <c r="M526" s="6" t="s">
        <v>6558</v>
      </c>
      <c r="N526" s="6" t="s">
        <v>6614</v>
      </c>
      <c r="O526" s="6">
        <v>77</v>
      </c>
      <c r="P526" s="6">
        <v>82</v>
      </c>
      <c r="Q526" s="6">
        <v>80</v>
      </c>
      <c r="R526" s="6">
        <v>62</v>
      </c>
      <c r="S526" s="6">
        <v>76</v>
      </c>
      <c r="T526" s="6">
        <v>76</v>
      </c>
      <c r="U526" s="6">
        <v>68</v>
      </c>
      <c r="V526" s="6">
        <v>73</v>
      </c>
      <c r="W526" s="6">
        <v>77</v>
      </c>
      <c r="X526" s="6">
        <v>72</v>
      </c>
      <c r="Y526" s="6">
        <v>75</v>
      </c>
      <c r="Z526" s="6">
        <v>70</v>
      </c>
      <c r="AA526" s="6">
        <v>67</v>
      </c>
      <c r="AB526" s="6">
        <v>64</v>
      </c>
      <c r="AC526" s="6">
        <v>67</v>
      </c>
      <c r="AD526" s="6">
        <v>67</v>
      </c>
      <c r="AE526" s="6">
        <v>71</v>
      </c>
      <c r="AF526" s="6">
        <v>73</v>
      </c>
      <c r="AG526" s="6" t="s">
        <v>7201</v>
      </c>
      <c r="AH526" s="6" t="s">
        <v>6980</v>
      </c>
    </row>
    <row r="527" spans="1:34" x14ac:dyDescent="0.2">
      <c r="A527" t="s">
        <v>3477</v>
      </c>
      <c r="B527" t="s">
        <v>1741</v>
      </c>
      <c r="C527" t="s">
        <v>2870</v>
      </c>
      <c r="D527" s="7" t="s">
        <v>140</v>
      </c>
      <c r="E527" t="s">
        <v>38</v>
      </c>
      <c r="F527">
        <v>25</v>
      </c>
      <c r="G527">
        <v>68</v>
      </c>
      <c r="H527">
        <v>77</v>
      </c>
      <c r="I527" t="s">
        <v>6346</v>
      </c>
      <c r="J527">
        <v>70</v>
      </c>
      <c r="K527">
        <v>221</v>
      </c>
      <c r="L527" t="s">
        <v>5171</v>
      </c>
      <c r="M527" s="6" t="s">
        <v>6558</v>
      </c>
      <c r="N527" s="6" t="s">
        <v>6567</v>
      </c>
      <c r="O527" s="6">
        <v>69</v>
      </c>
      <c r="P527" s="6">
        <v>67</v>
      </c>
      <c r="Q527" s="6">
        <v>73</v>
      </c>
      <c r="R527" s="6">
        <v>65</v>
      </c>
      <c r="S527" s="6">
        <v>80</v>
      </c>
      <c r="T527" s="6">
        <v>73</v>
      </c>
      <c r="U527" s="6">
        <v>68</v>
      </c>
      <c r="V527" s="6">
        <v>68</v>
      </c>
      <c r="W527" s="6">
        <v>70</v>
      </c>
      <c r="X527" s="6">
        <v>63</v>
      </c>
      <c r="Y527" s="6">
        <v>78</v>
      </c>
      <c r="Z527" s="6">
        <v>78</v>
      </c>
      <c r="AA527" s="6">
        <v>71</v>
      </c>
      <c r="AB527" s="6">
        <v>74</v>
      </c>
      <c r="AC527" s="6">
        <v>68</v>
      </c>
      <c r="AD527" s="6">
        <v>76</v>
      </c>
      <c r="AE527" s="6">
        <v>69</v>
      </c>
      <c r="AF527" s="6">
        <v>68</v>
      </c>
      <c r="AG527" s="6" t="s">
        <v>7212</v>
      </c>
      <c r="AH527" s="6" t="s">
        <v>6656</v>
      </c>
    </row>
    <row r="528" spans="1:34" x14ac:dyDescent="0.2">
      <c r="A528" t="s">
        <v>3516</v>
      </c>
      <c r="B528" t="s">
        <v>1780</v>
      </c>
      <c r="C528" t="s">
        <v>2884</v>
      </c>
      <c r="D528" s="7" t="s">
        <v>140</v>
      </c>
      <c r="E528" t="s">
        <v>38</v>
      </c>
      <c r="F528">
        <v>26</v>
      </c>
      <c r="G528">
        <v>74</v>
      </c>
      <c r="H528">
        <v>77</v>
      </c>
      <c r="I528" t="s">
        <v>6348</v>
      </c>
      <c r="J528">
        <v>71</v>
      </c>
      <c r="K528">
        <v>225</v>
      </c>
      <c r="L528" t="s">
        <v>5210</v>
      </c>
      <c r="M528" s="6" t="s">
        <v>6558</v>
      </c>
      <c r="N528" s="6" t="s">
        <v>6583</v>
      </c>
      <c r="O528" s="6">
        <v>82</v>
      </c>
      <c r="P528" s="6">
        <v>84</v>
      </c>
      <c r="Q528" s="6">
        <v>78</v>
      </c>
      <c r="R528" s="6">
        <v>78</v>
      </c>
      <c r="S528" s="6">
        <v>82</v>
      </c>
      <c r="T528" s="6">
        <v>87</v>
      </c>
      <c r="U528" s="6">
        <v>76</v>
      </c>
      <c r="V528" s="6">
        <v>77</v>
      </c>
      <c r="W528" s="6">
        <v>88</v>
      </c>
      <c r="X528" s="6">
        <v>73</v>
      </c>
      <c r="Y528" s="6">
        <v>74</v>
      </c>
      <c r="Z528" s="6">
        <v>88</v>
      </c>
      <c r="AA528" s="6">
        <v>80</v>
      </c>
      <c r="AB528" s="6">
        <v>81</v>
      </c>
      <c r="AC528" s="6">
        <v>71</v>
      </c>
      <c r="AD528" s="6">
        <v>92</v>
      </c>
      <c r="AE528" s="6">
        <v>81</v>
      </c>
      <c r="AF528" s="6">
        <v>72</v>
      </c>
      <c r="AG528" s="6" t="s">
        <v>7252</v>
      </c>
      <c r="AH528" s="6" t="s">
        <v>7253</v>
      </c>
    </row>
    <row r="529" spans="1:34" x14ac:dyDescent="0.2">
      <c r="A529" t="s">
        <v>3520</v>
      </c>
      <c r="B529" t="s">
        <v>1784</v>
      </c>
      <c r="C529" t="s">
        <v>2890</v>
      </c>
      <c r="D529" s="7" t="s">
        <v>140</v>
      </c>
      <c r="E529" t="s">
        <v>58</v>
      </c>
      <c r="F529">
        <v>31</v>
      </c>
      <c r="G529">
        <v>58</v>
      </c>
      <c r="H529">
        <v>77</v>
      </c>
      <c r="I529" t="s">
        <v>6308</v>
      </c>
      <c r="J529">
        <v>70</v>
      </c>
      <c r="K529">
        <v>194</v>
      </c>
      <c r="L529" t="s">
        <v>5214</v>
      </c>
      <c r="M529" s="6" t="s">
        <v>6558</v>
      </c>
      <c r="N529" s="6" t="s">
        <v>6567</v>
      </c>
      <c r="O529" s="6">
        <v>76</v>
      </c>
      <c r="P529" s="6">
        <v>68</v>
      </c>
      <c r="Q529" s="6">
        <v>69</v>
      </c>
      <c r="R529" s="6">
        <v>69</v>
      </c>
      <c r="S529" s="6">
        <v>73</v>
      </c>
      <c r="T529" s="6">
        <v>65</v>
      </c>
      <c r="U529" s="6">
        <v>86</v>
      </c>
      <c r="V529" s="6">
        <v>78</v>
      </c>
      <c r="W529" s="6">
        <v>83</v>
      </c>
      <c r="X529" s="6">
        <v>62</v>
      </c>
      <c r="Y529" s="6">
        <v>78</v>
      </c>
      <c r="Z529" s="6">
        <v>71</v>
      </c>
      <c r="AA529" s="6">
        <v>64</v>
      </c>
      <c r="AB529" s="6">
        <v>58</v>
      </c>
      <c r="AC529" s="6">
        <v>61</v>
      </c>
      <c r="AD529" s="6">
        <v>65</v>
      </c>
      <c r="AE529" s="6">
        <v>63</v>
      </c>
      <c r="AF529" s="6">
        <v>66</v>
      </c>
      <c r="AG529" s="6" t="s">
        <v>7257</v>
      </c>
      <c r="AH529" s="6" t="s">
        <v>6630</v>
      </c>
    </row>
    <row r="530" spans="1:34" x14ac:dyDescent="0.2">
      <c r="A530" t="s">
        <v>3524</v>
      </c>
      <c r="B530" t="s">
        <v>1788</v>
      </c>
      <c r="C530" t="s">
        <v>53</v>
      </c>
      <c r="D530" s="7" t="s">
        <v>141</v>
      </c>
      <c r="E530" t="s">
        <v>58</v>
      </c>
      <c r="F530">
        <v>28</v>
      </c>
      <c r="G530">
        <v>65</v>
      </c>
      <c r="H530">
        <v>77</v>
      </c>
      <c r="I530" t="s">
        <v>6309</v>
      </c>
      <c r="J530">
        <v>77</v>
      </c>
      <c r="K530">
        <v>233</v>
      </c>
      <c r="L530" t="s">
        <v>5218</v>
      </c>
      <c r="M530" s="6" t="s">
        <v>6558</v>
      </c>
      <c r="N530" s="6" t="s">
        <v>6565</v>
      </c>
      <c r="O530" s="6">
        <v>82</v>
      </c>
      <c r="P530" s="6">
        <v>79</v>
      </c>
      <c r="Q530" s="6">
        <v>70</v>
      </c>
      <c r="R530" s="6">
        <v>75</v>
      </c>
      <c r="S530" s="6">
        <v>70</v>
      </c>
      <c r="T530" s="6">
        <v>69</v>
      </c>
      <c r="U530" s="6">
        <v>68</v>
      </c>
      <c r="V530" s="6">
        <v>75</v>
      </c>
      <c r="W530" s="6">
        <v>75</v>
      </c>
      <c r="X530" s="6">
        <v>62</v>
      </c>
      <c r="Y530" s="6">
        <v>70</v>
      </c>
      <c r="Z530" s="6">
        <v>64</v>
      </c>
      <c r="AA530" s="6">
        <v>65</v>
      </c>
      <c r="AB530" s="6">
        <v>68</v>
      </c>
      <c r="AC530" s="6">
        <v>58</v>
      </c>
      <c r="AD530" s="6">
        <v>70</v>
      </c>
      <c r="AE530" s="6">
        <v>68</v>
      </c>
      <c r="AF530" s="6">
        <v>67</v>
      </c>
      <c r="AG530" s="6" t="s">
        <v>7261</v>
      </c>
      <c r="AH530" s="6" t="s">
        <v>6715</v>
      </c>
    </row>
    <row r="531" spans="1:34" x14ac:dyDescent="0.2">
      <c r="A531" t="s">
        <v>3545</v>
      </c>
      <c r="B531" t="s">
        <v>1809</v>
      </c>
      <c r="C531" t="s">
        <v>2873</v>
      </c>
      <c r="D531" s="7" t="s">
        <v>141</v>
      </c>
      <c r="E531" t="s">
        <v>58</v>
      </c>
      <c r="F531">
        <v>33</v>
      </c>
      <c r="G531">
        <v>63</v>
      </c>
      <c r="H531">
        <v>77</v>
      </c>
      <c r="I531" t="s">
        <v>6316</v>
      </c>
      <c r="J531">
        <v>79</v>
      </c>
      <c r="K531">
        <v>308</v>
      </c>
      <c r="L531" t="s">
        <v>5239</v>
      </c>
      <c r="M531" s="6" t="s">
        <v>6558</v>
      </c>
      <c r="N531" s="6" t="s">
        <v>6567</v>
      </c>
      <c r="O531" s="6">
        <v>79</v>
      </c>
      <c r="P531" s="6">
        <v>83</v>
      </c>
      <c r="Q531" s="6">
        <v>81</v>
      </c>
      <c r="R531" s="6">
        <v>66</v>
      </c>
      <c r="S531" s="6">
        <v>85</v>
      </c>
      <c r="T531" s="6">
        <v>78</v>
      </c>
      <c r="U531" s="6">
        <v>60</v>
      </c>
      <c r="V531" s="6">
        <v>82</v>
      </c>
      <c r="W531" s="6">
        <v>85</v>
      </c>
      <c r="X531" s="6">
        <v>83</v>
      </c>
      <c r="Y531" s="6">
        <v>87</v>
      </c>
      <c r="Z531" s="6">
        <v>83</v>
      </c>
      <c r="AA531" s="6">
        <v>66</v>
      </c>
      <c r="AB531" s="6">
        <v>66</v>
      </c>
      <c r="AC531" s="6">
        <v>62</v>
      </c>
      <c r="AD531" s="6">
        <v>66</v>
      </c>
      <c r="AE531" s="6">
        <v>65</v>
      </c>
      <c r="AF531" s="6">
        <v>63</v>
      </c>
      <c r="AG531" s="6" t="s">
        <v>7282</v>
      </c>
      <c r="AH531" s="6" t="s">
        <v>6694</v>
      </c>
    </row>
    <row r="532" spans="1:34" x14ac:dyDescent="0.2">
      <c r="A532" t="s">
        <v>3586</v>
      </c>
      <c r="B532" t="s">
        <v>1850</v>
      </c>
      <c r="C532" t="s">
        <v>2870</v>
      </c>
      <c r="D532" s="7" t="s">
        <v>142</v>
      </c>
      <c r="E532" t="s">
        <v>38</v>
      </c>
      <c r="F532">
        <v>27</v>
      </c>
      <c r="G532">
        <v>66</v>
      </c>
      <c r="H532">
        <v>77</v>
      </c>
      <c r="I532" t="s">
        <v>6429</v>
      </c>
      <c r="J532">
        <v>68</v>
      </c>
      <c r="K532">
        <v>213</v>
      </c>
      <c r="L532" t="s">
        <v>5280</v>
      </c>
      <c r="M532" s="6" t="s">
        <v>6603</v>
      </c>
      <c r="N532" s="6" t="s">
        <v>6567</v>
      </c>
      <c r="O532" s="6">
        <v>68</v>
      </c>
      <c r="P532" s="6">
        <v>69</v>
      </c>
      <c r="Q532" s="6">
        <v>82</v>
      </c>
      <c r="R532" s="6">
        <v>69</v>
      </c>
      <c r="S532" s="6">
        <v>76</v>
      </c>
      <c r="T532" s="6">
        <v>66</v>
      </c>
      <c r="U532" s="6">
        <v>56</v>
      </c>
      <c r="V532" s="6">
        <v>70</v>
      </c>
      <c r="W532" s="6">
        <v>69</v>
      </c>
      <c r="X532" s="6">
        <v>68</v>
      </c>
      <c r="Y532" s="6">
        <v>75</v>
      </c>
      <c r="Z532" s="6">
        <v>72</v>
      </c>
      <c r="AA532" s="6">
        <v>72</v>
      </c>
      <c r="AB532" s="6">
        <v>69</v>
      </c>
      <c r="AC532" s="6">
        <v>73</v>
      </c>
      <c r="AD532" s="6">
        <v>69</v>
      </c>
      <c r="AE532" s="6">
        <v>71</v>
      </c>
      <c r="AF532" s="6">
        <v>64</v>
      </c>
      <c r="AG532" s="6" t="s">
        <v>7322</v>
      </c>
      <c r="AH532" s="6" t="s">
        <v>6887</v>
      </c>
    </row>
    <row r="533" spans="1:34" x14ac:dyDescent="0.2">
      <c r="A533" t="s">
        <v>3626</v>
      </c>
      <c r="B533" t="s">
        <v>1890</v>
      </c>
      <c r="C533" t="s">
        <v>2884</v>
      </c>
      <c r="D533" s="7" t="s">
        <v>142</v>
      </c>
      <c r="E533" t="s">
        <v>38</v>
      </c>
      <c r="F533">
        <v>24</v>
      </c>
      <c r="G533">
        <v>73</v>
      </c>
      <c r="H533">
        <v>77</v>
      </c>
      <c r="I533" t="s">
        <v>6461</v>
      </c>
      <c r="J533">
        <v>75</v>
      </c>
      <c r="K533">
        <v>185</v>
      </c>
      <c r="L533" t="s">
        <v>5320</v>
      </c>
      <c r="M533" s="6" t="s">
        <v>6558</v>
      </c>
      <c r="N533" s="6" t="s">
        <v>6567</v>
      </c>
      <c r="O533" s="6">
        <v>65</v>
      </c>
      <c r="P533" s="6">
        <v>70</v>
      </c>
      <c r="Q533" s="6">
        <v>72</v>
      </c>
      <c r="R533" s="6">
        <v>68</v>
      </c>
      <c r="S533" s="6">
        <v>75</v>
      </c>
      <c r="T533" s="6">
        <v>74</v>
      </c>
      <c r="U533" s="6">
        <v>66</v>
      </c>
      <c r="V533" s="6">
        <v>71</v>
      </c>
      <c r="W533" s="6">
        <v>73</v>
      </c>
      <c r="X533" s="6">
        <v>83</v>
      </c>
      <c r="Y533" s="6">
        <v>83</v>
      </c>
      <c r="Z533" s="6">
        <v>76</v>
      </c>
      <c r="AA533" s="6">
        <v>74</v>
      </c>
      <c r="AB533" s="6">
        <v>77</v>
      </c>
      <c r="AC533" s="6">
        <v>72</v>
      </c>
      <c r="AD533" s="6">
        <v>75</v>
      </c>
      <c r="AE533" s="6">
        <v>77</v>
      </c>
      <c r="AF533" s="6">
        <v>78</v>
      </c>
      <c r="AG533" s="6" t="s">
        <v>7361</v>
      </c>
      <c r="AH533" s="6" t="s">
        <v>6644</v>
      </c>
    </row>
    <row r="534" spans="1:34" x14ac:dyDescent="0.2">
      <c r="A534" t="s">
        <v>3646</v>
      </c>
      <c r="B534" t="s">
        <v>1910</v>
      </c>
      <c r="C534" t="s">
        <v>2871</v>
      </c>
      <c r="D534" s="7" t="s">
        <v>143</v>
      </c>
      <c r="E534" t="s">
        <v>38</v>
      </c>
      <c r="F534">
        <v>26</v>
      </c>
      <c r="G534">
        <v>84</v>
      </c>
      <c r="H534">
        <v>77</v>
      </c>
      <c r="I534" t="s">
        <v>6500</v>
      </c>
      <c r="J534">
        <v>76</v>
      </c>
      <c r="K534">
        <v>250</v>
      </c>
      <c r="L534" t="s">
        <v>5340</v>
      </c>
      <c r="M534" s="6" t="s">
        <v>6558</v>
      </c>
      <c r="N534" s="6" t="s">
        <v>6559</v>
      </c>
      <c r="O534" s="6">
        <v>83</v>
      </c>
      <c r="P534" s="6">
        <v>81</v>
      </c>
      <c r="Q534" s="6">
        <v>82</v>
      </c>
      <c r="R534" s="6">
        <v>86</v>
      </c>
      <c r="S534" s="6">
        <v>84</v>
      </c>
      <c r="T534" s="6">
        <v>77</v>
      </c>
      <c r="U534" s="6">
        <v>87</v>
      </c>
      <c r="V534" s="6">
        <v>83</v>
      </c>
      <c r="W534" s="6">
        <v>81</v>
      </c>
      <c r="X534" s="6">
        <v>86</v>
      </c>
      <c r="Y534" s="6">
        <v>74</v>
      </c>
      <c r="Z534" s="6">
        <v>86</v>
      </c>
      <c r="AA534" s="6">
        <v>75</v>
      </c>
      <c r="AB534" s="6">
        <v>79</v>
      </c>
      <c r="AC534" s="6">
        <v>82</v>
      </c>
      <c r="AD534" s="6">
        <v>76</v>
      </c>
      <c r="AE534" s="6">
        <v>77</v>
      </c>
      <c r="AF534" s="6">
        <v>80</v>
      </c>
      <c r="AG534" s="6" t="s">
        <v>7381</v>
      </c>
      <c r="AH534" s="6" t="s">
        <v>7219</v>
      </c>
    </row>
    <row r="535" spans="1:34" x14ac:dyDescent="0.2">
      <c r="A535" t="s">
        <v>3657</v>
      </c>
      <c r="B535" t="s">
        <v>1921</v>
      </c>
      <c r="C535" t="s">
        <v>2877</v>
      </c>
      <c r="D535" s="7" t="s">
        <v>143</v>
      </c>
      <c r="E535" t="s">
        <v>38</v>
      </c>
      <c r="F535">
        <v>27</v>
      </c>
      <c r="G535">
        <v>70</v>
      </c>
      <c r="H535">
        <v>77</v>
      </c>
      <c r="I535" t="s">
        <v>6440</v>
      </c>
      <c r="J535">
        <v>76</v>
      </c>
      <c r="K535">
        <v>334</v>
      </c>
      <c r="L535" t="s">
        <v>5351</v>
      </c>
      <c r="M535" s="6" t="s">
        <v>6558</v>
      </c>
      <c r="N535" s="6" t="s">
        <v>6565</v>
      </c>
      <c r="O535" s="6">
        <v>75</v>
      </c>
      <c r="P535" s="6">
        <v>74</v>
      </c>
      <c r="Q535" s="6">
        <v>82</v>
      </c>
      <c r="R535" s="6">
        <v>70</v>
      </c>
      <c r="S535" s="6">
        <v>78</v>
      </c>
      <c r="T535" s="6">
        <v>81</v>
      </c>
      <c r="U535" s="6">
        <v>68</v>
      </c>
      <c r="V535" s="6">
        <v>78</v>
      </c>
      <c r="W535" s="6">
        <v>81</v>
      </c>
      <c r="X535" s="6">
        <v>76</v>
      </c>
      <c r="Y535" s="6">
        <v>76</v>
      </c>
      <c r="Z535" s="6">
        <v>72</v>
      </c>
      <c r="AA535" s="6">
        <v>70</v>
      </c>
      <c r="AB535" s="6">
        <v>74</v>
      </c>
      <c r="AC535" s="6">
        <v>67</v>
      </c>
      <c r="AD535" s="6">
        <v>76</v>
      </c>
      <c r="AE535" s="6">
        <v>77</v>
      </c>
      <c r="AF535" s="6">
        <v>69</v>
      </c>
      <c r="AG535" s="6" t="s">
        <v>7392</v>
      </c>
      <c r="AH535" s="6" t="s">
        <v>6596</v>
      </c>
    </row>
    <row r="536" spans="1:34" x14ac:dyDescent="0.2">
      <c r="A536" t="s">
        <v>3683</v>
      </c>
      <c r="B536" t="s">
        <v>1947</v>
      </c>
      <c r="C536" t="s">
        <v>2884</v>
      </c>
      <c r="D536" s="7" t="s">
        <v>143</v>
      </c>
      <c r="E536" t="s">
        <v>38</v>
      </c>
      <c r="F536">
        <v>29</v>
      </c>
      <c r="G536">
        <v>67</v>
      </c>
      <c r="H536">
        <v>77</v>
      </c>
      <c r="I536" t="s">
        <v>6501</v>
      </c>
      <c r="J536">
        <v>73</v>
      </c>
      <c r="K536">
        <v>189</v>
      </c>
      <c r="L536" t="s">
        <v>5377</v>
      </c>
      <c r="M536" s="6" t="s">
        <v>6558</v>
      </c>
      <c r="N536" s="6" t="s">
        <v>6565</v>
      </c>
      <c r="O536" s="6">
        <v>68</v>
      </c>
      <c r="P536" s="6">
        <v>76</v>
      </c>
      <c r="Q536" s="6">
        <v>67</v>
      </c>
      <c r="R536" s="6">
        <v>74</v>
      </c>
      <c r="S536" s="6">
        <v>71</v>
      </c>
      <c r="T536" s="6">
        <v>71</v>
      </c>
      <c r="U536" s="6">
        <v>82</v>
      </c>
      <c r="V536" s="6">
        <v>76</v>
      </c>
      <c r="W536" s="6">
        <v>68</v>
      </c>
      <c r="X536" s="6">
        <v>64</v>
      </c>
      <c r="Y536" s="6">
        <v>78</v>
      </c>
      <c r="Z536" s="6">
        <v>74</v>
      </c>
      <c r="AA536" s="6">
        <v>73</v>
      </c>
      <c r="AB536" s="6">
        <v>70</v>
      </c>
      <c r="AC536" s="6">
        <v>66</v>
      </c>
      <c r="AD536" s="6">
        <v>73</v>
      </c>
      <c r="AE536" s="6">
        <v>71</v>
      </c>
      <c r="AF536" s="6">
        <v>73</v>
      </c>
      <c r="AG536" s="6" t="s">
        <v>7420</v>
      </c>
      <c r="AH536" s="6" t="s">
        <v>7253</v>
      </c>
    </row>
    <row r="537" spans="1:34" x14ac:dyDescent="0.2">
      <c r="A537" t="s">
        <v>3698</v>
      </c>
      <c r="B537" t="s">
        <v>1962</v>
      </c>
      <c r="C537" t="s">
        <v>2870</v>
      </c>
      <c r="D537" s="7" t="s">
        <v>154</v>
      </c>
      <c r="E537" t="s">
        <v>38</v>
      </c>
      <c r="F537">
        <v>24</v>
      </c>
      <c r="G537">
        <v>61</v>
      </c>
      <c r="H537">
        <v>77</v>
      </c>
      <c r="I537" t="s">
        <v>6337</v>
      </c>
      <c r="J537">
        <v>73</v>
      </c>
      <c r="K537">
        <v>212</v>
      </c>
      <c r="L537" t="s">
        <v>5392</v>
      </c>
      <c r="M537" s="6" t="s">
        <v>6558</v>
      </c>
      <c r="N537" s="6" t="s">
        <v>6567</v>
      </c>
      <c r="O537" s="6">
        <v>68</v>
      </c>
      <c r="P537" s="6">
        <v>59</v>
      </c>
      <c r="Q537" s="6">
        <v>74</v>
      </c>
      <c r="R537" s="6">
        <v>67</v>
      </c>
      <c r="S537" s="6">
        <v>69</v>
      </c>
      <c r="T537" s="6">
        <v>65</v>
      </c>
      <c r="U537" s="6">
        <v>73</v>
      </c>
      <c r="V537" s="6">
        <v>65</v>
      </c>
      <c r="W537" s="6">
        <v>65</v>
      </c>
      <c r="X537" s="6">
        <v>62</v>
      </c>
      <c r="Y537" s="6">
        <v>75</v>
      </c>
      <c r="Z537" s="6">
        <v>67</v>
      </c>
      <c r="AA537" s="6">
        <v>70</v>
      </c>
      <c r="AB537" s="6">
        <v>63</v>
      </c>
      <c r="AC537" s="6">
        <v>69</v>
      </c>
      <c r="AD537" s="6">
        <v>71</v>
      </c>
      <c r="AE537" s="6">
        <v>62</v>
      </c>
      <c r="AF537" s="6">
        <v>70</v>
      </c>
      <c r="AG537" s="6" t="s">
        <v>7434</v>
      </c>
      <c r="AH537" s="6" t="s">
        <v>6725</v>
      </c>
    </row>
    <row r="538" spans="1:34" x14ac:dyDescent="0.2">
      <c r="A538" t="s">
        <v>3700</v>
      </c>
      <c r="B538" t="s">
        <v>1964</v>
      </c>
      <c r="C538" t="s">
        <v>57</v>
      </c>
      <c r="D538" s="7" t="s">
        <v>154</v>
      </c>
      <c r="E538" t="s">
        <v>38</v>
      </c>
      <c r="F538">
        <v>27</v>
      </c>
      <c r="G538">
        <v>75</v>
      </c>
      <c r="H538">
        <v>77</v>
      </c>
      <c r="I538" t="s">
        <v>6338</v>
      </c>
      <c r="J538">
        <v>69</v>
      </c>
      <c r="K538">
        <v>205</v>
      </c>
      <c r="L538" t="s">
        <v>5394</v>
      </c>
      <c r="M538" s="6" t="s">
        <v>6558</v>
      </c>
      <c r="N538" s="6" t="s">
        <v>6565</v>
      </c>
      <c r="O538" s="6">
        <v>78</v>
      </c>
      <c r="P538" s="6">
        <v>80</v>
      </c>
      <c r="Q538" s="6">
        <v>74</v>
      </c>
      <c r="R538" s="6">
        <v>73</v>
      </c>
      <c r="S538" s="6">
        <v>72</v>
      </c>
      <c r="T538" s="6">
        <v>77</v>
      </c>
      <c r="U538" s="6">
        <v>87</v>
      </c>
      <c r="V538" s="6">
        <v>73</v>
      </c>
      <c r="W538" s="6">
        <v>78</v>
      </c>
      <c r="X538" s="6">
        <v>69</v>
      </c>
      <c r="Y538" s="6">
        <v>70</v>
      </c>
      <c r="Z538" s="6">
        <v>75</v>
      </c>
      <c r="AA538" s="6">
        <v>71</v>
      </c>
      <c r="AB538" s="6">
        <v>73</v>
      </c>
      <c r="AC538" s="6">
        <v>76</v>
      </c>
      <c r="AD538" s="6">
        <v>71</v>
      </c>
      <c r="AE538" s="6">
        <v>75</v>
      </c>
      <c r="AF538" s="6">
        <v>74</v>
      </c>
      <c r="AG538" s="6" t="s">
        <v>7436</v>
      </c>
      <c r="AH538" s="6" t="s">
        <v>6576</v>
      </c>
    </row>
    <row r="539" spans="1:34" x14ac:dyDescent="0.2">
      <c r="A539" t="s">
        <v>3710</v>
      </c>
      <c r="B539" t="s">
        <v>1974</v>
      </c>
      <c r="C539" t="s">
        <v>2872</v>
      </c>
      <c r="D539" s="7" t="s">
        <v>154</v>
      </c>
      <c r="E539" t="s">
        <v>38</v>
      </c>
      <c r="F539">
        <v>28</v>
      </c>
      <c r="G539">
        <v>70</v>
      </c>
      <c r="H539">
        <v>77</v>
      </c>
      <c r="I539" t="s">
        <v>6365</v>
      </c>
      <c r="J539">
        <v>76</v>
      </c>
      <c r="K539">
        <v>314</v>
      </c>
      <c r="L539" t="s">
        <v>5404</v>
      </c>
      <c r="M539" s="6" t="s">
        <v>6558</v>
      </c>
      <c r="N539" s="6" t="s">
        <v>6567</v>
      </c>
      <c r="O539" s="6">
        <v>68</v>
      </c>
      <c r="P539" s="6">
        <v>68</v>
      </c>
      <c r="Q539" s="6">
        <v>70</v>
      </c>
      <c r="R539" s="6">
        <v>64</v>
      </c>
      <c r="S539" s="6">
        <v>60</v>
      </c>
      <c r="T539" s="6">
        <v>73</v>
      </c>
      <c r="U539" s="6">
        <v>74</v>
      </c>
      <c r="V539" s="6">
        <v>77</v>
      </c>
      <c r="W539" s="6">
        <v>67</v>
      </c>
      <c r="X539" s="6">
        <v>70</v>
      </c>
      <c r="Y539" s="6">
        <v>76</v>
      </c>
      <c r="Z539" s="6">
        <v>71</v>
      </c>
      <c r="AA539" s="6">
        <v>67</v>
      </c>
      <c r="AB539" s="6">
        <v>69</v>
      </c>
      <c r="AC539" s="6">
        <v>68</v>
      </c>
      <c r="AD539" s="6">
        <v>77</v>
      </c>
      <c r="AE539" s="6">
        <v>65</v>
      </c>
      <c r="AF539" s="6">
        <v>72</v>
      </c>
      <c r="AG539" s="6" t="s">
        <v>7446</v>
      </c>
      <c r="AH539" s="6" t="s">
        <v>6593</v>
      </c>
    </row>
    <row r="540" spans="1:34" x14ac:dyDescent="0.2">
      <c r="A540" t="s">
        <v>3810</v>
      </c>
      <c r="B540" t="s">
        <v>2074</v>
      </c>
      <c r="C540" t="s">
        <v>2870</v>
      </c>
      <c r="D540" s="7" t="s">
        <v>148</v>
      </c>
      <c r="E540" t="s">
        <v>38</v>
      </c>
      <c r="F540">
        <v>21</v>
      </c>
      <c r="G540">
        <v>68</v>
      </c>
      <c r="H540">
        <v>77</v>
      </c>
      <c r="I540" t="s">
        <v>6513</v>
      </c>
      <c r="J540">
        <v>71</v>
      </c>
      <c r="K540">
        <v>201</v>
      </c>
      <c r="L540" t="s">
        <v>5504</v>
      </c>
      <c r="M540" s="6" t="s">
        <v>6558</v>
      </c>
      <c r="N540" s="6" t="s">
        <v>6567</v>
      </c>
      <c r="O540" s="6">
        <v>68</v>
      </c>
      <c r="P540" s="6">
        <v>69</v>
      </c>
      <c r="Q540" s="6">
        <v>69</v>
      </c>
      <c r="R540" s="6">
        <v>67</v>
      </c>
      <c r="S540" s="6">
        <v>69</v>
      </c>
      <c r="T540" s="6">
        <v>61</v>
      </c>
      <c r="U540" s="6">
        <v>65</v>
      </c>
      <c r="V540" s="6">
        <v>68</v>
      </c>
      <c r="W540" s="6">
        <v>73</v>
      </c>
      <c r="X540" s="6">
        <v>57</v>
      </c>
      <c r="Y540" s="6">
        <v>67</v>
      </c>
      <c r="Z540" s="6">
        <v>69</v>
      </c>
      <c r="AA540" s="6">
        <v>66</v>
      </c>
      <c r="AB540" s="6">
        <v>74</v>
      </c>
      <c r="AC540" s="6">
        <v>65</v>
      </c>
      <c r="AD540" s="6">
        <v>74</v>
      </c>
      <c r="AE540" s="6">
        <v>65</v>
      </c>
      <c r="AF540" s="6">
        <v>68</v>
      </c>
      <c r="AG540" s="6" t="s">
        <v>7546</v>
      </c>
      <c r="AH540" s="6" t="s">
        <v>6723</v>
      </c>
    </row>
    <row r="541" spans="1:34" x14ac:dyDescent="0.2">
      <c r="A541" t="s">
        <v>3836</v>
      </c>
      <c r="B541" t="s">
        <v>2100</v>
      </c>
      <c r="C541" t="s">
        <v>61</v>
      </c>
      <c r="D541" s="7" t="s">
        <v>148</v>
      </c>
      <c r="E541" t="s">
        <v>58</v>
      </c>
      <c r="F541">
        <v>30</v>
      </c>
      <c r="G541">
        <v>70</v>
      </c>
      <c r="H541">
        <v>77</v>
      </c>
      <c r="I541" t="s">
        <v>6417</v>
      </c>
      <c r="J541">
        <v>71</v>
      </c>
      <c r="K541">
        <v>197</v>
      </c>
      <c r="L541" t="s">
        <v>5530</v>
      </c>
      <c r="M541" s="6" t="s">
        <v>6558</v>
      </c>
      <c r="N541" s="6" t="s">
        <v>6565</v>
      </c>
      <c r="O541" s="6">
        <v>59</v>
      </c>
      <c r="P541" s="6">
        <v>74</v>
      </c>
      <c r="Q541" s="6">
        <v>74</v>
      </c>
      <c r="R541" s="6">
        <v>71</v>
      </c>
      <c r="S541" s="6">
        <v>84</v>
      </c>
      <c r="T541" s="6">
        <v>62</v>
      </c>
      <c r="U541" s="6">
        <v>88</v>
      </c>
      <c r="V541" s="6">
        <v>75</v>
      </c>
      <c r="W541" s="6">
        <v>70</v>
      </c>
      <c r="X541" s="6">
        <v>76</v>
      </c>
      <c r="Y541" s="6">
        <v>71</v>
      </c>
      <c r="Z541" s="6">
        <v>74</v>
      </c>
      <c r="AA541" s="6">
        <v>71</v>
      </c>
      <c r="AB541" s="6">
        <v>70</v>
      </c>
      <c r="AC541" s="6">
        <v>68</v>
      </c>
      <c r="AD541" s="6">
        <v>76</v>
      </c>
      <c r="AE541" s="6">
        <v>66</v>
      </c>
      <c r="AF541" s="6">
        <v>73</v>
      </c>
      <c r="AG541" s="6" t="s">
        <v>7572</v>
      </c>
      <c r="AH541" s="6" t="s">
        <v>7082</v>
      </c>
    </row>
    <row r="542" spans="1:34" x14ac:dyDescent="0.2">
      <c r="A542" t="s">
        <v>3869</v>
      </c>
      <c r="B542" t="s">
        <v>2133</v>
      </c>
      <c r="C542" t="s">
        <v>2887</v>
      </c>
      <c r="D542" s="7" t="s">
        <v>147</v>
      </c>
      <c r="E542" t="s">
        <v>38</v>
      </c>
      <c r="F542">
        <v>28</v>
      </c>
      <c r="G542">
        <v>81</v>
      </c>
      <c r="H542">
        <v>77</v>
      </c>
      <c r="I542" t="s">
        <v>6449</v>
      </c>
      <c r="J542">
        <v>75</v>
      </c>
      <c r="K542">
        <v>309</v>
      </c>
      <c r="L542" t="s">
        <v>5563</v>
      </c>
      <c r="M542" s="6" t="s">
        <v>6558</v>
      </c>
      <c r="N542" s="6" t="s">
        <v>6565</v>
      </c>
      <c r="O542" s="6">
        <v>81</v>
      </c>
      <c r="P542" s="6">
        <v>74</v>
      </c>
      <c r="Q542" s="6">
        <v>83</v>
      </c>
      <c r="R542" s="6">
        <v>74</v>
      </c>
      <c r="S542" s="6">
        <v>83</v>
      </c>
      <c r="T542" s="6">
        <v>79</v>
      </c>
      <c r="U542" s="6">
        <v>80</v>
      </c>
      <c r="V542" s="6">
        <v>76</v>
      </c>
      <c r="W542" s="6">
        <v>70</v>
      </c>
      <c r="X542" s="6">
        <v>79</v>
      </c>
      <c r="Y542" s="6">
        <v>81</v>
      </c>
      <c r="Z542" s="6">
        <v>78</v>
      </c>
      <c r="AA542" s="6">
        <v>80</v>
      </c>
      <c r="AB542" s="6">
        <v>78</v>
      </c>
      <c r="AC542" s="6">
        <v>83</v>
      </c>
      <c r="AD542" s="6">
        <v>82</v>
      </c>
      <c r="AE542" s="6">
        <v>78</v>
      </c>
      <c r="AF542" s="6">
        <v>78</v>
      </c>
      <c r="AG542" s="6" t="s">
        <v>7604</v>
      </c>
      <c r="AH542" s="6" t="s">
        <v>6600</v>
      </c>
    </row>
    <row r="543" spans="1:34" x14ac:dyDescent="0.2">
      <c r="A543" t="s">
        <v>3880</v>
      </c>
      <c r="B543" t="s">
        <v>2144</v>
      </c>
      <c r="C543" t="s">
        <v>2879</v>
      </c>
      <c r="D543" s="7" t="s">
        <v>147</v>
      </c>
      <c r="E543" t="s">
        <v>38</v>
      </c>
      <c r="F543">
        <v>26</v>
      </c>
      <c r="G543">
        <v>66</v>
      </c>
      <c r="H543">
        <v>77</v>
      </c>
      <c r="I543" t="s">
        <v>6461</v>
      </c>
      <c r="J543">
        <v>72</v>
      </c>
      <c r="K543">
        <v>296</v>
      </c>
      <c r="L543" t="s">
        <v>5574</v>
      </c>
      <c r="M543" s="6" t="s">
        <v>6558</v>
      </c>
      <c r="N543" s="6" t="s">
        <v>6559</v>
      </c>
      <c r="O543" s="6">
        <v>67</v>
      </c>
      <c r="P543" s="6">
        <v>63</v>
      </c>
      <c r="Q543" s="6">
        <v>57</v>
      </c>
      <c r="R543" s="6">
        <v>82</v>
      </c>
      <c r="S543" s="6">
        <v>84</v>
      </c>
      <c r="T543" s="6">
        <v>74</v>
      </c>
      <c r="U543" s="6">
        <v>61</v>
      </c>
      <c r="V543" s="6">
        <v>74</v>
      </c>
      <c r="W543" s="6">
        <v>81</v>
      </c>
      <c r="X543" s="6">
        <v>62</v>
      </c>
      <c r="Y543" s="6">
        <v>80</v>
      </c>
      <c r="Z543" s="6">
        <v>68</v>
      </c>
      <c r="AA543" s="6">
        <v>68</v>
      </c>
      <c r="AB543" s="6">
        <v>74</v>
      </c>
      <c r="AC543" s="6">
        <v>75</v>
      </c>
      <c r="AD543" s="6">
        <v>77</v>
      </c>
      <c r="AE543" s="6">
        <v>61</v>
      </c>
      <c r="AF543" s="6">
        <v>75</v>
      </c>
      <c r="AG543" s="6" t="s">
        <v>7615</v>
      </c>
      <c r="AH543" s="6" t="s">
        <v>6617</v>
      </c>
    </row>
    <row r="544" spans="1:34" x14ac:dyDescent="0.2">
      <c r="A544" t="s">
        <v>3885</v>
      </c>
      <c r="B544" t="s">
        <v>2149</v>
      </c>
      <c r="C544" t="s">
        <v>2880</v>
      </c>
      <c r="D544" s="7" t="s">
        <v>147</v>
      </c>
      <c r="E544" t="s">
        <v>58</v>
      </c>
      <c r="F544">
        <v>29</v>
      </c>
      <c r="G544">
        <v>69</v>
      </c>
      <c r="H544">
        <v>77</v>
      </c>
      <c r="I544" t="s">
        <v>6467</v>
      </c>
      <c r="J544">
        <v>75</v>
      </c>
      <c r="K544">
        <v>246</v>
      </c>
      <c r="L544" t="s">
        <v>5579</v>
      </c>
      <c r="M544" s="6" t="s">
        <v>6558</v>
      </c>
      <c r="N544" s="6" t="s">
        <v>6565</v>
      </c>
      <c r="O544" s="6">
        <v>82</v>
      </c>
      <c r="P544" s="6">
        <v>79</v>
      </c>
      <c r="Q544" s="6">
        <v>70</v>
      </c>
      <c r="R544" s="6">
        <v>74</v>
      </c>
      <c r="S544" s="6">
        <v>78</v>
      </c>
      <c r="T544" s="6">
        <v>69</v>
      </c>
      <c r="U544" s="6">
        <v>69</v>
      </c>
      <c r="V544" s="6">
        <v>74</v>
      </c>
      <c r="W544" s="6">
        <v>80</v>
      </c>
      <c r="X544" s="6">
        <v>72</v>
      </c>
      <c r="Y544" s="6">
        <v>79</v>
      </c>
      <c r="Z544" s="6">
        <v>68</v>
      </c>
      <c r="AA544" s="6">
        <v>67</v>
      </c>
      <c r="AB544" s="6">
        <v>66</v>
      </c>
      <c r="AC544" s="6">
        <v>73</v>
      </c>
      <c r="AD544" s="6">
        <v>70</v>
      </c>
      <c r="AE544" s="6">
        <v>70</v>
      </c>
      <c r="AF544" s="6">
        <v>61</v>
      </c>
      <c r="AG544" s="6" t="s">
        <v>7620</v>
      </c>
      <c r="AH544" s="6" t="s">
        <v>6623</v>
      </c>
    </row>
    <row r="545" spans="1:34" x14ac:dyDescent="0.2">
      <c r="A545" t="s">
        <v>3891</v>
      </c>
      <c r="B545" t="s">
        <v>2155</v>
      </c>
      <c r="C545" t="s">
        <v>2883</v>
      </c>
      <c r="D545" s="7" t="s">
        <v>147</v>
      </c>
      <c r="E545" t="s">
        <v>38</v>
      </c>
      <c r="F545">
        <v>22</v>
      </c>
      <c r="G545">
        <v>85</v>
      </c>
      <c r="H545">
        <v>77</v>
      </c>
      <c r="I545" t="s">
        <v>6465</v>
      </c>
      <c r="J545">
        <v>71</v>
      </c>
      <c r="K545">
        <v>200</v>
      </c>
      <c r="L545" t="s">
        <v>5585</v>
      </c>
      <c r="M545" s="6" t="s">
        <v>6558</v>
      </c>
      <c r="N545" s="6" t="s">
        <v>6565</v>
      </c>
      <c r="O545" s="6">
        <v>76</v>
      </c>
      <c r="P545" s="6">
        <v>67</v>
      </c>
      <c r="Q545" s="6">
        <v>79</v>
      </c>
      <c r="R545" s="6">
        <v>73</v>
      </c>
      <c r="S545" s="6">
        <v>79</v>
      </c>
      <c r="T545" s="6">
        <v>68</v>
      </c>
      <c r="U545" s="6">
        <v>62</v>
      </c>
      <c r="V545" s="6">
        <v>66</v>
      </c>
      <c r="W545" s="6">
        <v>70</v>
      </c>
      <c r="X545" s="6">
        <v>68</v>
      </c>
      <c r="Y545" s="6">
        <v>79</v>
      </c>
      <c r="Z545" s="6">
        <v>77</v>
      </c>
      <c r="AA545" s="6">
        <v>75</v>
      </c>
      <c r="AB545" s="6">
        <v>73</v>
      </c>
      <c r="AC545" s="6">
        <v>79</v>
      </c>
      <c r="AD545" s="6">
        <v>82</v>
      </c>
      <c r="AE545" s="6">
        <v>80</v>
      </c>
      <c r="AF545" s="6">
        <v>73</v>
      </c>
      <c r="AG545" s="6" t="s">
        <v>7626</v>
      </c>
      <c r="AH545" s="6" t="s">
        <v>6640</v>
      </c>
    </row>
    <row r="546" spans="1:34" x14ac:dyDescent="0.2">
      <c r="A546" t="s">
        <v>3905</v>
      </c>
      <c r="B546" t="s">
        <v>2169</v>
      </c>
      <c r="C546" t="s">
        <v>2870</v>
      </c>
      <c r="D546" s="7" t="s">
        <v>144</v>
      </c>
      <c r="E546" t="s">
        <v>38</v>
      </c>
      <c r="F546">
        <v>27</v>
      </c>
      <c r="G546">
        <v>79</v>
      </c>
      <c r="H546">
        <v>77</v>
      </c>
      <c r="I546" t="s">
        <v>6363</v>
      </c>
      <c r="J546">
        <v>68</v>
      </c>
      <c r="K546">
        <v>221</v>
      </c>
      <c r="L546" t="s">
        <v>5599</v>
      </c>
      <c r="M546" s="6" t="s">
        <v>6558</v>
      </c>
      <c r="N546" s="6" t="s">
        <v>6583</v>
      </c>
      <c r="O546" s="6">
        <v>91</v>
      </c>
      <c r="P546" s="6">
        <v>65</v>
      </c>
      <c r="Q546" s="6">
        <v>76</v>
      </c>
      <c r="R546" s="6">
        <v>78</v>
      </c>
      <c r="S546" s="6">
        <v>71</v>
      </c>
      <c r="T546" s="6">
        <v>81</v>
      </c>
      <c r="U546" s="6">
        <v>80</v>
      </c>
      <c r="V546" s="6">
        <v>77</v>
      </c>
      <c r="W546" s="6">
        <v>78</v>
      </c>
      <c r="X546" s="6">
        <v>75</v>
      </c>
      <c r="Y546" s="6">
        <v>77</v>
      </c>
      <c r="Z546" s="6">
        <v>74</v>
      </c>
      <c r="AA546" s="6">
        <v>73</v>
      </c>
      <c r="AB546" s="6">
        <v>71</v>
      </c>
      <c r="AC546" s="6">
        <v>71</v>
      </c>
      <c r="AD546" s="6">
        <v>73</v>
      </c>
      <c r="AE546" s="6">
        <v>76</v>
      </c>
      <c r="AF546" s="6">
        <v>78</v>
      </c>
      <c r="AG546" s="6" t="s">
        <v>7640</v>
      </c>
      <c r="AH546" s="6" t="s">
        <v>6994</v>
      </c>
    </row>
    <row r="547" spans="1:34" x14ac:dyDescent="0.2">
      <c r="A547" t="s">
        <v>3907</v>
      </c>
      <c r="B547" t="s">
        <v>2171</v>
      </c>
      <c r="C547" t="s">
        <v>2870</v>
      </c>
      <c r="D547" s="7" t="s">
        <v>144</v>
      </c>
      <c r="E547" t="s">
        <v>38</v>
      </c>
      <c r="F547">
        <v>21</v>
      </c>
      <c r="G547">
        <v>69</v>
      </c>
      <c r="H547">
        <v>77</v>
      </c>
      <c r="I547" t="s">
        <v>6336</v>
      </c>
      <c r="J547">
        <v>68</v>
      </c>
      <c r="K547">
        <v>223</v>
      </c>
      <c r="L547" t="s">
        <v>5601</v>
      </c>
      <c r="M547" s="6" t="s">
        <v>6558</v>
      </c>
      <c r="N547" s="6" t="s">
        <v>6567</v>
      </c>
      <c r="O547" s="6">
        <v>60</v>
      </c>
      <c r="P547" s="6">
        <v>63</v>
      </c>
      <c r="Q547" s="6">
        <v>69</v>
      </c>
      <c r="R547" s="6">
        <v>66</v>
      </c>
      <c r="S547" s="6">
        <v>69</v>
      </c>
      <c r="T547" s="6">
        <v>68</v>
      </c>
      <c r="U547" s="6">
        <v>66</v>
      </c>
      <c r="V547" s="6">
        <v>74</v>
      </c>
      <c r="W547" s="6">
        <v>76</v>
      </c>
      <c r="X547" s="6">
        <v>62</v>
      </c>
      <c r="Y547" s="6">
        <v>66</v>
      </c>
      <c r="Z547" s="6">
        <v>68</v>
      </c>
      <c r="AA547" s="6">
        <v>63</v>
      </c>
      <c r="AB547" s="6">
        <v>66</v>
      </c>
      <c r="AC547" s="6">
        <v>70</v>
      </c>
      <c r="AD547" s="6">
        <v>65</v>
      </c>
      <c r="AE547" s="6">
        <v>63</v>
      </c>
      <c r="AF547" s="6">
        <v>68</v>
      </c>
      <c r="AG547" s="6" t="s">
        <v>6776</v>
      </c>
      <c r="AH547" s="6" t="s">
        <v>6725</v>
      </c>
    </row>
    <row r="548" spans="1:34" x14ac:dyDescent="0.2">
      <c r="A548" t="s">
        <v>3913</v>
      </c>
      <c r="B548" t="s">
        <v>2177</v>
      </c>
      <c r="C548" t="s">
        <v>57</v>
      </c>
      <c r="D548" s="7" t="s">
        <v>144</v>
      </c>
      <c r="E548" t="s">
        <v>38</v>
      </c>
      <c r="F548">
        <v>29</v>
      </c>
      <c r="G548">
        <v>69</v>
      </c>
      <c r="H548">
        <v>77</v>
      </c>
      <c r="I548" t="s">
        <v>6314</v>
      </c>
      <c r="J548">
        <v>72</v>
      </c>
      <c r="K548">
        <v>217</v>
      </c>
      <c r="L548" t="s">
        <v>5607</v>
      </c>
      <c r="M548" s="6" t="s">
        <v>6558</v>
      </c>
      <c r="N548" s="6" t="s">
        <v>6567</v>
      </c>
      <c r="O548" s="6">
        <v>70</v>
      </c>
      <c r="P548" s="6">
        <v>72</v>
      </c>
      <c r="Q548" s="6">
        <v>87</v>
      </c>
      <c r="R548" s="6">
        <v>68</v>
      </c>
      <c r="S548" s="6">
        <v>77</v>
      </c>
      <c r="T548" s="6">
        <v>81</v>
      </c>
      <c r="U548" s="6">
        <v>69</v>
      </c>
      <c r="V548" s="6">
        <v>78</v>
      </c>
      <c r="W548" s="6">
        <v>77</v>
      </c>
      <c r="X548" s="6">
        <v>69</v>
      </c>
      <c r="Y548" s="6">
        <v>73</v>
      </c>
      <c r="Z548" s="6">
        <v>69</v>
      </c>
      <c r="AA548" s="6">
        <v>69</v>
      </c>
      <c r="AB548" s="6">
        <v>70</v>
      </c>
      <c r="AC548" s="6">
        <v>69</v>
      </c>
      <c r="AD548" s="6">
        <v>64</v>
      </c>
      <c r="AE548" s="6">
        <v>67</v>
      </c>
      <c r="AF548" s="6">
        <v>67</v>
      </c>
      <c r="AG548" s="6" t="s">
        <v>7647</v>
      </c>
      <c r="AH548" s="6" t="s">
        <v>6574</v>
      </c>
    </row>
    <row r="549" spans="1:34" x14ac:dyDescent="0.2">
      <c r="A549" t="s">
        <v>3915</v>
      </c>
      <c r="B549" t="s">
        <v>2179</v>
      </c>
      <c r="C549" t="s">
        <v>57</v>
      </c>
      <c r="D549" s="7" t="s">
        <v>144</v>
      </c>
      <c r="E549" t="s">
        <v>38</v>
      </c>
      <c r="F549">
        <v>24</v>
      </c>
      <c r="G549">
        <v>57</v>
      </c>
      <c r="H549">
        <v>77</v>
      </c>
      <c r="I549" t="s">
        <v>62</v>
      </c>
      <c r="J549">
        <v>72</v>
      </c>
      <c r="K549">
        <v>192</v>
      </c>
      <c r="L549" t="s">
        <v>5609</v>
      </c>
      <c r="M549" s="6" t="s">
        <v>6558</v>
      </c>
      <c r="N549" s="6" t="s">
        <v>6567</v>
      </c>
      <c r="O549" s="6">
        <v>74</v>
      </c>
      <c r="P549" s="6">
        <v>66</v>
      </c>
      <c r="Q549" s="6">
        <v>70</v>
      </c>
      <c r="R549" s="6">
        <v>63</v>
      </c>
      <c r="S549" s="6">
        <v>75</v>
      </c>
      <c r="T549" s="6">
        <v>61</v>
      </c>
      <c r="U549" s="6">
        <v>59</v>
      </c>
      <c r="V549" s="6">
        <v>62</v>
      </c>
      <c r="W549" s="6">
        <v>71</v>
      </c>
      <c r="X549" s="6">
        <v>68</v>
      </c>
      <c r="Y549" s="6">
        <v>77</v>
      </c>
      <c r="Z549" s="6">
        <v>69</v>
      </c>
      <c r="AA549" s="6">
        <v>68</v>
      </c>
      <c r="AB549" s="6">
        <v>72</v>
      </c>
      <c r="AC549" s="6">
        <v>60</v>
      </c>
      <c r="AD549" s="6">
        <v>66</v>
      </c>
      <c r="AE549" s="6">
        <v>67</v>
      </c>
      <c r="AF549" s="6">
        <v>59</v>
      </c>
      <c r="AG549" s="6" t="s">
        <v>7649</v>
      </c>
      <c r="AH549" s="6" t="s">
        <v>6574</v>
      </c>
    </row>
    <row r="550" spans="1:34" x14ac:dyDescent="0.2">
      <c r="A550" t="s">
        <v>3941</v>
      </c>
      <c r="B550" t="s">
        <v>2205</v>
      </c>
      <c r="C550" t="s">
        <v>61</v>
      </c>
      <c r="D550" s="7" t="s">
        <v>144</v>
      </c>
      <c r="E550" t="s">
        <v>58</v>
      </c>
      <c r="F550">
        <v>31</v>
      </c>
      <c r="G550">
        <v>78</v>
      </c>
      <c r="H550">
        <v>77</v>
      </c>
      <c r="I550" t="s">
        <v>6333</v>
      </c>
      <c r="J550">
        <v>71</v>
      </c>
      <c r="K550">
        <v>207</v>
      </c>
      <c r="L550" t="s">
        <v>5635</v>
      </c>
      <c r="M550" s="6" t="s">
        <v>6558</v>
      </c>
      <c r="N550" s="6" t="s">
        <v>6567</v>
      </c>
      <c r="O550" s="6">
        <v>80</v>
      </c>
      <c r="P550" s="6">
        <v>80</v>
      </c>
      <c r="Q550" s="6">
        <v>85</v>
      </c>
      <c r="R550" s="6">
        <v>68</v>
      </c>
      <c r="S550" s="6">
        <v>87</v>
      </c>
      <c r="T550" s="6">
        <v>81</v>
      </c>
      <c r="U550" s="6">
        <v>80</v>
      </c>
      <c r="V550" s="6">
        <v>80</v>
      </c>
      <c r="W550" s="6">
        <v>76</v>
      </c>
      <c r="X550" s="6">
        <v>80</v>
      </c>
      <c r="Y550" s="6">
        <v>87</v>
      </c>
      <c r="Z550" s="6">
        <v>77</v>
      </c>
      <c r="AA550" s="6">
        <v>70</v>
      </c>
      <c r="AB550" s="6">
        <v>71</v>
      </c>
      <c r="AC550" s="6">
        <v>64</v>
      </c>
      <c r="AD550" s="6">
        <v>66</v>
      </c>
      <c r="AE550" s="6">
        <v>65</v>
      </c>
      <c r="AF550" s="6">
        <v>73</v>
      </c>
      <c r="AG550" s="6" t="s">
        <v>7675</v>
      </c>
      <c r="AH550" s="6" t="s">
        <v>6632</v>
      </c>
    </row>
    <row r="551" spans="1:34" x14ac:dyDescent="0.2">
      <c r="A551" t="s">
        <v>3945</v>
      </c>
      <c r="B551" t="s">
        <v>2209</v>
      </c>
      <c r="C551" t="s">
        <v>2882</v>
      </c>
      <c r="D551" s="7" t="s">
        <v>144</v>
      </c>
      <c r="E551" t="s">
        <v>58</v>
      </c>
      <c r="F551">
        <v>31</v>
      </c>
      <c r="G551">
        <v>73</v>
      </c>
      <c r="H551">
        <v>77</v>
      </c>
      <c r="I551" t="s">
        <v>6388</v>
      </c>
      <c r="J551">
        <v>75</v>
      </c>
      <c r="K551">
        <v>205</v>
      </c>
      <c r="L551" t="s">
        <v>5639</v>
      </c>
      <c r="M551" s="6" t="s">
        <v>6558</v>
      </c>
      <c r="N551" s="6" t="s">
        <v>6583</v>
      </c>
      <c r="O551" s="6">
        <v>78</v>
      </c>
      <c r="P551" s="6">
        <v>71</v>
      </c>
      <c r="Q551" s="6">
        <v>75</v>
      </c>
      <c r="R551" s="6">
        <v>78</v>
      </c>
      <c r="S551" s="6">
        <v>74</v>
      </c>
      <c r="T551" s="6">
        <v>71</v>
      </c>
      <c r="U551" s="6">
        <v>80</v>
      </c>
      <c r="V551" s="6">
        <v>78</v>
      </c>
      <c r="W551" s="6">
        <v>78</v>
      </c>
      <c r="X551" s="6">
        <v>82</v>
      </c>
      <c r="Y551" s="6">
        <v>72</v>
      </c>
      <c r="Z551" s="6">
        <v>72</v>
      </c>
      <c r="AA551" s="6">
        <v>72</v>
      </c>
      <c r="AB551" s="6">
        <v>66</v>
      </c>
      <c r="AC551" s="6">
        <v>67</v>
      </c>
      <c r="AD551" s="6">
        <v>75</v>
      </c>
      <c r="AE551" s="6">
        <v>71</v>
      </c>
      <c r="AF551" s="6">
        <v>68</v>
      </c>
      <c r="AG551" s="6" t="s">
        <v>7679</v>
      </c>
      <c r="AH551" s="6" t="s">
        <v>6638</v>
      </c>
    </row>
    <row r="552" spans="1:34" x14ac:dyDescent="0.2">
      <c r="A552" t="s">
        <v>3950</v>
      </c>
      <c r="B552" t="s">
        <v>2214</v>
      </c>
      <c r="C552" t="s">
        <v>2884</v>
      </c>
      <c r="D552" s="7" t="s">
        <v>144</v>
      </c>
      <c r="E552" t="s">
        <v>58</v>
      </c>
      <c r="F552">
        <v>34</v>
      </c>
      <c r="G552">
        <v>64</v>
      </c>
      <c r="H552">
        <v>77</v>
      </c>
      <c r="I552" t="s">
        <v>6320</v>
      </c>
      <c r="J552">
        <v>73</v>
      </c>
      <c r="K552">
        <v>225</v>
      </c>
      <c r="L552" t="s">
        <v>5644</v>
      </c>
      <c r="M552" s="6" t="s">
        <v>6558</v>
      </c>
      <c r="N552" s="6" t="s">
        <v>6567</v>
      </c>
      <c r="O552" s="6">
        <v>83</v>
      </c>
      <c r="P552" s="6">
        <v>78</v>
      </c>
      <c r="Q552" s="6">
        <v>69</v>
      </c>
      <c r="R552" s="6">
        <v>64</v>
      </c>
      <c r="S552" s="6">
        <v>74</v>
      </c>
      <c r="T552" s="6">
        <v>76</v>
      </c>
      <c r="U552" s="6">
        <v>80</v>
      </c>
      <c r="V552" s="6">
        <v>80</v>
      </c>
      <c r="W552" s="6">
        <v>74</v>
      </c>
      <c r="X552" s="6">
        <v>79</v>
      </c>
      <c r="Y552" s="6">
        <v>79</v>
      </c>
      <c r="Z552" s="6">
        <v>78</v>
      </c>
      <c r="AA552" s="6">
        <v>64</v>
      </c>
      <c r="AB552" s="6">
        <v>69</v>
      </c>
      <c r="AC552" s="6">
        <v>59</v>
      </c>
      <c r="AD552" s="6">
        <v>69</v>
      </c>
      <c r="AE552" s="6">
        <v>64</v>
      </c>
      <c r="AF552" s="6">
        <v>65</v>
      </c>
      <c r="AG552" s="6" t="s">
        <v>7684</v>
      </c>
      <c r="AH552" s="6" t="s">
        <v>6644</v>
      </c>
    </row>
    <row r="553" spans="1:34" x14ac:dyDescent="0.2">
      <c r="A553" t="s">
        <v>3981</v>
      </c>
      <c r="B553" t="s">
        <v>2245</v>
      </c>
      <c r="C553" t="s">
        <v>2873</v>
      </c>
      <c r="D553" s="7" t="s">
        <v>149</v>
      </c>
      <c r="E553" t="s">
        <v>38</v>
      </c>
      <c r="F553">
        <v>31</v>
      </c>
      <c r="G553">
        <v>80</v>
      </c>
      <c r="H553">
        <v>77</v>
      </c>
      <c r="I553" t="s">
        <v>6493</v>
      </c>
      <c r="J553">
        <v>80</v>
      </c>
      <c r="K553">
        <v>329</v>
      </c>
      <c r="L553" t="s">
        <v>5675</v>
      </c>
      <c r="M553" s="6" t="s">
        <v>6558</v>
      </c>
      <c r="N553" s="6" t="s">
        <v>6583</v>
      </c>
      <c r="O553" s="6">
        <v>86</v>
      </c>
      <c r="P553" s="6">
        <v>85</v>
      </c>
      <c r="Q553" s="6">
        <v>78</v>
      </c>
      <c r="R553" s="6">
        <v>80</v>
      </c>
      <c r="S553" s="6">
        <v>82</v>
      </c>
      <c r="T553" s="6">
        <v>78</v>
      </c>
      <c r="U553" s="6">
        <v>91</v>
      </c>
      <c r="V553" s="6">
        <v>86</v>
      </c>
      <c r="W553" s="6">
        <v>89</v>
      </c>
      <c r="X553" s="6">
        <v>89</v>
      </c>
      <c r="Y553" s="6">
        <v>80</v>
      </c>
      <c r="Z553" s="6">
        <v>81</v>
      </c>
      <c r="AA553" s="6">
        <v>74</v>
      </c>
      <c r="AB553" s="6">
        <v>72</v>
      </c>
      <c r="AC553" s="6">
        <v>67</v>
      </c>
      <c r="AD553" s="6">
        <v>80</v>
      </c>
      <c r="AE553" s="6">
        <v>72</v>
      </c>
      <c r="AF553" s="6">
        <v>69</v>
      </c>
      <c r="AG553" s="6" t="s">
        <v>7714</v>
      </c>
      <c r="AH553" s="6" t="s">
        <v>6596</v>
      </c>
    </row>
    <row r="554" spans="1:34" x14ac:dyDescent="0.2">
      <c r="A554" t="s">
        <v>3982</v>
      </c>
      <c r="B554" t="s">
        <v>2246</v>
      </c>
      <c r="C554" t="s">
        <v>2874</v>
      </c>
      <c r="D554" s="7" t="s">
        <v>149</v>
      </c>
      <c r="E554" t="s">
        <v>38</v>
      </c>
      <c r="F554">
        <v>25</v>
      </c>
      <c r="G554">
        <v>72</v>
      </c>
      <c r="H554">
        <v>77</v>
      </c>
      <c r="I554" t="s">
        <v>6308</v>
      </c>
      <c r="J554">
        <v>76</v>
      </c>
      <c r="K554">
        <v>312</v>
      </c>
      <c r="L554" t="s">
        <v>5676</v>
      </c>
      <c r="M554" s="6" t="s">
        <v>6558</v>
      </c>
      <c r="N554" s="6" t="s">
        <v>6614</v>
      </c>
      <c r="O554" s="6">
        <v>80</v>
      </c>
      <c r="P554" s="6">
        <v>65</v>
      </c>
      <c r="Q554" s="6">
        <v>69</v>
      </c>
      <c r="R554" s="6">
        <v>59</v>
      </c>
      <c r="S554" s="6">
        <v>58</v>
      </c>
      <c r="T554" s="6">
        <v>66</v>
      </c>
      <c r="U554" s="6">
        <v>64</v>
      </c>
      <c r="V554" s="6">
        <v>70</v>
      </c>
      <c r="W554" s="6">
        <v>62</v>
      </c>
      <c r="X554" s="6">
        <v>65</v>
      </c>
      <c r="Y554" s="6">
        <v>78</v>
      </c>
      <c r="Z554" s="6">
        <v>75</v>
      </c>
      <c r="AA554" s="6">
        <v>65</v>
      </c>
      <c r="AB554" s="6">
        <v>69</v>
      </c>
      <c r="AC554" s="6">
        <v>70</v>
      </c>
      <c r="AD554" s="6">
        <v>71</v>
      </c>
      <c r="AE554" s="6">
        <v>76</v>
      </c>
      <c r="AF554" s="6">
        <v>67</v>
      </c>
      <c r="AG554" s="6" t="s">
        <v>7715</v>
      </c>
      <c r="AH554" s="6" t="s">
        <v>6674</v>
      </c>
    </row>
    <row r="555" spans="1:34" x14ac:dyDescent="0.2">
      <c r="A555" t="s">
        <v>3983</v>
      </c>
      <c r="B555" t="s">
        <v>2247</v>
      </c>
      <c r="C555" t="s">
        <v>2874</v>
      </c>
      <c r="D555" s="7" t="s">
        <v>149</v>
      </c>
      <c r="E555" t="s">
        <v>58</v>
      </c>
      <c r="F555">
        <v>30</v>
      </c>
      <c r="G555">
        <v>71</v>
      </c>
      <c r="H555">
        <v>77</v>
      </c>
      <c r="I555" t="s">
        <v>6506</v>
      </c>
      <c r="J555">
        <v>76</v>
      </c>
      <c r="K555">
        <v>326</v>
      </c>
      <c r="L555" t="s">
        <v>5677</v>
      </c>
      <c r="M555" s="6" t="s">
        <v>6558</v>
      </c>
      <c r="N555" s="6" t="s">
        <v>6583</v>
      </c>
      <c r="O555" s="6">
        <v>78</v>
      </c>
      <c r="P555" s="6">
        <v>82</v>
      </c>
      <c r="Q555" s="6">
        <v>79</v>
      </c>
      <c r="R555" s="6">
        <v>77</v>
      </c>
      <c r="S555" s="6">
        <v>80</v>
      </c>
      <c r="T555" s="6">
        <v>72</v>
      </c>
      <c r="U555" s="6">
        <v>83</v>
      </c>
      <c r="V555" s="6">
        <v>67</v>
      </c>
      <c r="W555" s="6">
        <v>73</v>
      </c>
      <c r="X555" s="6">
        <v>82</v>
      </c>
      <c r="Y555" s="6">
        <v>86</v>
      </c>
      <c r="Z555" s="6">
        <v>72</v>
      </c>
      <c r="AA555" s="6">
        <v>70</v>
      </c>
      <c r="AB555" s="6">
        <v>69</v>
      </c>
      <c r="AC555" s="6">
        <v>61</v>
      </c>
      <c r="AD555" s="6">
        <v>75</v>
      </c>
      <c r="AE555" s="6">
        <v>75</v>
      </c>
      <c r="AF555" s="6">
        <v>66</v>
      </c>
      <c r="AG555" s="6" t="s">
        <v>7716</v>
      </c>
      <c r="AH555" s="6" t="s">
        <v>6598</v>
      </c>
    </row>
    <row r="556" spans="1:34" x14ac:dyDescent="0.2">
      <c r="A556" t="s">
        <v>3993</v>
      </c>
      <c r="B556" t="s">
        <v>2257</v>
      </c>
      <c r="C556" t="s">
        <v>2878</v>
      </c>
      <c r="D556" s="7" t="s">
        <v>149</v>
      </c>
      <c r="E556" t="s">
        <v>38</v>
      </c>
      <c r="F556">
        <v>29</v>
      </c>
      <c r="G556">
        <v>85</v>
      </c>
      <c r="H556">
        <v>77</v>
      </c>
      <c r="I556" t="s">
        <v>6400</v>
      </c>
      <c r="J556">
        <v>76</v>
      </c>
      <c r="K556">
        <v>250</v>
      </c>
      <c r="L556" t="s">
        <v>5687</v>
      </c>
      <c r="M556" s="6" t="s">
        <v>6558</v>
      </c>
      <c r="N556" s="6" t="s">
        <v>6565</v>
      </c>
      <c r="O556" s="6">
        <v>80</v>
      </c>
      <c r="P556" s="6">
        <v>69</v>
      </c>
      <c r="Q556" s="6">
        <v>77</v>
      </c>
      <c r="R556" s="6">
        <v>71</v>
      </c>
      <c r="S556" s="6">
        <v>75</v>
      </c>
      <c r="T556" s="6">
        <v>88</v>
      </c>
      <c r="U556" s="6">
        <v>77</v>
      </c>
      <c r="V556" s="6">
        <v>79</v>
      </c>
      <c r="W556" s="6">
        <v>81</v>
      </c>
      <c r="X556" s="6">
        <v>78</v>
      </c>
      <c r="Y556" s="6">
        <v>78</v>
      </c>
      <c r="Z556" s="6">
        <v>82</v>
      </c>
      <c r="AA556" s="6">
        <v>71</v>
      </c>
      <c r="AB556" s="6">
        <v>74</v>
      </c>
      <c r="AC556" s="6">
        <v>72</v>
      </c>
      <c r="AD556" s="6">
        <v>76</v>
      </c>
      <c r="AE556" s="6">
        <v>74</v>
      </c>
      <c r="AF556" s="6">
        <v>69</v>
      </c>
      <c r="AG556" s="6" t="s">
        <v>7726</v>
      </c>
      <c r="AH556" s="6" t="s">
        <v>6612</v>
      </c>
    </row>
    <row r="557" spans="1:34" x14ac:dyDescent="0.2">
      <c r="A557" t="s">
        <v>4003</v>
      </c>
      <c r="B557" t="s">
        <v>2267</v>
      </c>
      <c r="C557" t="s">
        <v>2880</v>
      </c>
      <c r="D557" s="7" t="s">
        <v>149</v>
      </c>
      <c r="E557" t="s">
        <v>38</v>
      </c>
      <c r="F557">
        <v>28</v>
      </c>
      <c r="G557">
        <v>67</v>
      </c>
      <c r="H557">
        <v>77</v>
      </c>
      <c r="I557" t="s">
        <v>6456</v>
      </c>
      <c r="J557">
        <v>77</v>
      </c>
      <c r="K557">
        <v>238</v>
      </c>
      <c r="L557" t="s">
        <v>5697</v>
      </c>
      <c r="M557" s="6" t="s">
        <v>6558</v>
      </c>
      <c r="N557" s="6" t="s">
        <v>6583</v>
      </c>
      <c r="O557" s="6">
        <v>81</v>
      </c>
      <c r="P557" s="6">
        <v>74</v>
      </c>
      <c r="Q557" s="6">
        <v>74</v>
      </c>
      <c r="R557" s="6">
        <v>78</v>
      </c>
      <c r="S557" s="6">
        <v>73</v>
      </c>
      <c r="T557" s="6">
        <v>67</v>
      </c>
      <c r="U557" s="6">
        <v>68</v>
      </c>
      <c r="V557" s="6">
        <v>66</v>
      </c>
      <c r="W557" s="6">
        <v>75</v>
      </c>
      <c r="X557" s="6">
        <v>69</v>
      </c>
      <c r="Y557" s="6">
        <v>69</v>
      </c>
      <c r="Z557" s="6">
        <v>75</v>
      </c>
      <c r="AA557" s="6">
        <v>72</v>
      </c>
      <c r="AB557" s="6">
        <v>77</v>
      </c>
      <c r="AC557" s="6">
        <v>72</v>
      </c>
      <c r="AD557" s="6">
        <v>73</v>
      </c>
      <c r="AE557" s="6">
        <v>67</v>
      </c>
      <c r="AF557" s="6">
        <v>71</v>
      </c>
      <c r="AG557" s="6" t="s">
        <v>7736</v>
      </c>
      <c r="AH557" s="6" t="s">
        <v>6623</v>
      </c>
    </row>
    <row r="558" spans="1:34" x14ac:dyDescent="0.2">
      <c r="A558" t="s">
        <v>4006</v>
      </c>
      <c r="B558" t="s">
        <v>2270</v>
      </c>
      <c r="C558" t="s">
        <v>61</v>
      </c>
      <c r="D558" s="7" t="s">
        <v>149</v>
      </c>
      <c r="E558" t="s">
        <v>38</v>
      </c>
      <c r="F558">
        <v>28</v>
      </c>
      <c r="G558">
        <v>77</v>
      </c>
      <c r="H558">
        <v>77</v>
      </c>
      <c r="I558" t="s">
        <v>8331</v>
      </c>
      <c r="J558">
        <v>74</v>
      </c>
      <c r="K558">
        <v>185</v>
      </c>
      <c r="L558" t="s">
        <v>5700</v>
      </c>
      <c r="M558" s="6" t="s">
        <v>6558</v>
      </c>
      <c r="N558" s="6" t="s">
        <v>6567</v>
      </c>
      <c r="O558" s="6">
        <v>78</v>
      </c>
      <c r="P558" s="6">
        <v>73</v>
      </c>
      <c r="Q558" s="6">
        <v>78</v>
      </c>
      <c r="R558" s="6">
        <v>69</v>
      </c>
      <c r="S558" s="6">
        <v>88</v>
      </c>
      <c r="T558" s="6">
        <v>76</v>
      </c>
      <c r="U558" s="6">
        <v>65</v>
      </c>
      <c r="V558" s="6">
        <v>79</v>
      </c>
      <c r="W558" s="6">
        <v>79</v>
      </c>
      <c r="X558" s="6">
        <v>75</v>
      </c>
      <c r="Y558" s="6">
        <v>84</v>
      </c>
      <c r="Z558" s="6">
        <v>76</v>
      </c>
      <c r="AA558" s="6">
        <v>74</v>
      </c>
      <c r="AB558" s="6">
        <v>73</v>
      </c>
      <c r="AC558" s="6">
        <v>70</v>
      </c>
      <c r="AD558" s="6">
        <v>72</v>
      </c>
      <c r="AE558" s="6">
        <v>74</v>
      </c>
      <c r="AF558" s="6">
        <v>74</v>
      </c>
      <c r="AG558" s="6" t="s">
        <v>7739</v>
      </c>
      <c r="AH558" s="6" t="s">
        <v>6696</v>
      </c>
    </row>
    <row r="559" spans="1:34" x14ac:dyDescent="0.2">
      <c r="A559" t="s">
        <v>4037</v>
      </c>
      <c r="B559" t="s">
        <v>2301</v>
      </c>
      <c r="C559" t="s">
        <v>2873</v>
      </c>
      <c r="D559" s="7" t="s">
        <v>22</v>
      </c>
      <c r="E559" t="s">
        <v>38</v>
      </c>
      <c r="F559">
        <v>24</v>
      </c>
      <c r="G559">
        <v>84</v>
      </c>
      <c r="H559">
        <v>77</v>
      </c>
      <c r="I559" t="s">
        <v>6386</v>
      </c>
      <c r="J559">
        <v>76</v>
      </c>
      <c r="K559">
        <v>300</v>
      </c>
      <c r="L559" t="s">
        <v>5731</v>
      </c>
      <c r="M559" s="6" t="s">
        <v>6558</v>
      </c>
      <c r="N559" s="6" t="s">
        <v>6565</v>
      </c>
      <c r="O559" s="6">
        <v>81</v>
      </c>
      <c r="P559" s="6">
        <v>73</v>
      </c>
      <c r="Q559" s="6">
        <v>73</v>
      </c>
      <c r="R559" s="6">
        <v>75</v>
      </c>
      <c r="S559" s="6">
        <v>77</v>
      </c>
      <c r="T559" s="6">
        <v>69</v>
      </c>
      <c r="U559" s="6">
        <v>85</v>
      </c>
      <c r="V559" s="6">
        <v>70</v>
      </c>
      <c r="W559" s="6">
        <v>87</v>
      </c>
      <c r="X559" s="6">
        <v>79</v>
      </c>
      <c r="Y559" s="6">
        <v>81</v>
      </c>
      <c r="Z559" s="6">
        <v>73</v>
      </c>
      <c r="AA559" s="6">
        <v>71</v>
      </c>
      <c r="AB559" s="6">
        <v>76</v>
      </c>
      <c r="AC559" s="6">
        <v>69</v>
      </c>
      <c r="AD559" s="6">
        <v>73</v>
      </c>
      <c r="AE559" s="6">
        <v>77</v>
      </c>
      <c r="AF559" s="6">
        <v>71</v>
      </c>
      <c r="AG559" s="6" t="s">
        <v>7769</v>
      </c>
      <c r="AH559" s="6" t="s">
        <v>6596</v>
      </c>
    </row>
    <row r="560" spans="1:34" x14ac:dyDescent="0.2">
      <c r="A560" t="s">
        <v>4062</v>
      </c>
      <c r="B560" t="s">
        <v>2326</v>
      </c>
      <c r="C560" t="s">
        <v>2882</v>
      </c>
      <c r="D560" s="7" t="s">
        <v>22</v>
      </c>
      <c r="E560" t="s">
        <v>38</v>
      </c>
      <c r="F560">
        <v>29</v>
      </c>
      <c r="G560">
        <v>72</v>
      </c>
      <c r="H560">
        <v>77</v>
      </c>
      <c r="I560" t="s">
        <v>6334</v>
      </c>
      <c r="J560">
        <v>72</v>
      </c>
      <c r="K560">
        <v>209</v>
      </c>
      <c r="L560" t="s">
        <v>5756</v>
      </c>
      <c r="M560" s="6" t="s">
        <v>6558</v>
      </c>
      <c r="N560" s="6" t="s">
        <v>6583</v>
      </c>
      <c r="O560" s="6">
        <v>73</v>
      </c>
      <c r="P560" s="6">
        <v>76</v>
      </c>
      <c r="Q560" s="6">
        <v>66</v>
      </c>
      <c r="R560" s="6">
        <v>76</v>
      </c>
      <c r="S560" s="6">
        <v>76</v>
      </c>
      <c r="T560" s="6">
        <v>65</v>
      </c>
      <c r="U560" s="6">
        <v>77</v>
      </c>
      <c r="V560" s="6">
        <v>77</v>
      </c>
      <c r="W560" s="6">
        <v>72</v>
      </c>
      <c r="X560" s="6">
        <v>68</v>
      </c>
      <c r="Y560" s="6">
        <v>74</v>
      </c>
      <c r="Z560" s="6">
        <v>74</v>
      </c>
      <c r="AA560" s="6">
        <v>70</v>
      </c>
      <c r="AB560" s="6">
        <v>71</v>
      </c>
      <c r="AC560" s="6">
        <v>74</v>
      </c>
      <c r="AD560" s="6">
        <v>67</v>
      </c>
      <c r="AE560" s="6">
        <v>70</v>
      </c>
      <c r="AF560" s="6">
        <v>84</v>
      </c>
      <c r="AG560" s="6" t="s">
        <v>7794</v>
      </c>
      <c r="AH560" s="6" t="s">
        <v>7030</v>
      </c>
    </row>
    <row r="561" spans="1:34" x14ac:dyDescent="0.2">
      <c r="A561" t="s">
        <v>4063</v>
      </c>
      <c r="B561" t="s">
        <v>2327</v>
      </c>
      <c r="C561" t="s">
        <v>2882</v>
      </c>
      <c r="D561" s="7" t="s">
        <v>22</v>
      </c>
      <c r="E561" t="s">
        <v>38</v>
      </c>
      <c r="F561">
        <v>28</v>
      </c>
      <c r="G561">
        <v>65</v>
      </c>
      <c r="H561">
        <v>77</v>
      </c>
      <c r="I561" t="s">
        <v>6324</v>
      </c>
      <c r="J561">
        <v>71</v>
      </c>
      <c r="K561">
        <v>214</v>
      </c>
      <c r="L561" t="s">
        <v>5757</v>
      </c>
      <c r="M561" s="6" t="s">
        <v>6558</v>
      </c>
      <c r="N561" s="6" t="s">
        <v>6565</v>
      </c>
      <c r="O561" s="6">
        <v>68</v>
      </c>
      <c r="P561" s="6">
        <v>70</v>
      </c>
      <c r="Q561" s="6">
        <v>68</v>
      </c>
      <c r="R561" s="6">
        <v>74</v>
      </c>
      <c r="S561" s="6">
        <v>70</v>
      </c>
      <c r="T561" s="6">
        <v>65</v>
      </c>
      <c r="U561" s="6">
        <v>75</v>
      </c>
      <c r="V561" s="6">
        <v>75</v>
      </c>
      <c r="W561" s="6">
        <v>73</v>
      </c>
      <c r="X561" s="6">
        <v>73</v>
      </c>
      <c r="Y561" s="6">
        <v>74</v>
      </c>
      <c r="Z561" s="6">
        <v>69</v>
      </c>
      <c r="AA561" s="6">
        <v>67</v>
      </c>
      <c r="AB561" s="6">
        <v>73</v>
      </c>
      <c r="AC561" s="6">
        <v>69</v>
      </c>
      <c r="AD561" s="6">
        <v>71</v>
      </c>
      <c r="AE561" s="6">
        <v>76</v>
      </c>
      <c r="AF561" s="6">
        <v>74</v>
      </c>
      <c r="AG561" s="6" t="s">
        <v>7795</v>
      </c>
      <c r="AH561" s="6" t="s">
        <v>6638</v>
      </c>
    </row>
    <row r="562" spans="1:34" x14ac:dyDescent="0.2">
      <c r="A562" t="s">
        <v>4098</v>
      </c>
      <c r="B562" t="s">
        <v>2362</v>
      </c>
      <c r="C562" t="s">
        <v>2874</v>
      </c>
      <c r="D562" s="7" t="s">
        <v>25</v>
      </c>
      <c r="E562" t="s">
        <v>58</v>
      </c>
      <c r="F562">
        <v>33</v>
      </c>
      <c r="G562">
        <v>66</v>
      </c>
      <c r="H562">
        <v>77</v>
      </c>
      <c r="I562" t="s">
        <v>6375</v>
      </c>
      <c r="J562">
        <v>76</v>
      </c>
      <c r="K562">
        <v>314</v>
      </c>
      <c r="L562" t="s">
        <v>5792</v>
      </c>
      <c r="M562" s="6" t="s">
        <v>6558</v>
      </c>
      <c r="N562" s="6" t="s">
        <v>6565</v>
      </c>
      <c r="O562" s="6">
        <v>76</v>
      </c>
      <c r="P562" s="6">
        <v>66</v>
      </c>
      <c r="Q562" s="6">
        <v>75</v>
      </c>
      <c r="R562" s="6">
        <v>71</v>
      </c>
      <c r="S562" s="6">
        <v>80</v>
      </c>
      <c r="T562" s="6">
        <v>69</v>
      </c>
      <c r="U562" s="6">
        <v>80</v>
      </c>
      <c r="V562" s="6">
        <v>76</v>
      </c>
      <c r="W562" s="6">
        <v>65</v>
      </c>
      <c r="X562" s="6">
        <v>65</v>
      </c>
      <c r="Y562" s="6">
        <v>67</v>
      </c>
      <c r="Z562" s="6">
        <v>75</v>
      </c>
      <c r="AA562" s="6">
        <v>59</v>
      </c>
      <c r="AB562" s="6">
        <v>66</v>
      </c>
      <c r="AC562" s="6">
        <v>58</v>
      </c>
      <c r="AD562" s="6">
        <v>62</v>
      </c>
      <c r="AE562" s="6">
        <v>58</v>
      </c>
      <c r="AF562" s="6">
        <v>61</v>
      </c>
      <c r="AG562" s="6" t="s">
        <v>7829</v>
      </c>
      <c r="AH562" s="6" t="s">
        <v>6598</v>
      </c>
    </row>
    <row r="563" spans="1:34" x14ac:dyDescent="0.2">
      <c r="A563" t="s">
        <v>4140</v>
      </c>
      <c r="B563" t="s">
        <v>2404</v>
      </c>
      <c r="C563" t="s">
        <v>2871</v>
      </c>
      <c r="D563" s="7" t="s">
        <v>150</v>
      </c>
      <c r="E563" t="s">
        <v>38</v>
      </c>
      <c r="F563">
        <v>24</v>
      </c>
      <c r="G563">
        <v>58</v>
      </c>
      <c r="H563">
        <v>77</v>
      </c>
      <c r="I563" t="s">
        <v>6337</v>
      </c>
      <c r="J563">
        <v>76</v>
      </c>
      <c r="K563">
        <v>270</v>
      </c>
      <c r="L563" t="s">
        <v>5834</v>
      </c>
      <c r="M563" s="6" t="s">
        <v>6558</v>
      </c>
      <c r="N563" s="6" t="s">
        <v>6565</v>
      </c>
      <c r="O563" s="6">
        <v>64</v>
      </c>
      <c r="P563" s="6">
        <v>68</v>
      </c>
      <c r="Q563" s="6">
        <v>66</v>
      </c>
      <c r="R563" s="6">
        <v>70</v>
      </c>
      <c r="S563" s="6">
        <v>70</v>
      </c>
      <c r="T563" s="6">
        <v>69</v>
      </c>
      <c r="U563" s="6">
        <v>70</v>
      </c>
      <c r="V563" s="6">
        <v>68</v>
      </c>
      <c r="W563" s="6">
        <v>65</v>
      </c>
      <c r="X563" s="6">
        <v>60</v>
      </c>
      <c r="Y563" s="6">
        <v>69</v>
      </c>
      <c r="Z563" s="6">
        <v>63</v>
      </c>
      <c r="AA563" s="6">
        <v>64</v>
      </c>
      <c r="AB563" s="6">
        <v>65</v>
      </c>
      <c r="AC563" s="6">
        <v>66</v>
      </c>
      <c r="AD563" s="6">
        <v>71</v>
      </c>
      <c r="AE563" s="6">
        <v>60</v>
      </c>
      <c r="AF563" s="6">
        <v>74</v>
      </c>
      <c r="AG563" s="6" t="s">
        <v>7871</v>
      </c>
      <c r="AH563" s="6" t="s">
        <v>6587</v>
      </c>
    </row>
    <row r="564" spans="1:34" x14ac:dyDescent="0.2">
      <c r="A564" t="s">
        <v>4154</v>
      </c>
      <c r="B564" t="s">
        <v>2418</v>
      </c>
      <c r="C564" t="s">
        <v>2878</v>
      </c>
      <c r="D564" s="7" t="s">
        <v>150</v>
      </c>
      <c r="E564" t="s">
        <v>38</v>
      </c>
      <c r="F564">
        <v>26</v>
      </c>
      <c r="G564">
        <v>72</v>
      </c>
      <c r="H564">
        <v>77</v>
      </c>
      <c r="I564" t="s">
        <v>6404</v>
      </c>
      <c r="J564">
        <v>76</v>
      </c>
      <c r="K564">
        <v>275</v>
      </c>
      <c r="L564" t="s">
        <v>5848</v>
      </c>
      <c r="M564" s="6" t="s">
        <v>6558</v>
      </c>
      <c r="N564" s="6" t="s">
        <v>6565</v>
      </c>
      <c r="O564" s="6">
        <v>72</v>
      </c>
      <c r="P564" s="6">
        <v>73</v>
      </c>
      <c r="Q564" s="6">
        <v>82</v>
      </c>
      <c r="R564" s="6">
        <v>70</v>
      </c>
      <c r="S564" s="6">
        <v>80</v>
      </c>
      <c r="T564" s="6">
        <v>80</v>
      </c>
      <c r="U564" s="6">
        <v>81</v>
      </c>
      <c r="V564" s="6">
        <v>78</v>
      </c>
      <c r="W564" s="6">
        <v>63</v>
      </c>
      <c r="X564" s="6">
        <v>73</v>
      </c>
      <c r="Y564" s="6">
        <v>75</v>
      </c>
      <c r="Z564" s="6">
        <v>69</v>
      </c>
      <c r="AA564" s="6">
        <v>72</v>
      </c>
      <c r="AB564" s="6">
        <v>68</v>
      </c>
      <c r="AC564" s="6">
        <v>66</v>
      </c>
      <c r="AD564" s="6">
        <v>70</v>
      </c>
      <c r="AE564" s="6">
        <v>71</v>
      </c>
      <c r="AF564" s="6">
        <v>74</v>
      </c>
      <c r="AG564" s="6" t="s">
        <v>7885</v>
      </c>
      <c r="AH564" s="6" t="s">
        <v>6963</v>
      </c>
    </row>
    <row r="565" spans="1:34" x14ac:dyDescent="0.2">
      <c r="A565" t="s">
        <v>4195</v>
      </c>
      <c r="B565" t="s">
        <v>2459</v>
      </c>
      <c r="C565" t="s">
        <v>2872</v>
      </c>
      <c r="D565" s="7" t="s">
        <v>151</v>
      </c>
      <c r="E565" t="s">
        <v>38</v>
      </c>
      <c r="F565">
        <v>26</v>
      </c>
      <c r="G565">
        <v>80</v>
      </c>
      <c r="H565">
        <v>77</v>
      </c>
      <c r="I565" t="s">
        <v>8330</v>
      </c>
      <c r="J565">
        <v>76</v>
      </c>
      <c r="K565">
        <v>325</v>
      </c>
      <c r="L565" t="s">
        <v>5889</v>
      </c>
      <c r="M565" s="6" t="s">
        <v>6558</v>
      </c>
      <c r="N565" s="6" t="s">
        <v>6565</v>
      </c>
      <c r="O565" s="6">
        <v>73</v>
      </c>
      <c r="P565" s="6">
        <v>70</v>
      </c>
      <c r="Q565" s="6">
        <v>75</v>
      </c>
      <c r="R565" s="6">
        <v>72</v>
      </c>
      <c r="S565" s="6">
        <v>80</v>
      </c>
      <c r="T565" s="6">
        <v>69</v>
      </c>
      <c r="U565" s="6">
        <v>84</v>
      </c>
      <c r="V565" s="6">
        <v>75</v>
      </c>
      <c r="W565" s="6">
        <v>77</v>
      </c>
      <c r="X565" s="6">
        <v>79</v>
      </c>
      <c r="Y565" s="6">
        <v>69</v>
      </c>
      <c r="Z565" s="6">
        <v>82</v>
      </c>
      <c r="AA565" s="6">
        <v>70</v>
      </c>
      <c r="AB565" s="6">
        <v>70</v>
      </c>
      <c r="AC565" s="6">
        <v>62</v>
      </c>
      <c r="AD565" s="6">
        <v>66</v>
      </c>
      <c r="AE565" s="6">
        <v>66</v>
      </c>
      <c r="AF565" s="6">
        <v>68</v>
      </c>
      <c r="AG565" s="6" t="s">
        <v>7927</v>
      </c>
      <c r="AH565" s="6" t="s">
        <v>6593</v>
      </c>
    </row>
    <row r="566" spans="1:34" x14ac:dyDescent="0.2">
      <c r="A566" t="s">
        <v>4197</v>
      </c>
      <c r="B566" t="s">
        <v>2461</v>
      </c>
      <c r="C566" t="s">
        <v>2872</v>
      </c>
      <c r="D566" s="7" t="s">
        <v>151</v>
      </c>
      <c r="E566" t="s">
        <v>58</v>
      </c>
      <c r="F566">
        <v>31</v>
      </c>
      <c r="G566">
        <v>75</v>
      </c>
      <c r="H566">
        <v>77</v>
      </c>
      <c r="I566" t="s">
        <v>6341</v>
      </c>
      <c r="J566">
        <v>78</v>
      </c>
      <c r="K566">
        <v>305</v>
      </c>
      <c r="L566" t="s">
        <v>5891</v>
      </c>
      <c r="M566" s="6" t="s">
        <v>6558</v>
      </c>
      <c r="N566" s="6" t="s">
        <v>6565</v>
      </c>
      <c r="O566" s="6">
        <v>77</v>
      </c>
      <c r="P566" s="6">
        <v>71</v>
      </c>
      <c r="Q566" s="6">
        <v>76</v>
      </c>
      <c r="R566" s="6">
        <v>72</v>
      </c>
      <c r="S566" s="6">
        <v>69</v>
      </c>
      <c r="T566" s="6">
        <v>75</v>
      </c>
      <c r="U566" s="6">
        <v>78</v>
      </c>
      <c r="V566" s="6">
        <v>77</v>
      </c>
      <c r="W566" s="6">
        <v>68</v>
      </c>
      <c r="X566" s="6">
        <v>76</v>
      </c>
      <c r="Y566" s="6">
        <v>80</v>
      </c>
      <c r="Z566" s="6">
        <v>71</v>
      </c>
      <c r="AA566" s="6">
        <v>58</v>
      </c>
      <c r="AB566" s="6">
        <v>68</v>
      </c>
      <c r="AC566" s="6">
        <v>71</v>
      </c>
      <c r="AD566" s="6">
        <v>62</v>
      </c>
      <c r="AE566" s="6">
        <v>67</v>
      </c>
      <c r="AF566" s="6">
        <v>60</v>
      </c>
      <c r="AG566" s="6" t="s">
        <v>7929</v>
      </c>
      <c r="AH566" s="6" t="s">
        <v>6593</v>
      </c>
    </row>
    <row r="567" spans="1:34" x14ac:dyDescent="0.2">
      <c r="A567" t="s">
        <v>4211</v>
      </c>
      <c r="B567" t="s">
        <v>2475</v>
      </c>
      <c r="C567" t="s">
        <v>2879</v>
      </c>
      <c r="D567" s="7" t="s">
        <v>151</v>
      </c>
      <c r="E567" t="s">
        <v>38</v>
      </c>
      <c r="F567">
        <v>29</v>
      </c>
      <c r="G567">
        <v>77</v>
      </c>
      <c r="H567">
        <v>77</v>
      </c>
      <c r="I567" t="s">
        <v>6312</v>
      </c>
      <c r="J567">
        <v>72</v>
      </c>
      <c r="K567">
        <v>319</v>
      </c>
      <c r="L567" t="s">
        <v>5905</v>
      </c>
      <c r="M567" s="6" t="s">
        <v>6558</v>
      </c>
      <c r="N567" s="6" t="s">
        <v>6565</v>
      </c>
      <c r="O567" s="6">
        <v>69</v>
      </c>
      <c r="P567" s="6">
        <v>72</v>
      </c>
      <c r="Q567" s="6">
        <v>83</v>
      </c>
      <c r="R567" s="6">
        <v>73</v>
      </c>
      <c r="S567" s="6">
        <v>88</v>
      </c>
      <c r="T567" s="6">
        <v>71</v>
      </c>
      <c r="U567" s="6">
        <v>89</v>
      </c>
      <c r="V567" s="6">
        <v>73</v>
      </c>
      <c r="W567" s="6">
        <v>89</v>
      </c>
      <c r="X567" s="6">
        <v>77</v>
      </c>
      <c r="Y567" s="6">
        <v>82</v>
      </c>
      <c r="Z567" s="6">
        <v>79</v>
      </c>
      <c r="AA567" s="6">
        <v>72</v>
      </c>
      <c r="AB567" s="6">
        <v>78</v>
      </c>
      <c r="AC567" s="6">
        <v>76</v>
      </c>
      <c r="AD567" s="6">
        <v>76</v>
      </c>
      <c r="AE567" s="6">
        <v>72</v>
      </c>
      <c r="AF567" s="6">
        <v>74</v>
      </c>
      <c r="AG567" s="6" t="s">
        <v>7943</v>
      </c>
      <c r="AH567" s="6" t="s">
        <v>6617</v>
      </c>
    </row>
    <row r="568" spans="1:34" x14ac:dyDescent="0.2">
      <c r="A568" t="s">
        <v>4222</v>
      </c>
      <c r="B568" t="s">
        <v>2486</v>
      </c>
      <c r="C568" t="s">
        <v>61</v>
      </c>
      <c r="D568" s="7" t="s">
        <v>151</v>
      </c>
      <c r="E568" t="s">
        <v>38</v>
      </c>
      <c r="F568">
        <v>22</v>
      </c>
      <c r="G568">
        <v>65</v>
      </c>
      <c r="H568">
        <v>77</v>
      </c>
      <c r="I568" t="s">
        <v>6379</v>
      </c>
      <c r="J568">
        <v>70</v>
      </c>
      <c r="K568">
        <v>187</v>
      </c>
      <c r="L568" t="s">
        <v>5916</v>
      </c>
      <c r="M568" s="6" t="s">
        <v>6624</v>
      </c>
      <c r="N568" s="6" t="s">
        <v>6614</v>
      </c>
      <c r="O568" s="6">
        <v>58</v>
      </c>
      <c r="P568" s="6">
        <v>61</v>
      </c>
      <c r="Q568" s="6">
        <v>69</v>
      </c>
      <c r="R568" s="6">
        <v>52</v>
      </c>
      <c r="S568" s="6">
        <v>80</v>
      </c>
      <c r="T568" s="6">
        <v>60</v>
      </c>
      <c r="U568" s="6">
        <v>60</v>
      </c>
      <c r="V568" s="6">
        <v>70</v>
      </c>
      <c r="W568" s="6">
        <v>66</v>
      </c>
      <c r="X568" s="6">
        <v>59</v>
      </c>
      <c r="Y568" s="6">
        <v>54</v>
      </c>
      <c r="Z568" s="6">
        <v>70</v>
      </c>
      <c r="AA568" s="6">
        <v>66</v>
      </c>
      <c r="AB568" s="6">
        <v>67</v>
      </c>
      <c r="AC568" s="6">
        <v>61</v>
      </c>
      <c r="AD568" s="6">
        <v>61</v>
      </c>
      <c r="AE568" s="6">
        <v>66</v>
      </c>
      <c r="AF568" s="6">
        <v>70</v>
      </c>
      <c r="AG568" s="6" t="s">
        <v>7954</v>
      </c>
      <c r="AH568" s="6" t="s">
        <v>6630</v>
      </c>
    </row>
    <row r="569" spans="1:34" x14ac:dyDescent="0.2">
      <c r="A569" t="s">
        <v>4239</v>
      </c>
      <c r="B569" t="s">
        <v>2503</v>
      </c>
      <c r="C569" t="s">
        <v>2870</v>
      </c>
      <c r="D569" s="7" t="s">
        <v>152</v>
      </c>
      <c r="E569" t="s">
        <v>58</v>
      </c>
      <c r="F569">
        <v>24</v>
      </c>
      <c r="G569">
        <v>66</v>
      </c>
      <c r="H569">
        <v>77</v>
      </c>
      <c r="I569" t="s">
        <v>6318</v>
      </c>
      <c r="J569">
        <v>70</v>
      </c>
      <c r="K569">
        <v>223</v>
      </c>
      <c r="L569" t="s">
        <v>5933</v>
      </c>
      <c r="M569" s="6" t="s">
        <v>6558</v>
      </c>
      <c r="N569" s="6" t="s">
        <v>6565</v>
      </c>
      <c r="O569" s="6">
        <v>75</v>
      </c>
      <c r="P569" s="6">
        <v>76</v>
      </c>
      <c r="Q569" s="6">
        <v>72</v>
      </c>
      <c r="R569" s="6">
        <v>72</v>
      </c>
      <c r="S569" s="6">
        <v>80</v>
      </c>
      <c r="T569" s="6">
        <v>66</v>
      </c>
      <c r="U569" s="6">
        <v>77</v>
      </c>
      <c r="V569" s="6">
        <v>74</v>
      </c>
      <c r="W569" s="6">
        <v>76</v>
      </c>
      <c r="X569" s="6">
        <v>67</v>
      </c>
      <c r="Y569" s="6">
        <v>79</v>
      </c>
      <c r="Z569" s="6">
        <v>66</v>
      </c>
      <c r="AA569" s="6">
        <v>68</v>
      </c>
      <c r="AB569" s="6">
        <v>66</v>
      </c>
      <c r="AC569" s="6">
        <v>70</v>
      </c>
      <c r="AD569" s="6">
        <v>71</v>
      </c>
      <c r="AE569" s="6">
        <v>69</v>
      </c>
      <c r="AF569" s="6">
        <v>72</v>
      </c>
      <c r="AG569" s="6" t="s">
        <v>7970</v>
      </c>
      <c r="AH569" s="6" t="s">
        <v>6656</v>
      </c>
    </row>
    <row r="570" spans="1:34" x14ac:dyDescent="0.2">
      <c r="A570" t="s">
        <v>4261</v>
      </c>
      <c r="B570" t="s">
        <v>2525</v>
      </c>
      <c r="C570" t="s">
        <v>2878</v>
      </c>
      <c r="D570" s="7" t="s">
        <v>152</v>
      </c>
      <c r="E570" t="s">
        <v>38</v>
      </c>
      <c r="F570">
        <v>27</v>
      </c>
      <c r="G570">
        <v>73</v>
      </c>
      <c r="H570">
        <v>77</v>
      </c>
      <c r="I570" t="s">
        <v>8332</v>
      </c>
      <c r="J570">
        <v>75</v>
      </c>
      <c r="K570">
        <v>281</v>
      </c>
      <c r="L570" t="s">
        <v>5955</v>
      </c>
      <c r="M570" s="6" t="s">
        <v>6558</v>
      </c>
      <c r="N570" s="6" t="s">
        <v>6567</v>
      </c>
      <c r="O570" s="6">
        <v>75</v>
      </c>
      <c r="P570" s="6">
        <v>79</v>
      </c>
      <c r="Q570" s="6">
        <v>72</v>
      </c>
      <c r="R570" s="6">
        <v>67</v>
      </c>
      <c r="S570" s="6">
        <v>71</v>
      </c>
      <c r="T570" s="6">
        <v>70</v>
      </c>
      <c r="U570" s="6">
        <v>81</v>
      </c>
      <c r="V570" s="6">
        <v>69</v>
      </c>
      <c r="W570" s="6">
        <v>66</v>
      </c>
      <c r="X570" s="6">
        <v>75</v>
      </c>
      <c r="Y570" s="6">
        <v>80</v>
      </c>
      <c r="Z570" s="6">
        <v>81</v>
      </c>
      <c r="AA570" s="6">
        <v>66</v>
      </c>
      <c r="AB570" s="6">
        <v>74</v>
      </c>
      <c r="AC570" s="6">
        <v>65</v>
      </c>
      <c r="AD570" s="6">
        <v>60</v>
      </c>
      <c r="AE570" s="6">
        <v>75</v>
      </c>
      <c r="AF570" s="6">
        <v>68</v>
      </c>
      <c r="AG570" s="6" t="s">
        <v>7991</v>
      </c>
      <c r="AH570" s="6" t="s">
        <v>6612</v>
      </c>
    </row>
    <row r="571" spans="1:34" x14ac:dyDescent="0.2">
      <c r="A571" t="s">
        <v>4267</v>
      </c>
      <c r="B571" t="s">
        <v>2531</v>
      </c>
      <c r="C571" t="s">
        <v>2880</v>
      </c>
      <c r="D571" s="7" t="s">
        <v>152</v>
      </c>
      <c r="E571" t="s">
        <v>38</v>
      </c>
      <c r="F571">
        <v>26</v>
      </c>
      <c r="G571">
        <v>86</v>
      </c>
      <c r="H571">
        <v>77</v>
      </c>
      <c r="I571" t="s">
        <v>6492</v>
      </c>
      <c r="J571">
        <v>76</v>
      </c>
      <c r="K571">
        <v>243</v>
      </c>
      <c r="L571" t="s">
        <v>5961</v>
      </c>
      <c r="M571" s="6" t="s">
        <v>6558</v>
      </c>
      <c r="N571" s="6" t="s">
        <v>6583</v>
      </c>
      <c r="O571" s="6">
        <v>70</v>
      </c>
      <c r="P571" s="6">
        <v>73</v>
      </c>
      <c r="Q571" s="6">
        <v>78</v>
      </c>
      <c r="R571" s="6">
        <v>81</v>
      </c>
      <c r="S571" s="6">
        <v>73</v>
      </c>
      <c r="T571" s="6">
        <v>74</v>
      </c>
      <c r="U571" s="6">
        <v>66</v>
      </c>
      <c r="V571" s="6">
        <v>72</v>
      </c>
      <c r="W571" s="6">
        <v>81</v>
      </c>
      <c r="X571" s="6">
        <v>73</v>
      </c>
      <c r="Y571" s="6">
        <v>77</v>
      </c>
      <c r="Z571" s="6">
        <v>79</v>
      </c>
      <c r="AA571" s="6">
        <v>77</v>
      </c>
      <c r="AB571" s="6">
        <v>73</v>
      </c>
      <c r="AC571" s="6">
        <v>72</v>
      </c>
      <c r="AD571" s="6">
        <v>72</v>
      </c>
      <c r="AE571" s="6">
        <v>69</v>
      </c>
      <c r="AF571" s="6">
        <v>71</v>
      </c>
      <c r="AG571" s="6" t="s">
        <v>7997</v>
      </c>
      <c r="AH571" s="6" t="s">
        <v>6623</v>
      </c>
    </row>
    <row r="572" spans="1:34" x14ac:dyDescent="0.2">
      <c r="A572" t="s">
        <v>4274</v>
      </c>
      <c r="B572" t="s">
        <v>2537</v>
      </c>
      <c r="C572" t="s">
        <v>61</v>
      </c>
      <c r="D572" s="7" t="s">
        <v>152</v>
      </c>
      <c r="E572" t="s">
        <v>38</v>
      </c>
      <c r="F572">
        <v>21</v>
      </c>
      <c r="G572">
        <v>70</v>
      </c>
      <c r="H572">
        <v>77</v>
      </c>
      <c r="I572" t="s">
        <v>8335</v>
      </c>
      <c r="J572">
        <v>73</v>
      </c>
      <c r="K572">
        <v>186</v>
      </c>
      <c r="L572" t="s">
        <v>5968</v>
      </c>
      <c r="M572" s="6" t="s">
        <v>6558</v>
      </c>
      <c r="N572" s="6" t="s">
        <v>6614</v>
      </c>
      <c r="O572" s="6">
        <v>71</v>
      </c>
      <c r="P572" s="6">
        <v>69</v>
      </c>
      <c r="Q572" s="6">
        <v>71</v>
      </c>
      <c r="R572" s="6">
        <v>57</v>
      </c>
      <c r="S572" s="6">
        <v>82</v>
      </c>
      <c r="T572" s="6">
        <v>75</v>
      </c>
      <c r="U572" s="6">
        <v>64</v>
      </c>
      <c r="V572" s="6">
        <v>81</v>
      </c>
      <c r="W572" s="6">
        <v>81</v>
      </c>
      <c r="X572" s="6">
        <v>75</v>
      </c>
      <c r="Y572" s="6">
        <v>80</v>
      </c>
      <c r="Z572" s="6">
        <v>78</v>
      </c>
      <c r="AA572" s="6">
        <v>75</v>
      </c>
      <c r="AB572" s="6">
        <v>76</v>
      </c>
      <c r="AC572" s="6">
        <v>63</v>
      </c>
      <c r="AD572" s="6">
        <v>78</v>
      </c>
      <c r="AE572" s="6">
        <v>68</v>
      </c>
      <c r="AF572" s="6">
        <v>76</v>
      </c>
      <c r="AG572" s="6" t="s">
        <v>8004</v>
      </c>
      <c r="AH572" s="6" t="s">
        <v>7082</v>
      </c>
    </row>
    <row r="573" spans="1:34" x14ac:dyDescent="0.2">
      <c r="A573" t="s">
        <v>4322</v>
      </c>
      <c r="B573" t="s">
        <v>2585</v>
      </c>
      <c r="C573" t="s">
        <v>2880</v>
      </c>
      <c r="D573" s="7" t="s">
        <v>153</v>
      </c>
      <c r="E573" t="s">
        <v>58</v>
      </c>
      <c r="F573">
        <v>30</v>
      </c>
      <c r="G573">
        <v>90</v>
      </c>
      <c r="H573">
        <v>77</v>
      </c>
      <c r="I573" t="s">
        <v>6389</v>
      </c>
      <c r="J573">
        <v>73</v>
      </c>
      <c r="K573">
        <v>249</v>
      </c>
      <c r="L573" t="s">
        <v>6016</v>
      </c>
      <c r="M573" s="6" t="s">
        <v>6558</v>
      </c>
      <c r="N573" s="6" t="s">
        <v>6565</v>
      </c>
      <c r="O573" s="6">
        <v>81</v>
      </c>
      <c r="P573" s="6">
        <v>72</v>
      </c>
      <c r="Q573" s="6">
        <v>69</v>
      </c>
      <c r="R573" s="6">
        <v>74</v>
      </c>
      <c r="S573" s="6">
        <v>84</v>
      </c>
      <c r="T573" s="6">
        <v>77</v>
      </c>
      <c r="U573" s="6">
        <v>71</v>
      </c>
      <c r="V573" s="6">
        <v>87</v>
      </c>
      <c r="W573" s="6">
        <v>75</v>
      </c>
      <c r="X573" s="6">
        <v>79</v>
      </c>
      <c r="Y573" s="6">
        <v>76</v>
      </c>
      <c r="Z573" s="6">
        <v>71</v>
      </c>
      <c r="AA573" s="6">
        <v>67</v>
      </c>
      <c r="AB573" s="6">
        <v>73</v>
      </c>
      <c r="AC573" s="6">
        <v>70</v>
      </c>
      <c r="AD573" s="6">
        <v>67</v>
      </c>
      <c r="AE573" s="6">
        <v>70</v>
      </c>
      <c r="AF573" s="6">
        <v>69</v>
      </c>
      <c r="AG573" s="6" t="s">
        <v>8051</v>
      </c>
      <c r="AH573" s="6" t="s">
        <v>6623</v>
      </c>
    </row>
    <row r="574" spans="1:34" x14ac:dyDescent="0.2">
      <c r="A574" t="s">
        <v>4332</v>
      </c>
      <c r="B574" t="s">
        <v>2595</v>
      </c>
      <c r="C574" t="s">
        <v>2883</v>
      </c>
      <c r="D574" s="7" t="s">
        <v>153</v>
      </c>
      <c r="E574" t="s">
        <v>38</v>
      </c>
      <c r="F574">
        <v>24</v>
      </c>
      <c r="G574">
        <v>73</v>
      </c>
      <c r="H574">
        <v>77</v>
      </c>
      <c r="I574" t="s">
        <v>6380</v>
      </c>
      <c r="J574">
        <v>70</v>
      </c>
      <c r="K574">
        <v>203</v>
      </c>
      <c r="L574" t="s">
        <v>6026</v>
      </c>
      <c r="M574" s="6" t="s">
        <v>6558</v>
      </c>
      <c r="N574" s="6" t="s">
        <v>6559</v>
      </c>
      <c r="O574" s="6">
        <v>79</v>
      </c>
      <c r="P574" s="6">
        <v>81</v>
      </c>
      <c r="Q574" s="6">
        <v>76</v>
      </c>
      <c r="R574" s="6">
        <v>83</v>
      </c>
      <c r="S574" s="6">
        <v>81</v>
      </c>
      <c r="T574" s="6">
        <v>73</v>
      </c>
      <c r="U574" s="6">
        <v>82</v>
      </c>
      <c r="V574" s="6">
        <v>71</v>
      </c>
      <c r="W574" s="6">
        <v>75</v>
      </c>
      <c r="X574" s="6">
        <v>70</v>
      </c>
      <c r="Y574" s="6">
        <v>75</v>
      </c>
      <c r="Z574" s="6">
        <v>77</v>
      </c>
      <c r="AA574" s="6">
        <v>69</v>
      </c>
      <c r="AB574" s="6">
        <v>72</v>
      </c>
      <c r="AC574" s="6">
        <v>73</v>
      </c>
      <c r="AD574" s="6">
        <v>74</v>
      </c>
      <c r="AE574" s="6">
        <v>69</v>
      </c>
      <c r="AF574" s="6">
        <v>82</v>
      </c>
      <c r="AG574" s="6" t="s">
        <v>8061</v>
      </c>
      <c r="AH574" s="6" t="s">
        <v>7417</v>
      </c>
    </row>
    <row r="575" spans="1:34" x14ac:dyDescent="0.2">
      <c r="A575" t="s">
        <v>4345</v>
      </c>
      <c r="B575" t="s">
        <v>2608</v>
      </c>
      <c r="C575" t="s">
        <v>2870</v>
      </c>
      <c r="D575" s="7" t="s">
        <v>156</v>
      </c>
      <c r="E575" t="s">
        <v>38</v>
      </c>
      <c r="F575">
        <v>21</v>
      </c>
      <c r="G575">
        <v>62</v>
      </c>
      <c r="H575">
        <v>77</v>
      </c>
      <c r="I575" t="s">
        <v>6311</v>
      </c>
      <c r="J575">
        <v>70</v>
      </c>
      <c r="K575">
        <v>219</v>
      </c>
      <c r="L575" t="s">
        <v>6039</v>
      </c>
      <c r="M575" s="6" t="s">
        <v>6558</v>
      </c>
      <c r="N575" s="6" t="s">
        <v>6567</v>
      </c>
      <c r="O575" s="6">
        <v>59</v>
      </c>
      <c r="P575" s="6">
        <v>67</v>
      </c>
      <c r="Q575" s="6">
        <v>63</v>
      </c>
      <c r="R575" s="6">
        <v>65</v>
      </c>
      <c r="S575" s="6">
        <v>76</v>
      </c>
      <c r="T575" s="6">
        <v>69</v>
      </c>
      <c r="U575" s="6">
        <v>73</v>
      </c>
      <c r="V575" s="6">
        <v>58</v>
      </c>
      <c r="W575" s="6">
        <v>63</v>
      </c>
      <c r="X575" s="6">
        <v>69</v>
      </c>
      <c r="Y575" s="6">
        <v>72</v>
      </c>
      <c r="Z575" s="6">
        <v>73</v>
      </c>
      <c r="AA575" s="6">
        <v>66</v>
      </c>
      <c r="AB575" s="6">
        <v>71</v>
      </c>
      <c r="AC575" s="6">
        <v>64</v>
      </c>
      <c r="AD575" s="6">
        <v>67</v>
      </c>
      <c r="AE575" s="6">
        <v>62</v>
      </c>
      <c r="AF575" s="6">
        <v>63</v>
      </c>
      <c r="AG575" s="6" t="s">
        <v>7046</v>
      </c>
      <c r="AH575" s="6" t="s">
        <v>6887</v>
      </c>
    </row>
    <row r="576" spans="1:34" x14ac:dyDescent="0.2">
      <c r="A576" t="s">
        <v>4359</v>
      </c>
      <c r="B576" t="s">
        <v>2622</v>
      </c>
      <c r="C576" t="s">
        <v>2875</v>
      </c>
      <c r="D576" s="7" t="s">
        <v>156</v>
      </c>
      <c r="E576" t="s">
        <v>38</v>
      </c>
      <c r="F576">
        <v>28</v>
      </c>
      <c r="G576">
        <v>78</v>
      </c>
      <c r="H576">
        <v>77</v>
      </c>
      <c r="I576" t="s">
        <v>6377</v>
      </c>
      <c r="J576">
        <v>75</v>
      </c>
      <c r="K576">
        <v>316</v>
      </c>
      <c r="L576" t="s">
        <v>6053</v>
      </c>
      <c r="M576" s="6" t="s">
        <v>6558</v>
      </c>
      <c r="N576" s="6" t="s">
        <v>6559</v>
      </c>
      <c r="O576" s="6">
        <v>85</v>
      </c>
      <c r="P576" s="6">
        <v>81</v>
      </c>
      <c r="Q576" s="6">
        <v>73</v>
      </c>
      <c r="R576" s="6">
        <v>84</v>
      </c>
      <c r="S576" s="6">
        <v>74</v>
      </c>
      <c r="T576" s="6">
        <v>78</v>
      </c>
      <c r="U576" s="6">
        <v>76</v>
      </c>
      <c r="V576" s="6">
        <v>77</v>
      </c>
      <c r="W576" s="6">
        <v>83</v>
      </c>
      <c r="X576" s="6">
        <v>68</v>
      </c>
      <c r="Y576" s="6">
        <v>69</v>
      </c>
      <c r="Z576" s="6">
        <v>79</v>
      </c>
      <c r="AA576" s="6">
        <v>76</v>
      </c>
      <c r="AB576" s="6">
        <v>77</v>
      </c>
      <c r="AC576" s="6">
        <v>75</v>
      </c>
      <c r="AD576" s="6">
        <v>75</v>
      </c>
      <c r="AE576" s="6">
        <v>64</v>
      </c>
      <c r="AF576" s="6">
        <v>77</v>
      </c>
      <c r="AG576" s="6" t="s">
        <v>8086</v>
      </c>
      <c r="AH576" s="6" t="s">
        <v>6743</v>
      </c>
    </row>
    <row r="577" spans="1:34" x14ac:dyDescent="0.2">
      <c r="A577" t="s">
        <v>4393</v>
      </c>
      <c r="B577" t="s">
        <v>2656</v>
      </c>
      <c r="C577" t="s">
        <v>53</v>
      </c>
      <c r="D577" s="7" t="s">
        <v>158</v>
      </c>
      <c r="E577" t="s">
        <v>38</v>
      </c>
      <c r="F577">
        <v>28</v>
      </c>
      <c r="G577">
        <v>74</v>
      </c>
      <c r="H577">
        <v>77</v>
      </c>
      <c r="I577" t="s">
        <v>6405</v>
      </c>
      <c r="J577">
        <v>74</v>
      </c>
      <c r="K577">
        <v>212</v>
      </c>
      <c r="L577" t="s">
        <v>6087</v>
      </c>
      <c r="M577" s="6" t="s">
        <v>6558</v>
      </c>
      <c r="N577" s="6" t="s">
        <v>6562</v>
      </c>
      <c r="O577" s="6">
        <v>79</v>
      </c>
      <c r="P577" s="6">
        <v>76</v>
      </c>
      <c r="Q577" s="6">
        <v>71</v>
      </c>
      <c r="R577" s="6">
        <v>90</v>
      </c>
      <c r="S577" s="6">
        <v>83</v>
      </c>
      <c r="T577" s="6">
        <v>70</v>
      </c>
      <c r="U577" s="6">
        <v>93</v>
      </c>
      <c r="V577" s="6">
        <v>76</v>
      </c>
      <c r="W577" s="6">
        <v>89</v>
      </c>
      <c r="X577" s="6">
        <v>69</v>
      </c>
      <c r="Y577" s="6">
        <v>78</v>
      </c>
      <c r="Z577" s="6">
        <v>74</v>
      </c>
      <c r="AA577" s="6">
        <v>69</v>
      </c>
      <c r="AB577" s="6">
        <v>74</v>
      </c>
      <c r="AC577" s="6">
        <v>75</v>
      </c>
      <c r="AD577" s="6">
        <v>75</v>
      </c>
      <c r="AE577" s="6">
        <v>68</v>
      </c>
      <c r="AF577" s="6">
        <v>76</v>
      </c>
      <c r="AG577" s="6" t="s">
        <v>8119</v>
      </c>
      <c r="AH577" s="6" t="s">
        <v>7149</v>
      </c>
    </row>
    <row r="578" spans="1:34" x14ac:dyDescent="0.2">
      <c r="A578" t="s">
        <v>2914</v>
      </c>
      <c r="B578" t="s">
        <v>1178</v>
      </c>
      <c r="C578" t="s">
        <v>53</v>
      </c>
      <c r="D578" s="7" t="s">
        <v>129</v>
      </c>
      <c r="E578" t="s">
        <v>38</v>
      </c>
      <c r="F578">
        <v>26</v>
      </c>
      <c r="G578">
        <v>68</v>
      </c>
      <c r="H578">
        <v>76</v>
      </c>
      <c r="I578" t="s">
        <v>6304</v>
      </c>
      <c r="J578">
        <v>75</v>
      </c>
      <c r="K578">
        <v>240</v>
      </c>
      <c r="L578" t="s">
        <v>4608</v>
      </c>
      <c r="M578" s="6" t="s">
        <v>6558</v>
      </c>
      <c r="N578" s="6" t="s">
        <v>6567</v>
      </c>
      <c r="O578" s="6">
        <v>82</v>
      </c>
      <c r="P578" s="6">
        <v>70</v>
      </c>
      <c r="Q578" s="6">
        <v>71</v>
      </c>
      <c r="R578" s="6">
        <v>69</v>
      </c>
      <c r="S578" s="6">
        <v>71</v>
      </c>
      <c r="T578" s="6">
        <v>60</v>
      </c>
      <c r="U578" s="6">
        <v>74</v>
      </c>
      <c r="V578" s="6">
        <v>75</v>
      </c>
      <c r="W578" s="6">
        <v>81</v>
      </c>
      <c r="X578" s="6">
        <v>69</v>
      </c>
      <c r="Y578" s="6">
        <v>78</v>
      </c>
      <c r="Z578" s="6">
        <v>74</v>
      </c>
      <c r="AA578" s="6">
        <v>68</v>
      </c>
      <c r="AB578" s="6">
        <v>74</v>
      </c>
      <c r="AC578" s="6">
        <v>72</v>
      </c>
      <c r="AD578" s="6">
        <v>67</v>
      </c>
      <c r="AE578" s="6">
        <v>66</v>
      </c>
      <c r="AF578" s="6">
        <v>70</v>
      </c>
      <c r="AG578" s="6" t="s">
        <v>6568</v>
      </c>
      <c r="AH578" s="6" t="s">
        <v>6564</v>
      </c>
    </row>
    <row r="579" spans="1:34" x14ac:dyDescent="0.2">
      <c r="A579" t="s">
        <v>2924</v>
      </c>
      <c r="B579" t="s">
        <v>1188</v>
      </c>
      <c r="C579" t="s">
        <v>2871</v>
      </c>
      <c r="D579" s="7" t="s">
        <v>129</v>
      </c>
      <c r="E579" t="s">
        <v>38</v>
      </c>
      <c r="F579">
        <v>28</v>
      </c>
      <c r="G579">
        <v>72</v>
      </c>
      <c r="H579">
        <v>76</v>
      </c>
      <c r="I579" t="s">
        <v>6312</v>
      </c>
      <c r="J579">
        <v>75</v>
      </c>
      <c r="K579">
        <v>251</v>
      </c>
      <c r="L579" t="s">
        <v>4618</v>
      </c>
      <c r="M579" s="6" t="s">
        <v>6558</v>
      </c>
      <c r="N579" s="6" t="s">
        <v>6567</v>
      </c>
      <c r="O579" s="6">
        <v>81</v>
      </c>
      <c r="P579" s="6">
        <v>73</v>
      </c>
      <c r="Q579" s="6">
        <v>91</v>
      </c>
      <c r="R579" s="6">
        <v>69</v>
      </c>
      <c r="S579" s="6">
        <v>74</v>
      </c>
      <c r="T579" s="6">
        <v>72</v>
      </c>
      <c r="U579" s="6">
        <v>72</v>
      </c>
      <c r="V579" s="6">
        <v>70</v>
      </c>
      <c r="W579" s="6">
        <v>85</v>
      </c>
      <c r="X579" s="6">
        <v>74</v>
      </c>
      <c r="Y579" s="6">
        <v>78</v>
      </c>
      <c r="Z579" s="6">
        <v>77</v>
      </c>
      <c r="AA579" s="6">
        <v>72</v>
      </c>
      <c r="AB579" s="6">
        <v>73</v>
      </c>
      <c r="AC579" s="6">
        <v>68</v>
      </c>
      <c r="AD579" s="6">
        <v>72</v>
      </c>
      <c r="AE579" s="6">
        <v>73</v>
      </c>
      <c r="AF579" s="6">
        <v>73</v>
      </c>
      <c r="AG579" s="6" t="s">
        <v>6586</v>
      </c>
      <c r="AH579" s="6" t="s">
        <v>6587</v>
      </c>
    </row>
    <row r="580" spans="1:34" x14ac:dyDescent="0.2">
      <c r="A580" t="s">
        <v>2930</v>
      </c>
      <c r="B580" t="s">
        <v>1194</v>
      </c>
      <c r="C580" t="s">
        <v>2873</v>
      </c>
      <c r="D580" s="7" t="s">
        <v>129</v>
      </c>
      <c r="E580" t="s">
        <v>38</v>
      </c>
      <c r="F580">
        <v>29</v>
      </c>
      <c r="G580">
        <v>73</v>
      </c>
      <c r="H580">
        <v>76</v>
      </c>
      <c r="I580" t="s">
        <v>6317</v>
      </c>
      <c r="J580">
        <v>76</v>
      </c>
      <c r="K580">
        <v>318</v>
      </c>
      <c r="L580" t="s">
        <v>4624</v>
      </c>
      <c r="M580" s="6" t="s">
        <v>6558</v>
      </c>
      <c r="N580" s="6" t="s">
        <v>6565</v>
      </c>
      <c r="O580" s="6">
        <v>88</v>
      </c>
      <c r="P580" s="6">
        <v>86</v>
      </c>
      <c r="Q580" s="6">
        <v>79</v>
      </c>
      <c r="R580" s="6">
        <v>75</v>
      </c>
      <c r="S580" s="6">
        <v>80</v>
      </c>
      <c r="T580" s="6">
        <v>79</v>
      </c>
      <c r="U580" s="6">
        <v>86</v>
      </c>
      <c r="V580" s="6">
        <v>80</v>
      </c>
      <c r="W580" s="6">
        <v>86</v>
      </c>
      <c r="X580" s="6">
        <v>75</v>
      </c>
      <c r="Y580" s="6">
        <v>82</v>
      </c>
      <c r="Z580" s="6">
        <v>79</v>
      </c>
      <c r="AA580" s="6">
        <v>73</v>
      </c>
      <c r="AB580" s="6">
        <v>76</v>
      </c>
      <c r="AC580" s="6">
        <v>73</v>
      </c>
      <c r="AD580" s="6">
        <v>72</v>
      </c>
      <c r="AE580" s="6">
        <v>70</v>
      </c>
      <c r="AF580" s="6">
        <v>78</v>
      </c>
      <c r="AG580" s="6" t="s">
        <v>6595</v>
      </c>
      <c r="AH580" s="6" t="s">
        <v>6596</v>
      </c>
    </row>
    <row r="581" spans="1:34" x14ac:dyDescent="0.2">
      <c r="A581" t="s">
        <v>2932</v>
      </c>
      <c r="B581" t="s">
        <v>1196</v>
      </c>
      <c r="C581" t="s">
        <v>2874</v>
      </c>
      <c r="D581" s="7" t="s">
        <v>129</v>
      </c>
      <c r="E581" t="s">
        <v>58</v>
      </c>
      <c r="F581">
        <v>32</v>
      </c>
      <c r="G581">
        <v>76</v>
      </c>
      <c r="H581">
        <v>76</v>
      </c>
      <c r="I581" t="s">
        <v>6319</v>
      </c>
      <c r="J581">
        <v>76</v>
      </c>
      <c r="K581">
        <v>315</v>
      </c>
      <c r="L581" t="s">
        <v>4626</v>
      </c>
      <c r="M581" s="6" t="s">
        <v>6558</v>
      </c>
      <c r="N581" s="6" t="s">
        <v>6565</v>
      </c>
      <c r="O581" s="6">
        <v>75</v>
      </c>
      <c r="P581" s="6">
        <v>80</v>
      </c>
      <c r="Q581" s="6">
        <v>79</v>
      </c>
      <c r="R581" s="6">
        <v>71</v>
      </c>
      <c r="S581" s="6">
        <v>69</v>
      </c>
      <c r="T581" s="6">
        <v>70</v>
      </c>
      <c r="U581" s="6">
        <v>81</v>
      </c>
      <c r="V581" s="6">
        <v>75</v>
      </c>
      <c r="W581" s="6">
        <v>69</v>
      </c>
      <c r="X581" s="6">
        <v>83</v>
      </c>
      <c r="Y581" s="6">
        <v>76</v>
      </c>
      <c r="Z581" s="6">
        <v>81</v>
      </c>
      <c r="AA581" s="6">
        <v>68</v>
      </c>
      <c r="AB581" s="6">
        <v>72</v>
      </c>
      <c r="AC581" s="6">
        <v>66</v>
      </c>
      <c r="AD581" s="6">
        <v>64</v>
      </c>
      <c r="AE581" s="6">
        <v>59</v>
      </c>
      <c r="AF581" s="6">
        <v>66</v>
      </c>
      <c r="AG581" s="6" t="s">
        <v>6599</v>
      </c>
      <c r="AH581" s="6" t="s">
        <v>6600</v>
      </c>
    </row>
    <row r="582" spans="1:34" x14ac:dyDescent="0.2">
      <c r="A582" t="s">
        <v>2934</v>
      </c>
      <c r="B582" t="s">
        <v>1198</v>
      </c>
      <c r="C582" t="s">
        <v>2874</v>
      </c>
      <c r="D582" s="7" t="s">
        <v>129</v>
      </c>
      <c r="E582" t="s">
        <v>58</v>
      </c>
      <c r="F582">
        <v>31</v>
      </c>
      <c r="G582">
        <v>75</v>
      </c>
      <c r="H582">
        <v>76</v>
      </c>
      <c r="I582" t="s">
        <v>6321</v>
      </c>
      <c r="J582">
        <v>74</v>
      </c>
      <c r="K582">
        <v>335</v>
      </c>
      <c r="L582" t="s">
        <v>4628</v>
      </c>
      <c r="M582" s="6" t="s">
        <v>6558</v>
      </c>
      <c r="N582" s="6" t="s">
        <v>6567</v>
      </c>
      <c r="O582" s="6">
        <v>73</v>
      </c>
      <c r="P582" s="6">
        <v>75</v>
      </c>
      <c r="Q582" s="6">
        <v>76</v>
      </c>
      <c r="R582" s="6">
        <v>68</v>
      </c>
      <c r="S582" s="6">
        <v>78</v>
      </c>
      <c r="T582" s="6">
        <v>67</v>
      </c>
      <c r="U582" s="6">
        <v>70</v>
      </c>
      <c r="V582" s="6">
        <v>85</v>
      </c>
      <c r="W582" s="6">
        <v>89</v>
      </c>
      <c r="X582" s="6">
        <v>67</v>
      </c>
      <c r="Y582" s="6">
        <v>77</v>
      </c>
      <c r="Z582" s="6">
        <v>69</v>
      </c>
      <c r="AA582" s="6">
        <v>69</v>
      </c>
      <c r="AB582" s="6">
        <v>66</v>
      </c>
      <c r="AC582" s="6">
        <v>69</v>
      </c>
      <c r="AD582" s="6">
        <v>70</v>
      </c>
      <c r="AE582" s="6">
        <v>65</v>
      </c>
      <c r="AF582" s="6">
        <v>72</v>
      </c>
      <c r="AG582" s="6" t="s">
        <v>6602</v>
      </c>
      <c r="AH582" s="6" t="s">
        <v>6598</v>
      </c>
    </row>
    <row r="583" spans="1:34" x14ac:dyDescent="0.2">
      <c r="A583" t="s">
        <v>2963</v>
      </c>
      <c r="B583" t="s">
        <v>1227</v>
      </c>
      <c r="C583" t="s">
        <v>2886</v>
      </c>
      <c r="D583" s="7" t="s">
        <v>129</v>
      </c>
      <c r="E583" t="s">
        <v>38</v>
      </c>
      <c r="F583">
        <v>31</v>
      </c>
      <c r="G583">
        <v>72</v>
      </c>
      <c r="H583">
        <v>76</v>
      </c>
      <c r="I583" t="s">
        <v>6303</v>
      </c>
      <c r="J583">
        <v>75</v>
      </c>
      <c r="K583">
        <v>230</v>
      </c>
      <c r="L583" t="s">
        <v>4657</v>
      </c>
      <c r="M583" s="6" t="s">
        <v>6558</v>
      </c>
      <c r="N583" s="6" t="s">
        <v>6583</v>
      </c>
      <c r="O583" s="6">
        <v>80</v>
      </c>
      <c r="P583" s="6">
        <v>73</v>
      </c>
      <c r="Q583" s="6">
        <v>84</v>
      </c>
      <c r="R583" s="6">
        <v>76</v>
      </c>
      <c r="S583" s="6">
        <v>74</v>
      </c>
      <c r="T583" s="6">
        <v>73</v>
      </c>
      <c r="U583" s="6">
        <v>86</v>
      </c>
      <c r="V583" s="6">
        <v>80</v>
      </c>
      <c r="W583" s="6">
        <v>75</v>
      </c>
      <c r="X583" s="6">
        <v>70</v>
      </c>
      <c r="Y583" s="6">
        <v>85</v>
      </c>
      <c r="Z583" s="6">
        <v>82</v>
      </c>
      <c r="AA583" s="6">
        <v>74</v>
      </c>
      <c r="AB583" s="6">
        <v>71</v>
      </c>
      <c r="AC583" s="6">
        <v>77</v>
      </c>
      <c r="AD583" s="6">
        <v>76</v>
      </c>
      <c r="AE583" s="6">
        <v>70</v>
      </c>
      <c r="AF583" s="6">
        <v>64</v>
      </c>
      <c r="AG583" s="6" t="s">
        <v>6648</v>
      </c>
      <c r="AH583" s="6" t="s">
        <v>6649</v>
      </c>
    </row>
    <row r="584" spans="1:34" x14ac:dyDescent="0.2">
      <c r="A584" t="s">
        <v>2982</v>
      </c>
      <c r="B584" t="s">
        <v>1246</v>
      </c>
      <c r="C584" t="s">
        <v>2887</v>
      </c>
      <c r="D584" s="7" t="s">
        <v>146</v>
      </c>
      <c r="E584" t="s">
        <v>38</v>
      </c>
      <c r="F584">
        <v>27</v>
      </c>
      <c r="G584">
        <v>74</v>
      </c>
      <c r="H584">
        <v>76</v>
      </c>
      <c r="I584" t="s">
        <v>6319</v>
      </c>
      <c r="J584">
        <v>75</v>
      </c>
      <c r="K584">
        <v>306</v>
      </c>
      <c r="L584" t="s">
        <v>4676</v>
      </c>
      <c r="M584" s="6" t="s">
        <v>6558</v>
      </c>
      <c r="N584" s="6" t="s">
        <v>6565</v>
      </c>
      <c r="O584" s="6">
        <v>76</v>
      </c>
      <c r="P584" s="6">
        <v>74</v>
      </c>
      <c r="Q584" s="6">
        <v>81</v>
      </c>
      <c r="R584" s="6">
        <v>70</v>
      </c>
      <c r="S584" s="6">
        <v>76</v>
      </c>
      <c r="T584" s="6">
        <v>70</v>
      </c>
      <c r="U584" s="6">
        <v>78</v>
      </c>
      <c r="V584" s="6">
        <v>86</v>
      </c>
      <c r="W584" s="6">
        <v>83</v>
      </c>
      <c r="X584" s="6">
        <v>75</v>
      </c>
      <c r="Y584" s="6">
        <v>81</v>
      </c>
      <c r="Z584" s="6">
        <v>69</v>
      </c>
      <c r="AA584" s="6">
        <v>74</v>
      </c>
      <c r="AB584" s="6">
        <v>81</v>
      </c>
      <c r="AC584" s="6">
        <v>72</v>
      </c>
      <c r="AD584" s="6">
        <v>80</v>
      </c>
      <c r="AE584" s="6">
        <v>74</v>
      </c>
      <c r="AF584" s="6">
        <v>76</v>
      </c>
      <c r="AG584" s="6" t="s">
        <v>6676</v>
      </c>
      <c r="AH584" s="6" t="s">
        <v>6598</v>
      </c>
    </row>
    <row r="585" spans="1:34" x14ac:dyDescent="0.2">
      <c r="A585" t="s">
        <v>3002</v>
      </c>
      <c r="B585" t="s">
        <v>1266</v>
      </c>
      <c r="C585" t="s">
        <v>2883</v>
      </c>
      <c r="D585" s="7" t="s">
        <v>146</v>
      </c>
      <c r="E585" t="s">
        <v>58</v>
      </c>
      <c r="F585">
        <v>30</v>
      </c>
      <c r="G585">
        <v>84</v>
      </c>
      <c r="H585">
        <v>76</v>
      </c>
      <c r="I585" t="s">
        <v>6339</v>
      </c>
      <c r="J585">
        <v>71</v>
      </c>
      <c r="K585">
        <v>220</v>
      </c>
      <c r="L585" t="s">
        <v>4696</v>
      </c>
      <c r="M585" s="6" t="s">
        <v>6558</v>
      </c>
      <c r="N585" s="6" t="s">
        <v>6565</v>
      </c>
      <c r="O585" s="6">
        <v>78</v>
      </c>
      <c r="P585" s="6">
        <v>80</v>
      </c>
      <c r="Q585" s="6">
        <v>85</v>
      </c>
      <c r="R585" s="6">
        <v>75</v>
      </c>
      <c r="S585" s="6">
        <v>74</v>
      </c>
      <c r="T585" s="6">
        <v>79</v>
      </c>
      <c r="U585" s="6">
        <v>77</v>
      </c>
      <c r="V585" s="6">
        <v>82</v>
      </c>
      <c r="W585" s="6">
        <v>80</v>
      </c>
      <c r="X585" s="6">
        <v>78</v>
      </c>
      <c r="Y585" s="6">
        <v>81</v>
      </c>
      <c r="Z585" s="6">
        <v>72</v>
      </c>
      <c r="AA585" s="6">
        <v>67</v>
      </c>
      <c r="AB585" s="6">
        <v>67</v>
      </c>
      <c r="AC585" s="6">
        <v>67</v>
      </c>
      <c r="AD585" s="6">
        <v>75</v>
      </c>
      <c r="AE585" s="6">
        <v>74</v>
      </c>
      <c r="AF585" s="6">
        <v>69</v>
      </c>
      <c r="AG585" s="6" t="s">
        <v>6703</v>
      </c>
      <c r="AH585" s="6" t="s">
        <v>6640</v>
      </c>
    </row>
    <row r="586" spans="1:34" x14ac:dyDescent="0.2">
      <c r="A586" t="s">
        <v>3010</v>
      </c>
      <c r="B586" t="s">
        <v>1274</v>
      </c>
      <c r="C586" t="s">
        <v>53</v>
      </c>
      <c r="D586" s="7" t="s">
        <v>131</v>
      </c>
      <c r="E586" t="s">
        <v>38</v>
      </c>
      <c r="F586">
        <v>28</v>
      </c>
      <c r="G586">
        <v>74</v>
      </c>
      <c r="H586">
        <v>76</v>
      </c>
      <c r="I586" t="s">
        <v>6347</v>
      </c>
      <c r="J586">
        <v>74</v>
      </c>
      <c r="K586">
        <v>217</v>
      </c>
      <c r="L586" t="s">
        <v>4704</v>
      </c>
      <c r="M586" s="6" t="s">
        <v>6558</v>
      </c>
      <c r="N586" s="6" t="s">
        <v>6559</v>
      </c>
      <c r="O586" s="6">
        <v>81</v>
      </c>
      <c r="P586" s="6">
        <v>82</v>
      </c>
      <c r="Q586" s="6">
        <v>79</v>
      </c>
      <c r="R586" s="6">
        <v>82</v>
      </c>
      <c r="S586" s="6">
        <v>75</v>
      </c>
      <c r="T586" s="6">
        <v>75</v>
      </c>
      <c r="U586" s="6">
        <v>78</v>
      </c>
      <c r="V586" s="6">
        <v>88</v>
      </c>
      <c r="W586" s="6">
        <v>87</v>
      </c>
      <c r="X586" s="6">
        <v>79</v>
      </c>
      <c r="Y586" s="6">
        <v>74</v>
      </c>
      <c r="Z586" s="6">
        <v>80</v>
      </c>
      <c r="AA586" s="6">
        <v>75</v>
      </c>
      <c r="AB586" s="6">
        <v>76</v>
      </c>
      <c r="AC586" s="6">
        <v>72</v>
      </c>
      <c r="AD586" s="6">
        <v>78</v>
      </c>
      <c r="AE586" s="6">
        <v>72</v>
      </c>
      <c r="AF586" s="6">
        <v>81</v>
      </c>
      <c r="AG586" s="6" t="s">
        <v>6714</v>
      </c>
      <c r="AH586" s="6" t="s">
        <v>6715</v>
      </c>
    </row>
    <row r="587" spans="1:34" x14ac:dyDescent="0.2">
      <c r="A587" t="s">
        <v>3021</v>
      </c>
      <c r="B587" t="s">
        <v>1285</v>
      </c>
      <c r="C587" t="s">
        <v>57</v>
      </c>
      <c r="D587" s="7" t="s">
        <v>131</v>
      </c>
      <c r="E587" t="s">
        <v>58</v>
      </c>
      <c r="F587">
        <v>26</v>
      </c>
      <c r="G587">
        <v>78</v>
      </c>
      <c r="H587">
        <v>76</v>
      </c>
      <c r="I587" t="s">
        <v>6309</v>
      </c>
      <c r="J587">
        <v>74</v>
      </c>
      <c r="K587">
        <v>213</v>
      </c>
      <c r="L587" t="s">
        <v>4715</v>
      </c>
      <c r="M587" s="6" t="s">
        <v>6558</v>
      </c>
      <c r="N587" s="6" t="s">
        <v>6565</v>
      </c>
      <c r="O587" s="6">
        <v>87</v>
      </c>
      <c r="P587" s="6">
        <v>78</v>
      </c>
      <c r="Q587" s="6">
        <v>66</v>
      </c>
      <c r="R587" s="6">
        <v>72</v>
      </c>
      <c r="S587" s="6">
        <v>85</v>
      </c>
      <c r="T587" s="6">
        <v>84</v>
      </c>
      <c r="U587" s="6">
        <v>85</v>
      </c>
      <c r="V587" s="6">
        <v>84</v>
      </c>
      <c r="W587" s="6">
        <v>81</v>
      </c>
      <c r="X587" s="6">
        <v>72</v>
      </c>
      <c r="Y587" s="6">
        <v>81</v>
      </c>
      <c r="Z587" s="6">
        <v>77</v>
      </c>
      <c r="AA587" s="6">
        <v>73</v>
      </c>
      <c r="AB587" s="6">
        <v>75</v>
      </c>
      <c r="AC587" s="6">
        <v>80</v>
      </c>
      <c r="AD587" s="6">
        <v>82</v>
      </c>
      <c r="AE587" s="6">
        <v>73</v>
      </c>
      <c r="AF587" s="6">
        <v>71</v>
      </c>
      <c r="AG587" s="6" t="s">
        <v>6729</v>
      </c>
      <c r="AH587" s="6" t="s">
        <v>6730</v>
      </c>
    </row>
    <row r="588" spans="1:34" x14ac:dyDescent="0.2">
      <c r="A588" t="s">
        <v>3057</v>
      </c>
      <c r="B588" t="s">
        <v>1321</v>
      </c>
      <c r="C588" t="s">
        <v>53</v>
      </c>
      <c r="D588" s="7" t="s">
        <v>130</v>
      </c>
      <c r="E588" t="s">
        <v>58</v>
      </c>
      <c r="F588">
        <v>21</v>
      </c>
      <c r="G588">
        <v>72</v>
      </c>
      <c r="H588">
        <v>76</v>
      </c>
      <c r="I588" t="s">
        <v>6344</v>
      </c>
      <c r="J588">
        <v>74</v>
      </c>
      <c r="K588">
        <v>223</v>
      </c>
      <c r="L588" t="s">
        <v>4751</v>
      </c>
      <c r="M588" s="6" t="s">
        <v>6558</v>
      </c>
      <c r="N588" s="6" t="s">
        <v>6567</v>
      </c>
      <c r="O588" s="6">
        <v>59</v>
      </c>
      <c r="P588" s="6">
        <v>79</v>
      </c>
      <c r="Q588" s="6">
        <v>71</v>
      </c>
      <c r="R588" s="6">
        <v>68</v>
      </c>
      <c r="S588" s="6">
        <v>77</v>
      </c>
      <c r="T588" s="6">
        <v>61</v>
      </c>
      <c r="U588" s="6">
        <v>65</v>
      </c>
      <c r="V588" s="6">
        <v>67</v>
      </c>
      <c r="W588" s="6">
        <v>66</v>
      </c>
      <c r="X588" s="6">
        <v>59</v>
      </c>
      <c r="Y588" s="6">
        <v>67</v>
      </c>
      <c r="Z588" s="6">
        <v>70</v>
      </c>
      <c r="AA588" s="6">
        <v>66</v>
      </c>
      <c r="AB588" s="6">
        <v>64</v>
      </c>
      <c r="AC588" s="6">
        <v>67</v>
      </c>
      <c r="AD588" s="6">
        <v>67</v>
      </c>
      <c r="AE588" s="6">
        <v>68</v>
      </c>
      <c r="AF588" s="6">
        <v>63</v>
      </c>
      <c r="AG588" s="6" t="s">
        <v>6772</v>
      </c>
      <c r="AH588" s="6" t="s">
        <v>6651</v>
      </c>
    </row>
    <row r="589" spans="1:34" x14ac:dyDescent="0.2">
      <c r="A589" t="s">
        <v>3069</v>
      </c>
      <c r="B589" t="s">
        <v>1333</v>
      </c>
      <c r="C589" t="s">
        <v>2872</v>
      </c>
      <c r="D589" s="7" t="s">
        <v>130</v>
      </c>
      <c r="E589" t="s">
        <v>58</v>
      </c>
      <c r="F589">
        <v>33</v>
      </c>
      <c r="G589">
        <v>79</v>
      </c>
      <c r="H589">
        <v>76</v>
      </c>
      <c r="I589" t="s">
        <v>59</v>
      </c>
      <c r="J589">
        <v>78</v>
      </c>
      <c r="K589">
        <v>300</v>
      </c>
      <c r="L589" t="s">
        <v>4763</v>
      </c>
      <c r="M589" s="6" t="s">
        <v>6558</v>
      </c>
      <c r="N589" s="6" t="s">
        <v>6583</v>
      </c>
      <c r="O589" s="6">
        <v>74</v>
      </c>
      <c r="P589" s="6">
        <v>79</v>
      </c>
      <c r="Q589" s="6">
        <v>74</v>
      </c>
      <c r="R589" s="6">
        <v>77</v>
      </c>
      <c r="S589" s="6">
        <v>75</v>
      </c>
      <c r="T589" s="6">
        <v>69</v>
      </c>
      <c r="U589" s="6">
        <v>77</v>
      </c>
      <c r="V589" s="6">
        <v>78</v>
      </c>
      <c r="W589" s="6">
        <v>79</v>
      </c>
      <c r="X589" s="6">
        <v>78</v>
      </c>
      <c r="Y589" s="6">
        <v>82</v>
      </c>
      <c r="Z589" s="6">
        <v>82</v>
      </c>
      <c r="AA589" s="6">
        <v>68</v>
      </c>
      <c r="AB589" s="6">
        <v>68</v>
      </c>
      <c r="AC589" s="6">
        <v>64</v>
      </c>
      <c r="AD589" s="6">
        <v>66</v>
      </c>
      <c r="AE589" s="6">
        <v>71</v>
      </c>
      <c r="AF589" s="6">
        <v>63</v>
      </c>
      <c r="AG589" s="6" t="s">
        <v>6785</v>
      </c>
      <c r="AH589" s="6" t="s">
        <v>6593</v>
      </c>
    </row>
    <row r="590" spans="1:34" x14ac:dyDescent="0.2">
      <c r="A590" t="s">
        <v>3098</v>
      </c>
      <c r="B590" t="s">
        <v>1362</v>
      </c>
      <c r="C590" t="s">
        <v>2884</v>
      </c>
      <c r="D590" s="7" t="s">
        <v>130</v>
      </c>
      <c r="E590" t="s">
        <v>38</v>
      </c>
      <c r="F590">
        <v>29</v>
      </c>
      <c r="G590">
        <v>74</v>
      </c>
      <c r="H590">
        <v>76</v>
      </c>
      <c r="I590" t="s">
        <v>6335</v>
      </c>
      <c r="J590">
        <v>72</v>
      </c>
      <c r="K590">
        <v>206</v>
      </c>
      <c r="L590" t="s">
        <v>4792</v>
      </c>
      <c r="M590" s="6" t="s">
        <v>6558</v>
      </c>
      <c r="N590" s="6" t="s">
        <v>6583</v>
      </c>
      <c r="O590" s="6">
        <v>81</v>
      </c>
      <c r="P590" s="6">
        <v>76</v>
      </c>
      <c r="Q590" s="6">
        <v>80</v>
      </c>
      <c r="R590" s="6">
        <v>77</v>
      </c>
      <c r="S590" s="6">
        <v>76</v>
      </c>
      <c r="T590" s="6">
        <v>69</v>
      </c>
      <c r="U590" s="6">
        <v>76</v>
      </c>
      <c r="V590" s="6">
        <v>79</v>
      </c>
      <c r="W590" s="6">
        <v>73</v>
      </c>
      <c r="X590" s="6">
        <v>68</v>
      </c>
      <c r="Y590" s="6">
        <v>78</v>
      </c>
      <c r="Z590" s="6">
        <v>78</v>
      </c>
      <c r="AA590" s="6">
        <v>80</v>
      </c>
      <c r="AB590" s="6">
        <v>74</v>
      </c>
      <c r="AC590" s="6">
        <v>73</v>
      </c>
      <c r="AD590" s="6">
        <v>79</v>
      </c>
      <c r="AE590" s="6">
        <v>80</v>
      </c>
      <c r="AF590" s="6">
        <v>78</v>
      </c>
      <c r="AG590" s="6" t="s">
        <v>6817</v>
      </c>
      <c r="AH590" s="6" t="s">
        <v>6818</v>
      </c>
    </row>
    <row r="591" spans="1:34" x14ac:dyDescent="0.2">
      <c r="A591" t="s">
        <v>3107</v>
      </c>
      <c r="B591" t="s">
        <v>1371</v>
      </c>
      <c r="C591" t="s">
        <v>2870</v>
      </c>
      <c r="D591" s="7" t="s">
        <v>133</v>
      </c>
      <c r="E591" t="s">
        <v>38</v>
      </c>
      <c r="F591">
        <v>24</v>
      </c>
      <c r="G591">
        <v>74</v>
      </c>
      <c r="H591">
        <v>76</v>
      </c>
      <c r="I591" t="s">
        <v>6344</v>
      </c>
      <c r="J591">
        <v>71</v>
      </c>
      <c r="K591">
        <v>211</v>
      </c>
      <c r="L591" t="s">
        <v>4801</v>
      </c>
      <c r="M591" s="6" t="s">
        <v>6558</v>
      </c>
      <c r="N591" s="6" t="s">
        <v>6565</v>
      </c>
      <c r="O591" s="6">
        <v>68</v>
      </c>
      <c r="P591" s="6">
        <v>74</v>
      </c>
      <c r="Q591" s="6">
        <v>76</v>
      </c>
      <c r="R591" s="6">
        <v>71</v>
      </c>
      <c r="S591" s="6">
        <v>78</v>
      </c>
      <c r="T591" s="6">
        <v>67</v>
      </c>
      <c r="U591" s="6">
        <v>67</v>
      </c>
      <c r="V591" s="6">
        <v>60</v>
      </c>
      <c r="W591" s="6">
        <v>73</v>
      </c>
      <c r="X591" s="6">
        <v>78</v>
      </c>
      <c r="Y591" s="6">
        <v>78</v>
      </c>
      <c r="Z591" s="6">
        <v>72</v>
      </c>
      <c r="AA591" s="6">
        <v>71</v>
      </c>
      <c r="AB591" s="6">
        <v>70</v>
      </c>
      <c r="AC591" s="6">
        <v>62</v>
      </c>
      <c r="AD591" s="6">
        <v>74</v>
      </c>
      <c r="AE591" s="6">
        <v>71</v>
      </c>
      <c r="AF591" s="6">
        <v>73</v>
      </c>
      <c r="AG591" s="6" t="s">
        <v>6828</v>
      </c>
      <c r="AH591" s="6" t="s">
        <v>6721</v>
      </c>
    </row>
    <row r="592" spans="1:34" x14ac:dyDescent="0.2">
      <c r="A592" t="s">
        <v>3116</v>
      </c>
      <c r="B592" t="s">
        <v>1380</v>
      </c>
      <c r="C592" t="s">
        <v>2871</v>
      </c>
      <c r="D592" s="7" t="s">
        <v>133</v>
      </c>
      <c r="E592" t="s">
        <v>58</v>
      </c>
      <c r="F592">
        <v>31</v>
      </c>
      <c r="G592">
        <v>62</v>
      </c>
      <c r="H592">
        <v>76</v>
      </c>
      <c r="I592" t="s">
        <v>59</v>
      </c>
      <c r="J592">
        <v>77</v>
      </c>
      <c r="K592">
        <v>266</v>
      </c>
      <c r="L592" t="s">
        <v>4810</v>
      </c>
      <c r="M592" s="6" t="s">
        <v>6558</v>
      </c>
      <c r="N592" s="6" t="s">
        <v>6583</v>
      </c>
      <c r="O592" s="6">
        <v>62</v>
      </c>
      <c r="P592" s="6">
        <v>74</v>
      </c>
      <c r="Q592" s="6">
        <v>72</v>
      </c>
      <c r="R592" s="6">
        <v>78</v>
      </c>
      <c r="S592" s="6">
        <v>64</v>
      </c>
      <c r="T592" s="6">
        <v>68</v>
      </c>
      <c r="U592" s="6">
        <v>80</v>
      </c>
      <c r="V592" s="6">
        <v>76</v>
      </c>
      <c r="W592" s="6">
        <v>77</v>
      </c>
      <c r="X592" s="6">
        <v>67</v>
      </c>
      <c r="Y592" s="6">
        <v>79</v>
      </c>
      <c r="Z592" s="6">
        <v>70</v>
      </c>
      <c r="AA592" s="6">
        <v>71</v>
      </c>
      <c r="AB592" s="6">
        <v>69</v>
      </c>
      <c r="AC592" s="6">
        <v>66</v>
      </c>
      <c r="AD592" s="6">
        <v>64</v>
      </c>
      <c r="AE592" s="6">
        <v>59</v>
      </c>
      <c r="AF592" s="6">
        <v>62</v>
      </c>
      <c r="AG592" s="6" t="s">
        <v>6837</v>
      </c>
      <c r="AH592" s="6" t="s">
        <v>6838</v>
      </c>
    </row>
    <row r="593" spans="1:34" x14ac:dyDescent="0.2">
      <c r="A593" t="s">
        <v>3142</v>
      </c>
      <c r="B593" t="s">
        <v>1406</v>
      </c>
      <c r="C593" t="s">
        <v>61</v>
      </c>
      <c r="D593" s="7" t="s">
        <v>133</v>
      </c>
      <c r="E593" t="s">
        <v>38</v>
      </c>
      <c r="F593">
        <v>28</v>
      </c>
      <c r="G593">
        <v>86</v>
      </c>
      <c r="H593">
        <v>76</v>
      </c>
      <c r="I593" t="s">
        <v>6335</v>
      </c>
      <c r="J593">
        <v>72</v>
      </c>
      <c r="K593">
        <v>195</v>
      </c>
      <c r="L593" t="s">
        <v>4836</v>
      </c>
      <c r="M593" s="6" t="s">
        <v>6558</v>
      </c>
      <c r="N593" s="6" t="s">
        <v>6565</v>
      </c>
      <c r="O593" s="6">
        <v>88</v>
      </c>
      <c r="P593" s="6">
        <v>75</v>
      </c>
      <c r="Q593" s="6">
        <v>78</v>
      </c>
      <c r="R593" s="6">
        <v>73</v>
      </c>
      <c r="S593" s="6">
        <v>84</v>
      </c>
      <c r="T593" s="6">
        <v>70</v>
      </c>
      <c r="U593" s="6">
        <v>87</v>
      </c>
      <c r="V593" s="6">
        <v>84</v>
      </c>
      <c r="W593" s="6">
        <v>79</v>
      </c>
      <c r="X593" s="6">
        <v>82</v>
      </c>
      <c r="Y593" s="6">
        <v>84</v>
      </c>
      <c r="Z593" s="6">
        <v>77</v>
      </c>
      <c r="AA593" s="6">
        <v>78</v>
      </c>
      <c r="AB593" s="6">
        <v>72</v>
      </c>
      <c r="AC593" s="6">
        <v>76</v>
      </c>
      <c r="AD593" s="6">
        <v>83</v>
      </c>
      <c r="AE593" s="6">
        <v>79</v>
      </c>
      <c r="AF593" s="6">
        <v>83</v>
      </c>
      <c r="AG593" s="6" t="s">
        <v>6866</v>
      </c>
      <c r="AH593" s="6" t="s">
        <v>6811</v>
      </c>
    </row>
    <row r="594" spans="1:34" x14ac:dyDescent="0.2">
      <c r="A594" t="s">
        <v>3167</v>
      </c>
      <c r="B594" t="s">
        <v>1431</v>
      </c>
      <c r="C594" t="s">
        <v>2871</v>
      </c>
      <c r="D594" s="7" t="s">
        <v>134</v>
      </c>
      <c r="E594" t="s">
        <v>38</v>
      </c>
      <c r="F594">
        <v>27</v>
      </c>
      <c r="G594">
        <v>76</v>
      </c>
      <c r="H594">
        <v>76</v>
      </c>
      <c r="I594" t="s">
        <v>6358</v>
      </c>
      <c r="J594">
        <v>77</v>
      </c>
      <c r="K594">
        <v>253</v>
      </c>
      <c r="L594" t="s">
        <v>4861</v>
      </c>
      <c r="M594" s="6" t="s">
        <v>6558</v>
      </c>
      <c r="N594" s="6" t="s">
        <v>6565</v>
      </c>
      <c r="O594" s="6">
        <v>68</v>
      </c>
      <c r="P594" s="6">
        <v>81</v>
      </c>
      <c r="Q594" s="6">
        <v>79</v>
      </c>
      <c r="R594" s="6">
        <v>71</v>
      </c>
      <c r="S594" s="6">
        <v>80</v>
      </c>
      <c r="T594" s="6">
        <v>71</v>
      </c>
      <c r="U594" s="6">
        <v>71</v>
      </c>
      <c r="V594" s="6">
        <v>82</v>
      </c>
      <c r="W594" s="6">
        <v>77</v>
      </c>
      <c r="X594" s="6">
        <v>69</v>
      </c>
      <c r="Y594" s="6">
        <v>85</v>
      </c>
      <c r="Z594" s="6">
        <v>84</v>
      </c>
      <c r="AA594" s="6">
        <v>70</v>
      </c>
      <c r="AB594" s="6">
        <v>77</v>
      </c>
      <c r="AC594" s="6">
        <v>75</v>
      </c>
      <c r="AD594" s="6">
        <v>77</v>
      </c>
      <c r="AE594" s="6">
        <v>76</v>
      </c>
      <c r="AF594" s="6">
        <v>78</v>
      </c>
      <c r="AG594" s="6" t="s">
        <v>6894</v>
      </c>
      <c r="AH594" s="6" t="s">
        <v>6737</v>
      </c>
    </row>
    <row r="595" spans="1:34" x14ac:dyDescent="0.2">
      <c r="A595" t="s">
        <v>3174</v>
      </c>
      <c r="B595" t="s">
        <v>1438</v>
      </c>
      <c r="C595" t="s">
        <v>2876</v>
      </c>
      <c r="D595" s="7" t="s">
        <v>134</v>
      </c>
      <c r="E595" t="s">
        <v>38</v>
      </c>
      <c r="F595">
        <v>25</v>
      </c>
      <c r="G595">
        <v>83</v>
      </c>
      <c r="H595">
        <v>76</v>
      </c>
      <c r="I595" t="s">
        <v>6364</v>
      </c>
      <c r="J595">
        <v>74</v>
      </c>
      <c r="K595">
        <v>317</v>
      </c>
      <c r="L595" t="s">
        <v>4868</v>
      </c>
      <c r="M595" s="6" t="s">
        <v>6558</v>
      </c>
      <c r="N595" s="6" t="s">
        <v>6559</v>
      </c>
      <c r="O595" s="6">
        <v>78</v>
      </c>
      <c r="P595" s="6">
        <v>78</v>
      </c>
      <c r="Q595" s="6">
        <v>75</v>
      </c>
      <c r="R595" s="6">
        <v>85</v>
      </c>
      <c r="S595" s="6">
        <v>70</v>
      </c>
      <c r="T595" s="6">
        <v>78</v>
      </c>
      <c r="U595" s="6">
        <v>75</v>
      </c>
      <c r="V595" s="6">
        <v>75</v>
      </c>
      <c r="W595" s="6">
        <v>79</v>
      </c>
      <c r="X595" s="6">
        <v>71</v>
      </c>
      <c r="Y595" s="6">
        <v>79</v>
      </c>
      <c r="Z595" s="6">
        <v>81</v>
      </c>
      <c r="AA595" s="6">
        <v>75</v>
      </c>
      <c r="AB595" s="6">
        <v>82</v>
      </c>
      <c r="AC595" s="6">
        <v>86</v>
      </c>
      <c r="AD595" s="6">
        <v>83</v>
      </c>
      <c r="AE595" s="6">
        <v>75</v>
      </c>
      <c r="AF595" s="6">
        <v>78</v>
      </c>
      <c r="AG595" s="6" t="s">
        <v>6900</v>
      </c>
      <c r="AH595" s="6" t="s">
        <v>6598</v>
      </c>
    </row>
    <row r="596" spans="1:34" x14ac:dyDescent="0.2">
      <c r="A596" t="s">
        <v>3175</v>
      </c>
      <c r="B596" t="s">
        <v>1439</v>
      </c>
      <c r="C596" t="s">
        <v>2877</v>
      </c>
      <c r="D596" s="7" t="s">
        <v>134</v>
      </c>
      <c r="E596" t="s">
        <v>38</v>
      </c>
      <c r="F596">
        <v>25</v>
      </c>
      <c r="G596">
        <v>71</v>
      </c>
      <c r="H596">
        <v>76</v>
      </c>
      <c r="I596" t="s">
        <v>6365</v>
      </c>
      <c r="J596">
        <v>77</v>
      </c>
      <c r="K596">
        <v>305</v>
      </c>
      <c r="L596" t="s">
        <v>4869</v>
      </c>
      <c r="M596" s="6" t="s">
        <v>6558</v>
      </c>
      <c r="N596" s="6" t="s">
        <v>6565</v>
      </c>
      <c r="O596" s="6">
        <v>84</v>
      </c>
      <c r="P596" s="6">
        <v>82</v>
      </c>
      <c r="Q596" s="6">
        <v>74</v>
      </c>
      <c r="R596" s="6">
        <v>72</v>
      </c>
      <c r="S596" s="6">
        <v>67</v>
      </c>
      <c r="T596" s="6">
        <v>71</v>
      </c>
      <c r="U596" s="6">
        <v>88</v>
      </c>
      <c r="V596" s="6">
        <v>74</v>
      </c>
      <c r="W596" s="6">
        <v>67</v>
      </c>
      <c r="X596" s="6">
        <v>73</v>
      </c>
      <c r="Y596" s="6">
        <v>67</v>
      </c>
      <c r="Z596" s="6">
        <v>75</v>
      </c>
      <c r="AA596" s="6">
        <v>69</v>
      </c>
      <c r="AB596" s="6">
        <v>77</v>
      </c>
      <c r="AC596" s="6">
        <v>74</v>
      </c>
      <c r="AD596" s="6">
        <v>62</v>
      </c>
      <c r="AE596" s="6">
        <v>76</v>
      </c>
      <c r="AF596" s="6">
        <v>73</v>
      </c>
      <c r="AG596" s="6" t="s">
        <v>6901</v>
      </c>
      <c r="AH596" s="6" t="s">
        <v>6694</v>
      </c>
    </row>
    <row r="597" spans="1:34" x14ac:dyDescent="0.2">
      <c r="A597" t="s">
        <v>3190</v>
      </c>
      <c r="B597" t="s">
        <v>1454</v>
      </c>
      <c r="C597" t="s">
        <v>2881</v>
      </c>
      <c r="D597" s="7" t="s">
        <v>134</v>
      </c>
      <c r="E597" t="s">
        <v>38</v>
      </c>
      <c r="F597">
        <v>28</v>
      </c>
      <c r="G597">
        <v>72</v>
      </c>
      <c r="H597">
        <v>76</v>
      </c>
      <c r="I597" t="s">
        <v>6380</v>
      </c>
      <c r="J597">
        <v>72</v>
      </c>
      <c r="K597">
        <v>255</v>
      </c>
      <c r="L597" t="s">
        <v>4884</v>
      </c>
      <c r="M597" s="6" t="s">
        <v>6558</v>
      </c>
      <c r="N597" s="6" t="s">
        <v>6567</v>
      </c>
      <c r="O597" s="6">
        <v>65</v>
      </c>
      <c r="P597" s="6">
        <v>78</v>
      </c>
      <c r="Q597" s="6">
        <v>70</v>
      </c>
      <c r="R597" s="6">
        <v>68</v>
      </c>
      <c r="S597" s="6">
        <v>79</v>
      </c>
      <c r="T597" s="6">
        <v>61</v>
      </c>
      <c r="U597" s="6">
        <v>73</v>
      </c>
      <c r="V597" s="6">
        <v>73</v>
      </c>
      <c r="W597" s="6">
        <v>79</v>
      </c>
      <c r="X597" s="6">
        <v>71</v>
      </c>
      <c r="Y597" s="6">
        <v>71</v>
      </c>
      <c r="Z597" s="6">
        <v>79</v>
      </c>
      <c r="AA597" s="6">
        <v>63</v>
      </c>
      <c r="AB597" s="6">
        <v>72</v>
      </c>
      <c r="AC597" s="6">
        <v>72</v>
      </c>
      <c r="AD597" s="6">
        <v>66</v>
      </c>
      <c r="AE597" s="6">
        <v>71</v>
      </c>
      <c r="AF597" s="6">
        <v>79</v>
      </c>
      <c r="AG597" s="6" t="s">
        <v>6916</v>
      </c>
      <c r="AH597" s="6" t="s">
        <v>6628</v>
      </c>
    </row>
    <row r="598" spans="1:34" x14ac:dyDescent="0.2">
      <c r="A598" t="s">
        <v>3192</v>
      </c>
      <c r="B598" t="s">
        <v>1456</v>
      </c>
      <c r="C598" t="s">
        <v>61</v>
      </c>
      <c r="D598" s="7" t="s">
        <v>134</v>
      </c>
      <c r="E598" t="s">
        <v>38</v>
      </c>
      <c r="F598">
        <v>25</v>
      </c>
      <c r="G598">
        <v>70</v>
      </c>
      <c r="H598">
        <v>76</v>
      </c>
      <c r="I598" t="s">
        <v>6382</v>
      </c>
      <c r="J598">
        <v>71</v>
      </c>
      <c r="K598">
        <v>198</v>
      </c>
      <c r="L598" t="s">
        <v>4886</v>
      </c>
      <c r="M598" s="6" t="s">
        <v>6558</v>
      </c>
      <c r="N598" s="6" t="s">
        <v>6567</v>
      </c>
      <c r="O598" s="6">
        <v>73</v>
      </c>
      <c r="P598" s="6">
        <v>74</v>
      </c>
      <c r="Q598" s="6">
        <v>70</v>
      </c>
      <c r="R598" s="6">
        <v>69</v>
      </c>
      <c r="S598" s="6">
        <v>80</v>
      </c>
      <c r="T598" s="6">
        <v>67</v>
      </c>
      <c r="U598" s="6">
        <v>80</v>
      </c>
      <c r="V598" s="6">
        <v>71</v>
      </c>
      <c r="W598" s="6">
        <v>68</v>
      </c>
      <c r="X598" s="6">
        <v>75</v>
      </c>
      <c r="Y598" s="6">
        <v>77</v>
      </c>
      <c r="Z598" s="6">
        <v>75</v>
      </c>
      <c r="AA598" s="6">
        <v>69</v>
      </c>
      <c r="AB598" s="6">
        <v>65</v>
      </c>
      <c r="AC598" s="6">
        <v>67</v>
      </c>
      <c r="AD598" s="6">
        <v>74</v>
      </c>
      <c r="AE598" s="6">
        <v>68</v>
      </c>
      <c r="AF598" s="6">
        <v>76</v>
      </c>
      <c r="AG598" s="6" t="s">
        <v>6918</v>
      </c>
      <c r="AH598" s="6" t="s">
        <v>6630</v>
      </c>
    </row>
    <row r="599" spans="1:34" x14ac:dyDescent="0.2">
      <c r="A599" t="s">
        <v>3197</v>
      </c>
      <c r="B599" t="s">
        <v>1461</v>
      </c>
      <c r="C599" t="s">
        <v>2882</v>
      </c>
      <c r="D599" s="7" t="s">
        <v>134</v>
      </c>
      <c r="E599" t="s">
        <v>58</v>
      </c>
      <c r="F599">
        <v>30</v>
      </c>
      <c r="G599">
        <v>60</v>
      </c>
      <c r="H599">
        <v>76</v>
      </c>
      <c r="I599" t="s">
        <v>6387</v>
      </c>
      <c r="J599">
        <v>72</v>
      </c>
      <c r="K599">
        <v>212</v>
      </c>
      <c r="L599" t="s">
        <v>4891</v>
      </c>
      <c r="M599" s="6" t="s">
        <v>6558</v>
      </c>
      <c r="N599" s="6" t="s">
        <v>6565</v>
      </c>
      <c r="O599" s="6">
        <v>82</v>
      </c>
      <c r="P599" s="6">
        <v>79</v>
      </c>
      <c r="Q599" s="6">
        <v>67</v>
      </c>
      <c r="R599" s="6">
        <v>73</v>
      </c>
      <c r="S599" s="6">
        <v>69</v>
      </c>
      <c r="T599" s="6">
        <v>65</v>
      </c>
      <c r="U599" s="6">
        <v>70</v>
      </c>
      <c r="V599" s="6">
        <v>75</v>
      </c>
      <c r="W599" s="6">
        <v>76</v>
      </c>
      <c r="X599" s="6">
        <v>57</v>
      </c>
      <c r="Y599" s="6">
        <v>78</v>
      </c>
      <c r="Z599" s="6">
        <v>79</v>
      </c>
      <c r="AA599" s="6">
        <v>70</v>
      </c>
      <c r="AB599" s="6">
        <v>78</v>
      </c>
      <c r="AC599" s="6">
        <v>69</v>
      </c>
      <c r="AD599" s="6">
        <v>79</v>
      </c>
      <c r="AE599" s="6">
        <v>69</v>
      </c>
      <c r="AF599" s="6">
        <v>63</v>
      </c>
      <c r="AG599" s="6" t="s">
        <v>6923</v>
      </c>
      <c r="AH599" s="6" t="s">
        <v>6636</v>
      </c>
    </row>
    <row r="600" spans="1:34" x14ac:dyDescent="0.2">
      <c r="A600" t="s">
        <v>3201</v>
      </c>
      <c r="B600" t="s">
        <v>1465</v>
      </c>
      <c r="C600" t="s">
        <v>2888</v>
      </c>
      <c r="D600" s="7" t="s">
        <v>134</v>
      </c>
      <c r="E600" t="s">
        <v>38</v>
      </c>
      <c r="F600">
        <v>25</v>
      </c>
      <c r="G600">
        <v>59</v>
      </c>
      <c r="H600">
        <v>76</v>
      </c>
      <c r="I600" t="s">
        <v>6391</v>
      </c>
      <c r="J600">
        <v>71</v>
      </c>
      <c r="K600">
        <v>213</v>
      </c>
      <c r="L600" t="s">
        <v>4895</v>
      </c>
      <c r="M600" s="6" t="s">
        <v>6558</v>
      </c>
      <c r="N600" s="6" t="s">
        <v>6565</v>
      </c>
      <c r="O600" s="6">
        <v>66</v>
      </c>
      <c r="P600" s="6">
        <v>73</v>
      </c>
      <c r="Q600" s="6">
        <v>68</v>
      </c>
      <c r="R600" s="6">
        <v>72</v>
      </c>
      <c r="S600" s="6">
        <v>72</v>
      </c>
      <c r="T600" s="6">
        <v>77</v>
      </c>
      <c r="U600" s="6">
        <v>71</v>
      </c>
      <c r="V600" s="6">
        <v>69</v>
      </c>
      <c r="W600" s="6">
        <v>66</v>
      </c>
      <c r="X600" s="6">
        <v>69</v>
      </c>
      <c r="Y600" s="6">
        <v>77</v>
      </c>
      <c r="Z600" s="6">
        <v>71</v>
      </c>
      <c r="AA600" s="6">
        <v>71</v>
      </c>
      <c r="AB600" s="6">
        <v>72</v>
      </c>
      <c r="AC600" s="6">
        <v>64</v>
      </c>
      <c r="AD600" s="6">
        <v>71</v>
      </c>
      <c r="AE600" s="6">
        <v>66</v>
      </c>
      <c r="AF600" s="6">
        <v>73</v>
      </c>
      <c r="AG600" s="6" t="s">
        <v>6927</v>
      </c>
      <c r="AH600" s="6" t="s">
        <v>6707</v>
      </c>
    </row>
    <row r="601" spans="1:34" x14ac:dyDescent="0.2">
      <c r="A601" t="s">
        <v>3250</v>
      </c>
      <c r="B601" t="s">
        <v>1514</v>
      </c>
      <c r="C601" t="s">
        <v>2888</v>
      </c>
      <c r="D601" s="7" t="s">
        <v>132</v>
      </c>
      <c r="E601" t="s">
        <v>38</v>
      </c>
      <c r="F601">
        <v>35</v>
      </c>
      <c r="G601">
        <v>76</v>
      </c>
      <c r="H601">
        <v>76</v>
      </c>
      <c r="I601" t="s">
        <v>6439</v>
      </c>
      <c r="J601">
        <v>68</v>
      </c>
      <c r="K601">
        <v>214</v>
      </c>
      <c r="L601" t="s">
        <v>4944</v>
      </c>
      <c r="M601" s="6" t="s">
        <v>6558</v>
      </c>
      <c r="N601" s="6" t="s">
        <v>6562</v>
      </c>
      <c r="O601" s="6">
        <v>89</v>
      </c>
      <c r="P601" s="6">
        <v>81</v>
      </c>
      <c r="Q601" s="6">
        <v>75</v>
      </c>
      <c r="R601" s="6">
        <v>85</v>
      </c>
      <c r="S601" s="6">
        <v>78</v>
      </c>
      <c r="T601" s="6">
        <v>77</v>
      </c>
      <c r="U601" s="6">
        <v>78</v>
      </c>
      <c r="V601" s="6">
        <v>84</v>
      </c>
      <c r="W601" s="6">
        <v>84</v>
      </c>
      <c r="X601" s="6">
        <v>75</v>
      </c>
      <c r="Y601" s="6">
        <v>87</v>
      </c>
      <c r="Z601" s="6">
        <v>86</v>
      </c>
      <c r="AA601" s="6">
        <v>75</v>
      </c>
      <c r="AB601" s="6">
        <v>75</v>
      </c>
      <c r="AC601" s="6">
        <v>72</v>
      </c>
      <c r="AD601" s="6">
        <v>78</v>
      </c>
      <c r="AE601" s="6">
        <v>69</v>
      </c>
      <c r="AF601" s="6">
        <v>71</v>
      </c>
      <c r="AG601" s="6" t="s">
        <v>6978</v>
      </c>
      <c r="AH601" s="6" t="s">
        <v>6762</v>
      </c>
    </row>
    <row r="602" spans="1:34" x14ac:dyDescent="0.2">
      <c r="A602" t="s">
        <v>3252</v>
      </c>
      <c r="B602" t="s">
        <v>1516</v>
      </c>
      <c r="C602" t="s">
        <v>2889</v>
      </c>
      <c r="D602" s="7" t="s">
        <v>132</v>
      </c>
      <c r="E602" t="s">
        <v>38</v>
      </c>
      <c r="F602">
        <v>28</v>
      </c>
      <c r="G602">
        <v>76</v>
      </c>
      <c r="H602">
        <v>76</v>
      </c>
      <c r="I602" t="s">
        <v>6441</v>
      </c>
      <c r="J602">
        <v>77</v>
      </c>
      <c r="K602">
        <v>250</v>
      </c>
      <c r="L602" t="s">
        <v>4946</v>
      </c>
      <c r="M602" s="6" t="s">
        <v>6558</v>
      </c>
      <c r="N602" s="6" t="s">
        <v>6583</v>
      </c>
      <c r="O602" s="6">
        <v>82</v>
      </c>
      <c r="P602" s="6">
        <v>74</v>
      </c>
      <c r="Q602" s="6">
        <v>73</v>
      </c>
      <c r="R602" s="6">
        <v>77</v>
      </c>
      <c r="S602" s="6">
        <v>66</v>
      </c>
      <c r="T602" s="6">
        <v>71</v>
      </c>
      <c r="U602" s="6">
        <v>78</v>
      </c>
      <c r="V602" s="6">
        <v>74</v>
      </c>
      <c r="W602" s="6">
        <v>72</v>
      </c>
      <c r="X602" s="6">
        <v>76</v>
      </c>
      <c r="Y602" s="6">
        <v>79</v>
      </c>
      <c r="Z602" s="6">
        <v>75</v>
      </c>
      <c r="AA602" s="6">
        <v>69</v>
      </c>
      <c r="AB602" s="6">
        <v>74</v>
      </c>
      <c r="AC602" s="6">
        <v>63</v>
      </c>
      <c r="AD602" s="6">
        <v>70</v>
      </c>
      <c r="AE602" s="6">
        <v>71</v>
      </c>
      <c r="AF602" s="6">
        <v>76</v>
      </c>
      <c r="AG602" s="6" t="s">
        <v>6981</v>
      </c>
      <c r="AH602" s="6" t="s">
        <v>6709</v>
      </c>
    </row>
    <row r="603" spans="1:34" x14ac:dyDescent="0.2">
      <c r="A603" t="s">
        <v>3303</v>
      </c>
      <c r="B603" t="s">
        <v>1567</v>
      </c>
      <c r="C603" t="s">
        <v>2890</v>
      </c>
      <c r="D603" s="7" t="s">
        <v>136</v>
      </c>
      <c r="E603" t="s">
        <v>58</v>
      </c>
      <c r="F603">
        <v>23</v>
      </c>
      <c r="G603">
        <v>65</v>
      </c>
      <c r="H603">
        <v>76</v>
      </c>
      <c r="I603" t="s">
        <v>6327</v>
      </c>
      <c r="J603">
        <v>70</v>
      </c>
      <c r="K603">
        <v>199</v>
      </c>
      <c r="L603" t="s">
        <v>4997</v>
      </c>
      <c r="M603" s="6" t="s">
        <v>6558</v>
      </c>
      <c r="N603" s="6" t="s">
        <v>6567</v>
      </c>
      <c r="O603" s="6">
        <v>66</v>
      </c>
      <c r="P603" s="6">
        <v>71</v>
      </c>
      <c r="Q603" s="6">
        <v>70</v>
      </c>
      <c r="R603" s="6">
        <v>69</v>
      </c>
      <c r="S603" s="6">
        <v>66</v>
      </c>
      <c r="T603" s="6">
        <v>67</v>
      </c>
      <c r="U603" s="6">
        <v>65</v>
      </c>
      <c r="V603" s="6">
        <v>63</v>
      </c>
      <c r="W603" s="6">
        <v>55</v>
      </c>
      <c r="X603" s="6">
        <v>71</v>
      </c>
      <c r="Y603" s="6">
        <v>73</v>
      </c>
      <c r="Z603" s="6">
        <v>75</v>
      </c>
      <c r="AA603" s="6">
        <v>72</v>
      </c>
      <c r="AB603" s="6">
        <v>70</v>
      </c>
      <c r="AC603" s="6">
        <v>64</v>
      </c>
      <c r="AD603" s="6">
        <v>72</v>
      </c>
      <c r="AE603" s="6">
        <v>69</v>
      </c>
      <c r="AF603" s="6">
        <v>68</v>
      </c>
      <c r="AG603" s="6" t="s">
        <v>7035</v>
      </c>
      <c r="AH603" s="6" t="s">
        <v>6630</v>
      </c>
    </row>
    <row r="604" spans="1:34" x14ac:dyDescent="0.2">
      <c r="A604" t="s">
        <v>3304</v>
      </c>
      <c r="B604" t="s">
        <v>1568</v>
      </c>
      <c r="C604" t="s">
        <v>2891</v>
      </c>
      <c r="D604" s="7" t="s">
        <v>136</v>
      </c>
      <c r="E604" t="s">
        <v>58</v>
      </c>
      <c r="F604">
        <v>30</v>
      </c>
      <c r="G604">
        <v>83</v>
      </c>
      <c r="H604">
        <v>76</v>
      </c>
      <c r="I604" t="s">
        <v>6324</v>
      </c>
      <c r="J604">
        <v>73</v>
      </c>
      <c r="K604">
        <v>240</v>
      </c>
      <c r="L604" t="s">
        <v>4998</v>
      </c>
      <c r="M604" s="6" t="s">
        <v>6558</v>
      </c>
      <c r="N604" s="6" t="s">
        <v>6565</v>
      </c>
      <c r="O604" s="6">
        <v>74</v>
      </c>
      <c r="P604" s="6">
        <v>82</v>
      </c>
      <c r="Q604" s="6">
        <v>89</v>
      </c>
      <c r="R604" s="6">
        <v>72</v>
      </c>
      <c r="S604" s="6">
        <v>90</v>
      </c>
      <c r="T604" s="6">
        <v>83</v>
      </c>
      <c r="U604" s="6">
        <v>81</v>
      </c>
      <c r="V604" s="6">
        <v>80</v>
      </c>
      <c r="W604" s="6">
        <v>80</v>
      </c>
      <c r="X604" s="6">
        <v>79</v>
      </c>
      <c r="Y604" s="6">
        <v>82</v>
      </c>
      <c r="Z604" s="6">
        <v>83</v>
      </c>
      <c r="AA604" s="6">
        <v>71</v>
      </c>
      <c r="AB604" s="6">
        <v>72</v>
      </c>
      <c r="AC604" s="6">
        <v>72</v>
      </c>
      <c r="AD604" s="6">
        <v>91</v>
      </c>
      <c r="AE604" s="6">
        <v>79</v>
      </c>
      <c r="AF604" s="6">
        <v>79</v>
      </c>
      <c r="AG604" s="6" t="s">
        <v>7036</v>
      </c>
      <c r="AH604" s="6" t="s">
        <v>6824</v>
      </c>
    </row>
    <row r="605" spans="1:34" x14ac:dyDescent="0.2">
      <c r="A605" t="s">
        <v>3310</v>
      </c>
      <c r="B605" t="s">
        <v>1574</v>
      </c>
      <c r="C605" t="s">
        <v>2870</v>
      </c>
      <c r="D605" s="7" t="s">
        <v>137</v>
      </c>
      <c r="E605" t="s">
        <v>38</v>
      </c>
      <c r="F605">
        <v>22</v>
      </c>
      <c r="G605">
        <v>77</v>
      </c>
      <c r="H605">
        <v>76</v>
      </c>
      <c r="I605" t="s">
        <v>6316</v>
      </c>
      <c r="J605">
        <v>71</v>
      </c>
      <c r="K605">
        <v>229</v>
      </c>
      <c r="L605" t="s">
        <v>5004</v>
      </c>
      <c r="M605" s="6" t="s">
        <v>6558</v>
      </c>
      <c r="N605" s="6" t="s">
        <v>6583</v>
      </c>
      <c r="O605" s="6">
        <v>70</v>
      </c>
      <c r="P605" s="6">
        <v>68</v>
      </c>
      <c r="Q605" s="6">
        <v>88</v>
      </c>
      <c r="R605" s="6">
        <v>80</v>
      </c>
      <c r="S605" s="6">
        <v>78</v>
      </c>
      <c r="T605" s="6">
        <v>69</v>
      </c>
      <c r="U605" s="6">
        <v>76</v>
      </c>
      <c r="V605" s="6">
        <v>81</v>
      </c>
      <c r="W605" s="6">
        <v>82</v>
      </c>
      <c r="X605" s="6">
        <v>78</v>
      </c>
      <c r="Y605" s="6">
        <v>73</v>
      </c>
      <c r="Z605" s="6">
        <v>72</v>
      </c>
      <c r="AA605" s="6">
        <v>76</v>
      </c>
      <c r="AB605" s="6">
        <v>80</v>
      </c>
      <c r="AC605" s="6">
        <v>72</v>
      </c>
      <c r="AD605" s="6">
        <v>74</v>
      </c>
      <c r="AE605" s="6">
        <v>69</v>
      </c>
      <c r="AF605" s="6">
        <v>74</v>
      </c>
      <c r="AG605" s="6" t="s">
        <v>7043</v>
      </c>
      <c r="AH605" s="6" t="s">
        <v>6656</v>
      </c>
    </row>
    <row r="606" spans="1:34" x14ac:dyDescent="0.2">
      <c r="A606" t="s">
        <v>3316</v>
      </c>
      <c r="B606" t="s">
        <v>1580</v>
      </c>
      <c r="C606" t="s">
        <v>57</v>
      </c>
      <c r="D606" s="7" t="s">
        <v>137</v>
      </c>
      <c r="E606" t="s">
        <v>58</v>
      </c>
      <c r="F606">
        <v>27</v>
      </c>
      <c r="G606">
        <v>78</v>
      </c>
      <c r="H606">
        <v>76</v>
      </c>
      <c r="I606" t="s">
        <v>6302</v>
      </c>
      <c r="J606">
        <v>72</v>
      </c>
      <c r="K606">
        <v>211</v>
      </c>
      <c r="L606" t="s">
        <v>5010</v>
      </c>
      <c r="M606" s="6" t="s">
        <v>6558</v>
      </c>
      <c r="N606" s="6" t="s">
        <v>6565</v>
      </c>
      <c r="O606" s="6">
        <v>87</v>
      </c>
      <c r="P606" s="6">
        <v>75</v>
      </c>
      <c r="Q606" s="6">
        <v>76</v>
      </c>
      <c r="R606" s="6">
        <v>73</v>
      </c>
      <c r="S606" s="6">
        <v>75</v>
      </c>
      <c r="T606" s="6">
        <v>66</v>
      </c>
      <c r="U606" s="6">
        <v>69</v>
      </c>
      <c r="V606" s="6">
        <v>78</v>
      </c>
      <c r="W606" s="6">
        <v>70</v>
      </c>
      <c r="X606" s="6">
        <v>74</v>
      </c>
      <c r="Y606" s="6">
        <v>77</v>
      </c>
      <c r="Z606" s="6">
        <v>78</v>
      </c>
      <c r="AA606" s="6">
        <v>70</v>
      </c>
      <c r="AB606" s="6">
        <v>73</v>
      </c>
      <c r="AC606" s="6">
        <v>77</v>
      </c>
      <c r="AD606" s="6">
        <v>77</v>
      </c>
      <c r="AE606" s="6">
        <v>73</v>
      </c>
      <c r="AF606" s="6">
        <v>78</v>
      </c>
      <c r="AG606" s="6" t="s">
        <v>7050</v>
      </c>
      <c r="AH606" s="6" t="s">
        <v>6574</v>
      </c>
    </row>
    <row r="607" spans="1:34" x14ac:dyDescent="0.2">
      <c r="A607" t="s">
        <v>3347</v>
      </c>
      <c r="B607" t="s">
        <v>1611</v>
      </c>
      <c r="C607" t="s">
        <v>61</v>
      </c>
      <c r="D607" s="7" t="s">
        <v>137</v>
      </c>
      <c r="E607" t="s">
        <v>38</v>
      </c>
      <c r="F607">
        <v>28</v>
      </c>
      <c r="G607">
        <v>73</v>
      </c>
      <c r="H607">
        <v>76</v>
      </c>
      <c r="I607" t="s">
        <v>6356</v>
      </c>
      <c r="J607">
        <v>71</v>
      </c>
      <c r="K607">
        <v>210</v>
      </c>
      <c r="L607" t="s">
        <v>5041</v>
      </c>
      <c r="M607" s="6" t="s">
        <v>6558</v>
      </c>
      <c r="N607" s="6" t="s">
        <v>6567</v>
      </c>
      <c r="O607" s="6">
        <v>75</v>
      </c>
      <c r="P607" s="6">
        <v>73</v>
      </c>
      <c r="Q607" s="6">
        <v>73</v>
      </c>
      <c r="R607" s="6">
        <v>67</v>
      </c>
      <c r="S607" s="6">
        <v>79</v>
      </c>
      <c r="T607" s="6">
        <v>74</v>
      </c>
      <c r="U607" s="6">
        <v>85</v>
      </c>
      <c r="V607" s="6">
        <v>72</v>
      </c>
      <c r="W607" s="6">
        <v>80</v>
      </c>
      <c r="X607" s="6">
        <v>75</v>
      </c>
      <c r="Y607" s="6">
        <v>75</v>
      </c>
      <c r="Z607" s="6">
        <v>81</v>
      </c>
      <c r="AA607" s="6">
        <v>76</v>
      </c>
      <c r="AB607" s="6">
        <v>77</v>
      </c>
      <c r="AC607" s="6">
        <v>72</v>
      </c>
      <c r="AD607" s="6">
        <v>78</v>
      </c>
      <c r="AE607" s="6">
        <v>75</v>
      </c>
      <c r="AF607" s="6">
        <v>72</v>
      </c>
      <c r="AG607" s="6" t="s">
        <v>7080</v>
      </c>
      <c r="AH607" s="6" t="s">
        <v>6632</v>
      </c>
    </row>
    <row r="608" spans="1:34" x14ac:dyDescent="0.2">
      <c r="A608" t="s">
        <v>3348</v>
      </c>
      <c r="B608" t="s">
        <v>1612</v>
      </c>
      <c r="C608" t="s">
        <v>61</v>
      </c>
      <c r="D608" s="7" t="s">
        <v>137</v>
      </c>
      <c r="E608" t="s">
        <v>38</v>
      </c>
      <c r="F608">
        <v>27</v>
      </c>
      <c r="G608">
        <v>67</v>
      </c>
      <c r="H608">
        <v>76</v>
      </c>
      <c r="I608" t="s">
        <v>6326</v>
      </c>
      <c r="J608">
        <v>68</v>
      </c>
      <c r="K608">
        <v>204</v>
      </c>
      <c r="L608" t="s">
        <v>5042</v>
      </c>
      <c r="M608" s="6" t="s">
        <v>6558</v>
      </c>
      <c r="N608" s="6" t="s">
        <v>6567</v>
      </c>
      <c r="O608" s="6">
        <v>68</v>
      </c>
      <c r="P608" s="6">
        <v>70</v>
      </c>
      <c r="Q608" s="6">
        <v>74</v>
      </c>
      <c r="R608" s="6">
        <v>63</v>
      </c>
      <c r="S608" s="6">
        <v>77</v>
      </c>
      <c r="T608" s="6">
        <v>77</v>
      </c>
      <c r="U608" s="6">
        <v>75</v>
      </c>
      <c r="V608" s="6">
        <v>73</v>
      </c>
      <c r="W608" s="6">
        <v>78</v>
      </c>
      <c r="X608" s="6">
        <v>74</v>
      </c>
      <c r="Y608" s="6">
        <v>72</v>
      </c>
      <c r="Z608" s="6">
        <v>75</v>
      </c>
      <c r="AA608" s="6">
        <v>73</v>
      </c>
      <c r="AB608" s="6">
        <v>73</v>
      </c>
      <c r="AC608" s="6">
        <v>73</v>
      </c>
      <c r="AD608" s="6">
        <v>76</v>
      </c>
      <c r="AE608" s="6">
        <v>69</v>
      </c>
      <c r="AF608" s="6">
        <v>65</v>
      </c>
      <c r="AG608" s="6" t="s">
        <v>7081</v>
      </c>
      <c r="AH608" s="6" t="s">
        <v>7082</v>
      </c>
    </row>
    <row r="609" spans="1:34" x14ac:dyDescent="0.2">
      <c r="A609" t="s">
        <v>3365</v>
      </c>
      <c r="B609" t="s">
        <v>1629</v>
      </c>
      <c r="C609" t="s">
        <v>2870</v>
      </c>
      <c r="D609" s="7" t="s">
        <v>138</v>
      </c>
      <c r="E609" t="s">
        <v>58</v>
      </c>
      <c r="F609">
        <v>27</v>
      </c>
      <c r="G609">
        <v>68</v>
      </c>
      <c r="H609">
        <v>76</v>
      </c>
      <c r="I609" t="s">
        <v>6372</v>
      </c>
      <c r="J609">
        <v>73</v>
      </c>
      <c r="K609">
        <v>218</v>
      </c>
      <c r="L609" t="s">
        <v>5059</v>
      </c>
      <c r="M609" s="6" t="s">
        <v>6558</v>
      </c>
      <c r="N609" s="6" t="s">
        <v>6567</v>
      </c>
      <c r="O609" s="6">
        <v>75</v>
      </c>
      <c r="P609" s="6">
        <v>74</v>
      </c>
      <c r="Q609" s="6">
        <v>76</v>
      </c>
      <c r="R609" s="6">
        <v>64</v>
      </c>
      <c r="S609" s="6">
        <v>62</v>
      </c>
      <c r="T609" s="6">
        <v>77</v>
      </c>
      <c r="U609" s="6">
        <v>74</v>
      </c>
      <c r="V609" s="6">
        <v>62</v>
      </c>
      <c r="W609" s="6">
        <v>65</v>
      </c>
      <c r="X609" s="6">
        <v>79</v>
      </c>
      <c r="Y609" s="6">
        <v>71</v>
      </c>
      <c r="Z609" s="6">
        <v>81</v>
      </c>
      <c r="AA609" s="6">
        <v>69</v>
      </c>
      <c r="AB609" s="6">
        <v>66</v>
      </c>
      <c r="AC609" s="6">
        <v>58</v>
      </c>
      <c r="AD609" s="6">
        <v>77</v>
      </c>
      <c r="AE609" s="6">
        <v>66</v>
      </c>
      <c r="AF609" s="6">
        <v>71</v>
      </c>
      <c r="AG609" s="6" t="s">
        <v>7100</v>
      </c>
      <c r="AH609" s="6" t="s">
        <v>6721</v>
      </c>
    </row>
    <row r="610" spans="1:34" x14ac:dyDescent="0.2">
      <c r="A610" t="s">
        <v>3382</v>
      </c>
      <c r="B610" t="s">
        <v>1646</v>
      </c>
      <c r="C610" t="s">
        <v>2876</v>
      </c>
      <c r="D610" s="7" t="s">
        <v>138</v>
      </c>
      <c r="E610" t="s">
        <v>38</v>
      </c>
      <c r="F610">
        <v>24</v>
      </c>
      <c r="G610">
        <v>76</v>
      </c>
      <c r="H610">
        <v>76</v>
      </c>
      <c r="I610" t="s">
        <v>6389</v>
      </c>
      <c r="J610">
        <v>78</v>
      </c>
      <c r="K610">
        <v>316</v>
      </c>
      <c r="L610" t="s">
        <v>5076</v>
      </c>
      <c r="M610" s="6" t="s">
        <v>6558</v>
      </c>
      <c r="N610" s="6" t="s">
        <v>6567</v>
      </c>
      <c r="O610" s="6">
        <v>75</v>
      </c>
      <c r="P610" s="6">
        <v>77</v>
      </c>
      <c r="Q610" s="6">
        <v>72</v>
      </c>
      <c r="R610" s="6">
        <v>69</v>
      </c>
      <c r="S610" s="6">
        <v>84</v>
      </c>
      <c r="T610" s="6">
        <v>72</v>
      </c>
      <c r="U610" s="6">
        <v>85</v>
      </c>
      <c r="V610" s="6">
        <v>83</v>
      </c>
      <c r="W610" s="6">
        <v>79</v>
      </c>
      <c r="X610" s="6">
        <v>82</v>
      </c>
      <c r="Y610" s="6">
        <v>66</v>
      </c>
      <c r="Z610" s="6">
        <v>73</v>
      </c>
      <c r="AA610" s="6">
        <v>78</v>
      </c>
      <c r="AB610" s="6">
        <v>80</v>
      </c>
      <c r="AC610" s="6">
        <v>73</v>
      </c>
      <c r="AD610" s="6">
        <v>72</v>
      </c>
      <c r="AE610" s="6">
        <v>69</v>
      </c>
      <c r="AF610" s="6">
        <v>76</v>
      </c>
      <c r="AG610" s="6" t="s">
        <v>7117</v>
      </c>
      <c r="AH610" s="6" t="s">
        <v>6598</v>
      </c>
    </row>
    <row r="611" spans="1:34" x14ac:dyDescent="0.2">
      <c r="A611" t="s">
        <v>3388</v>
      </c>
      <c r="B611" t="s">
        <v>1652</v>
      </c>
      <c r="C611" t="s">
        <v>2878</v>
      </c>
      <c r="D611" s="7" t="s">
        <v>138</v>
      </c>
      <c r="E611" t="s">
        <v>58</v>
      </c>
      <c r="F611">
        <v>32</v>
      </c>
      <c r="G611">
        <v>68</v>
      </c>
      <c r="H611">
        <v>76</v>
      </c>
      <c r="I611" t="s">
        <v>6395</v>
      </c>
      <c r="J611">
        <v>75</v>
      </c>
      <c r="K611">
        <v>289</v>
      </c>
      <c r="L611" t="s">
        <v>5082</v>
      </c>
      <c r="M611" s="6" t="s">
        <v>6558</v>
      </c>
      <c r="N611" s="6" t="s">
        <v>6567</v>
      </c>
      <c r="O611" s="6">
        <v>70</v>
      </c>
      <c r="P611" s="6">
        <v>75</v>
      </c>
      <c r="Q611" s="6">
        <v>75</v>
      </c>
      <c r="R611" s="6">
        <v>63</v>
      </c>
      <c r="S611" s="6">
        <v>73</v>
      </c>
      <c r="T611" s="6">
        <v>74</v>
      </c>
      <c r="U611" s="6">
        <v>97</v>
      </c>
      <c r="V611" s="6">
        <v>82</v>
      </c>
      <c r="W611" s="6">
        <v>79</v>
      </c>
      <c r="X611" s="6">
        <v>71</v>
      </c>
      <c r="Y611" s="6">
        <v>80</v>
      </c>
      <c r="Z611" s="6">
        <v>76</v>
      </c>
      <c r="AA611" s="6">
        <v>65</v>
      </c>
      <c r="AB611" s="6">
        <v>64</v>
      </c>
      <c r="AC611" s="6">
        <v>64</v>
      </c>
      <c r="AD611" s="6">
        <v>66</v>
      </c>
      <c r="AE611" s="6">
        <v>69</v>
      </c>
      <c r="AF611" s="6">
        <v>72</v>
      </c>
      <c r="AG611" s="6" t="s">
        <v>7123</v>
      </c>
      <c r="AH611" s="6" t="s">
        <v>6686</v>
      </c>
    </row>
    <row r="612" spans="1:34" x14ac:dyDescent="0.2">
      <c r="A612" t="s">
        <v>3416</v>
      </c>
      <c r="B612" t="s">
        <v>1680</v>
      </c>
      <c r="C612" t="s">
        <v>53</v>
      </c>
      <c r="D612" s="7" t="s">
        <v>139</v>
      </c>
      <c r="E612" t="s">
        <v>58</v>
      </c>
      <c r="F612">
        <v>31</v>
      </c>
      <c r="G612">
        <v>69</v>
      </c>
      <c r="H612">
        <v>76</v>
      </c>
      <c r="I612" t="s">
        <v>6427</v>
      </c>
      <c r="J612">
        <v>76</v>
      </c>
      <c r="K612">
        <v>218</v>
      </c>
      <c r="L612" t="s">
        <v>5110</v>
      </c>
      <c r="M612" s="6" t="s">
        <v>6558</v>
      </c>
      <c r="N612" s="6" t="s">
        <v>6565</v>
      </c>
      <c r="O612" s="6">
        <v>80</v>
      </c>
      <c r="P612" s="6">
        <v>69</v>
      </c>
      <c r="Q612" s="6">
        <v>67</v>
      </c>
      <c r="R612" s="6">
        <v>73</v>
      </c>
      <c r="S612" s="6">
        <v>73</v>
      </c>
      <c r="T612" s="6">
        <v>72</v>
      </c>
      <c r="U612" s="6">
        <v>70</v>
      </c>
      <c r="V612" s="6">
        <v>59</v>
      </c>
      <c r="W612" s="6">
        <v>76</v>
      </c>
      <c r="X612" s="6">
        <v>72</v>
      </c>
      <c r="Y612" s="6">
        <v>75</v>
      </c>
      <c r="Z612" s="6">
        <v>71</v>
      </c>
      <c r="AA612" s="6">
        <v>64</v>
      </c>
      <c r="AB612" s="6">
        <v>67</v>
      </c>
      <c r="AC612" s="6">
        <v>59</v>
      </c>
      <c r="AD612" s="6">
        <v>66</v>
      </c>
      <c r="AE612" s="6">
        <v>60</v>
      </c>
      <c r="AF612" s="6">
        <v>60</v>
      </c>
      <c r="AG612" s="6" t="s">
        <v>7151</v>
      </c>
      <c r="AH612" s="6" t="s">
        <v>6651</v>
      </c>
    </row>
    <row r="613" spans="1:34" x14ac:dyDescent="0.2">
      <c r="A613" t="s">
        <v>3421</v>
      </c>
      <c r="B613" t="s">
        <v>1685</v>
      </c>
      <c r="C613" t="s">
        <v>2870</v>
      </c>
      <c r="D613" s="7" t="s">
        <v>139</v>
      </c>
      <c r="E613" t="s">
        <v>38</v>
      </c>
      <c r="F613">
        <v>26</v>
      </c>
      <c r="G613">
        <v>59</v>
      </c>
      <c r="H613">
        <v>76</v>
      </c>
      <c r="I613" t="s">
        <v>6432</v>
      </c>
      <c r="J613">
        <v>71</v>
      </c>
      <c r="K613">
        <v>207</v>
      </c>
      <c r="L613" t="s">
        <v>5115</v>
      </c>
      <c r="M613" s="6" t="s">
        <v>6558</v>
      </c>
      <c r="N613" s="6" t="s">
        <v>6614</v>
      </c>
      <c r="O613" s="6">
        <v>61</v>
      </c>
      <c r="P613" s="6">
        <v>56</v>
      </c>
      <c r="Q613" s="6">
        <v>72</v>
      </c>
      <c r="R613" s="6">
        <v>57</v>
      </c>
      <c r="S613" s="6">
        <v>70</v>
      </c>
      <c r="T613" s="6">
        <v>68</v>
      </c>
      <c r="U613" s="6">
        <v>63</v>
      </c>
      <c r="V613" s="6">
        <v>67</v>
      </c>
      <c r="W613" s="6">
        <v>68</v>
      </c>
      <c r="X613" s="6">
        <v>61</v>
      </c>
      <c r="Y613" s="6">
        <v>78</v>
      </c>
      <c r="Z613" s="6">
        <v>68</v>
      </c>
      <c r="AA613" s="6">
        <v>71</v>
      </c>
      <c r="AB613" s="6">
        <v>66</v>
      </c>
      <c r="AC613" s="6">
        <v>58</v>
      </c>
      <c r="AD613" s="6">
        <v>68</v>
      </c>
      <c r="AE613" s="6">
        <v>68</v>
      </c>
      <c r="AF613" s="6">
        <v>71</v>
      </c>
      <c r="AG613" s="6" t="s">
        <v>7156</v>
      </c>
      <c r="AH613" s="6" t="s">
        <v>6656</v>
      </c>
    </row>
    <row r="614" spans="1:34" x14ac:dyDescent="0.2">
      <c r="A614" t="s">
        <v>3425</v>
      </c>
      <c r="B614" t="s">
        <v>1689</v>
      </c>
      <c r="C614" t="s">
        <v>57</v>
      </c>
      <c r="D614" s="7" t="s">
        <v>139</v>
      </c>
      <c r="E614" t="s">
        <v>38</v>
      </c>
      <c r="F614">
        <v>24</v>
      </c>
      <c r="G614">
        <v>68</v>
      </c>
      <c r="H614">
        <v>76</v>
      </c>
      <c r="I614" t="s">
        <v>6437</v>
      </c>
      <c r="J614">
        <v>71</v>
      </c>
      <c r="K614">
        <v>200</v>
      </c>
      <c r="L614" t="s">
        <v>5119</v>
      </c>
      <c r="M614" s="6" t="s">
        <v>6733</v>
      </c>
      <c r="N614" s="6" t="s">
        <v>6567</v>
      </c>
      <c r="O614" s="6">
        <v>72</v>
      </c>
      <c r="P614" s="6">
        <v>63</v>
      </c>
      <c r="Q614" s="6">
        <v>79</v>
      </c>
      <c r="R614" s="6">
        <v>64</v>
      </c>
      <c r="S614" s="6">
        <v>63</v>
      </c>
      <c r="T614" s="6">
        <v>64</v>
      </c>
      <c r="U614" s="6">
        <v>65</v>
      </c>
      <c r="V614" s="6">
        <v>70</v>
      </c>
      <c r="W614" s="6">
        <v>59</v>
      </c>
      <c r="X614" s="6">
        <v>62</v>
      </c>
      <c r="Y614" s="6">
        <v>65</v>
      </c>
      <c r="Z614" s="6">
        <v>59</v>
      </c>
      <c r="AA614" s="6">
        <v>65</v>
      </c>
      <c r="AB614" s="6">
        <v>71</v>
      </c>
      <c r="AC614" s="6">
        <v>60</v>
      </c>
      <c r="AD614" s="6">
        <v>69</v>
      </c>
      <c r="AE614" s="6">
        <v>71</v>
      </c>
      <c r="AF614" s="6">
        <v>69</v>
      </c>
      <c r="AG614" s="6" t="s">
        <v>7160</v>
      </c>
      <c r="AH614" s="6" t="s">
        <v>6581</v>
      </c>
    </row>
    <row r="615" spans="1:34" x14ac:dyDescent="0.2">
      <c r="A615" t="s">
        <v>3483</v>
      </c>
      <c r="B615" t="s">
        <v>1747</v>
      </c>
      <c r="C615" t="s">
        <v>2871</v>
      </c>
      <c r="D615" s="7" t="s">
        <v>140</v>
      </c>
      <c r="E615" t="s">
        <v>38</v>
      </c>
      <c r="F615">
        <v>27</v>
      </c>
      <c r="G615">
        <v>89</v>
      </c>
      <c r="H615">
        <v>76</v>
      </c>
      <c r="I615" t="s">
        <v>6371</v>
      </c>
      <c r="J615">
        <v>77</v>
      </c>
      <c r="K615">
        <v>256</v>
      </c>
      <c r="L615" t="s">
        <v>5177</v>
      </c>
      <c r="M615" s="6" t="s">
        <v>6558</v>
      </c>
      <c r="N615" s="6" t="s">
        <v>6559</v>
      </c>
      <c r="O615" s="6">
        <v>89</v>
      </c>
      <c r="P615" s="6">
        <v>79</v>
      </c>
      <c r="Q615" s="6">
        <v>83</v>
      </c>
      <c r="R615" s="6">
        <v>84</v>
      </c>
      <c r="S615" s="6">
        <v>80</v>
      </c>
      <c r="T615" s="6">
        <v>84</v>
      </c>
      <c r="U615" s="6">
        <v>84</v>
      </c>
      <c r="V615" s="6">
        <v>83</v>
      </c>
      <c r="W615" s="6">
        <v>77</v>
      </c>
      <c r="X615" s="6">
        <v>78</v>
      </c>
      <c r="Y615" s="6">
        <v>87</v>
      </c>
      <c r="Z615" s="6">
        <v>79</v>
      </c>
      <c r="AA615" s="6">
        <v>79</v>
      </c>
      <c r="AB615" s="6">
        <v>76</v>
      </c>
      <c r="AC615" s="6">
        <v>69</v>
      </c>
      <c r="AD615" s="6">
        <v>73</v>
      </c>
      <c r="AE615" s="6">
        <v>82</v>
      </c>
      <c r="AF615" s="6">
        <v>77</v>
      </c>
      <c r="AG615" s="6" t="s">
        <v>7218</v>
      </c>
      <c r="AH615" s="6" t="s">
        <v>7219</v>
      </c>
    </row>
    <row r="616" spans="1:34" x14ac:dyDescent="0.2">
      <c r="A616" t="s">
        <v>3495</v>
      </c>
      <c r="B616" t="s">
        <v>1759</v>
      </c>
      <c r="C616" t="s">
        <v>2878</v>
      </c>
      <c r="D616" s="7" t="s">
        <v>140</v>
      </c>
      <c r="E616" t="s">
        <v>38</v>
      </c>
      <c r="F616">
        <v>30</v>
      </c>
      <c r="G616">
        <v>86</v>
      </c>
      <c r="H616">
        <v>76</v>
      </c>
      <c r="I616" t="s">
        <v>6395</v>
      </c>
      <c r="J616">
        <v>75</v>
      </c>
      <c r="K616">
        <v>253</v>
      </c>
      <c r="L616" t="s">
        <v>5189</v>
      </c>
      <c r="M616" s="6" t="s">
        <v>6558</v>
      </c>
      <c r="N616" s="6" t="s">
        <v>6567</v>
      </c>
      <c r="O616" s="6">
        <v>79</v>
      </c>
      <c r="P616" s="6">
        <v>73</v>
      </c>
      <c r="Q616" s="6">
        <v>88</v>
      </c>
      <c r="R616" s="6">
        <v>69</v>
      </c>
      <c r="S616" s="6">
        <v>88</v>
      </c>
      <c r="T616" s="6">
        <v>83</v>
      </c>
      <c r="U616" s="6">
        <v>72</v>
      </c>
      <c r="V616" s="6">
        <v>81</v>
      </c>
      <c r="W616" s="6">
        <v>72</v>
      </c>
      <c r="X616" s="6">
        <v>78</v>
      </c>
      <c r="Y616" s="6">
        <v>90</v>
      </c>
      <c r="Z616" s="6">
        <v>82</v>
      </c>
      <c r="AA616" s="6">
        <v>74</v>
      </c>
      <c r="AB616" s="6">
        <v>83</v>
      </c>
      <c r="AC616" s="6">
        <v>79</v>
      </c>
      <c r="AD616" s="6">
        <v>72</v>
      </c>
      <c r="AE616" s="6">
        <v>75</v>
      </c>
      <c r="AF616" s="6">
        <v>73</v>
      </c>
      <c r="AG616" s="6" t="s">
        <v>7231</v>
      </c>
      <c r="AH616" s="6" t="s">
        <v>6797</v>
      </c>
    </row>
    <row r="617" spans="1:34" x14ac:dyDescent="0.2">
      <c r="A617" t="s">
        <v>3498</v>
      </c>
      <c r="B617" t="s">
        <v>1762</v>
      </c>
      <c r="C617" t="s">
        <v>2878</v>
      </c>
      <c r="D617" s="7" t="s">
        <v>140</v>
      </c>
      <c r="E617" t="s">
        <v>38</v>
      </c>
      <c r="F617">
        <v>28</v>
      </c>
      <c r="G617">
        <v>75</v>
      </c>
      <c r="H617">
        <v>76</v>
      </c>
      <c r="I617" t="s">
        <v>6363</v>
      </c>
      <c r="J617">
        <v>76</v>
      </c>
      <c r="K617">
        <v>277</v>
      </c>
      <c r="L617" t="s">
        <v>5192</v>
      </c>
      <c r="M617" s="6" t="s">
        <v>6558</v>
      </c>
      <c r="N617" s="6" t="s">
        <v>6567</v>
      </c>
      <c r="O617" s="6">
        <v>80</v>
      </c>
      <c r="P617" s="6">
        <v>77</v>
      </c>
      <c r="Q617" s="6">
        <v>73</v>
      </c>
      <c r="R617" s="6">
        <v>63</v>
      </c>
      <c r="S617" s="6">
        <v>86</v>
      </c>
      <c r="T617" s="6">
        <v>70</v>
      </c>
      <c r="U617" s="6">
        <v>81</v>
      </c>
      <c r="V617" s="6">
        <v>75</v>
      </c>
      <c r="W617" s="6">
        <v>70</v>
      </c>
      <c r="X617" s="6">
        <v>74</v>
      </c>
      <c r="Y617" s="6">
        <v>75</v>
      </c>
      <c r="Z617" s="6">
        <v>81</v>
      </c>
      <c r="AA617" s="6">
        <v>70</v>
      </c>
      <c r="AB617" s="6">
        <v>76</v>
      </c>
      <c r="AC617" s="6">
        <v>79</v>
      </c>
      <c r="AD617" s="6">
        <v>77</v>
      </c>
      <c r="AE617" s="6">
        <v>72</v>
      </c>
      <c r="AF617" s="6">
        <v>74</v>
      </c>
      <c r="AG617" s="6" t="s">
        <v>7234</v>
      </c>
      <c r="AH617" s="6" t="s">
        <v>6682</v>
      </c>
    </row>
    <row r="618" spans="1:34" x14ac:dyDescent="0.2">
      <c r="A618" t="s">
        <v>3499</v>
      </c>
      <c r="B618" t="s">
        <v>1763</v>
      </c>
      <c r="C618" t="s">
        <v>2878</v>
      </c>
      <c r="D618" s="7" t="s">
        <v>140</v>
      </c>
      <c r="E618" t="s">
        <v>58</v>
      </c>
      <c r="F618">
        <v>30</v>
      </c>
      <c r="G618">
        <v>74</v>
      </c>
      <c r="H618">
        <v>76</v>
      </c>
      <c r="I618" t="s">
        <v>6334</v>
      </c>
      <c r="J618">
        <v>76</v>
      </c>
      <c r="K618">
        <v>290</v>
      </c>
      <c r="L618" t="s">
        <v>5193</v>
      </c>
      <c r="M618" s="6" t="s">
        <v>6558</v>
      </c>
      <c r="N618" s="6" t="s">
        <v>6565</v>
      </c>
      <c r="O618" s="6">
        <v>76</v>
      </c>
      <c r="P618" s="6">
        <v>78</v>
      </c>
      <c r="Q618" s="6">
        <v>78</v>
      </c>
      <c r="R618" s="6">
        <v>70</v>
      </c>
      <c r="S618" s="6">
        <v>78</v>
      </c>
      <c r="T618" s="6">
        <v>65</v>
      </c>
      <c r="U618" s="6">
        <v>78</v>
      </c>
      <c r="V618" s="6">
        <v>80</v>
      </c>
      <c r="W618" s="6">
        <v>76</v>
      </c>
      <c r="X618" s="6">
        <v>75</v>
      </c>
      <c r="Y618" s="6">
        <v>76</v>
      </c>
      <c r="Z618" s="6">
        <v>76</v>
      </c>
      <c r="AA618" s="6">
        <v>72</v>
      </c>
      <c r="AB618" s="6">
        <v>66</v>
      </c>
      <c r="AC618" s="6">
        <v>67</v>
      </c>
      <c r="AD618" s="6">
        <v>68</v>
      </c>
      <c r="AE618" s="6">
        <v>65</v>
      </c>
      <c r="AF618" s="6">
        <v>70</v>
      </c>
      <c r="AG618" s="6" t="s">
        <v>7235</v>
      </c>
      <c r="AH618" s="6" t="s">
        <v>6797</v>
      </c>
    </row>
    <row r="619" spans="1:34" x14ac:dyDescent="0.2">
      <c r="A619" t="s">
        <v>3515</v>
      </c>
      <c r="B619" t="s">
        <v>1779</v>
      </c>
      <c r="C619" t="s">
        <v>2883</v>
      </c>
      <c r="D619" s="7" t="s">
        <v>140</v>
      </c>
      <c r="E619" t="s">
        <v>38</v>
      </c>
      <c r="F619">
        <v>26</v>
      </c>
      <c r="G619">
        <v>81</v>
      </c>
      <c r="H619">
        <v>76</v>
      </c>
      <c r="I619" t="s">
        <v>54</v>
      </c>
      <c r="J619">
        <v>71</v>
      </c>
      <c r="K619">
        <v>210</v>
      </c>
      <c r="L619" t="s">
        <v>5209</v>
      </c>
      <c r="M619" s="6" t="s">
        <v>6558</v>
      </c>
      <c r="N619" s="6" t="s">
        <v>6559</v>
      </c>
      <c r="O619" s="6">
        <v>91</v>
      </c>
      <c r="P619" s="6">
        <v>78</v>
      </c>
      <c r="Q619" s="6">
        <v>83</v>
      </c>
      <c r="R619" s="6">
        <v>93</v>
      </c>
      <c r="S619" s="6">
        <v>76</v>
      </c>
      <c r="T619" s="6">
        <v>74</v>
      </c>
      <c r="U619" s="6">
        <v>83</v>
      </c>
      <c r="V619" s="6">
        <v>74</v>
      </c>
      <c r="W619" s="6">
        <v>70</v>
      </c>
      <c r="X619" s="6">
        <v>80</v>
      </c>
      <c r="Y619" s="6">
        <v>83</v>
      </c>
      <c r="Z619" s="6">
        <v>84</v>
      </c>
      <c r="AA619" s="6">
        <v>81</v>
      </c>
      <c r="AB619" s="6">
        <v>81</v>
      </c>
      <c r="AC619" s="6">
        <v>72</v>
      </c>
      <c r="AD619" s="6">
        <v>83</v>
      </c>
      <c r="AE619" s="6">
        <v>78</v>
      </c>
      <c r="AF619" s="6">
        <v>75</v>
      </c>
      <c r="AG619" s="6" t="s">
        <v>7251</v>
      </c>
      <c r="AH619" s="6" t="s">
        <v>6640</v>
      </c>
    </row>
    <row r="620" spans="1:34" x14ac:dyDescent="0.2">
      <c r="A620" t="s">
        <v>3543</v>
      </c>
      <c r="B620" t="s">
        <v>1807</v>
      </c>
      <c r="C620" t="s">
        <v>2872</v>
      </c>
      <c r="D620" s="7" t="s">
        <v>141</v>
      </c>
      <c r="E620" t="s">
        <v>38</v>
      </c>
      <c r="F620">
        <v>26</v>
      </c>
      <c r="G620">
        <v>73</v>
      </c>
      <c r="H620">
        <v>76</v>
      </c>
      <c r="I620" t="s">
        <v>6315</v>
      </c>
      <c r="J620">
        <v>78</v>
      </c>
      <c r="K620">
        <v>323</v>
      </c>
      <c r="L620" t="s">
        <v>5237</v>
      </c>
      <c r="M620" s="6" t="s">
        <v>6558</v>
      </c>
      <c r="N620" s="6" t="s">
        <v>6559</v>
      </c>
      <c r="O620" s="6">
        <v>73</v>
      </c>
      <c r="P620" s="6">
        <v>73</v>
      </c>
      <c r="Q620" s="6">
        <v>74</v>
      </c>
      <c r="R620" s="6">
        <v>82</v>
      </c>
      <c r="S620" s="6">
        <v>68</v>
      </c>
      <c r="T620" s="6">
        <v>66</v>
      </c>
      <c r="U620" s="6">
        <v>75</v>
      </c>
      <c r="V620" s="6">
        <v>64</v>
      </c>
      <c r="W620" s="6">
        <v>72</v>
      </c>
      <c r="X620" s="6">
        <v>69</v>
      </c>
      <c r="Y620" s="6">
        <v>70</v>
      </c>
      <c r="Z620" s="6">
        <v>68</v>
      </c>
      <c r="AA620" s="6">
        <v>71</v>
      </c>
      <c r="AB620" s="6">
        <v>69</v>
      </c>
      <c r="AC620" s="6">
        <v>68</v>
      </c>
      <c r="AD620" s="6">
        <v>76</v>
      </c>
      <c r="AE620" s="6">
        <v>61</v>
      </c>
      <c r="AF620" s="6">
        <v>77</v>
      </c>
      <c r="AG620" s="6" t="s">
        <v>7280</v>
      </c>
      <c r="AH620" s="6" t="s">
        <v>6593</v>
      </c>
    </row>
    <row r="621" spans="1:34" x14ac:dyDescent="0.2">
      <c r="A621" t="s">
        <v>3547</v>
      </c>
      <c r="B621" t="s">
        <v>1811</v>
      </c>
      <c r="C621" t="s">
        <v>2874</v>
      </c>
      <c r="D621" s="7" t="s">
        <v>141</v>
      </c>
      <c r="E621" t="s">
        <v>38</v>
      </c>
      <c r="F621">
        <v>27</v>
      </c>
      <c r="G621">
        <v>68</v>
      </c>
      <c r="H621">
        <v>76</v>
      </c>
      <c r="I621" t="s">
        <v>6318</v>
      </c>
      <c r="J621">
        <v>74</v>
      </c>
      <c r="K621">
        <v>319</v>
      </c>
      <c r="L621" t="s">
        <v>5241</v>
      </c>
      <c r="M621" s="6" t="s">
        <v>6558</v>
      </c>
      <c r="N621" s="6" t="s">
        <v>6614</v>
      </c>
      <c r="O621" s="6">
        <v>68</v>
      </c>
      <c r="P621" s="6">
        <v>61</v>
      </c>
      <c r="Q621" s="6">
        <v>75</v>
      </c>
      <c r="R621" s="6">
        <v>62</v>
      </c>
      <c r="S621" s="6">
        <v>76</v>
      </c>
      <c r="T621" s="6">
        <v>69</v>
      </c>
      <c r="U621" s="6">
        <v>74</v>
      </c>
      <c r="V621" s="6">
        <v>62</v>
      </c>
      <c r="W621" s="6">
        <v>76</v>
      </c>
      <c r="X621" s="6">
        <v>76</v>
      </c>
      <c r="Y621" s="6">
        <v>72</v>
      </c>
      <c r="Z621" s="6">
        <v>75</v>
      </c>
      <c r="AA621" s="6">
        <v>68</v>
      </c>
      <c r="AB621" s="6">
        <v>72</v>
      </c>
      <c r="AC621" s="6">
        <v>74</v>
      </c>
      <c r="AD621" s="6">
        <v>70</v>
      </c>
      <c r="AE621" s="6">
        <v>69</v>
      </c>
      <c r="AF621" s="6">
        <v>68</v>
      </c>
      <c r="AG621" s="6" t="s">
        <v>7284</v>
      </c>
      <c r="AH621" s="6" t="s">
        <v>6598</v>
      </c>
    </row>
    <row r="622" spans="1:34" x14ac:dyDescent="0.2">
      <c r="A622" t="s">
        <v>3553</v>
      </c>
      <c r="B622" t="s">
        <v>1817</v>
      </c>
      <c r="C622" t="s">
        <v>2878</v>
      </c>
      <c r="D622" s="7" t="s">
        <v>141</v>
      </c>
      <c r="E622" t="s">
        <v>38</v>
      </c>
      <c r="F622">
        <v>23</v>
      </c>
      <c r="G622">
        <v>77</v>
      </c>
      <c r="H622">
        <v>76</v>
      </c>
      <c r="I622" t="s">
        <v>6414</v>
      </c>
      <c r="J622">
        <v>78</v>
      </c>
      <c r="K622">
        <v>272</v>
      </c>
      <c r="L622" t="s">
        <v>5247</v>
      </c>
      <c r="M622" s="6" t="s">
        <v>6558</v>
      </c>
      <c r="N622" s="6" t="s">
        <v>6614</v>
      </c>
      <c r="O622" s="6">
        <v>75</v>
      </c>
      <c r="P622" s="6">
        <v>71</v>
      </c>
      <c r="Q622" s="6">
        <v>72</v>
      </c>
      <c r="R622" s="6">
        <v>61</v>
      </c>
      <c r="S622" s="6">
        <v>78</v>
      </c>
      <c r="T622" s="6">
        <v>78</v>
      </c>
      <c r="U622" s="6">
        <v>64</v>
      </c>
      <c r="V622" s="6">
        <v>73</v>
      </c>
      <c r="W622" s="6">
        <v>83</v>
      </c>
      <c r="X622" s="6">
        <v>77</v>
      </c>
      <c r="Y622" s="6">
        <v>80</v>
      </c>
      <c r="Z622" s="6">
        <v>73</v>
      </c>
      <c r="AA622" s="6">
        <v>68</v>
      </c>
      <c r="AB622" s="6">
        <v>78</v>
      </c>
      <c r="AC622" s="6">
        <v>71</v>
      </c>
      <c r="AD622" s="6">
        <v>71</v>
      </c>
      <c r="AE622" s="6">
        <v>71</v>
      </c>
      <c r="AF622" s="6">
        <v>73</v>
      </c>
      <c r="AG622" s="6" t="s">
        <v>7290</v>
      </c>
      <c r="AH622" s="6" t="s">
        <v>6963</v>
      </c>
    </row>
    <row r="623" spans="1:34" x14ac:dyDescent="0.2">
      <c r="A623" t="s">
        <v>3558</v>
      </c>
      <c r="B623" t="s">
        <v>1822</v>
      </c>
      <c r="C623" t="s">
        <v>2879</v>
      </c>
      <c r="D623" s="7" t="s">
        <v>141</v>
      </c>
      <c r="E623" t="s">
        <v>38</v>
      </c>
      <c r="F623">
        <v>28</v>
      </c>
      <c r="G623">
        <v>78</v>
      </c>
      <c r="H623">
        <v>76</v>
      </c>
      <c r="I623" t="s">
        <v>6375</v>
      </c>
      <c r="J623">
        <v>73</v>
      </c>
      <c r="K623">
        <v>300</v>
      </c>
      <c r="L623" t="s">
        <v>5252</v>
      </c>
      <c r="M623" s="6" t="s">
        <v>6558</v>
      </c>
      <c r="N623" s="6" t="s">
        <v>6565</v>
      </c>
      <c r="O623" s="6">
        <v>76</v>
      </c>
      <c r="P623" s="6">
        <v>76</v>
      </c>
      <c r="Q623" s="6">
        <v>71</v>
      </c>
      <c r="R623" s="6">
        <v>72</v>
      </c>
      <c r="S623" s="6">
        <v>78</v>
      </c>
      <c r="T623" s="6">
        <v>79</v>
      </c>
      <c r="U623" s="6">
        <v>78</v>
      </c>
      <c r="V623" s="6">
        <v>80</v>
      </c>
      <c r="W623" s="6">
        <v>88</v>
      </c>
      <c r="X623" s="6">
        <v>77</v>
      </c>
      <c r="Y623" s="6">
        <v>79</v>
      </c>
      <c r="Z623" s="6">
        <v>82</v>
      </c>
      <c r="AA623" s="6">
        <v>74</v>
      </c>
      <c r="AB623" s="6">
        <v>73</v>
      </c>
      <c r="AC623" s="6">
        <v>68</v>
      </c>
      <c r="AD623" s="6">
        <v>78</v>
      </c>
      <c r="AE623" s="6">
        <v>75</v>
      </c>
      <c r="AF623" s="6">
        <v>81</v>
      </c>
      <c r="AG623" s="6" t="s">
        <v>7295</v>
      </c>
      <c r="AH623" s="6" t="s">
        <v>6617</v>
      </c>
    </row>
    <row r="624" spans="1:34" x14ac:dyDescent="0.2">
      <c r="A624" t="s">
        <v>3567</v>
      </c>
      <c r="B624" t="s">
        <v>1831</v>
      </c>
      <c r="C624" t="s">
        <v>61</v>
      </c>
      <c r="D624" s="7" t="s">
        <v>141</v>
      </c>
      <c r="E624" t="s">
        <v>38</v>
      </c>
      <c r="F624">
        <v>25</v>
      </c>
      <c r="G624">
        <v>70</v>
      </c>
      <c r="H624">
        <v>76</v>
      </c>
      <c r="I624" t="s">
        <v>6419</v>
      </c>
      <c r="J624">
        <v>72</v>
      </c>
      <c r="K624">
        <v>202</v>
      </c>
      <c r="L624" t="s">
        <v>5261</v>
      </c>
      <c r="M624" s="6" t="s">
        <v>6558</v>
      </c>
      <c r="N624" s="6" t="s">
        <v>6567</v>
      </c>
      <c r="O624" s="6">
        <v>72</v>
      </c>
      <c r="P624" s="6">
        <v>68</v>
      </c>
      <c r="Q624" s="6">
        <v>73</v>
      </c>
      <c r="R624" s="6">
        <v>69</v>
      </c>
      <c r="S624" s="6">
        <v>78</v>
      </c>
      <c r="T624" s="6">
        <v>72</v>
      </c>
      <c r="U624" s="6">
        <v>73</v>
      </c>
      <c r="V624" s="6">
        <v>73</v>
      </c>
      <c r="W624" s="6">
        <v>84</v>
      </c>
      <c r="X624" s="6">
        <v>74</v>
      </c>
      <c r="Y624" s="6">
        <v>68</v>
      </c>
      <c r="Z624" s="6">
        <v>79</v>
      </c>
      <c r="AA624" s="6">
        <v>67</v>
      </c>
      <c r="AB624" s="6">
        <v>82</v>
      </c>
      <c r="AC624" s="6">
        <v>75</v>
      </c>
      <c r="AD624" s="6">
        <v>75</v>
      </c>
      <c r="AE624" s="6">
        <v>73</v>
      </c>
      <c r="AF624" s="6">
        <v>69</v>
      </c>
      <c r="AG624" s="6" t="s">
        <v>7304</v>
      </c>
      <c r="AH624" s="6" t="s">
        <v>6696</v>
      </c>
    </row>
    <row r="625" spans="1:34" x14ac:dyDescent="0.2">
      <c r="A625" t="s">
        <v>3569</v>
      </c>
      <c r="B625" t="s">
        <v>1833</v>
      </c>
      <c r="C625" t="s">
        <v>2883</v>
      </c>
      <c r="D625" s="7" t="s">
        <v>141</v>
      </c>
      <c r="E625" t="s">
        <v>38</v>
      </c>
      <c r="F625">
        <v>24</v>
      </c>
      <c r="G625">
        <v>77</v>
      </c>
      <c r="H625">
        <v>76</v>
      </c>
      <c r="I625" t="s">
        <v>6437</v>
      </c>
      <c r="J625">
        <v>71</v>
      </c>
      <c r="K625">
        <v>213</v>
      </c>
      <c r="L625" t="s">
        <v>5263</v>
      </c>
      <c r="M625" s="6" t="s">
        <v>6558</v>
      </c>
      <c r="N625" s="6" t="s">
        <v>6614</v>
      </c>
      <c r="O625" s="6">
        <v>75</v>
      </c>
      <c r="P625" s="6">
        <v>67</v>
      </c>
      <c r="Q625" s="6">
        <v>69</v>
      </c>
      <c r="R625" s="6">
        <v>60</v>
      </c>
      <c r="S625" s="6">
        <v>78</v>
      </c>
      <c r="T625" s="6">
        <v>70</v>
      </c>
      <c r="U625" s="6">
        <v>72</v>
      </c>
      <c r="V625" s="6">
        <v>72</v>
      </c>
      <c r="W625" s="6">
        <v>63</v>
      </c>
      <c r="X625" s="6">
        <v>75</v>
      </c>
      <c r="Y625" s="6">
        <v>67</v>
      </c>
      <c r="Z625" s="6">
        <v>67</v>
      </c>
      <c r="AA625" s="6">
        <v>65</v>
      </c>
      <c r="AB625" s="6">
        <v>72</v>
      </c>
      <c r="AC625" s="6">
        <v>80</v>
      </c>
      <c r="AD625" s="6">
        <v>77</v>
      </c>
      <c r="AE625" s="6">
        <v>68</v>
      </c>
      <c r="AF625" s="6">
        <v>71</v>
      </c>
      <c r="AG625" s="6" t="s">
        <v>7306</v>
      </c>
      <c r="AH625" s="6" t="s">
        <v>6640</v>
      </c>
    </row>
    <row r="626" spans="1:34" x14ac:dyDescent="0.2">
      <c r="A626" t="s">
        <v>3584</v>
      </c>
      <c r="B626" t="s">
        <v>1848</v>
      </c>
      <c r="C626" t="s">
        <v>2870</v>
      </c>
      <c r="D626" s="7" t="s">
        <v>142</v>
      </c>
      <c r="E626" t="s">
        <v>58</v>
      </c>
      <c r="F626">
        <v>24</v>
      </c>
      <c r="G626">
        <v>73</v>
      </c>
      <c r="H626">
        <v>76</v>
      </c>
      <c r="I626" t="s">
        <v>6428</v>
      </c>
      <c r="J626">
        <v>69</v>
      </c>
      <c r="K626">
        <v>212</v>
      </c>
      <c r="L626" t="s">
        <v>5278</v>
      </c>
      <c r="M626" s="6" t="s">
        <v>6558</v>
      </c>
      <c r="N626" s="6" t="s">
        <v>6614</v>
      </c>
      <c r="O626" s="6">
        <v>68</v>
      </c>
      <c r="P626" s="6">
        <v>68</v>
      </c>
      <c r="Q626" s="6">
        <v>70</v>
      </c>
      <c r="R626" s="6">
        <v>56</v>
      </c>
      <c r="S626" s="6">
        <v>64</v>
      </c>
      <c r="T626" s="6">
        <v>77</v>
      </c>
      <c r="U626" s="6">
        <v>73</v>
      </c>
      <c r="V626" s="6">
        <v>69</v>
      </c>
      <c r="W626" s="6">
        <v>72</v>
      </c>
      <c r="X626" s="6">
        <v>64</v>
      </c>
      <c r="Y626" s="6">
        <v>74</v>
      </c>
      <c r="Z626" s="6">
        <v>75</v>
      </c>
      <c r="AA626" s="6">
        <v>69</v>
      </c>
      <c r="AB626" s="6">
        <v>71</v>
      </c>
      <c r="AC626" s="6">
        <v>75</v>
      </c>
      <c r="AD626" s="6">
        <v>74</v>
      </c>
      <c r="AE626" s="6">
        <v>71</v>
      </c>
      <c r="AF626" s="6">
        <v>67</v>
      </c>
      <c r="AG626" s="6" t="s">
        <v>7320</v>
      </c>
      <c r="AH626" s="6" t="s">
        <v>6721</v>
      </c>
    </row>
    <row r="627" spans="1:34" x14ac:dyDescent="0.2">
      <c r="A627" t="s">
        <v>3585</v>
      </c>
      <c r="B627" t="s">
        <v>1849</v>
      </c>
      <c r="C627" t="s">
        <v>2870</v>
      </c>
      <c r="D627" s="7" t="s">
        <v>142</v>
      </c>
      <c r="E627" t="s">
        <v>38</v>
      </c>
      <c r="F627">
        <v>27</v>
      </c>
      <c r="G627">
        <v>67</v>
      </c>
      <c r="H627">
        <v>76</v>
      </c>
      <c r="I627" t="s">
        <v>6427</v>
      </c>
      <c r="J627">
        <v>71</v>
      </c>
      <c r="K627">
        <v>213</v>
      </c>
      <c r="L627" t="s">
        <v>5279</v>
      </c>
      <c r="M627" s="6" t="s">
        <v>6558</v>
      </c>
      <c r="N627" s="6" t="s">
        <v>6567</v>
      </c>
      <c r="O627" s="6">
        <v>65</v>
      </c>
      <c r="P627" s="6">
        <v>59</v>
      </c>
      <c r="Q627" s="6">
        <v>71</v>
      </c>
      <c r="R627" s="6">
        <v>67</v>
      </c>
      <c r="S627" s="6">
        <v>64</v>
      </c>
      <c r="T627" s="6">
        <v>68</v>
      </c>
      <c r="U627" s="6">
        <v>64</v>
      </c>
      <c r="V627" s="6">
        <v>71</v>
      </c>
      <c r="W627" s="6">
        <v>75</v>
      </c>
      <c r="X627" s="6">
        <v>74</v>
      </c>
      <c r="Y627" s="6">
        <v>77</v>
      </c>
      <c r="Z627" s="6">
        <v>75</v>
      </c>
      <c r="AA627" s="6">
        <v>71</v>
      </c>
      <c r="AB627" s="6">
        <v>73</v>
      </c>
      <c r="AC627" s="6">
        <v>68</v>
      </c>
      <c r="AD627" s="6">
        <v>74</v>
      </c>
      <c r="AE627" s="6">
        <v>69</v>
      </c>
      <c r="AF627" s="6">
        <v>70</v>
      </c>
      <c r="AG627" s="6" t="s">
        <v>7321</v>
      </c>
      <c r="AH627" s="6" t="s">
        <v>6721</v>
      </c>
    </row>
    <row r="628" spans="1:34" x14ac:dyDescent="0.2">
      <c r="A628" t="s">
        <v>3587</v>
      </c>
      <c r="B628" t="s">
        <v>1851</v>
      </c>
      <c r="C628" t="s">
        <v>57</v>
      </c>
      <c r="D628" s="7" t="s">
        <v>142</v>
      </c>
      <c r="E628" t="s">
        <v>38</v>
      </c>
      <c r="F628">
        <v>29</v>
      </c>
      <c r="G628">
        <v>89</v>
      </c>
      <c r="H628">
        <v>76</v>
      </c>
      <c r="I628" t="s">
        <v>6430</v>
      </c>
      <c r="J628">
        <v>69</v>
      </c>
      <c r="K628">
        <v>202</v>
      </c>
      <c r="L628" t="s">
        <v>5281</v>
      </c>
      <c r="M628" s="6" t="s">
        <v>6558</v>
      </c>
      <c r="N628" s="6" t="s">
        <v>6583</v>
      </c>
      <c r="O628" s="6">
        <v>83</v>
      </c>
      <c r="P628" s="6">
        <v>77</v>
      </c>
      <c r="Q628" s="6">
        <v>78</v>
      </c>
      <c r="R628" s="6">
        <v>79</v>
      </c>
      <c r="S628" s="6">
        <v>86</v>
      </c>
      <c r="T628" s="6">
        <v>81</v>
      </c>
      <c r="U628" s="6">
        <v>79</v>
      </c>
      <c r="V628" s="6">
        <v>85</v>
      </c>
      <c r="W628" s="6">
        <v>91</v>
      </c>
      <c r="X628" s="6">
        <v>72</v>
      </c>
      <c r="Y628" s="6">
        <v>82</v>
      </c>
      <c r="Z628" s="6">
        <v>83</v>
      </c>
      <c r="AA628" s="6">
        <v>77</v>
      </c>
      <c r="AB628" s="6">
        <v>79</v>
      </c>
      <c r="AC628" s="6">
        <v>75</v>
      </c>
      <c r="AD628" s="6">
        <v>70</v>
      </c>
      <c r="AE628" s="6">
        <v>73</v>
      </c>
      <c r="AF628" s="6">
        <v>78</v>
      </c>
      <c r="AG628" s="6" t="s">
        <v>7323</v>
      </c>
      <c r="AH628" s="6" t="s">
        <v>6670</v>
      </c>
    </row>
    <row r="629" spans="1:34" x14ac:dyDescent="0.2">
      <c r="A629" t="s">
        <v>3596</v>
      </c>
      <c r="B629" t="s">
        <v>1860</v>
      </c>
      <c r="C629" t="s">
        <v>2874</v>
      </c>
      <c r="D629" s="7" t="s">
        <v>142</v>
      </c>
      <c r="E629" t="s">
        <v>58</v>
      </c>
      <c r="F629">
        <v>30</v>
      </c>
      <c r="G629">
        <v>73</v>
      </c>
      <c r="H629">
        <v>76</v>
      </c>
      <c r="I629" t="s">
        <v>6421</v>
      </c>
      <c r="J629">
        <v>73</v>
      </c>
      <c r="K629">
        <v>312</v>
      </c>
      <c r="L629" t="s">
        <v>5290</v>
      </c>
      <c r="M629" s="6" t="s">
        <v>6558</v>
      </c>
      <c r="N629" s="6" t="s">
        <v>6567</v>
      </c>
      <c r="O629" s="6">
        <v>84</v>
      </c>
      <c r="P629" s="6">
        <v>68</v>
      </c>
      <c r="Q629" s="6">
        <v>75</v>
      </c>
      <c r="R629" s="6">
        <v>66</v>
      </c>
      <c r="S629" s="6">
        <v>78</v>
      </c>
      <c r="T629" s="6">
        <v>73</v>
      </c>
      <c r="U629" s="6">
        <v>84</v>
      </c>
      <c r="V629" s="6">
        <v>84</v>
      </c>
      <c r="W629" s="6">
        <v>78</v>
      </c>
      <c r="X629" s="6">
        <v>81</v>
      </c>
      <c r="Y629" s="6">
        <v>74</v>
      </c>
      <c r="Z629" s="6">
        <v>78</v>
      </c>
      <c r="AA629" s="6">
        <v>66</v>
      </c>
      <c r="AB629" s="6">
        <v>71</v>
      </c>
      <c r="AC629" s="6">
        <v>66</v>
      </c>
      <c r="AD629" s="6">
        <v>68</v>
      </c>
      <c r="AE629" s="6">
        <v>71</v>
      </c>
      <c r="AF629" s="6">
        <v>69</v>
      </c>
      <c r="AG629" s="6" t="s">
        <v>7332</v>
      </c>
      <c r="AH629" s="6" t="s">
        <v>6598</v>
      </c>
    </row>
    <row r="630" spans="1:34" x14ac:dyDescent="0.2">
      <c r="A630" t="s">
        <v>3597</v>
      </c>
      <c r="B630" t="s">
        <v>1861</v>
      </c>
      <c r="C630" t="s">
        <v>2874</v>
      </c>
      <c r="D630" s="7" t="s">
        <v>142</v>
      </c>
      <c r="E630" t="s">
        <v>58</v>
      </c>
      <c r="F630">
        <v>34</v>
      </c>
      <c r="G630">
        <v>72</v>
      </c>
      <c r="H630">
        <v>76</v>
      </c>
      <c r="I630" t="s">
        <v>6422</v>
      </c>
      <c r="J630">
        <v>74</v>
      </c>
      <c r="K630">
        <v>317</v>
      </c>
      <c r="L630" t="s">
        <v>5291</v>
      </c>
      <c r="M630" s="6" t="s">
        <v>6558</v>
      </c>
      <c r="N630" s="6" t="s">
        <v>6565</v>
      </c>
      <c r="O630" s="6">
        <v>86</v>
      </c>
      <c r="P630" s="6">
        <v>79</v>
      </c>
      <c r="Q630" s="6">
        <v>76</v>
      </c>
      <c r="R630" s="6">
        <v>75</v>
      </c>
      <c r="S630" s="6">
        <v>74</v>
      </c>
      <c r="T630" s="6">
        <v>70</v>
      </c>
      <c r="U630" s="6">
        <v>75</v>
      </c>
      <c r="V630" s="6">
        <v>69</v>
      </c>
      <c r="W630" s="6">
        <v>78</v>
      </c>
      <c r="X630" s="6">
        <v>76</v>
      </c>
      <c r="Y630" s="6">
        <v>79</v>
      </c>
      <c r="Z630" s="6">
        <v>79</v>
      </c>
      <c r="AA630" s="6">
        <v>61</v>
      </c>
      <c r="AB630" s="6">
        <v>60</v>
      </c>
      <c r="AC630" s="6">
        <v>62</v>
      </c>
      <c r="AD630" s="6">
        <v>69</v>
      </c>
      <c r="AE630" s="6">
        <v>62</v>
      </c>
      <c r="AF630" s="6">
        <v>63</v>
      </c>
      <c r="AG630" s="6" t="s">
        <v>7333</v>
      </c>
      <c r="AH630" s="6" t="s">
        <v>6598</v>
      </c>
    </row>
    <row r="631" spans="1:34" x14ac:dyDescent="0.2">
      <c r="A631" t="s">
        <v>3608</v>
      </c>
      <c r="B631" t="s">
        <v>1872</v>
      </c>
      <c r="C631" t="s">
        <v>2879</v>
      </c>
      <c r="D631" s="7" t="s">
        <v>142</v>
      </c>
      <c r="E631" t="s">
        <v>38</v>
      </c>
      <c r="F631">
        <v>27</v>
      </c>
      <c r="G631">
        <v>82</v>
      </c>
      <c r="H631">
        <v>76</v>
      </c>
      <c r="I631" t="s">
        <v>6383</v>
      </c>
      <c r="J631">
        <v>75</v>
      </c>
      <c r="K631">
        <v>302</v>
      </c>
      <c r="L631" t="s">
        <v>5302</v>
      </c>
      <c r="M631" s="6" t="s">
        <v>6558</v>
      </c>
      <c r="N631" s="6" t="s">
        <v>6567</v>
      </c>
      <c r="O631" s="6">
        <v>74</v>
      </c>
      <c r="P631" s="6">
        <v>79</v>
      </c>
      <c r="Q631" s="6">
        <v>74</v>
      </c>
      <c r="R631" s="6">
        <v>65</v>
      </c>
      <c r="S631" s="6">
        <v>84</v>
      </c>
      <c r="T631" s="6">
        <v>76</v>
      </c>
      <c r="U631" s="6">
        <v>75</v>
      </c>
      <c r="V631" s="6">
        <v>74</v>
      </c>
      <c r="W631" s="6">
        <v>68</v>
      </c>
      <c r="X631" s="6">
        <v>76</v>
      </c>
      <c r="Y631" s="6">
        <v>72</v>
      </c>
      <c r="Z631" s="6">
        <v>87</v>
      </c>
      <c r="AA631" s="6">
        <v>79</v>
      </c>
      <c r="AB631" s="6">
        <v>70</v>
      </c>
      <c r="AC631" s="6">
        <v>72</v>
      </c>
      <c r="AD631" s="6">
        <v>80</v>
      </c>
      <c r="AE631" s="6">
        <v>76</v>
      </c>
      <c r="AF631" s="6">
        <v>81</v>
      </c>
      <c r="AG631" s="6" t="s">
        <v>7343</v>
      </c>
      <c r="AH631" s="6" t="s">
        <v>6617</v>
      </c>
    </row>
    <row r="632" spans="1:34" x14ac:dyDescent="0.2">
      <c r="A632" t="s">
        <v>3610</v>
      </c>
      <c r="B632" t="s">
        <v>1874</v>
      </c>
      <c r="C632" t="s">
        <v>2879</v>
      </c>
      <c r="D632" s="7" t="s">
        <v>142</v>
      </c>
      <c r="E632" t="s">
        <v>38</v>
      </c>
      <c r="F632">
        <v>22</v>
      </c>
      <c r="G632">
        <v>69</v>
      </c>
      <c r="H632">
        <v>76</v>
      </c>
      <c r="I632" t="s">
        <v>6381</v>
      </c>
      <c r="J632">
        <v>72</v>
      </c>
      <c r="K632">
        <v>297</v>
      </c>
      <c r="L632" t="s">
        <v>5304</v>
      </c>
      <c r="M632" s="6" t="s">
        <v>6558</v>
      </c>
      <c r="N632" s="6" t="s">
        <v>6614</v>
      </c>
      <c r="O632" s="6">
        <v>71</v>
      </c>
      <c r="P632" s="6">
        <v>69</v>
      </c>
      <c r="Q632" s="6">
        <v>61</v>
      </c>
      <c r="R632" s="6">
        <v>59</v>
      </c>
      <c r="S632" s="6">
        <v>74</v>
      </c>
      <c r="T632" s="6">
        <v>64</v>
      </c>
      <c r="U632" s="6">
        <v>73</v>
      </c>
      <c r="V632" s="6">
        <v>72</v>
      </c>
      <c r="W632" s="6">
        <v>66</v>
      </c>
      <c r="X632" s="6">
        <v>67</v>
      </c>
      <c r="Y632" s="6">
        <v>68</v>
      </c>
      <c r="Z632" s="6">
        <v>70</v>
      </c>
      <c r="AA632" s="6">
        <v>69</v>
      </c>
      <c r="AB632" s="6">
        <v>66</v>
      </c>
      <c r="AC632" s="6">
        <v>70</v>
      </c>
      <c r="AD632" s="6">
        <v>72</v>
      </c>
      <c r="AE632" s="6">
        <v>70</v>
      </c>
      <c r="AF632" s="6">
        <v>71</v>
      </c>
      <c r="AG632" s="6" t="s">
        <v>7345</v>
      </c>
      <c r="AH632" s="6" t="s">
        <v>6617</v>
      </c>
    </row>
    <row r="633" spans="1:34" x14ac:dyDescent="0.2">
      <c r="A633" t="s">
        <v>3624</v>
      </c>
      <c r="B633" t="s">
        <v>1888</v>
      </c>
      <c r="C633" t="s">
        <v>2888</v>
      </c>
      <c r="D633" s="7" t="s">
        <v>142</v>
      </c>
      <c r="E633" t="s">
        <v>58</v>
      </c>
      <c r="F633">
        <v>34</v>
      </c>
      <c r="G633">
        <v>70</v>
      </c>
      <c r="H633">
        <v>76</v>
      </c>
      <c r="I633" t="s">
        <v>6458</v>
      </c>
      <c r="J633">
        <v>70</v>
      </c>
      <c r="K633">
        <v>197</v>
      </c>
      <c r="L633" t="s">
        <v>5318</v>
      </c>
      <c r="M633" s="6" t="s">
        <v>6558</v>
      </c>
      <c r="N633" s="6" t="s">
        <v>6583</v>
      </c>
      <c r="O633" s="6">
        <v>80</v>
      </c>
      <c r="P633" s="6">
        <v>76</v>
      </c>
      <c r="Q633" s="6">
        <v>81</v>
      </c>
      <c r="R633" s="6">
        <v>77</v>
      </c>
      <c r="S633" s="6">
        <v>84</v>
      </c>
      <c r="T633" s="6">
        <v>76</v>
      </c>
      <c r="U633" s="6">
        <v>85</v>
      </c>
      <c r="V633" s="6">
        <v>81</v>
      </c>
      <c r="W633" s="6">
        <v>83</v>
      </c>
      <c r="X633" s="6">
        <v>74</v>
      </c>
      <c r="Y633" s="6">
        <v>84</v>
      </c>
      <c r="Z633" s="6">
        <v>92</v>
      </c>
      <c r="AA633" s="6">
        <v>72</v>
      </c>
      <c r="AB633" s="6">
        <v>68</v>
      </c>
      <c r="AC633" s="6">
        <v>62</v>
      </c>
      <c r="AD633" s="6">
        <v>81</v>
      </c>
      <c r="AE633" s="6">
        <v>66</v>
      </c>
      <c r="AF633" s="6">
        <v>73</v>
      </c>
      <c r="AG633" s="6" t="s">
        <v>7359</v>
      </c>
      <c r="AH633" s="6" t="s">
        <v>6762</v>
      </c>
    </row>
    <row r="634" spans="1:34" x14ac:dyDescent="0.2">
      <c r="A634" t="s">
        <v>3625</v>
      </c>
      <c r="B634" t="s">
        <v>1889</v>
      </c>
      <c r="C634" t="s">
        <v>2888</v>
      </c>
      <c r="D634" s="7" t="s">
        <v>142</v>
      </c>
      <c r="E634" t="s">
        <v>58</v>
      </c>
      <c r="F634">
        <v>33</v>
      </c>
      <c r="G634">
        <v>56</v>
      </c>
      <c r="H634">
        <v>76</v>
      </c>
      <c r="I634" t="s">
        <v>6460</v>
      </c>
      <c r="J634">
        <v>71</v>
      </c>
      <c r="K634">
        <v>170</v>
      </c>
      <c r="L634" t="s">
        <v>5319</v>
      </c>
      <c r="M634" s="6" t="s">
        <v>6558</v>
      </c>
      <c r="N634" s="6" t="s">
        <v>6567</v>
      </c>
      <c r="O634" s="6">
        <v>74</v>
      </c>
      <c r="P634" s="6">
        <v>73</v>
      </c>
      <c r="Q634" s="6">
        <v>76</v>
      </c>
      <c r="R634" s="6">
        <v>69</v>
      </c>
      <c r="S634" s="6">
        <v>79</v>
      </c>
      <c r="T634" s="6">
        <v>77</v>
      </c>
      <c r="U634" s="6">
        <v>79</v>
      </c>
      <c r="V634" s="6">
        <v>72</v>
      </c>
      <c r="W634" s="6">
        <v>84</v>
      </c>
      <c r="X634" s="6">
        <v>69</v>
      </c>
      <c r="Y634" s="6">
        <v>79</v>
      </c>
      <c r="Z634" s="6">
        <v>74</v>
      </c>
      <c r="AA634" s="6">
        <v>61</v>
      </c>
      <c r="AB634" s="6">
        <v>61</v>
      </c>
      <c r="AC634" s="6">
        <v>56</v>
      </c>
      <c r="AD634" s="6">
        <v>64</v>
      </c>
      <c r="AE634" s="6">
        <v>67</v>
      </c>
      <c r="AF634" s="6">
        <v>68</v>
      </c>
      <c r="AG634" s="6" t="s">
        <v>7360</v>
      </c>
      <c r="AH634" s="6" t="s">
        <v>6707</v>
      </c>
    </row>
    <row r="635" spans="1:34" x14ac:dyDescent="0.2">
      <c r="A635" t="s">
        <v>3658</v>
      </c>
      <c r="B635" t="s">
        <v>1922</v>
      </c>
      <c r="C635" t="s">
        <v>2877</v>
      </c>
      <c r="D635" s="7" t="s">
        <v>143</v>
      </c>
      <c r="E635" t="s">
        <v>58</v>
      </c>
      <c r="F635">
        <v>33</v>
      </c>
      <c r="G635">
        <v>69</v>
      </c>
      <c r="H635">
        <v>76</v>
      </c>
      <c r="I635" t="s">
        <v>6444</v>
      </c>
      <c r="J635">
        <v>77</v>
      </c>
      <c r="K635">
        <v>321</v>
      </c>
      <c r="L635" t="s">
        <v>5352</v>
      </c>
      <c r="M635" s="6" t="s">
        <v>6558</v>
      </c>
      <c r="N635" s="6" t="s">
        <v>6565</v>
      </c>
      <c r="O635" s="6">
        <v>86</v>
      </c>
      <c r="P635" s="6">
        <v>75</v>
      </c>
      <c r="Q635" s="6">
        <v>81</v>
      </c>
      <c r="R635" s="6">
        <v>75</v>
      </c>
      <c r="S635" s="6">
        <v>72</v>
      </c>
      <c r="T635" s="6">
        <v>80</v>
      </c>
      <c r="U635" s="6">
        <v>71</v>
      </c>
      <c r="V635" s="6">
        <v>78</v>
      </c>
      <c r="W635" s="6">
        <v>69</v>
      </c>
      <c r="X635" s="6">
        <v>84</v>
      </c>
      <c r="Y635" s="6">
        <v>78</v>
      </c>
      <c r="Z635" s="6">
        <v>72</v>
      </c>
      <c r="AA635" s="6">
        <v>68</v>
      </c>
      <c r="AB635" s="6">
        <v>68</v>
      </c>
      <c r="AC635" s="6">
        <v>71</v>
      </c>
      <c r="AD635" s="6">
        <v>64</v>
      </c>
      <c r="AE635" s="6">
        <v>60</v>
      </c>
      <c r="AF635" s="6">
        <v>73</v>
      </c>
      <c r="AG635" s="6" t="s">
        <v>7393</v>
      </c>
      <c r="AH635" s="6" t="s">
        <v>6596</v>
      </c>
    </row>
    <row r="636" spans="1:34" x14ac:dyDescent="0.2">
      <c r="A636" t="s">
        <v>3665</v>
      </c>
      <c r="B636" t="s">
        <v>1929</v>
      </c>
      <c r="C636" t="s">
        <v>2878</v>
      </c>
      <c r="D636" s="7" t="s">
        <v>143</v>
      </c>
      <c r="E636" t="s">
        <v>38</v>
      </c>
      <c r="F636">
        <v>24</v>
      </c>
      <c r="G636">
        <v>69</v>
      </c>
      <c r="H636">
        <v>76</v>
      </c>
      <c r="I636" t="s">
        <v>6436</v>
      </c>
      <c r="J636">
        <v>77</v>
      </c>
      <c r="K636">
        <v>278</v>
      </c>
      <c r="L636" t="s">
        <v>5359</v>
      </c>
      <c r="M636" s="6" t="s">
        <v>6558</v>
      </c>
      <c r="N636" s="6" t="s">
        <v>6565</v>
      </c>
      <c r="O636" s="6">
        <v>78</v>
      </c>
      <c r="P636" s="6">
        <v>68</v>
      </c>
      <c r="Q636" s="6">
        <v>64</v>
      </c>
      <c r="R636" s="6">
        <v>74</v>
      </c>
      <c r="S636" s="6">
        <v>79</v>
      </c>
      <c r="T636" s="6">
        <v>78</v>
      </c>
      <c r="U636" s="6">
        <v>70</v>
      </c>
      <c r="V636" s="6">
        <v>69</v>
      </c>
      <c r="W636" s="6">
        <v>74</v>
      </c>
      <c r="X636" s="6">
        <v>62</v>
      </c>
      <c r="Y636" s="6">
        <v>70</v>
      </c>
      <c r="Z636" s="6">
        <v>72</v>
      </c>
      <c r="AA636" s="6">
        <v>71</v>
      </c>
      <c r="AB636" s="6">
        <v>62</v>
      </c>
      <c r="AC636" s="6">
        <v>66</v>
      </c>
      <c r="AD636" s="6">
        <v>67</v>
      </c>
      <c r="AE636" s="6">
        <v>64</v>
      </c>
      <c r="AF636" s="6">
        <v>73</v>
      </c>
      <c r="AG636" s="6" t="s">
        <v>7400</v>
      </c>
      <c r="AH636" s="6" t="s">
        <v>6682</v>
      </c>
    </row>
    <row r="637" spans="1:34" x14ac:dyDescent="0.2">
      <c r="A637" t="s">
        <v>3707</v>
      </c>
      <c r="B637" t="s">
        <v>1971</v>
      </c>
      <c r="C637" t="s">
        <v>2871</v>
      </c>
      <c r="D637" s="7" t="s">
        <v>154</v>
      </c>
      <c r="E637" t="s">
        <v>58</v>
      </c>
      <c r="F637">
        <v>34</v>
      </c>
      <c r="G637">
        <v>68</v>
      </c>
      <c r="H637">
        <v>76</v>
      </c>
      <c r="I637" t="s">
        <v>6333</v>
      </c>
      <c r="J637">
        <v>75</v>
      </c>
      <c r="K637">
        <v>248</v>
      </c>
      <c r="L637" t="s">
        <v>5401</v>
      </c>
      <c r="M637" s="6" t="s">
        <v>6558</v>
      </c>
      <c r="N637" s="6" t="s">
        <v>6565</v>
      </c>
      <c r="O637" s="6">
        <v>73</v>
      </c>
      <c r="P637" s="6">
        <v>68</v>
      </c>
      <c r="Q637" s="6">
        <v>83</v>
      </c>
      <c r="R637" s="6">
        <v>72</v>
      </c>
      <c r="S637" s="6">
        <v>80</v>
      </c>
      <c r="T637" s="6">
        <v>74</v>
      </c>
      <c r="U637" s="6">
        <v>74</v>
      </c>
      <c r="V637" s="6">
        <v>77</v>
      </c>
      <c r="W637" s="6">
        <v>87</v>
      </c>
      <c r="X637" s="6">
        <v>67</v>
      </c>
      <c r="Y637" s="6">
        <v>79</v>
      </c>
      <c r="Z637" s="6">
        <v>72</v>
      </c>
      <c r="AA637" s="6">
        <v>66</v>
      </c>
      <c r="AB637" s="6">
        <v>72</v>
      </c>
      <c r="AC637" s="6">
        <v>65</v>
      </c>
      <c r="AD637" s="6">
        <v>66</v>
      </c>
      <c r="AE637" s="6">
        <v>69</v>
      </c>
      <c r="AF637" s="6">
        <v>66</v>
      </c>
      <c r="AG637" s="6" t="s">
        <v>7443</v>
      </c>
      <c r="AH637" s="6" t="s">
        <v>6587</v>
      </c>
    </row>
    <row r="638" spans="1:34" x14ac:dyDescent="0.2">
      <c r="A638" t="s">
        <v>3714</v>
      </c>
      <c r="B638" t="s">
        <v>1978</v>
      </c>
      <c r="C638" t="s">
        <v>2874</v>
      </c>
      <c r="D638" s="7" t="s">
        <v>154</v>
      </c>
      <c r="E638" t="s">
        <v>38</v>
      </c>
      <c r="F638">
        <v>25</v>
      </c>
      <c r="G638">
        <v>84</v>
      </c>
      <c r="H638">
        <v>76</v>
      </c>
      <c r="I638" t="s">
        <v>6366</v>
      </c>
      <c r="J638">
        <v>73</v>
      </c>
      <c r="K638">
        <v>312</v>
      </c>
      <c r="L638" t="s">
        <v>5408</v>
      </c>
      <c r="M638" s="6" t="s">
        <v>6558</v>
      </c>
      <c r="N638" s="6" t="s">
        <v>6614</v>
      </c>
      <c r="O638" s="6">
        <v>78</v>
      </c>
      <c r="P638" s="6">
        <v>78</v>
      </c>
      <c r="Q638" s="6">
        <v>79</v>
      </c>
      <c r="R638" s="6">
        <v>60</v>
      </c>
      <c r="S638" s="6">
        <v>66</v>
      </c>
      <c r="T638" s="6">
        <v>74</v>
      </c>
      <c r="U638" s="6">
        <v>83</v>
      </c>
      <c r="V638" s="6">
        <v>75</v>
      </c>
      <c r="W638" s="6">
        <v>77</v>
      </c>
      <c r="X638" s="6">
        <v>64</v>
      </c>
      <c r="Y638" s="6">
        <v>78</v>
      </c>
      <c r="Z638" s="6">
        <v>75</v>
      </c>
      <c r="AA638" s="6">
        <v>73</v>
      </c>
      <c r="AB638" s="6">
        <v>79</v>
      </c>
      <c r="AC638" s="6">
        <v>78</v>
      </c>
      <c r="AD638" s="6">
        <v>79</v>
      </c>
      <c r="AE638" s="6">
        <v>71</v>
      </c>
      <c r="AF638" s="6">
        <v>76</v>
      </c>
      <c r="AG638" s="6" t="s">
        <v>7450</v>
      </c>
      <c r="AH638" s="6" t="s">
        <v>6598</v>
      </c>
    </row>
    <row r="639" spans="1:34" x14ac:dyDescent="0.2">
      <c r="A639" t="s">
        <v>3718</v>
      </c>
      <c r="B639" t="s">
        <v>1982</v>
      </c>
      <c r="C639" t="s">
        <v>2876</v>
      </c>
      <c r="D639" s="7" t="s">
        <v>154</v>
      </c>
      <c r="E639" t="s">
        <v>38</v>
      </c>
      <c r="F639">
        <v>33</v>
      </c>
      <c r="G639">
        <v>72</v>
      </c>
      <c r="H639">
        <v>76</v>
      </c>
      <c r="I639" t="s">
        <v>6399</v>
      </c>
      <c r="J639">
        <v>73</v>
      </c>
      <c r="K639">
        <v>316</v>
      </c>
      <c r="L639" t="s">
        <v>5412</v>
      </c>
      <c r="M639" s="6" t="s">
        <v>6558</v>
      </c>
      <c r="N639" s="6" t="s">
        <v>6583</v>
      </c>
      <c r="O639" s="6">
        <v>86</v>
      </c>
      <c r="P639" s="6">
        <v>81</v>
      </c>
      <c r="Q639" s="6">
        <v>82</v>
      </c>
      <c r="R639" s="6">
        <v>81</v>
      </c>
      <c r="S639" s="6">
        <v>84</v>
      </c>
      <c r="T639" s="6">
        <v>76</v>
      </c>
      <c r="U639" s="6">
        <v>80</v>
      </c>
      <c r="V639" s="6">
        <v>85</v>
      </c>
      <c r="W639" s="6">
        <v>74</v>
      </c>
      <c r="X639" s="6">
        <v>82</v>
      </c>
      <c r="Y639" s="6">
        <v>80</v>
      </c>
      <c r="Z639" s="6">
        <v>75</v>
      </c>
      <c r="AA639" s="6">
        <v>68</v>
      </c>
      <c r="AB639" s="6">
        <v>72</v>
      </c>
      <c r="AC639" s="6">
        <v>72</v>
      </c>
      <c r="AD639" s="6">
        <v>69</v>
      </c>
      <c r="AE639" s="6">
        <v>62</v>
      </c>
      <c r="AF639" s="6">
        <v>70</v>
      </c>
      <c r="AG639" s="6" t="s">
        <v>7454</v>
      </c>
      <c r="AH639" s="6" t="s">
        <v>6598</v>
      </c>
    </row>
    <row r="640" spans="1:34" x14ac:dyDescent="0.2">
      <c r="A640" t="s">
        <v>3725</v>
      </c>
      <c r="B640" t="s">
        <v>1989</v>
      </c>
      <c r="C640" t="s">
        <v>2879</v>
      </c>
      <c r="D640" s="7" t="s">
        <v>154</v>
      </c>
      <c r="E640" t="s">
        <v>38</v>
      </c>
      <c r="F640">
        <v>30</v>
      </c>
      <c r="G640">
        <v>72</v>
      </c>
      <c r="H640">
        <v>76</v>
      </c>
      <c r="I640" t="s">
        <v>6350</v>
      </c>
      <c r="J640">
        <v>73</v>
      </c>
      <c r="K640">
        <v>317</v>
      </c>
      <c r="L640" t="s">
        <v>5419</v>
      </c>
      <c r="M640" s="6" t="s">
        <v>6558</v>
      </c>
      <c r="N640" s="6" t="s">
        <v>6614</v>
      </c>
      <c r="O640" s="6">
        <v>67</v>
      </c>
      <c r="P640" s="6">
        <v>74</v>
      </c>
      <c r="Q640" s="6">
        <v>67</v>
      </c>
      <c r="R640" s="6">
        <v>53</v>
      </c>
      <c r="S640" s="6">
        <v>74</v>
      </c>
      <c r="T640" s="6">
        <v>69</v>
      </c>
      <c r="U640" s="6">
        <v>75</v>
      </c>
      <c r="V640" s="6">
        <v>83</v>
      </c>
      <c r="W640" s="6">
        <v>78</v>
      </c>
      <c r="X640" s="6">
        <v>75</v>
      </c>
      <c r="Y640" s="6">
        <v>67</v>
      </c>
      <c r="Z640" s="6">
        <v>79</v>
      </c>
      <c r="AA640" s="6">
        <v>72</v>
      </c>
      <c r="AB640" s="6">
        <v>64</v>
      </c>
      <c r="AC640" s="6">
        <v>62</v>
      </c>
      <c r="AD640" s="6">
        <v>69</v>
      </c>
      <c r="AE640" s="6">
        <v>73</v>
      </c>
      <c r="AF640" s="6">
        <v>72</v>
      </c>
      <c r="AG640" s="6" t="s">
        <v>7461</v>
      </c>
      <c r="AH640" s="6" t="s">
        <v>6617</v>
      </c>
    </row>
    <row r="641" spans="1:34" x14ac:dyDescent="0.2">
      <c r="A641" t="s">
        <v>3732</v>
      </c>
      <c r="B641" t="s">
        <v>1996</v>
      </c>
      <c r="C641" t="s">
        <v>2881</v>
      </c>
      <c r="D641" s="7" t="s">
        <v>154</v>
      </c>
      <c r="E641" t="s">
        <v>38</v>
      </c>
      <c r="F641">
        <v>28</v>
      </c>
      <c r="G641">
        <v>84</v>
      </c>
      <c r="H641">
        <v>76</v>
      </c>
      <c r="I641" t="s">
        <v>6308</v>
      </c>
      <c r="J641">
        <v>74</v>
      </c>
      <c r="K641">
        <v>253</v>
      </c>
      <c r="L641" t="s">
        <v>5426</v>
      </c>
      <c r="M641" s="6" t="s">
        <v>6558</v>
      </c>
      <c r="N641" s="6" t="s">
        <v>6583</v>
      </c>
      <c r="O641" s="6">
        <v>77</v>
      </c>
      <c r="P641" s="6">
        <v>78</v>
      </c>
      <c r="Q641" s="6">
        <v>79</v>
      </c>
      <c r="R641" s="6">
        <v>79</v>
      </c>
      <c r="S641" s="6">
        <v>79</v>
      </c>
      <c r="T641" s="6">
        <v>80</v>
      </c>
      <c r="U641" s="6">
        <v>84</v>
      </c>
      <c r="V641" s="6">
        <v>78</v>
      </c>
      <c r="W641" s="6">
        <v>72</v>
      </c>
      <c r="X641" s="6">
        <v>82</v>
      </c>
      <c r="Y641" s="6">
        <v>82</v>
      </c>
      <c r="Z641" s="6">
        <v>75</v>
      </c>
      <c r="AA641" s="6">
        <v>75</v>
      </c>
      <c r="AB641" s="6">
        <v>79</v>
      </c>
      <c r="AC641" s="6">
        <v>74</v>
      </c>
      <c r="AD641" s="6">
        <v>80</v>
      </c>
      <c r="AE641" s="6">
        <v>76</v>
      </c>
      <c r="AF641" s="6">
        <v>81</v>
      </c>
      <c r="AG641" s="6" t="s">
        <v>7468</v>
      </c>
      <c r="AH641" s="6" t="s">
        <v>6628</v>
      </c>
    </row>
    <row r="642" spans="1:34" x14ac:dyDescent="0.2">
      <c r="A642" t="s">
        <v>3739</v>
      </c>
      <c r="B642" t="s">
        <v>2003</v>
      </c>
      <c r="C642" t="s">
        <v>2883</v>
      </c>
      <c r="D642" s="7" t="s">
        <v>154</v>
      </c>
      <c r="E642" t="s">
        <v>38</v>
      </c>
      <c r="F642">
        <v>23</v>
      </c>
      <c r="G642">
        <v>64</v>
      </c>
      <c r="H642">
        <v>76</v>
      </c>
      <c r="I642" t="s">
        <v>6356</v>
      </c>
      <c r="J642">
        <v>71</v>
      </c>
      <c r="K642">
        <v>204</v>
      </c>
      <c r="L642" t="s">
        <v>5433</v>
      </c>
      <c r="M642" s="6" t="s">
        <v>6558</v>
      </c>
      <c r="N642" s="6" t="s">
        <v>6565</v>
      </c>
      <c r="O642" s="6">
        <v>66</v>
      </c>
      <c r="P642" s="6">
        <v>61</v>
      </c>
      <c r="Q642" s="6">
        <v>68</v>
      </c>
      <c r="R642" s="6">
        <v>70</v>
      </c>
      <c r="S642" s="6">
        <v>67</v>
      </c>
      <c r="T642" s="6">
        <v>67</v>
      </c>
      <c r="U642" s="6">
        <v>78</v>
      </c>
      <c r="V642" s="6">
        <v>72</v>
      </c>
      <c r="W642" s="6">
        <v>50</v>
      </c>
      <c r="X642" s="6">
        <v>67</v>
      </c>
      <c r="Y642" s="6">
        <v>70</v>
      </c>
      <c r="Z642" s="6">
        <v>69</v>
      </c>
      <c r="AA642" s="6">
        <v>73</v>
      </c>
      <c r="AB642" s="6">
        <v>66</v>
      </c>
      <c r="AC642" s="6">
        <v>59</v>
      </c>
      <c r="AD642" s="6">
        <v>66</v>
      </c>
      <c r="AE642" s="6">
        <v>69</v>
      </c>
      <c r="AF642" s="6">
        <v>72</v>
      </c>
      <c r="AG642" s="6" t="s">
        <v>7475</v>
      </c>
      <c r="AH642" s="6" t="s">
        <v>6640</v>
      </c>
    </row>
    <row r="643" spans="1:34" x14ac:dyDescent="0.2">
      <c r="A643" t="s">
        <v>3750</v>
      </c>
      <c r="B643" t="s">
        <v>2014</v>
      </c>
      <c r="C643" t="s">
        <v>2870</v>
      </c>
      <c r="D643" s="7" t="s">
        <v>155</v>
      </c>
      <c r="E643" t="s">
        <v>38</v>
      </c>
      <c r="F643">
        <v>22</v>
      </c>
      <c r="G643">
        <v>69</v>
      </c>
      <c r="H643">
        <v>76</v>
      </c>
      <c r="I643" t="s">
        <v>6360</v>
      </c>
      <c r="J643">
        <v>71</v>
      </c>
      <c r="K643">
        <v>229</v>
      </c>
      <c r="L643" t="s">
        <v>5444</v>
      </c>
      <c r="M643" s="6" t="s">
        <v>6558</v>
      </c>
      <c r="N643" s="6" t="s">
        <v>6614</v>
      </c>
      <c r="O643" s="6">
        <v>59</v>
      </c>
      <c r="P643" s="6">
        <v>62</v>
      </c>
      <c r="Q643" s="6">
        <v>63</v>
      </c>
      <c r="R643" s="6">
        <v>62</v>
      </c>
      <c r="S643" s="6">
        <v>82</v>
      </c>
      <c r="T643" s="6">
        <v>70</v>
      </c>
      <c r="U643" s="6">
        <v>73</v>
      </c>
      <c r="V643" s="6">
        <v>64</v>
      </c>
      <c r="W643" s="6">
        <v>69</v>
      </c>
      <c r="X643" s="6">
        <v>56</v>
      </c>
      <c r="Y643" s="6">
        <v>61</v>
      </c>
      <c r="Z643" s="6">
        <v>78</v>
      </c>
      <c r="AA643" s="6">
        <v>67</v>
      </c>
      <c r="AB643" s="6">
        <v>62</v>
      </c>
      <c r="AC643" s="6">
        <v>65</v>
      </c>
      <c r="AD643" s="6">
        <v>65</v>
      </c>
      <c r="AE643" s="6">
        <v>67</v>
      </c>
      <c r="AF643" s="6">
        <v>62</v>
      </c>
      <c r="AG643" s="6" t="s">
        <v>7486</v>
      </c>
      <c r="AH643" s="6" t="s">
        <v>6656</v>
      </c>
    </row>
    <row r="644" spans="1:34" x14ac:dyDescent="0.2">
      <c r="A644" t="s">
        <v>3762</v>
      </c>
      <c r="B644" t="s">
        <v>2026</v>
      </c>
      <c r="C644" t="s">
        <v>2872</v>
      </c>
      <c r="D644" s="7" t="s">
        <v>155</v>
      </c>
      <c r="E644" t="s">
        <v>38</v>
      </c>
      <c r="F644">
        <v>28</v>
      </c>
      <c r="G644">
        <v>69</v>
      </c>
      <c r="H644">
        <v>76</v>
      </c>
      <c r="I644" t="s">
        <v>6320</v>
      </c>
      <c r="J644">
        <v>78</v>
      </c>
      <c r="K644">
        <v>303</v>
      </c>
      <c r="L644" t="s">
        <v>5456</v>
      </c>
      <c r="M644" s="6" t="s">
        <v>6558</v>
      </c>
      <c r="N644" s="6" t="s">
        <v>6565</v>
      </c>
      <c r="O644" s="6">
        <v>71</v>
      </c>
      <c r="P644" s="6">
        <v>70</v>
      </c>
      <c r="Q644" s="6">
        <v>63</v>
      </c>
      <c r="R644" s="6">
        <v>70</v>
      </c>
      <c r="S644" s="6">
        <v>72</v>
      </c>
      <c r="T644" s="6">
        <v>67</v>
      </c>
      <c r="U644" s="6">
        <v>63</v>
      </c>
      <c r="V644" s="6">
        <v>64</v>
      </c>
      <c r="W644" s="6">
        <v>69</v>
      </c>
      <c r="X644" s="6">
        <v>66</v>
      </c>
      <c r="Y644" s="6">
        <v>79</v>
      </c>
      <c r="Z644" s="6">
        <v>66</v>
      </c>
      <c r="AA644" s="6">
        <v>63</v>
      </c>
      <c r="AB644" s="6">
        <v>70</v>
      </c>
      <c r="AC644" s="6">
        <v>67</v>
      </c>
      <c r="AD644" s="6">
        <v>69</v>
      </c>
      <c r="AE644" s="6">
        <v>64</v>
      </c>
      <c r="AF644" s="6">
        <v>76</v>
      </c>
      <c r="AG644" s="6" t="s">
        <v>7498</v>
      </c>
      <c r="AH644" s="6" t="s">
        <v>6593</v>
      </c>
    </row>
    <row r="645" spans="1:34" x14ac:dyDescent="0.2">
      <c r="A645" t="s">
        <v>3763</v>
      </c>
      <c r="B645" t="s">
        <v>2027</v>
      </c>
      <c r="C645" t="s">
        <v>2873</v>
      </c>
      <c r="D645" s="7" t="s">
        <v>155</v>
      </c>
      <c r="E645" t="s">
        <v>38</v>
      </c>
      <c r="F645">
        <v>28</v>
      </c>
      <c r="G645">
        <v>74</v>
      </c>
      <c r="H645">
        <v>76</v>
      </c>
      <c r="I645" t="s">
        <v>6321</v>
      </c>
      <c r="J645">
        <v>77</v>
      </c>
      <c r="K645">
        <v>333</v>
      </c>
      <c r="L645" t="s">
        <v>5457</v>
      </c>
      <c r="M645" s="6" t="s">
        <v>6558</v>
      </c>
      <c r="N645" s="6" t="s">
        <v>6583</v>
      </c>
      <c r="O645" s="6">
        <v>83</v>
      </c>
      <c r="P645" s="6">
        <v>83</v>
      </c>
      <c r="Q645" s="6">
        <v>84</v>
      </c>
      <c r="R645" s="6">
        <v>80</v>
      </c>
      <c r="S645" s="6">
        <v>75</v>
      </c>
      <c r="T645" s="6">
        <v>72</v>
      </c>
      <c r="U645" s="6">
        <v>73</v>
      </c>
      <c r="V645" s="6">
        <v>71</v>
      </c>
      <c r="W645" s="6">
        <v>76</v>
      </c>
      <c r="X645" s="6">
        <v>81</v>
      </c>
      <c r="Y645" s="6">
        <v>72</v>
      </c>
      <c r="Z645" s="6">
        <v>71</v>
      </c>
      <c r="AA645" s="6">
        <v>70</v>
      </c>
      <c r="AB645" s="6">
        <v>70</v>
      </c>
      <c r="AC645" s="6">
        <v>72</v>
      </c>
      <c r="AD645" s="6">
        <v>77</v>
      </c>
      <c r="AE645" s="6">
        <v>71</v>
      </c>
      <c r="AF645" s="6">
        <v>79</v>
      </c>
      <c r="AG645" s="6" t="s">
        <v>7499</v>
      </c>
      <c r="AH645" s="6" t="s">
        <v>6596</v>
      </c>
    </row>
    <row r="646" spans="1:34" x14ac:dyDescent="0.2">
      <c r="A646" t="s">
        <v>3775</v>
      </c>
      <c r="B646" t="s">
        <v>2039</v>
      </c>
      <c r="C646" t="s">
        <v>2878</v>
      </c>
      <c r="D646" s="7" t="s">
        <v>155</v>
      </c>
      <c r="E646" t="s">
        <v>38</v>
      </c>
      <c r="F646">
        <v>32</v>
      </c>
      <c r="G646">
        <v>71</v>
      </c>
      <c r="H646">
        <v>76</v>
      </c>
      <c r="I646" t="s">
        <v>6407</v>
      </c>
      <c r="J646">
        <v>76</v>
      </c>
      <c r="K646">
        <v>260</v>
      </c>
      <c r="L646" t="s">
        <v>5469</v>
      </c>
      <c r="M646" s="6" t="s">
        <v>6558</v>
      </c>
      <c r="N646" s="6" t="s">
        <v>6567</v>
      </c>
      <c r="O646" s="6">
        <v>63</v>
      </c>
      <c r="P646" s="6">
        <v>77</v>
      </c>
      <c r="Q646" s="6">
        <v>79</v>
      </c>
      <c r="R646" s="6">
        <v>66</v>
      </c>
      <c r="S646" s="6">
        <v>78</v>
      </c>
      <c r="T646" s="6">
        <v>69</v>
      </c>
      <c r="U646" s="6">
        <v>70</v>
      </c>
      <c r="V646" s="6">
        <v>78</v>
      </c>
      <c r="W646" s="6">
        <v>74</v>
      </c>
      <c r="X646" s="6">
        <v>74</v>
      </c>
      <c r="Y646" s="6">
        <v>70</v>
      </c>
      <c r="Z646" s="6">
        <v>75</v>
      </c>
      <c r="AA646" s="6">
        <v>69</v>
      </c>
      <c r="AB646" s="6">
        <v>61</v>
      </c>
      <c r="AC646" s="6">
        <v>64</v>
      </c>
      <c r="AD646" s="6">
        <v>63</v>
      </c>
      <c r="AE646" s="6">
        <v>63</v>
      </c>
      <c r="AF646" s="6">
        <v>58</v>
      </c>
      <c r="AG646" s="6" t="s">
        <v>7511</v>
      </c>
      <c r="AH646" s="6" t="s">
        <v>6686</v>
      </c>
    </row>
    <row r="647" spans="1:34" x14ac:dyDescent="0.2">
      <c r="A647" t="s">
        <v>3779</v>
      </c>
      <c r="B647" t="s">
        <v>2043</v>
      </c>
      <c r="C647" t="s">
        <v>2879</v>
      </c>
      <c r="D647" s="7" t="s">
        <v>155</v>
      </c>
      <c r="E647" t="s">
        <v>38</v>
      </c>
      <c r="F647">
        <v>30</v>
      </c>
      <c r="G647">
        <v>90</v>
      </c>
      <c r="H647">
        <v>76</v>
      </c>
      <c r="I647" t="s">
        <v>6380</v>
      </c>
      <c r="J647">
        <v>73</v>
      </c>
      <c r="K647">
        <v>329</v>
      </c>
      <c r="L647" t="s">
        <v>5473</v>
      </c>
      <c r="M647" s="6" t="s">
        <v>6558</v>
      </c>
      <c r="N647" s="6" t="s">
        <v>6559</v>
      </c>
      <c r="O647" s="6">
        <v>70</v>
      </c>
      <c r="P647" s="6">
        <v>88</v>
      </c>
      <c r="Q647" s="6">
        <v>91</v>
      </c>
      <c r="R647" s="6">
        <v>82</v>
      </c>
      <c r="S647" s="6">
        <v>81</v>
      </c>
      <c r="T647" s="6">
        <v>74</v>
      </c>
      <c r="U647" s="6">
        <v>79</v>
      </c>
      <c r="V647" s="6">
        <v>79</v>
      </c>
      <c r="W647" s="6">
        <v>85</v>
      </c>
      <c r="X647" s="6">
        <v>85</v>
      </c>
      <c r="Y647" s="6">
        <v>82</v>
      </c>
      <c r="Z647" s="6">
        <v>79</v>
      </c>
      <c r="AA647" s="6">
        <v>81</v>
      </c>
      <c r="AB647" s="6">
        <v>77</v>
      </c>
      <c r="AC647" s="6">
        <v>77</v>
      </c>
      <c r="AD647" s="6">
        <v>81</v>
      </c>
      <c r="AE647" s="6">
        <v>76</v>
      </c>
      <c r="AF647" s="6">
        <v>80</v>
      </c>
      <c r="AG647" s="6" t="s">
        <v>7515</v>
      </c>
      <c r="AH647" s="6" t="s">
        <v>6806</v>
      </c>
    </row>
    <row r="648" spans="1:34" x14ac:dyDescent="0.2">
      <c r="A648" t="s">
        <v>3787</v>
      </c>
      <c r="B648" t="s">
        <v>2051</v>
      </c>
      <c r="C648" t="s">
        <v>61</v>
      </c>
      <c r="D648" s="7" t="s">
        <v>155</v>
      </c>
      <c r="E648" t="s">
        <v>38</v>
      </c>
      <c r="F648">
        <v>22</v>
      </c>
      <c r="G648">
        <v>72</v>
      </c>
      <c r="H648">
        <v>76</v>
      </c>
      <c r="I648" t="s">
        <v>6504</v>
      </c>
      <c r="J648">
        <v>69</v>
      </c>
      <c r="K648">
        <v>186</v>
      </c>
      <c r="L648" t="s">
        <v>5481</v>
      </c>
      <c r="M648" s="6" t="s">
        <v>6558</v>
      </c>
      <c r="N648" s="6" t="s">
        <v>6565</v>
      </c>
      <c r="O648" s="6">
        <v>64</v>
      </c>
      <c r="P648" s="6">
        <v>67</v>
      </c>
      <c r="Q648" s="6">
        <v>74</v>
      </c>
      <c r="R648" s="6">
        <v>70</v>
      </c>
      <c r="S648" s="6">
        <v>73</v>
      </c>
      <c r="T648" s="6">
        <v>74</v>
      </c>
      <c r="U648" s="6">
        <v>68</v>
      </c>
      <c r="V648" s="6">
        <v>72</v>
      </c>
      <c r="W648" s="6">
        <v>66</v>
      </c>
      <c r="X648" s="6">
        <v>67</v>
      </c>
      <c r="Y648" s="6">
        <v>68</v>
      </c>
      <c r="Z648" s="6">
        <v>66</v>
      </c>
      <c r="AA648" s="6">
        <v>72</v>
      </c>
      <c r="AB648" s="6">
        <v>75</v>
      </c>
      <c r="AC648" s="6">
        <v>69</v>
      </c>
      <c r="AD648" s="6">
        <v>79</v>
      </c>
      <c r="AE648" s="6">
        <v>67</v>
      </c>
      <c r="AF648" s="6">
        <v>70</v>
      </c>
      <c r="AG648" s="6" t="s">
        <v>7523</v>
      </c>
      <c r="AH648" s="6" t="s">
        <v>6630</v>
      </c>
    </row>
    <row r="649" spans="1:34" x14ac:dyDescent="0.2">
      <c r="A649" t="s">
        <v>3796</v>
      </c>
      <c r="B649" t="s">
        <v>2060</v>
      </c>
      <c r="C649" t="s">
        <v>2885</v>
      </c>
      <c r="D649" s="7" t="s">
        <v>155</v>
      </c>
      <c r="E649" t="s">
        <v>38</v>
      </c>
      <c r="F649">
        <v>26</v>
      </c>
      <c r="G649">
        <v>77</v>
      </c>
      <c r="H649">
        <v>76</v>
      </c>
      <c r="I649" t="s">
        <v>6387</v>
      </c>
      <c r="J649">
        <v>72</v>
      </c>
      <c r="K649">
        <v>243</v>
      </c>
      <c r="L649" t="s">
        <v>5490</v>
      </c>
      <c r="M649" s="6" t="s">
        <v>6558</v>
      </c>
      <c r="N649" s="6" t="s">
        <v>6565</v>
      </c>
      <c r="O649" s="6">
        <v>66</v>
      </c>
      <c r="P649" s="6">
        <v>75</v>
      </c>
      <c r="Q649" s="6">
        <v>73</v>
      </c>
      <c r="R649" s="6">
        <v>72</v>
      </c>
      <c r="S649" s="6">
        <v>78</v>
      </c>
      <c r="T649" s="6">
        <v>72</v>
      </c>
      <c r="U649" s="6">
        <v>72</v>
      </c>
      <c r="V649" s="6">
        <v>71</v>
      </c>
      <c r="W649" s="6">
        <v>84</v>
      </c>
      <c r="X649" s="6">
        <v>72</v>
      </c>
      <c r="Y649" s="6">
        <v>81</v>
      </c>
      <c r="Z649" s="6">
        <v>71</v>
      </c>
      <c r="AA649" s="6">
        <v>74</v>
      </c>
      <c r="AB649" s="6">
        <v>64</v>
      </c>
      <c r="AC649" s="6">
        <v>76</v>
      </c>
      <c r="AD649" s="6">
        <v>71</v>
      </c>
      <c r="AE649" s="6">
        <v>67</v>
      </c>
      <c r="AF649" s="6">
        <v>70</v>
      </c>
      <c r="AG649" s="6" t="s">
        <v>7532</v>
      </c>
      <c r="AH649" s="6" t="s">
        <v>6628</v>
      </c>
    </row>
    <row r="650" spans="1:34" x14ac:dyDescent="0.2">
      <c r="A650" t="s">
        <v>3802</v>
      </c>
      <c r="B650" t="s">
        <v>2066</v>
      </c>
      <c r="C650" t="s">
        <v>2886</v>
      </c>
      <c r="D650" s="7" t="s">
        <v>155</v>
      </c>
      <c r="E650" t="s">
        <v>38</v>
      </c>
      <c r="F650">
        <v>23</v>
      </c>
      <c r="G650">
        <v>64</v>
      </c>
      <c r="H650">
        <v>76</v>
      </c>
      <c r="I650" t="s">
        <v>6379</v>
      </c>
      <c r="J650">
        <v>75</v>
      </c>
      <c r="K650">
        <v>253</v>
      </c>
      <c r="L650" t="s">
        <v>5496</v>
      </c>
      <c r="M650" s="6" t="s">
        <v>6558</v>
      </c>
      <c r="N650" s="6" t="s">
        <v>6567</v>
      </c>
      <c r="O650" s="6">
        <v>77</v>
      </c>
      <c r="P650" s="6">
        <v>73</v>
      </c>
      <c r="Q650" s="6">
        <v>66</v>
      </c>
      <c r="R650" s="6">
        <v>66</v>
      </c>
      <c r="S650" s="6">
        <v>78</v>
      </c>
      <c r="T650" s="6">
        <v>71</v>
      </c>
      <c r="U650" s="6">
        <v>73</v>
      </c>
      <c r="V650" s="6">
        <v>79</v>
      </c>
      <c r="W650" s="6">
        <v>85</v>
      </c>
      <c r="X650" s="6">
        <v>78</v>
      </c>
      <c r="Y650" s="6">
        <v>73</v>
      </c>
      <c r="Z650" s="6">
        <v>69</v>
      </c>
      <c r="AA650" s="6">
        <v>79</v>
      </c>
      <c r="AB650" s="6">
        <v>70</v>
      </c>
      <c r="AC650" s="6">
        <v>73</v>
      </c>
      <c r="AD650" s="6">
        <v>74</v>
      </c>
      <c r="AE650" s="6">
        <v>75</v>
      </c>
      <c r="AF650" s="6">
        <v>71</v>
      </c>
      <c r="AG650" s="6" t="s">
        <v>7538</v>
      </c>
      <c r="AH650" s="6" t="s">
        <v>6649</v>
      </c>
    </row>
    <row r="651" spans="1:34" x14ac:dyDescent="0.2">
      <c r="A651" t="s">
        <v>3804</v>
      </c>
      <c r="B651" t="s">
        <v>2068</v>
      </c>
      <c r="C651" t="s">
        <v>53</v>
      </c>
      <c r="D651" s="7" t="s">
        <v>148</v>
      </c>
      <c r="E651" t="s">
        <v>38</v>
      </c>
      <c r="F651">
        <v>25</v>
      </c>
      <c r="G651">
        <v>69</v>
      </c>
      <c r="H651">
        <v>76</v>
      </c>
      <c r="I651" t="s">
        <v>6507</v>
      </c>
      <c r="J651">
        <v>76</v>
      </c>
      <c r="K651">
        <v>231</v>
      </c>
      <c r="L651" t="s">
        <v>5498</v>
      </c>
      <c r="M651" s="6" t="s">
        <v>6558</v>
      </c>
      <c r="N651" s="6" t="s">
        <v>6583</v>
      </c>
      <c r="O651" s="6">
        <v>80</v>
      </c>
      <c r="P651" s="6">
        <v>79</v>
      </c>
      <c r="Q651" s="6">
        <v>66</v>
      </c>
      <c r="R651" s="6">
        <v>77</v>
      </c>
      <c r="S651" s="6">
        <v>68</v>
      </c>
      <c r="T651" s="6">
        <v>76</v>
      </c>
      <c r="U651" s="6">
        <v>86</v>
      </c>
      <c r="V651" s="6">
        <v>68</v>
      </c>
      <c r="W651" s="6">
        <v>65</v>
      </c>
      <c r="X651" s="6">
        <v>68</v>
      </c>
      <c r="Y651" s="6">
        <v>70</v>
      </c>
      <c r="Z651" s="6">
        <v>67</v>
      </c>
      <c r="AA651" s="6">
        <v>69</v>
      </c>
      <c r="AB651" s="6">
        <v>67</v>
      </c>
      <c r="AC651" s="6">
        <v>63</v>
      </c>
      <c r="AD651" s="6">
        <v>67</v>
      </c>
      <c r="AE651" s="6">
        <v>66</v>
      </c>
      <c r="AF651" s="6">
        <v>76</v>
      </c>
      <c r="AG651" s="6" t="s">
        <v>7540</v>
      </c>
      <c r="AH651" s="6" t="s">
        <v>6570</v>
      </c>
    </row>
    <row r="652" spans="1:34" x14ac:dyDescent="0.2">
      <c r="A652" t="s">
        <v>3806</v>
      </c>
      <c r="B652" t="s">
        <v>2070</v>
      </c>
      <c r="C652" t="s">
        <v>2870</v>
      </c>
      <c r="D652" s="7" t="s">
        <v>148</v>
      </c>
      <c r="E652" t="s">
        <v>58</v>
      </c>
      <c r="F652">
        <v>25</v>
      </c>
      <c r="G652">
        <v>76</v>
      </c>
      <c r="H652">
        <v>76</v>
      </c>
      <c r="I652" t="s">
        <v>6509</v>
      </c>
      <c r="J652">
        <v>71</v>
      </c>
      <c r="K652">
        <v>230</v>
      </c>
      <c r="L652" t="s">
        <v>5500</v>
      </c>
      <c r="M652" s="6" t="s">
        <v>6558</v>
      </c>
      <c r="N652" s="6" t="s">
        <v>6565</v>
      </c>
      <c r="O652" s="6">
        <v>71</v>
      </c>
      <c r="P652" s="6">
        <v>72</v>
      </c>
      <c r="Q652" s="6">
        <v>73</v>
      </c>
      <c r="R652" s="6">
        <v>73</v>
      </c>
      <c r="S652" s="6">
        <v>82</v>
      </c>
      <c r="T652" s="6">
        <v>63</v>
      </c>
      <c r="U652" s="6">
        <v>79</v>
      </c>
      <c r="V652" s="6">
        <v>76</v>
      </c>
      <c r="W652" s="6">
        <v>74</v>
      </c>
      <c r="X652" s="6">
        <v>81</v>
      </c>
      <c r="Y652" s="6">
        <v>80</v>
      </c>
      <c r="Z652" s="6">
        <v>76</v>
      </c>
      <c r="AA652" s="6">
        <v>75</v>
      </c>
      <c r="AB652" s="6">
        <v>74</v>
      </c>
      <c r="AC652" s="6">
        <v>77</v>
      </c>
      <c r="AD652" s="6">
        <v>68</v>
      </c>
      <c r="AE652" s="6">
        <v>79</v>
      </c>
      <c r="AF652" s="6">
        <v>73</v>
      </c>
      <c r="AG652" s="6" t="s">
        <v>7542</v>
      </c>
      <c r="AH652" s="6" t="s">
        <v>6656</v>
      </c>
    </row>
    <row r="653" spans="1:34" x14ac:dyDescent="0.2">
      <c r="A653" t="s">
        <v>3834</v>
      </c>
      <c r="B653" t="s">
        <v>2098</v>
      </c>
      <c r="C653" t="s">
        <v>61</v>
      </c>
      <c r="D653" s="7" t="s">
        <v>148</v>
      </c>
      <c r="E653" t="s">
        <v>38</v>
      </c>
      <c r="F653">
        <v>22</v>
      </c>
      <c r="G653">
        <v>80</v>
      </c>
      <c r="H653">
        <v>76</v>
      </c>
      <c r="I653" t="s">
        <v>6437</v>
      </c>
      <c r="J653">
        <v>71</v>
      </c>
      <c r="K653">
        <v>198</v>
      </c>
      <c r="L653" t="s">
        <v>5528</v>
      </c>
      <c r="M653" s="6" t="s">
        <v>6558</v>
      </c>
      <c r="N653" s="6" t="s">
        <v>6567</v>
      </c>
      <c r="O653" s="6">
        <v>75</v>
      </c>
      <c r="P653" s="6">
        <v>75</v>
      </c>
      <c r="Q653" s="6">
        <v>69</v>
      </c>
      <c r="R653" s="6">
        <v>67</v>
      </c>
      <c r="S653" s="6">
        <v>88</v>
      </c>
      <c r="T653" s="6">
        <v>68</v>
      </c>
      <c r="U653" s="6">
        <v>89</v>
      </c>
      <c r="V653" s="6">
        <v>83</v>
      </c>
      <c r="W653" s="6">
        <v>76</v>
      </c>
      <c r="X653" s="6">
        <v>71</v>
      </c>
      <c r="Y653" s="6">
        <v>78</v>
      </c>
      <c r="Z653" s="6">
        <v>69</v>
      </c>
      <c r="AA653" s="6">
        <v>80</v>
      </c>
      <c r="AB653" s="6">
        <v>74</v>
      </c>
      <c r="AC653" s="6">
        <v>65</v>
      </c>
      <c r="AD653" s="6">
        <v>79</v>
      </c>
      <c r="AE653" s="6">
        <v>73</v>
      </c>
      <c r="AF653" s="6">
        <v>78</v>
      </c>
      <c r="AG653" s="6" t="s">
        <v>7570</v>
      </c>
      <c r="AH653" s="6" t="s">
        <v>7408</v>
      </c>
    </row>
    <row r="654" spans="1:34" x14ac:dyDescent="0.2">
      <c r="A654" t="s">
        <v>3857</v>
      </c>
      <c r="B654" t="s">
        <v>2121</v>
      </c>
      <c r="C654" t="s">
        <v>57</v>
      </c>
      <c r="D654" s="7" t="s">
        <v>147</v>
      </c>
      <c r="E654" t="s">
        <v>38</v>
      </c>
      <c r="F654">
        <v>27</v>
      </c>
      <c r="G654">
        <v>83</v>
      </c>
      <c r="H654">
        <v>76</v>
      </c>
      <c r="I654" t="s">
        <v>6527</v>
      </c>
      <c r="J654">
        <v>69</v>
      </c>
      <c r="K654">
        <v>213</v>
      </c>
      <c r="L654" t="s">
        <v>5551</v>
      </c>
      <c r="M654" s="6" t="s">
        <v>6558</v>
      </c>
      <c r="N654" s="6" t="s">
        <v>6565</v>
      </c>
      <c r="O654" s="6">
        <v>82</v>
      </c>
      <c r="P654" s="6">
        <v>73</v>
      </c>
      <c r="Q654" s="6">
        <v>88</v>
      </c>
      <c r="R654" s="6">
        <v>74</v>
      </c>
      <c r="S654" s="6">
        <v>80</v>
      </c>
      <c r="T654" s="6">
        <v>75</v>
      </c>
      <c r="U654" s="6">
        <v>88</v>
      </c>
      <c r="V654" s="6">
        <v>77</v>
      </c>
      <c r="W654" s="6">
        <v>84</v>
      </c>
      <c r="X654" s="6">
        <v>73</v>
      </c>
      <c r="Y654" s="6">
        <v>92</v>
      </c>
      <c r="Z654" s="6">
        <v>93</v>
      </c>
      <c r="AA654" s="6">
        <v>77</v>
      </c>
      <c r="AB654" s="6">
        <v>79</v>
      </c>
      <c r="AC654" s="6">
        <v>79</v>
      </c>
      <c r="AD654" s="6">
        <v>69</v>
      </c>
      <c r="AE654" s="6">
        <v>70</v>
      </c>
      <c r="AF654" s="6">
        <v>80</v>
      </c>
      <c r="AG654" s="6" t="s">
        <v>7593</v>
      </c>
      <c r="AH654" s="6" t="s">
        <v>6730</v>
      </c>
    </row>
    <row r="655" spans="1:34" x14ac:dyDescent="0.2">
      <c r="A655" t="s">
        <v>3876</v>
      </c>
      <c r="B655" t="s">
        <v>2140</v>
      </c>
      <c r="C655" t="s">
        <v>2878</v>
      </c>
      <c r="D655" s="7" t="s">
        <v>147</v>
      </c>
      <c r="E655" t="s">
        <v>58</v>
      </c>
      <c r="F655">
        <v>32</v>
      </c>
      <c r="G655">
        <v>69</v>
      </c>
      <c r="H655">
        <v>76</v>
      </c>
      <c r="I655" t="s">
        <v>6457</v>
      </c>
      <c r="J655">
        <v>75</v>
      </c>
      <c r="K655">
        <v>258</v>
      </c>
      <c r="L655" t="s">
        <v>5570</v>
      </c>
      <c r="M655" s="6" t="s">
        <v>6558</v>
      </c>
      <c r="N655" s="6" t="s">
        <v>6614</v>
      </c>
      <c r="O655" s="6">
        <v>72</v>
      </c>
      <c r="P655" s="6">
        <v>72</v>
      </c>
      <c r="Q655" s="6">
        <v>74</v>
      </c>
      <c r="R655" s="6">
        <v>62</v>
      </c>
      <c r="S655" s="6">
        <v>86</v>
      </c>
      <c r="T655" s="6">
        <v>74</v>
      </c>
      <c r="U655" s="6">
        <v>89</v>
      </c>
      <c r="V655" s="6">
        <v>85</v>
      </c>
      <c r="W655" s="6">
        <v>74</v>
      </c>
      <c r="X655" s="6">
        <v>88</v>
      </c>
      <c r="Y655" s="6">
        <v>75</v>
      </c>
      <c r="Z655" s="6">
        <v>81</v>
      </c>
      <c r="AA655" s="6">
        <v>69</v>
      </c>
      <c r="AB655" s="6">
        <v>58</v>
      </c>
      <c r="AC655" s="6">
        <v>66</v>
      </c>
      <c r="AD655" s="6">
        <v>56</v>
      </c>
      <c r="AE655" s="6">
        <v>61</v>
      </c>
      <c r="AF655" s="6">
        <v>67</v>
      </c>
      <c r="AG655" s="6" t="s">
        <v>7611</v>
      </c>
      <c r="AH655" s="6" t="s">
        <v>6686</v>
      </c>
    </row>
    <row r="656" spans="1:34" x14ac:dyDescent="0.2">
      <c r="A656" t="s">
        <v>3878</v>
      </c>
      <c r="B656" t="s">
        <v>2142</v>
      </c>
      <c r="C656" t="s">
        <v>2879</v>
      </c>
      <c r="D656" s="7" t="s">
        <v>147</v>
      </c>
      <c r="E656" t="s">
        <v>38</v>
      </c>
      <c r="F656">
        <v>26</v>
      </c>
      <c r="G656">
        <v>81</v>
      </c>
      <c r="H656">
        <v>76</v>
      </c>
      <c r="I656" t="s">
        <v>6459</v>
      </c>
      <c r="J656">
        <v>72</v>
      </c>
      <c r="K656">
        <v>328</v>
      </c>
      <c r="L656" t="s">
        <v>5572</v>
      </c>
      <c r="M656" s="6" t="s">
        <v>6558</v>
      </c>
      <c r="N656" s="6" t="s">
        <v>6565</v>
      </c>
      <c r="O656" s="6">
        <v>80</v>
      </c>
      <c r="P656" s="6">
        <v>77</v>
      </c>
      <c r="Q656" s="6">
        <v>82</v>
      </c>
      <c r="R656" s="6">
        <v>75</v>
      </c>
      <c r="S656" s="6">
        <v>77</v>
      </c>
      <c r="T656" s="6">
        <v>75</v>
      </c>
      <c r="U656" s="6">
        <v>79</v>
      </c>
      <c r="V656" s="6">
        <v>81</v>
      </c>
      <c r="W656" s="6">
        <v>81</v>
      </c>
      <c r="X656" s="6">
        <v>75</v>
      </c>
      <c r="Y656" s="6">
        <v>75</v>
      </c>
      <c r="Z656" s="6">
        <v>77</v>
      </c>
      <c r="AA656" s="6">
        <v>79</v>
      </c>
      <c r="AB656" s="6">
        <v>81</v>
      </c>
      <c r="AC656" s="6">
        <v>79</v>
      </c>
      <c r="AD656" s="6">
        <v>88</v>
      </c>
      <c r="AE656" s="6">
        <v>81</v>
      </c>
      <c r="AF656" s="6">
        <v>79</v>
      </c>
      <c r="AG656" s="6" t="s">
        <v>7613</v>
      </c>
      <c r="AH656" s="6" t="s">
        <v>6752</v>
      </c>
    </row>
    <row r="657" spans="1:34" x14ac:dyDescent="0.2">
      <c r="A657" t="s">
        <v>3883</v>
      </c>
      <c r="B657" t="s">
        <v>2147</v>
      </c>
      <c r="C657" t="s">
        <v>2880</v>
      </c>
      <c r="D657" s="7" t="s">
        <v>147</v>
      </c>
      <c r="E657" t="s">
        <v>58</v>
      </c>
      <c r="F657">
        <v>33</v>
      </c>
      <c r="G657">
        <v>82</v>
      </c>
      <c r="H657">
        <v>76</v>
      </c>
      <c r="I657" t="s">
        <v>6464</v>
      </c>
      <c r="J657">
        <v>74</v>
      </c>
      <c r="K657">
        <v>251</v>
      </c>
      <c r="L657" t="s">
        <v>5577</v>
      </c>
      <c r="M657" s="6" t="s">
        <v>6558</v>
      </c>
      <c r="N657" s="6" t="s">
        <v>6583</v>
      </c>
      <c r="O657" s="6">
        <v>78</v>
      </c>
      <c r="P657" s="6">
        <v>75</v>
      </c>
      <c r="Q657" s="6">
        <v>85</v>
      </c>
      <c r="R657" s="6">
        <v>76</v>
      </c>
      <c r="S657" s="6">
        <v>77</v>
      </c>
      <c r="T657" s="6">
        <v>74</v>
      </c>
      <c r="U657" s="6">
        <v>74</v>
      </c>
      <c r="V657" s="6">
        <v>73</v>
      </c>
      <c r="W657" s="6">
        <v>90</v>
      </c>
      <c r="X657" s="6">
        <v>84</v>
      </c>
      <c r="Y657" s="6">
        <v>74</v>
      </c>
      <c r="Z657" s="6">
        <v>82</v>
      </c>
      <c r="AA657" s="6">
        <v>69</v>
      </c>
      <c r="AB657" s="6">
        <v>66</v>
      </c>
      <c r="AC657" s="6">
        <v>68</v>
      </c>
      <c r="AD657" s="6">
        <v>69</v>
      </c>
      <c r="AE657" s="6">
        <v>63</v>
      </c>
      <c r="AF657" s="6">
        <v>69</v>
      </c>
      <c r="AG657" s="6" t="s">
        <v>7618</v>
      </c>
      <c r="AH657" s="6" t="s">
        <v>6623</v>
      </c>
    </row>
    <row r="658" spans="1:34" x14ac:dyDescent="0.2">
      <c r="A658" t="s">
        <v>3897</v>
      </c>
      <c r="B658" t="s">
        <v>2161</v>
      </c>
      <c r="C658" t="s">
        <v>2890</v>
      </c>
      <c r="D658" s="7" t="s">
        <v>147</v>
      </c>
      <c r="E658" t="s">
        <v>58</v>
      </c>
      <c r="F658">
        <v>24</v>
      </c>
      <c r="G658">
        <v>85</v>
      </c>
      <c r="H658">
        <v>76</v>
      </c>
      <c r="I658" t="s">
        <v>6534</v>
      </c>
      <c r="J658">
        <v>68</v>
      </c>
      <c r="K658">
        <v>203</v>
      </c>
      <c r="L658" t="s">
        <v>5591</v>
      </c>
      <c r="M658" s="6" t="s">
        <v>6558</v>
      </c>
      <c r="N658" s="6" t="s">
        <v>6565</v>
      </c>
      <c r="O658" s="6">
        <v>60</v>
      </c>
      <c r="P658" s="6">
        <v>77</v>
      </c>
      <c r="Q658" s="6">
        <v>72</v>
      </c>
      <c r="R658" s="6">
        <v>70</v>
      </c>
      <c r="S658" s="6">
        <v>71</v>
      </c>
      <c r="T658" s="6">
        <v>69</v>
      </c>
      <c r="U658" s="6">
        <v>77</v>
      </c>
      <c r="V658" s="6">
        <v>73</v>
      </c>
      <c r="W658" s="6">
        <v>77</v>
      </c>
      <c r="X658" s="6">
        <v>79</v>
      </c>
      <c r="Y658" s="6">
        <v>65</v>
      </c>
      <c r="Z658" s="6">
        <v>73</v>
      </c>
      <c r="AA658" s="6">
        <v>75</v>
      </c>
      <c r="AB658" s="6">
        <v>75</v>
      </c>
      <c r="AC658" s="6">
        <v>76</v>
      </c>
      <c r="AD658" s="6">
        <v>73</v>
      </c>
      <c r="AE658" s="6">
        <v>68</v>
      </c>
      <c r="AF658" s="6">
        <v>80</v>
      </c>
      <c r="AG658" s="6" t="s">
        <v>7632</v>
      </c>
      <c r="AH658" s="6" t="s">
        <v>6630</v>
      </c>
    </row>
    <row r="659" spans="1:34" x14ac:dyDescent="0.2">
      <c r="A659" t="s">
        <v>3906</v>
      </c>
      <c r="B659" t="s">
        <v>2170</v>
      </c>
      <c r="C659" t="s">
        <v>2870</v>
      </c>
      <c r="D659" s="7" t="s">
        <v>144</v>
      </c>
      <c r="E659" t="s">
        <v>38</v>
      </c>
      <c r="F659">
        <v>26</v>
      </c>
      <c r="G659">
        <v>69</v>
      </c>
      <c r="H659">
        <v>76</v>
      </c>
      <c r="I659" t="s">
        <v>6335</v>
      </c>
      <c r="J659">
        <v>70</v>
      </c>
      <c r="K659">
        <v>208</v>
      </c>
      <c r="L659" t="s">
        <v>5600</v>
      </c>
      <c r="M659" s="6" t="s">
        <v>6558</v>
      </c>
      <c r="N659" s="6" t="s">
        <v>6565</v>
      </c>
      <c r="O659" s="6">
        <v>77</v>
      </c>
      <c r="P659" s="6">
        <v>62</v>
      </c>
      <c r="Q659" s="6">
        <v>72</v>
      </c>
      <c r="R659" s="6">
        <v>71</v>
      </c>
      <c r="S659" s="6">
        <v>68</v>
      </c>
      <c r="T659" s="6">
        <v>66</v>
      </c>
      <c r="U659" s="6">
        <v>81</v>
      </c>
      <c r="V659" s="6">
        <v>76</v>
      </c>
      <c r="W659" s="6">
        <v>64</v>
      </c>
      <c r="X659" s="6">
        <v>66</v>
      </c>
      <c r="Y659" s="6">
        <v>68</v>
      </c>
      <c r="Z659" s="6">
        <v>64</v>
      </c>
      <c r="AA659" s="6">
        <v>64</v>
      </c>
      <c r="AB659" s="6">
        <v>67</v>
      </c>
      <c r="AC659" s="6">
        <v>73</v>
      </c>
      <c r="AD659" s="6">
        <v>79</v>
      </c>
      <c r="AE659" s="6">
        <v>64</v>
      </c>
      <c r="AF659" s="6">
        <v>72</v>
      </c>
      <c r="AG659" s="6" t="s">
        <v>7641</v>
      </c>
      <c r="AH659" s="6" t="s">
        <v>6721</v>
      </c>
    </row>
    <row r="660" spans="1:34" x14ac:dyDescent="0.2">
      <c r="A660" t="s">
        <v>3912</v>
      </c>
      <c r="B660" t="s">
        <v>2176</v>
      </c>
      <c r="C660" t="s">
        <v>57</v>
      </c>
      <c r="D660" s="7" t="s">
        <v>144</v>
      </c>
      <c r="E660" t="s">
        <v>38</v>
      </c>
      <c r="F660">
        <v>25</v>
      </c>
      <c r="G660">
        <v>76</v>
      </c>
      <c r="H660">
        <v>76</v>
      </c>
      <c r="I660" t="s">
        <v>6313</v>
      </c>
      <c r="J660">
        <v>73</v>
      </c>
      <c r="K660">
        <v>197</v>
      </c>
      <c r="L660" t="s">
        <v>5606</v>
      </c>
      <c r="M660" s="6" t="s">
        <v>6558</v>
      </c>
      <c r="N660" s="6" t="s">
        <v>6567</v>
      </c>
      <c r="O660" s="6">
        <v>77</v>
      </c>
      <c r="P660" s="6">
        <v>83</v>
      </c>
      <c r="Q660" s="6">
        <v>71</v>
      </c>
      <c r="R660" s="6">
        <v>66</v>
      </c>
      <c r="S660" s="6">
        <v>80</v>
      </c>
      <c r="T660" s="6">
        <v>70</v>
      </c>
      <c r="U660" s="6">
        <v>75</v>
      </c>
      <c r="V660" s="6">
        <v>70</v>
      </c>
      <c r="W660" s="6">
        <v>74</v>
      </c>
      <c r="X660" s="6">
        <v>78</v>
      </c>
      <c r="Y660" s="6">
        <v>75</v>
      </c>
      <c r="Z660" s="6">
        <v>74</v>
      </c>
      <c r="AA660" s="6">
        <v>78</v>
      </c>
      <c r="AB660" s="6">
        <v>81</v>
      </c>
      <c r="AC660" s="6">
        <v>73</v>
      </c>
      <c r="AD660" s="6">
        <v>63</v>
      </c>
      <c r="AE660" s="6">
        <v>66</v>
      </c>
      <c r="AF660" s="6">
        <v>80</v>
      </c>
      <c r="AG660" s="6" t="s">
        <v>7646</v>
      </c>
      <c r="AH660" s="6" t="s">
        <v>6574</v>
      </c>
    </row>
    <row r="661" spans="1:34" x14ac:dyDescent="0.2">
      <c r="A661" t="s">
        <v>3922</v>
      </c>
      <c r="B661" t="s">
        <v>2186</v>
      </c>
      <c r="C661" t="s">
        <v>2874</v>
      </c>
      <c r="D661" s="7" t="s">
        <v>144</v>
      </c>
      <c r="E661" t="s">
        <v>58</v>
      </c>
      <c r="F661">
        <v>23</v>
      </c>
      <c r="G661">
        <v>86</v>
      </c>
      <c r="H661">
        <v>76</v>
      </c>
      <c r="I661" t="s">
        <v>6345</v>
      </c>
      <c r="J661">
        <v>75</v>
      </c>
      <c r="K661">
        <v>328</v>
      </c>
      <c r="L661" t="s">
        <v>5616</v>
      </c>
      <c r="M661" s="6" t="s">
        <v>6558</v>
      </c>
      <c r="N661" s="6" t="s">
        <v>6565</v>
      </c>
      <c r="O661" s="6">
        <v>78</v>
      </c>
      <c r="P661" s="6">
        <v>68</v>
      </c>
      <c r="Q661" s="6">
        <v>77</v>
      </c>
      <c r="R661" s="6">
        <v>72</v>
      </c>
      <c r="S661" s="6">
        <v>66</v>
      </c>
      <c r="T661" s="6">
        <v>80</v>
      </c>
      <c r="U661" s="6">
        <v>70</v>
      </c>
      <c r="V661" s="6">
        <v>70</v>
      </c>
      <c r="W661" s="6">
        <v>65</v>
      </c>
      <c r="X661" s="6">
        <v>78</v>
      </c>
      <c r="Y661" s="6">
        <v>67</v>
      </c>
      <c r="Z661" s="6">
        <v>78</v>
      </c>
      <c r="AA661" s="6">
        <v>75</v>
      </c>
      <c r="AB661" s="6">
        <v>73</v>
      </c>
      <c r="AC661" s="6">
        <v>72</v>
      </c>
      <c r="AD661" s="6">
        <v>71</v>
      </c>
      <c r="AE661" s="6">
        <v>71</v>
      </c>
      <c r="AF661" s="6">
        <v>76</v>
      </c>
      <c r="AG661" s="6" t="s">
        <v>7656</v>
      </c>
      <c r="AH661" s="6" t="s">
        <v>6674</v>
      </c>
    </row>
    <row r="662" spans="1:34" x14ac:dyDescent="0.2">
      <c r="A662" t="s">
        <v>3939</v>
      </c>
      <c r="B662" t="s">
        <v>2203</v>
      </c>
      <c r="C662" t="s">
        <v>61</v>
      </c>
      <c r="D662" s="7" t="s">
        <v>144</v>
      </c>
      <c r="E662" t="s">
        <v>38</v>
      </c>
      <c r="F662">
        <v>23</v>
      </c>
      <c r="G662">
        <v>79</v>
      </c>
      <c r="H662">
        <v>76</v>
      </c>
      <c r="I662" t="s">
        <v>6327</v>
      </c>
      <c r="J662">
        <v>71</v>
      </c>
      <c r="K662">
        <v>185</v>
      </c>
      <c r="L662" t="s">
        <v>5633</v>
      </c>
      <c r="M662" s="6" t="s">
        <v>6558</v>
      </c>
      <c r="N662" s="6" t="s">
        <v>6614</v>
      </c>
      <c r="O662" s="6">
        <v>74</v>
      </c>
      <c r="P662" s="6">
        <v>64</v>
      </c>
      <c r="Q662" s="6">
        <v>70</v>
      </c>
      <c r="R662" s="6">
        <v>60</v>
      </c>
      <c r="S662" s="6">
        <v>81</v>
      </c>
      <c r="T662" s="6">
        <v>75</v>
      </c>
      <c r="U662" s="6">
        <v>67</v>
      </c>
      <c r="V662" s="6">
        <v>69</v>
      </c>
      <c r="W662" s="6">
        <v>88</v>
      </c>
      <c r="X662" s="6">
        <v>78</v>
      </c>
      <c r="Y662" s="6">
        <v>73</v>
      </c>
      <c r="Z662" s="6">
        <v>77</v>
      </c>
      <c r="AA662" s="6">
        <v>77</v>
      </c>
      <c r="AB662" s="6">
        <v>77</v>
      </c>
      <c r="AC662" s="6">
        <v>72</v>
      </c>
      <c r="AD662" s="6">
        <v>73</v>
      </c>
      <c r="AE662" s="6">
        <v>68</v>
      </c>
      <c r="AF662" s="6">
        <v>71</v>
      </c>
      <c r="AG662" s="6" t="s">
        <v>7673</v>
      </c>
      <c r="AH662" s="6" t="s">
        <v>6630</v>
      </c>
    </row>
    <row r="663" spans="1:34" x14ac:dyDescent="0.2">
      <c r="A663" t="s">
        <v>3988</v>
      </c>
      <c r="B663" t="s">
        <v>2252</v>
      </c>
      <c r="C663" t="s">
        <v>2875</v>
      </c>
      <c r="D663" s="7" t="s">
        <v>149</v>
      </c>
      <c r="E663" t="s">
        <v>58</v>
      </c>
      <c r="F663">
        <v>33</v>
      </c>
      <c r="G663">
        <v>71</v>
      </c>
      <c r="H663">
        <v>76</v>
      </c>
      <c r="I663" t="s">
        <v>6392</v>
      </c>
      <c r="J663">
        <v>75</v>
      </c>
      <c r="K663">
        <v>308</v>
      </c>
      <c r="L663" t="s">
        <v>5682</v>
      </c>
      <c r="M663" s="6" t="s">
        <v>6558</v>
      </c>
      <c r="N663" s="6" t="s">
        <v>6562</v>
      </c>
      <c r="O663" s="6">
        <v>80</v>
      </c>
      <c r="P663" s="6">
        <v>72</v>
      </c>
      <c r="Q663" s="6">
        <v>74</v>
      </c>
      <c r="R663" s="6">
        <v>87</v>
      </c>
      <c r="S663" s="6">
        <v>72</v>
      </c>
      <c r="T663" s="6">
        <v>71</v>
      </c>
      <c r="U663" s="6">
        <v>76</v>
      </c>
      <c r="V663" s="6">
        <v>79</v>
      </c>
      <c r="W663" s="6">
        <v>85</v>
      </c>
      <c r="X663" s="6">
        <v>69</v>
      </c>
      <c r="Y663" s="6">
        <v>80</v>
      </c>
      <c r="Z663" s="6">
        <v>87</v>
      </c>
      <c r="AA663" s="6">
        <v>68</v>
      </c>
      <c r="AB663" s="6">
        <v>65</v>
      </c>
      <c r="AC663" s="6">
        <v>70</v>
      </c>
      <c r="AD663" s="6">
        <v>72</v>
      </c>
      <c r="AE663" s="6">
        <v>72</v>
      </c>
      <c r="AF663" s="6">
        <v>71</v>
      </c>
      <c r="AG663" s="6" t="s">
        <v>7721</v>
      </c>
      <c r="AH663" s="6" t="s">
        <v>6606</v>
      </c>
    </row>
    <row r="664" spans="1:34" x14ac:dyDescent="0.2">
      <c r="A664" t="s">
        <v>3989</v>
      </c>
      <c r="B664" t="s">
        <v>2253</v>
      </c>
      <c r="C664" t="s">
        <v>2876</v>
      </c>
      <c r="D664" s="7" t="s">
        <v>149</v>
      </c>
      <c r="E664" t="s">
        <v>38</v>
      </c>
      <c r="F664">
        <v>33</v>
      </c>
      <c r="G664">
        <v>85</v>
      </c>
      <c r="H664">
        <v>76</v>
      </c>
      <c r="I664" t="s">
        <v>6368</v>
      </c>
      <c r="J664">
        <v>76</v>
      </c>
      <c r="K664">
        <v>319</v>
      </c>
      <c r="L664" t="s">
        <v>5683</v>
      </c>
      <c r="M664" s="6" t="s">
        <v>6558</v>
      </c>
      <c r="N664" s="6" t="s">
        <v>6567</v>
      </c>
      <c r="O664" s="6">
        <v>73</v>
      </c>
      <c r="P664" s="6">
        <v>78</v>
      </c>
      <c r="Q664" s="6">
        <v>70</v>
      </c>
      <c r="R664" s="6">
        <v>64</v>
      </c>
      <c r="S664" s="6">
        <v>80</v>
      </c>
      <c r="T664" s="6">
        <v>68</v>
      </c>
      <c r="U664" s="6">
        <v>76</v>
      </c>
      <c r="V664" s="6">
        <v>80</v>
      </c>
      <c r="W664" s="6">
        <v>82</v>
      </c>
      <c r="X664" s="6">
        <v>75</v>
      </c>
      <c r="Y664" s="6">
        <v>76</v>
      </c>
      <c r="Z664" s="6">
        <v>81</v>
      </c>
      <c r="AA664" s="6">
        <v>67</v>
      </c>
      <c r="AB664" s="6">
        <v>67</v>
      </c>
      <c r="AC664" s="6">
        <v>69</v>
      </c>
      <c r="AD664" s="6">
        <v>73</v>
      </c>
      <c r="AE664" s="6">
        <v>61</v>
      </c>
      <c r="AF664" s="6">
        <v>75</v>
      </c>
      <c r="AG664" s="6" t="s">
        <v>7722</v>
      </c>
      <c r="AH664" s="6" t="s">
        <v>6598</v>
      </c>
    </row>
    <row r="665" spans="1:34" x14ac:dyDescent="0.2">
      <c r="A665" t="s">
        <v>3999</v>
      </c>
      <c r="B665" t="s">
        <v>2263</v>
      </c>
      <c r="C665" t="s">
        <v>2879</v>
      </c>
      <c r="D665" s="7" t="s">
        <v>149</v>
      </c>
      <c r="E665" t="s">
        <v>38</v>
      </c>
      <c r="F665">
        <v>26</v>
      </c>
      <c r="G665">
        <v>72</v>
      </c>
      <c r="H665">
        <v>76</v>
      </c>
      <c r="I665" t="s">
        <v>6395</v>
      </c>
      <c r="J665">
        <v>74</v>
      </c>
      <c r="K665">
        <v>290</v>
      </c>
      <c r="L665" t="s">
        <v>5693</v>
      </c>
      <c r="M665" s="6" t="s">
        <v>6558</v>
      </c>
      <c r="N665" s="6" t="s">
        <v>6565</v>
      </c>
      <c r="O665" s="6">
        <v>67</v>
      </c>
      <c r="P665" s="6">
        <v>60</v>
      </c>
      <c r="Q665" s="6">
        <v>68</v>
      </c>
      <c r="R665" s="6">
        <v>74</v>
      </c>
      <c r="S665" s="6">
        <v>70</v>
      </c>
      <c r="T665" s="6">
        <v>80</v>
      </c>
      <c r="U665" s="6">
        <v>60</v>
      </c>
      <c r="V665" s="6">
        <v>72</v>
      </c>
      <c r="W665" s="6">
        <v>73</v>
      </c>
      <c r="X665" s="6">
        <v>64</v>
      </c>
      <c r="Y665" s="6">
        <v>67</v>
      </c>
      <c r="Z665" s="6">
        <v>79</v>
      </c>
      <c r="AA665" s="6">
        <v>72</v>
      </c>
      <c r="AB665" s="6">
        <v>72</v>
      </c>
      <c r="AC665" s="6">
        <v>81</v>
      </c>
      <c r="AD665" s="6">
        <v>62</v>
      </c>
      <c r="AE665" s="6">
        <v>71</v>
      </c>
      <c r="AF665" s="6">
        <v>67</v>
      </c>
      <c r="AG665" s="6" t="s">
        <v>7732</v>
      </c>
      <c r="AH665" s="6" t="s">
        <v>6617</v>
      </c>
    </row>
    <row r="666" spans="1:34" x14ac:dyDescent="0.2">
      <c r="A666" t="s">
        <v>4010</v>
      </c>
      <c r="B666" t="s">
        <v>2274</v>
      </c>
      <c r="C666" t="s">
        <v>2882</v>
      </c>
      <c r="D666" s="7" t="s">
        <v>149</v>
      </c>
      <c r="E666" t="s">
        <v>38</v>
      </c>
      <c r="F666">
        <v>29</v>
      </c>
      <c r="G666">
        <v>65</v>
      </c>
      <c r="H666">
        <v>76</v>
      </c>
      <c r="I666" t="s">
        <v>6472</v>
      </c>
      <c r="J666">
        <v>74</v>
      </c>
      <c r="K666">
        <v>209</v>
      </c>
      <c r="L666" t="s">
        <v>5704</v>
      </c>
      <c r="M666" s="6" t="s">
        <v>6558</v>
      </c>
      <c r="N666" s="6" t="s">
        <v>6565</v>
      </c>
      <c r="O666" s="6">
        <v>94</v>
      </c>
      <c r="P666" s="6">
        <v>70</v>
      </c>
      <c r="Q666" s="6">
        <v>68</v>
      </c>
      <c r="R666" s="6">
        <v>73</v>
      </c>
      <c r="S666" s="6">
        <v>87</v>
      </c>
      <c r="T666" s="6">
        <v>64</v>
      </c>
      <c r="U666" s="6">
        <v>67</v>
      </c>
      <c r="V666" s="6">
        <v>75</v>
      </c>
      <c r="W666" s="6">
        <v>68</v>
      </c>
      <c r="X666" s="6">
        <v>70</v>
      </c>
      <c r="Y666" s="6">
        <v>66</v>
      </c>
      <c r="Z666" s="6">
        <v>67</v>
      </c>
      <c r="AA666" s="6">
        <v>63</v>
      </c>
      <c r="AB666" s="6">
        <v>71</v>
      </c>
      <c r="AC666" s="6">
        <v>58</v>
      </c>
      <c r="AD666" s="6">
        <v>71</v>
      </c>
      <c r="AE666" s="6">
        <v>63</v>
      </c>
      <c r="AF666" s="6">
        <v>70</v>
      </c>
      <c r="AG666" s="6" t="s">
        <v>7743</v>
      </c>
      <c r="AH666" s="6" t="s">
        <v>6636</v>
      </c>
    </row>
    <row r="667" spans="1:34" x14ac:dyDescent="0.2">
      <c r="A667" t="s">
        <v>4011</v>
      </c>
      <c r="B667" t="s">
        <v>2275</v>
      </c>
      <c r="C667" t="s">
        <v>2883</v>
      </c>
      <c r="D667" s="7" t="s">
        <v>149</v>
      </c>
      <c r="E667" t="s">
        <v>38</v>
      </c>
      <c r="F667">
        <v>30</v>
      </c>
      <c r="G667">
        <v>81</v>
      </c>
      <c r="H667">
        <v>76</v>
      </c>
      <c r="I667" t="s">
        <v>8335</v>
      </c>
      <c r="J667">
        <v>71</v>
      </c>
      <c r="K667">
        <v>200</v>
      </c>
      <c r="L667" t="s">
        <v>5705</v>
      </c>
      <c r="M667" s="6" t="s">
        <v>6558</v>
      </c>
      <c r="N667" s="6" t="s">
        <v>6559</v>
      </c>
      <c r="O667" s="6">
        <v>77</v>
      </c>
      <c r="P667" s="6">
        <v>81</v>
      </c>
      <c r="Q667" s="6">
        <v>75</v>
      </c>
      <c r="R667" s="6">
        <v>84</v>
      </c>
      <c r="S667" s="6">
        <v>77</v>
      </c>
      <c r="T667" s="6">
        <v>71</v>
      </c>
      <c r="U667" s="6">
        <v>80</v>
      </c>
      <c r="V667" s="6">
        <v>81</v>
      </c>
      <c r="W667" s="6">
        <v>83</v>
      </c>
      <c r="X667" s="6">
        <v>69</v>
      </c>
      <c r="Y667" s="6">
        <v>73</v>
      </c>
      <c r="Z667" s="6">
        <v>73</v>
      </c>
      <c r="AA667" s="6">
        <v>72</v>
      </c>
      <c r="AB667" s="6">
        <v>72</v>
      </c>
      <c r="AC667" s="6">
        <v>66</v>
      </c>
      <c r="AD667" s="6">
        <v>68</v>
      </c>
      <c r="AE667" s="6">
        <v>65</v>
      </c>
      <c r="AF667" s="6">
        <v>71</v>
      </c>
      <c r="AG667" s="6" t="s">
        <v>7744</v>
      </c>
      <c r="AH667" s="6" t="s">
        <v>6640</v>
      </c>
    </row>
    <row r="668" spans="1:34" x14ac:dyDescent="0.2">
      <c r="A668" t="s">
        <v>4027</v>
      </c>
      <c r="B668" t="s">
        <v>2291</v>
      </c>
      <c r="C668" t="s">
        <v>57</v>
      </c>
      <c r="D668" s="7" t="s">
        <v>22</v>
      </c>
      <c r="E668" t="s">
        <v>38</v>
      </c>
      <c r="F668">
        <v>30</v>
      </c>
      <c r="G668">
        <v>84</v>
      </c>
      <c r="H668">
        <v>76</v>
      </c>
      <c r="I668" t="s">
        <v>8331</v>
      </c>
      <c r="J668">
        <v>74</v>
      </c>
      <c r="K668">
        <v>186</v>
      </c>
      <c r="L668" t="s">
        <v>5721</v>
      </c>
      <c r="M668" s="6" t="s">
        <v>6558</v>
      </c>
      <c r="N668" s="6" t="s">
        <v>6565</v>
      </c>
      <c r="O668" s="6">
        <v>72</v>
      </c>
      <c r="P668" s="6">
        <v>69</v>
      </c>
      <c r="Q668" s="6">
        <v>75</v>
      </c>
      <c r="R668" s="6">
        <v>71</v>
      </c>
      <c r="S668" s="6">
        <v>79</v>
      </c>
      <c r="T668" s="6">
        <v>80</v>
      </c>
      <c r="U668" s="6">
        <v>76</v>
      </c>
      <c r="V668" s="6">
        <v>76</v>
      </c>
      <c r="W668" s="6">
        <v>71</v>
      </c>
      <c r="X668" s="6">
        <v>72</v>
      </c>
      <c r="Y668" s="6">
        <v>83</v>
      </c>
      <c r="Z668" s="6">
        <v>80</v>
      </c>
      <c r="AA668" s="6">
        <v>72</v>
      </c>
      <c r="AB668" s="6">
        <v>78</v>
      </c>
      <c r="AC668" s="6">
        <v>73</v>
      </c>
      <c r="AD668" s="6">
        <v>71</v>
      </c>
      <c r="AE668" s="6">
        <v>73</v>
      </c>
      <c r="AF668" s="6">
        <v>84</v>
      </c>
      <c r="AG668" s="6" t="s">
        <v>7759</v>
      </c>
      <c r="AH668" s="6" t="s">
        <v>6664</v>
      </c>
    </row>
    <row r="669" spans="1:34" x14ac:dyDescent="0.2">
      <c r="A669" t="s">
        <v>4028</v>
      </c>
      <c r="B669" t="s">
        <v>2292</v>
      </c>
      <c r="C669" t="s">
        <v>57</v>
      </c>
      <c r="D669" s="7" t="s">
        <v>22</v>
      </c>
      <c r="E669" t="s">
        <v>38</v>
      </c>
      <c r="F669">
        <v>29</v>
      </c>
      <c r="G669">
        <v>74</v>
      </c>
      <c r="H669">
        <v>76</v>
      </c>
      <c r="I669" t="s">
        <v>6303</v>
      </c>
      <c r="J669">
        <v>74</v>
      </c>
      <c r="K669">
        <v>209</v>
      </c>
      <c r="L669" t="s">
        <v>5722</v>
      </c>
      <c r="M669" s="6" t="s">
        <v>6558</v>
      </c>
      <c r="N669" s="6" t="s">
        <v>6565</v>
      </c>
      <c r="O669" s="6">
        <v>78</v>
      </c>
      <c r="P669" s="6">
        <v>80</v>
      </c>
      <c r="Q669" s="6">
        <v>79</v>
      </c>
      <c r="R669" s="6">
        <v>73</v>
      </c>
      <c r="S669" s="6">
        <v>78</v>
      </c>
      <c r="T669" s="6">
        <v>78</v>
      </c>
      <c r="U669" s="6">
        <v>71</v>
      </c>
      <c r="V669" s="6">
        <v>82</v>
      </c>
      <c r="W669" s="6">
        <v>77</v>
      </c>
      <c r="X669" s="6">
        <v>73</v>
      </c>
      <c r="Y669" s="6">
        <v>71</v>
      </c>
      <c r="Z669" s="6">
        <v>85</v>
      </c>
      <c r="AA669" s="6">
        <v>74</v>
      </c>
      <c r="AB669" s="6">
        <v>76</v>
      </c>
      <c r="AC669" s="6">
        <v>73</v>
      </c>
      <c r="AD669" s="6">
        <v>72</v>
      </c>
      <c r="AE669" s="6">
        <v>69</v>
      </c>
      <c r="AF669" s="6">
        <v>71</v>
      </c>
      <c r="AG669" s="6" t="s">
        <v>7760</v>
      </c>
      <c r="AH669" s="6" t="s">
        <v>6578</v>
      </c>
    </row>
    <row r="670" spans="1:34" x14ac:dyDescent="0.2">
      <c r="A670" t="s">
        <v>4036</v>
      </c>
      <c r="B670" t="s">
        <v>2300</v>
      </c>
      <c r="C670" t="s">
        <v>2872</v>
      </c>
      <c r="D670" s="7" t="s">
        <v>22</v>
      </c>
      <c r="E670" t="s">
        <v>38</v>
      </c>
      <c r="F670">
        <v>26</v>
      </c>
      <c r="G670">
        <v>66</v>
      </c>
      <c r="H670">
        <v>76</v>
      </c>
      <c r="I670" t="s">
        <v>6422</v>
      </c>
      <c r="J670">
        <v>78</v>
      </c>
      <c r="K670">
        <v>303</v>
      </c>
      <c r="L670" t="s">
        <v>5730</v>
      </c>
      <c r="M670" s="6" t="s">
        <v>6558</v>
      </c>
      <c r="N670" s="6" t="s">
        <v>6567</v>
      </c>
      <c r="O670" s="6">
        <v>78</v>
      </c>
      <c r="P670" s="6">
        <v>68</v>
      </c>
      <c r="Q670" s="6">
        <v>72</v>
      </c>
      <c r="R670" s="6">
        <v>66</v>
      </c>
      <c r="S670" s="6">
        <v>65</v>
      </c>
      <c r="T670" s="6">
        <v>75</v>
      </c>
      <c r="U670" s="6">
        <v>63</v>
      </c>
      <c r="V670" s="6">
        <v>71</v>
      </c>
      <c r="W670" s="6">
        <v>73</v>
      </c>
      <c r="X670" s="6">
        <v>70</v>
      </c>
      <c r="Y670" s="6">
        <v>69</v>
      </c>
      <c r="Z670" s="6">
        <v>66</v>
      </c>
      <c r="AA670" s="6">
        <v>70</v>
      </c>
      <c r="AB670" s="6">
        <v>63</v>
      </c>
      <c r="AC670" s="6">
        <v>66</v>
      </c>
      <c r="AD670" s="6">
        <v>61</v>
      </c>
      <c r="AE670" s="6">
        <v>62</v>
      </c>
      <c r="AF670" s="6">
        <v>71</v>
      </c>
      <c r="AG670" s="6" t="s">
        <v>7768</v>
      </c>
      <c r="AH670" s="6" t="s">
        <v>6593</v>
      </c>
    </row>
    <row r="671" spans="1:34" x14ac:dyDescent="0.2">
      <c r="A671" t="s">
        <v>4047</v>
      </c>
      <c r="B671" t="s">
        <v>2311</v>
      </c>
      <c r="C671" t="s">
        <v>2878</v>
      </c>
      <c r="D671" s="7" t="s">
        <v>22</v>
      </c>
      <c r="E671" t="s">
        <v>38</v>
      </c>
      <c r="F671">
        <v>23</v>
      </c>
      <c r="G671">
        <v>73</v>
      </c>
      <c r="H671">
        <v>76</v>
      </c>
      <c r="I671" t="s">
        <v>6360</v>
      </c>
      <c r="J671">
        <v>76</v>
      </c>
      <c r="K671">
        <v>273</v>
      </c>
      <c r="L671" t="s">
        <v>5741</v>
      </c>
      <c r="M671" s="6" t="s">
        <v>6558</v>
      </c>
      <c r="N671" s="6" t="s">
        <v>6565</v>
      </c>
      <c r="O671" s="6">
        <v>79</v>
      </c>
      <c r="P671" s="6">
        <v>61</v>
      </c>
      <c r="Q671" s="6">
        <v>80</v>
      </c>
      <c r="R671" s="6">
        <v>71</v>
      </c>
      <c r="S671" s="6">
        <v>76</v>
      </c>
      <c r="T671" s="6">
        <v>68</v>
      </c>
      <c r="U671" s="6">
        <v>76</v>
      </c>
      <c r="V671" s="6">
        <v>75</v>
      </c>
      <c r="W671" s="6">
        <v>77</v>
      </c>
      <c r="X671" s="6">
        <v>79</v>
      </c>
      <c r="Y671" s="6">
        <v>84</v>
      </c>
      <c r="Z671" s="6">
        <v>68</v>
      </c>
      <c r="AA671" s="6">
        <v>73</v>
      </c>
      <c r="AB671" s="6">
        <v>76</v>
      </c>
      <c r="AC671" s="6">
        <v>67</v>
      </c>
      <c r="AD671" s="6">
        <v>69</v>
      </c>
      <c r="AE671" s="6">
        <v>74</v>
      </c>
      <c r="AF671" s="6">
        <v>71</v>
      </c>
      <c r="AG671" s="6" t="s">
        <v>7779</v>
      </c>
      <c r="AH671" s="6" t="s">
        <v>6612</v>
      </c>
    </row>
    <row r="672" spans="1:34" x14ac:dyDescent="0.2">
      <c r="A672" t="s">
        <v>4050</v>
      </c>
      <c r="B672" t="s">
        <v>2314</v>
      </c>
      <c r="C672" t="s">
        <v>2879</v>
      </c>
      <c r="D672" s="7" t="s">
        <v>22</v>
      </c>
      <c r="E672" t="s">
        <v>58</v>
      </c>
      <c r="F672">
        <v>30</v>
      </c>
      <c r="G672">
        <v>76</v>
      </c>
      <c r="H672">
        <v>76</v>
      </c>
      <c r="I672" t="s">
        <v>6461</v>
      </c>
      <c r="J672">
        <v>73</v>
      </c>
      <c r="K672">
        <v>304</v>
      </c>
      <c r="L672" t="s">
        <v>5744</v>
      </c>
      <c r="M672" s="6" t="s">
        <v>6558</v>
      </c>
      <c r="N672" s="6" t="s">
        <v>6567</v>
      </c>
      <c r="O672" s="6">
        <v>69</v>
      </c>
      <c r="P672" s="6">
        <v>78</v>
      </c>
      <c r="Q672" s="6">
        <v>72</v>
      </c>
      <c r="R672" s="6">
        <v>65</v>
      </c>
      <c r="S672" s="6">
        <v>75</v>
      </c>
      <c r="T672" s="6">
        <v>78</v>
      </c>
      <c r="U672" s="6">
        <v>82</v>
      </c>
      <c r="V672" s="6">
        <v>83</v>
      </c>
      <c r="W672" s="6">
        <v>76</v>
      </c>
      <c r="X672" s="6">
        <v>71</v>
      </c>
      <c r="Y672" s="6">
        <v>74</v>
      </c>
      <c r="Z672" s="6">
        <v>81</v>
      </c>
      <c r="AA672" s="6">
        <v>71</v>
      </c>
      <c r="AB672" s="6">
        <v>72</v>
      </c>
      <c r="AC672" s="6">
        <v>67</v>
      </c>
      <c r="AD672" s="6">
        <v>73</v>
      </c>
      <c r="AE672" s="6">
        <v>71</v>
      </c>
      <c r="AF672" s="6">
        <v>72</v>
      </c>
      <c r="AG672" s="6" t="s">
        <v>7782</v>
      </c>
      <c r="AH672" s="6" t="s">
        <v>6861</v>
      </c>
    </row>
    <row r="673" spans="1:34" x14ac:dyDescent="0.2">
      <c r="A673" t="s">
        <v>4052</v>
      </c>
      <c r="B673" t="s">
        <v>2316</v>
      </c>
      <c r="C673" t="s">
        <v>2879</v>
      </c>
      <c r="D673" s="7" t="s">
        <v>22</v>
      </c>
      <c r="E673" t="s">
        <v>58</v>
      </c>
      <c r="F673">
        <v>31</v>
      </c>
      <c r="G673">
        <v>74</v>
      </c>
      <c r="H673">
        <v>76</v>
      </c>
      <c r="I673" t="s">
        <v>6408</v>
      </c>
      <c r="J673">
        <v>74</v>
      </c>
      <c r="K673">
        <v>299</v>
      </c>
      <c r="L673" t="s">
        <v>5746</v>
      </c>
      <c r="M673" s="6" t="s">
        <v>6558</v>
      </c>
      <c r="N673" s="6" t="s">
        <v>6565</v>
      </c>
      <c r="O673" s="6">
        <v>69</v>
      </c>
      <c r="P673" s="6">
        <v>78</v>
      </c>
      <c r="Q673" s="6">
        <v>79</v>
      </c>
      <c r="R673" s="6">
        <v>72</v>
      </c>
      <c r="S673" s="6">
        <v>79</v>
      </c>
      <c r="T673" s="6">
        <v>76</v>
      </c>
      <c r="U673" s="6">
        <v>86</v>
      </c>
      <c r="V673" s="6">
        <v>74</v>
      </c>
      <c r="W673" s="6">
        <v>66</v>
      </c>
      <c r="X673" s="6">
        <v>86</v>
      </c>
      <c r="Y673" s="6">
        <v>83</v>
      </c>
      <c r="Z673" s="6">
        <v>78</v>
      </c>
      <c r="AA673" s="6">
        <v>68</v>
      </c>
      <c r="AB673" s="6">
        <v>74</v>
      </c>
      <c r="AC673" s="6">
        <v>70</v>
      </c>
      <c r="AD673" s="6">
        <v>65</v>
      </c>
      <c r="AE673" s="6">
        <v>75</v>
      </c>
      <c r="AF673" s="6">
        <v>71</v>
      </c>
      <c r="AG673" s="6" t="s">
        <v>7784</v>
      </c>
      <c r="AH673" s="6" t="s">
        <v>6617</v>
      </c>
    </row>
    <row r="674" spans="1:34" x14ac:dyDescent="0.2">
      <c r="A674" t="s">
        <v>4057</v>
      </c>
      <c r="B674" t="s">
        <v>2321</v>
      </c>
      <c r="C674" t="s">
        <v>61</v>
      </c>
      <c r="D674" s="7" t="s">
        <v>22</v>
      </c>
      <c r="E674" t="s">
        <v>38</v>
      </c>
      <c r="F674">
        <v>25</v>
      </c>
      <c r="G674">
        <v>86</v>
      </c>
      <c r="H674">
        <v>76</v>
      </c>
      <c r="I674" t="s">
        <v>6407</v>
      </c>
      <c r="J674">
        <v>69</v>
      </c>
      <c r="K674">
        <v>194</v>
      </c>
      <c r="L674" t="s">
        <v>5751</v>
      </c>
      <c r="M674" s="6" t="s">
        <v>6558</v>
      </c>
      <c r="N674" s="6" t="s">
        <v>6565</v>
      </c>
      <c r="O674" s="6">
        <v>74</v>
      </c>
      <c r="P674" s="6">
        <v>73</v>
      </c>
      <c r="Q674" s="6">
        <v>79</v>
      </c>
      <c r="R674" s="6">
        <v>73</v>
      </c>
      <c r="S674" s="6">
        <v>83</v>
      </c>
      <c r="T674" s="6">
        <v>77</v>
      </c>
      <c r="U674" s="6">
        <v>85</v>
      </c>
      <c r="V674" s="6">
        <v>73</v>
      </c>
      <c r="W674" s="6">
        <v>73</v>
      </c>
      <c r="X674" s="6">
        <v>73</v>
      </c>
      <c r="Y674" s="6">
        <v>76</v>
      </c>
      <c r="Z674" s="6">
        <v>83</v>
      </c>
      <c r="AA674" s="6">
        <v>79</v>
      </c>
      <c r="AB674" s="6">
        <v>75</v>
      </c>
      <c r="AC674" s="6">
        <v>68</v>
      </c>
      <c r="AD674" s="6">
        <v>81</v>
      </c>
      <c r="AE674" s="6">
        <v>82</v>
      </c>
      <c r="AF674" s="6">
        <v>77</v>
      </c>
      <c r="AG674" s="6" t="s">
        <v>7789</v>
      </c>
      <c r="AH674" s="6" t="s">
        <v>6632</v>
      </c>
    </row>
    <row r="675" spans="1:34" x14ac:dyDescent="0.2">
      <c r="A675" t="s">
        <v>4060</v>
      </c>
      <c r="B675" t="s">
        <v>2324</v>
      </c>
      <c r="C675" t="s">
        <v>61</v>
      </c>
      <c r="D675" s="7" t="s">
        <v>22</v>
      </c>
      <c r="E675" t="s">
        <v>38</v>
      </c>
      <c r="F675">
        <v>23</v>
      </c>
      <c r="G675">
        <v>72</v>
      </c>
      <c r="H675">
        <v>76</v>
      </c>
      <c r="I675" t="s">
        <v>6357</v>
      </c>
      <c r="J675">
        <v>73</v>
      </c>
      <c r="K675">
        <v>200</v>
      </c>
      <c r="L675" t="s">
        <v>5754</v>
      </c>
      <c r="M675" s="6" t="s">
        <v>6558</v>
      </c>
      <c r="N675" s="6" t="s">
        <v>6614</v>
      </c>
      <c r="O675" s="6">
        <v>65</v>
      </c>
      <c r="P675" s="6">
        <v>73</v>
      </c>
      <c r="Q675" s="6">
        <v>66</v>
      </c>
      <c r="R675" s="6">
        <v>59</v>
      </c>
      <c r="S675" s="6">
        <v>79</v>
      </c>
      <c r="T675" s="6">
        <v>70</v>
      </c>
      <c r="U675" s="6">
        <v>66</v>
      </c>
      <c r="V675" s="6">
        <v>74</v>
      </c>
      <c r="W675" s="6">
        <v>70</v>
      </c>
      <c r="X675" s="6">
        <v>62</v>
      </c>
      <c r="Y675" s="6">
        <v>66</v>
      </c>
      <c r="Z675" s="6">
        <v>66</v>
      </c>
      <c r="AA675" s="6">
        <v>80</v>
      </c>
      <c r="AB675" s="6">
        <v>71</v>
      </c>
      <c r="AC675" s="6">
        <v>76</v>
      </c>
      <c r="AD675" s="6">
        <v>71</v>
      </c>
      <c r="AE675" s="6">
        <v>75</v>
      </c>
      <c r="AF675" s="6">
        <v>64</v>
      </c>
      <c r="AG675" s="6" t="s">
        <v>7792</v>
      </c>
      <c r="AH675" s="6" t="s">
        <v>6696</v>
      </c>
    </row>
    <row r="676" spans="1:34" x14ac:dyDescent="0.2">
      <c r="A676" t="s">
        <v>4068</v>
      </c>
      <c r="B676" t="s">
        <v>2332</v>
      </c>
      <c r="C676" t="s">
        <v>2889</v>
      </c>
      <c r="D676" s="7" t="s">
        <v>22</v>
      </c>
      <c r="E676" t="s">
        <v>38</v>
      </c>
      <c r="F676">
        <v>22</v>
      </c>
      <c r="G676">
        <v>74</v>
      </c>
      <c r="H676">
        <v>76</v>
      </c>
      <c r="I676" t="s">
        <v>8331</v>
      </c>
      <c r="J676">
        <v>75</v>
      </c>
      <c r="K676">
        <v>260</v>
      </c>
      <c r="L676" t="s">
        <v>5762</v>
      </c>
      <c r="M676" s="6" t="s">
        <v>6558</v>
      </c>
      <c r="N676" s="6" t="s">
        <v>6565</v>
      </c>
      <c r="O676" s="6">
        <v>69</v>
      </c>
      <c r="P676" s="6">
        <v>75</v>
      </c>
      <c r="Q676" s="6">
        <v>69</v>
      </c>
      <c r="R676" s="6">
        <v>75</v>
      </c>
      <c r="S676" s="6">
        <v>69</v>
      </c>
      <c r="T676" s="6">
        <v>68</v>
      </c>
      <c r="U676" s="6">
        <v>74</v>
      </c>
      <c r="V676" s="6">
        <v>62</v>
      </c>
      <c r="W676" s="6">
        <v>61</v>
      </c>
      <c r="X676" s="6">
        <v>58</v>
      </c>
      <c r="Y676" s="6">
        <v>71</v>
      </c>
      <c r="Z676" s="6">
        <v>69</v>
      </c>
      <c r="AA676" s="6">
        <v>68</v>
      </c>
      <c r="AB676" s="6">
        <v>66</v>
      </c>
      <c r="AC676" s="6">
        <v>63</v>
      </c>
      <c r="AD676" s="6">
        <v>68</v>
      </c>
      <c r="AE676" s="6">
        <v>70</v>
      </c>
      <c r="AF676" s="6">
        <v>72</v>
      </c>
      <c r="AG676" s="6" t="s">
        <v>7137</v>
      </c>
      <c r="AH676" s="6" t="s">
        <v>6709</v>
      </c>
    </row>
    <row r="677" spans="1:34" x14ac:dyDescent="0.2">
      <c r="A677" t="s">
        <v>4070</v>
      </c>
      <c r="B677" t="s">
        <v>2334</v>
      </c>
      <c r="C677" t="s">
        <v>2885</v>
      </c>
      <c r="D677" s="7" t="s">
        <v>22</v>
      </c>
      <c r="E677" t="s">
        <v>58</v>
      </c>
      <c r="F677">
        <v>27</v>
      </c>
      <c r="G677">
        <v>73</v>
      </c>
      <c r="H677">
        <v>76</v>
      </c>
      <c r="I677" t="s">
        <v>8335</v>
      </c>
      <c r="J677">
        <v>74</v>
      </c>
      <c r="K677">
        <v>244</v>
      </c>
      <c r="L677" t="s">
        <v>5764</v>
      </c>
      <c r="M677" s="6" t="s">
        <v>6558</v>
      </c>
      <c r="N677" s="6" t="s">
        <v>6565</v>
      </c>
      <c r="O677" s="6">
        <v>74</v>
      </c>
      <c r="P677" s="6">
        <v>75</v>
      </c>
      <c r="Q677" s="6">
        <v>69</v>
      </c>
      <c r="R677" s="6">
        <v>70</v>
      </c>
      <c r="S677" s="6">
        <v>74</v>
      </c>
      <c r="T677" s="6">
        <v>63</v>
      </c>
      <c r="U677" s="6">
        <v>63</v>
      </c>
      <c r="V677" s="6">
        <v>66</v>
      </c>
      <c r="W677" s="6">
        <v>92</v>
      </c>
      <c r="X677" s="6">
        <v>73</v>
      </c>
      <c r="Y677" s="6">
        <v>73</v>
      </c>
      <c r="Z677" s="6">
        <v>72</v>
      </c>
      <c r="AA677" s="6">
        <v>69</v>
      </c>
      <c r="AB677" s="6">
        <v>75</v>
      </c>
      <c r="AC677" s="6">
        <v>64</v>
      </c>
      <c r="AD677" s="6">
        <v>74</v>
      </c>
      <c r="AE677" s="6">
        <v>69</v>
      </c>
      <c r="AF677" s="6">
        <v>64</v>
      </c>
      <c r="AG677" s="6" t="s">
        <v>7801</v>
      </c>
      <c r="AH677" s="6" t="s">
        <v>6628</v>
      </c>
    </row>
    <row r="678" spans="1:34" x14ac:dyDescent="0.2">
      <c r="A678" t="s">
        <v>4077</v>
      </c>
      <c r="B678" t="s">
        <v>2341</v>
      </c>
      <c r="C678" t="s">
        <v>53</v>
      </c>
      <c r="D678" s="7" t="s">
        <v>25</v>
      </c>
      <c r="E678" t="s">
        <v>58</v>
      </c>
      <c r="F678">
        <v>35</v>
      </c>
      <c r="G678">
        <v>75</v>
      </c>
      <c r="H678">
        <v>76</v>
      </c>
      <c r="I678" t="s">
        <v>6312</v>
      </c>
      <c r="J678">
        <v>76</v>
      </c>
      <c r="K678">
        <v>227</v>
      </c>
      <c r="L678" t="s">
        <v>5771</v>
      </c>
      <c r="M678" s="6" t="s">
        <v>6558</v>
      </c>
      <c r="N678" s="6" t="s">
        <v>6583</v>
      </c>
      <c r="O678" s="6">
        <v>89</v>
      </c>
      <c r="P678" s="6">
        <v>83</v>
      </c>
      <c r="Q678" s="6">
        <v>65</v>
      </c>
      <c r="R678" s="6">
        <v>79</v>
      </c>
      <c r="S678" s="6">
        <v>72</v>
      </c>
      <c r="T678" s="6">
        <v>74</v>
      </c>
      <c r="U678" s="6">
        <v>80</v>
      </c>
      <c r="V678" s="6">
        <v>67</v>
      </c>
      <c r="W678" s="6">
        <v>85</v>
      </c>
      <c r="X678" s="6">
        <v>78</v>
      </c>
      <c r="Y678" s="6">
        <v>76</v>
      </c>
      <c r="Z678" s="6">
        <v>76</v>
      </c>
      <c r="AA678" s="6">
        <v>60</v>
      </c>
      <c r="AB678" s="6">
        <v>69</v>
      </c>
      <c r="AC678" s="6">
        <v>64</v>
      </c>
      <c r="AD678" s="6">
        <v>73</v>
      </c>
      <c r="AE678" s="6">
        <v>66</v>
      </c>
      <c r="AF678" s="6">
        <v>66</v>
      </c>
      <c r="AG678" s="6" t="s">
        <v>7808</v>
      </c>
      <c r="AH678" s="6" t="s">
        <v>6715</v>
      </c>
    </row>
    <row r="679" spans="1:34" x14ac:dyDescent="0.2">
      <c r="A679" t="s">
        <v>4083</v>
      </c>
      <c r="B679" t="s">
        <v>2347</v>
      </c>
      <c r="C679" t="s">
        <v>2870</v>
      </c>
      <c r="D679" s="7" t="s">
        <v>25</v>
      </c>
      <c r="E679" t="s">
        <v>58</v>
      </c>
      <c r="F679">
        <v>23</v>
      </c>
      <c r="G679">
        <v>77</v>
      </c>
      <c r="H679">
        <v>76</v>
      </c>
      <c r="I679" t="s">
        <v>6354</v>
      </c>
      <c r="J679">
        <v>68</v>
      </c>
      <c r="K679">
        <v>230</v>
      </c>
      <c r="L679" t="s">
        <v>5777</v>
      </c>
      <c r="M679" s="6" t="s">
        <v>6558</v>
      </c>
      <c r="N679" s="6" t="s">
        <v>6567</v>
      </c>
      <c r="O679" s="6">
        <v>69</v>
      </c>
      <c r="P679" s="6">
        <v>73</v>
      </c>
      <c r="Q679" s="6">
        <v>71</v>
      </c>
      <c r="R679" s="6">
        <v>68</v>
      </c>
      <c r="S679" s="6">
        <v>75</v>
      </c>
      <c r="T679" s="6">
        <v>71</v>
      </c>
      <c r="U679" s="6">
        <v>66</v>
      </c>
      <c r="V679" s="6">
        <v>80</v>
      </c>
      <c r="W679" s="6">
        <v>65</v>
      </c>
      <c r="X679" s="6">
        <v>61</v>
      </c>
      <c r="Y679" s="6">
        <v>67</v>
      </c>
      <c r="Z679" s="6">
        <v>72</v>
      </c>
      <c r="AA679" s="6">
        <v>69</v>
      </c>
      <c r="AB679" s="6">
        <v>72</v>
      </c>
      <c r="AC679" s="6">
        <v>74</v>
      </c>
      <c r="AD679" s="6">
        <v>72</v>
      </c>
      <c r="AE679" s="6">
        <v>72</v>
      </c>
      <c r="AF679" s="6">
        <v>73</v>
      </c>
      <c r="AG679" s="6" t="s">
        <v>7814</v>
      </c>
      <c r="AH679" s="6" t="s">
        <v>6656</v>
      </c>
    </row>
    <row r="680" spans="1:34" x14ac:dyDescent="0.2">
      <c r="A680" t="s">
        <v>4094</v>
      </c>
      <c r="B680" t="s">
        <v>2358</v>
      </c>
      <c r="C680" t="s">
        <v>2872</v>
      </c>
      <c r="D680" s="7" t="s">
        <v>25</v>
      </c>
      <c r="E680" t="s">
        <v>38</v>
      </c>
      <c r="F680">
        <v>25</v>
      </c>
      <c r="G680">
        <v>71</v>
      </c>
      <c r="H680">
        <v>76</v>
      </c>
      <c r="I680" t="s">
        <v>6350</v>
      </c>
      <c r="J680">
        <v>76</v>
      </c>
      <c r="K680">
        <v>309</v>
      </c>
      <c r="L680" t="s">
        <v>5788</v>
      </c>
      <c r="M680" s="6" t="s">
        <v>6558</v>
      </c>
      <c r="N680" s="6" t="s">
        <v>6614</v>
      </c>
      <c r="O680" s="6">
        <v>75</v>
      </c>
      <c r="P680" s="6">
        <v>67</v>
      </c>
      <c r="Q680" s="6">
        <v>70</v>
      </c>
      <c r="R680" s="6">
        <v>61</v>
      </c>
      <c r="S680" s="6">
        <v>72</v>
      </c>
      <c r="T680" s="6">
        <v>70</v>
      </c>
      <c r="U680" s="6">
        <v>77</v>
      </c>
      <c r="V680" s="6">
        <v>68</v>
      </c>
      <c r="W680" s="6">
        <v>65</v>
      </c>
      <c r="X680" s="6">
        <v>65</v>
      </c>
      <c r="Y680" s="6">
        <v>71</v>
      </c>
      <c r="Z680" s="6">
        <v>70</v>
      </c>
      <c r="AA680" s="6">
        <v>66</v>
      </c>
      <c r="AB680" s="6">
        <v>70</v>
      </c>
      <c r="AC680" s="6">
        <v>69</v>
      </c>
      <c r="AD680" s="6">
        <v>74</v>
      </c>
      <c r="AE680" s="6">
        <v>73</v>
      </c>
      <c r="AF680" s="6">
        <v>65</v>
      </c>
      <c r="AG680" s="6" t="s">
        <v>7825</v>
      </c>
      <c r="AH680" s="6" t="s">
        <v>6593</v>
      </c>
    </row>
    <row r="681" spans="1:34" x14ac:dyDescent="0.2">
      <c r="A681" t="s">
        <v>4100</v>
      </c>
      <c r="B681" t="s">
        <v>2364</v>
      </c>
      <c r="C681" t="s">
        <v>2876</v>
      </c>
      <c r="D681" s="7" t="s">
        <v>25</v>
      </c>
      <c r="E681" t="s">
        <v>38</v>
      </c>
      <c r="F681">
        <v>28</v>
      </c>
      <c r="G681">
        <v>76</v>
      </c>
      <c r="H681">
        <v>76</v>
      </c>
      <c r="I681" t="s">
        <v>6331</v>
      </c>
      <c r="J681">
        <v>77</v>
      </c>
      <c r="K681">
        <v>325</v>
      </c>
      <c r="L681" t="s">
        <v>5794</v>
      </c>
      <c r="M681" s="6" t="s">
        <v>6558</v>
      </c>
      <c r="N681" s="6" t="s">
        <v>6565</v>
      </c>
      <c r="O681" s="6">
        <v>81</v>
      </c>
      <c r="P681" s="6">
        <v>77</v>
      </c>
      <c r="Q681" s="6">
        <v>81</v>
      </c>
      <c r="R681" s="6">
        <v>73</v>
      </c>
      <c r="S681" s="6">
        <v>70</v>
      </c>
      <c r="T681" s="6">
        <v>74</v>
      </c>
      <c r="U681" s="6">
        <v>86</v>
      </c>
      <c r="V681" s="6">
        <v>78</v>
      </c>
      <c r="W681" s="6">
        <v>72</v>
      </c>
      <c r="X681" s="6">
        <v>70</v>
      </c>
      <c r="Y681" s="6">
        <v>70</v>
      </c>
      <c r="Z681" s="6">
        <v>81</v>
      </c>
      <c r="AA681" s="6">
        <v>74</v>
      </c>
      <c r="AB681" s="6">
        <v>76</v>
      </c>
      <c r="AC681" s="6">
        <v>67</v>
      </c>
      <c r="AD681" s="6">
        <v>60</v>
      </c>
      <c r="AE681" s="6">
        <v>75</v>
      </c>
      <c r="AF681" s="6">
        <v>77</v>
      </c>
      <c r="AG681" s="6" t="s">
        <v>7831</v>
      </c>
      <c r="AH681" s="6" t="s">
        <v>6598</v>
      </c>
    </row>
    <row r="682" spans="1:34" x14ac:dyDescent="0.2">
      <c r="A682" t="s">
        <v>4113</v>
      </c>
      <c r="B682" t="s">
        <v>2377</v>
      </c>
      <c r="C682" t="s">
        <v>61</v>
      </c>
      <c r="D682" s="7" t="s">
        <v>25</v>
      </c>
      <c r="E682" t="s">
        <v>38</v>
      </c>
      <c r="F682">
        <v>27</v>
      </c>
      <c r="G682">
        <v>74</v>
      </c>
      <c r="H682">
        <v>76</v>
      </c>
      <c r="I682" t="s">
        <v>6313</v>
      </c>
      <c r="J682">
        <v>69</v>
      </c>
      <c r="K682">
        <v>193</v>
      </c>
      <c r="L682" t="s">
        <v>5807</v>
      </c>
      <c r="M682" s="6" t="s">
        <v>6558</v>
      </c>
      <c r="N682" s="6" t="s">
        <v>6567</v>
      </c>
      <c r="O682" s="6">
        <v>67</v>
      </c>
      <c r="P682" s="6">
        <v>75</v>
      </c>
      <c r="Q682" s="6">
        <v>69</v>
      </c>
      <c r="R682" s="6">
        <v>69</v>
      </c>
      <c r="S682" s="6">
        <v>88</v>
      </c>
      <c r="T682" s="6">
        <v>91</v>
      </c>
      <c r="U682" s="6">
        <v>73</v>
      </c>
      <c r="V682" s="6">
        <v>80</v>
      </c>
      <c r="W682" s="6">
        <v>88</v>
      </c>
      <c r="X682" s="6">
        <v>70</v>
      </c>
      <c r="Y682" s="6">
        <v>83</v>
      </c>
      <c r="Z682" s="6">
        <v>86</v>
      </c>
      <c r="AA682" s="6">
        <v>74</v>
      </c>
      <c r="AB682" s="6">
        <v>73</v>
      </c>
      <c r="AC682" s="6">
        <v>67</v>
      </c>
      <c r="AD682" s="6">
        <v>71</v>
      </c>
      <c r="AE682" s="6">
        <v>73</v>
      </c>
      <c r="AF682" s="6">
        <v>73</v>
      </c>
      <c r="AG682" s="6" t="s">
        <v>7845</v>
      </c>
      <c r="AH682" s="6" t="s">
        <v>6630</v>
      </c>
    </row>
    <row r="683" spans="1:34" x14ac:dyDescent="0.2">
      <c r="A683" t="s">
        <v>4120</v>
      </c>
      <c r="B683" t="s">
        <v>2384</v>
      </c>
      <c r="C683" t="s">
        <v>2888</v>
      </c>
      <c r="D683" s="7" t="s">
        <v>25</v>
      </c>
      <c r="E683" t="s">
        <v>58</v>
      </c>
      <c r="F683">
        <v>29</v>
      </c>
      <c r="G683">
        <v>63</v>
      </c>
      <c r="H683">
        <v>76</v>
      </c>
      <c r="I683" t="s">
        <v>8327</v>
      </c>
      <c r="J683">
        <v>74</v>
      </c>
      <c r="K683">
        <v>207</v>
      </c>
      <c r="L683" t="s">
        <v>5814</v>
      </c>
      <c r="M683" s="6" t="s">
        <v>6558</v>
      </c>
      <c r="N683" s="6" t="s">
        <v>6583</v>
      </c>
      <c r="O683" s="6">
        <v>90</v>
      </c>
      <c r="P683" s="6">
        <v>76</v>
      </c>
      <c r="Q683" s="6">
        <v>72</v>
      </c>
      <c r="R683" s="6">
        <v>79</v>
      </c>
      <c r="S683" s="6">
        <v>89</v>
      </c>
      <c r="T683" s="6">
        <v>71</v>
      </c>
      <c r="U683" s="6">
        <v>76</v>
      </c>
      <c r="V683" s="6">
        <v>68</v>
      </c>
      <c r="W683" s="6">
        <v>73</v>
      </c>
      <c r="X683" s="6">
        <v>70</v>
      </c>
      <c r="Y683" s="6">
        <v>75</v>
      </c>
      <c r="Z683" s="6">
        <v>78</v>
      </c>
      <c r="AA683" s="6">
        <v>66</v>
      </c>
      <c r="AB683" s="6">
        <v>75</v>
      </c>
      <c r="AC683" s="6">
        <v>74</v>
      </c>
      <c r="AD683" s="6">
        <v>68</v>
      </c>
      <c r="AE683" s="6">
        <v>72</v>
      </c>
      <c r="AF683" s="6">
        <v>74</v>
      </c>
      <c r="AG683" s="6" t="s">
        <v>7852</v>
      </c>
      <c r="AH683" s="6" t="s">
        <v>6980</v>
      </c>
    </row>
    <row r="684" spans="1:34" x14ac:dyDescent="0.2">
      <c r="A684" t="s">
        <v>4129</v>
      </c>
      <c r="B684" t="s">
        <v>2393</v>
      </c>
      <c r="C684" t="s">
        <v>2870</v>
      </c>
      <c r="D684" s="7" t="s">
        <v>150</v>
      </c>
      <c r="E684" t="s">
        <v>38</v>
      </c>
      <c r="F684">
        <v>26</v>
      </c>
      <c r="G684">
        <v>78</v>
      </c>
      <c r="H684">
        <v>76</v>
      </c>
      <c r="I684" t="s">
        <v>6374</v>
      </c>
      <c r="J684">
        <v>70</v>
      </c>
      <c r="K684">
        <v>220</v>
      </c>
      <c r="L684" t="s">
        <v>5823</v>
      </c>
      <c r="M684" s="6" t="s">
        <v>6558</v>
      </c>
      <c r="N684" s="6" t="s">
        <v>6565</v>
      </c>
      <c r="O684" s="6">
        <v>82</v>
      </c>
      <c r="P684" s="6">
        <v>69</v>
      </c>
      <c r="Q684" s="6">
        <v>77</v>
      </c>
      <c r="R684" s="6">
        <v>70</v>
      </c>
      <c r="S684" s="6">
        <v>86</v>
      </c>
      <c r="T684" s="6">
        <v>79</v>
      </c>
      <c r="U684" s="6">
        <v>70</v>
      </c>
      <c r="V684" s="6">
        <v>77</v>
      </c>
      <c r="W684" s="6">
        <v>74</v>
      </c>
      <c r="X684" s="6">
        <v>66</v>
      </c>
      <c r="Y684" s="6">
        <v>74</v>
      </c>
      <c r="Z684" s="6">
        <v>82</v>
      </c>
      <c r="AA684" s="6">
        <v>70</v>
      </c>
      <c r="AB684" s="6">
        <v>72</v>
      </c>
      <c r="AC684" s="6">
        <v>73</v>
      </c>
      <c r="AD684" s="6">
        <v>77</v>
      </c>
      <c r="AE684" s="6">
        <v>74</v>
      </c>
      <c r="AF684" s="6">
        <v>68</v>
      </c>
      <c r="AG684" s="6" t="s">
        <v>7860</v>
      </c>
      <c r="AH684" s="6" t="s">
        <v>6994</v>
      </c>
    </row>
    <row r="685" spans="1:34" x14ac:dyDescent="0.2">
      <c r="A685" t="s">
        <v>4136</v>
      </c>
      <c r="B685" t="s">
        <v>2400</v>
      </c>
      <c r="C685" t="s">
        <v>57</v>
      </c>
      <c r="D685" s="7" t="s">
        <v>150</v>
      </c>
      <c r="E685" t="s">
        <v>58</v>
      </c>
      <c r="F685">
        <v>31</v>
      </c>
      <c r="G685">
        <v>67</v>
      </c>
      <c r="H685">
        <v>76</v>
      </c>
      <c r="I685" t="s">
        <v>54</v>
      </c>
      <c r="J685">
        <v>73</v>
      </c>
      <c r="K685">
        <v>196</v>
      </c>
      <c r="L685" t="s">
        <v>5830</v>
      </c>
      <c r="M685" s="6" t="s">
        <v>6558</v>
      </c>
      <c r="N685" s="6" t="s">
        <v>6567</v>
      </c>
      <c r="O685" s="6">
        <v>65</v>
      </c>
      <c r="P685" s="6">
        <v>74</v>
      </c>
      <c r="Q685" s="6">
        <v>76</v>
      </c>
      <c r="R685" s="6">
        <v>63</v>
      </c>
      <c r="S685" s="6">
        <v>73</v>
      </c>
      <c r="T685" s="6">
        <v>62</v>
      </c>
      <c r="U685" s="6">
        <v>69</v>
      </c>
      <c r="V685" s="6">
        <v>78</v>
      </c>
      <c r="W685" s="6">
        <v>80</v>
      </c>
      <c r="X685" s="6">
        <v>70</v>
      </c>
      <c r="Y685" s="6">
        <v>86</v>
      </c>
      <c r="Z685" s="6">
        <v>75</v>
      </c>
      <c r="AA685" s="6">
        <v>64</v>
      </c>
      <c r="AB685" s="6">
        <v>68</v>
      </c>
      <c r="AC685" s="6">
        <v>66</v>
      </c>
      <c r="AD685" s="6">
        <v>65</v>
      </c>
      <c r="AE685" s="6">
        <v>63</v>
      </c>
      <c r="AF685" s="6">
        <v>71</v>
      </c>
      <c r="AG685" s="6" t="s">
        <v>7867</v>
      </c>
      <c r="AH685" s="6" t="s">
        <v>6664</v>
      </c>
    </row>
    <row r="686" spans="1:34" x14ac:dyDescent="0.2">
      <c r="A686" t="s">
        <v>4139</v>
      </c>
      <c r="B686" t="s">
        <v>2403</v>
      </c>
      <c r="C686" t="s">
        <v>2871</v>
      </c>
      <c r="D686" s="7" t="s">
        <v>150</v>
      </c>
      <c r="E686" t="s">
        <v>58</v>
      </c>
      <c r="F686">
        <v>32</v>
      </c>
      <c r="G686">
        <v>74</v>
      </c>
      <c r="H686">
        <v>76</v>
      </c>
      <c r="I686" t="s">
        <v>6342</v>
      </c>
      <c r="J686">
        <v>78</v>
      </c>
      <c r="K686">
        <v>242</v>
      </c>
      <c r="L686" t="s">
        <v>5833</v>
      </c>
      <c r="M686" s="6" t="s">
        <v>6558</v>
      </c>
      <c r="N686" s="6" t="s">
        <v>6559</v>
      </c>
      <c r="O686" s="6">
        <v>80</v>
      </c>
      <c r="P686" s="6">
        <v>73</v>
      </c>
      <c r="Q686" s="6">
        <v>77</v>
      </c>
      <c r="R686" s="6">
        <v>84</v>
      </c>
      <c r="S686" s="6">
        <v>73</v>
      </c>
      <c r="T686" s="6">
        <v>79</v>
      </c>
      <c r="U686" s="6">
        <v>81</v>
      </c>
      <c r="V686" s="6">
        <v>86</v>
      </c>
      <c r="W686" s="6">
        <v>90</v>
      </c>
      <c r="X686" s="6">
        <v>78</v>
      </c>
      <c r="Y686" s="6">
        <v>82</v>
      </c>
      <c r="Z686" s="6">
        <v>81</v>
      </c>
      <c r="AA686" s="6">
        <v>69</v>
      </c>
      <c r="AB686" s="6">
        <v>67</v>
      </c>
      <c r="AC686" s="6">
        <v>58</v>
      </c>
      <c r="AD686" s="6">
        <v>69</v>
      </c>
      <c r="AE686" s="6">
        <v>64</v>
      </c>
      <c r="AF686" s="6">
        <v>72</v>
      </c>
      <c r="AG686" s="6" t="s">
        <v>7870</v>
      </c>
      <c r="AH686" s="6" t="s">
        <v>6587</v>
      </c>
    </row>
    <row r="687" spans="1:34" x14ac:dyDescent="0.2">
      <c r="A687" t="s">
        <v>4150</v>
      </c>
      <c r="B687" t="s">
        <v>2414</v>
      </c>
      <c r="C687" t="s">
        <v>2877</v>
      </c>
      <c r="D687" s="7" t="s">
        <v>150</v>
      </c>
      <c r="E687" t="s">
        <v>38</v>
      </c>
      <c r="F687">
        <v>28</v>
      </c>
      <c r="G687">
        <v>73</v>
      </c>
      <c r="H687">
        <v>76</v>
      </c>
      <c r="I687" t="s">
        <v>6463</v>
      </c>
      <c r="J687">
        <v>77</v>
      </c>
      <c r="K687">
        <v>312</v>
      </c>
      <c r="L687" t="s">
        <v>5844</v>
      </c>
      <c r="M687" s="6" t="s">
        <v>6558</v>
      </c>
      <c r="N687" s="6" t="s">
        <v>6583</v>
      </c>
      <c r="O687" s="6">
        <v>72</v>
      </c>
      <c r="P687" s="6">
        <v>79</v>
      </c>
      <c r="Q687" s="6">
        <v>72</v>
      </c>
      <c r="R687" s="6">
        <v>76</v>
      </c>
      <c r="S687" s="6">
        <v>76</v>
      </c>
      <c r="T687" s="6">
        <v>58</v>
      </c>
      <c r="U687" s="6">
        <v>72</v>
      </c>
      <c r="V687" s="6">
        <v>76</v>
      </c>
      <c r="W687" s="6">
        <v>66</v>
      </c>
      <c r="X687" s="6">
        <v>77</v>
      </c>
      <c r="Y687" s="6">
        <v>77</v>
      </c>
      <c r="Z687" s="6">
        <v>75</v>
      </c>
      <c r="AA687" s="6">
        <v>63</v>
      </c>
      <c r="AB687" s="6">
        <v>72</v>
      </c>
      <c r="AC687" s="6">
        <v>68</v>
      </c>
      <c r="AD687" s="6">
        <v>76</v>
      </c>
      <c r="AE687" s="6">
        <v>69</v>
      </c>
      <c r="AF687" s="6">
        <v>76</v>
      </c>
      <c r="AG687" s="6" t="s">
        <v>7881</v>
      </c>
      <c r="AH687" s="6" t="s">
        <v>6596</v>
      </c>
    </row>
    <row r="688" spans="1:34" x14ac:dyDescent="0.2">
      <c r="A688" t="s">
        <v>4152</v>
      </c>
      <c r="B688" t="s">
        <v>2416</v>
      </c>
      <c r="C688" t="s">
        <v>2878</v>
      </c>
      <c r="D688" s="7" t="s">
        <v>150</v>
      </c>
      <c r="E688" t="s">
        <v>38</v>
      </c>
      <c r="F688">
        <v>31</v>
      </c>
      <c r="G688">
        <v>80</v>
      </c>
      <c r="H688">
        <v>76</v>
      </c>
      <c r="I688" t="s">
        <v>6351</v>
      </c>
      <c r="J688">
        <v>76</v>
      </c>
      <c r="K688">
        <v>279</v>
      </c>
      <c r="L688" t="s">
        <v>5846</v>
      </c>
      <c r="M688" s="6" t="s">
        <v>6558</v>
      </c>
      <c r="N688" s="6" t="s">
        <v>6567</v>
      </c>
      <c r="O688" s="6">
        <v>78</v>
      </c>
      <c r="P688" s="6">
        <v>67</v>
      </c>
      <c r="Q688" s="6">
        <v>77</v>
      </c>
      <c r="R688" s="6">
        <v>69</v>
      </c>
      <c r="S688" s="6">
        <v>86</v>
      </c>
      <c r="T688" s="6">
        <v>72</v>
      </c>
      <c r="U688" s="6">
        <v>73</v>
      </c>
      <c r="V688" s="6">
        <v>83</v>
      </c>
      <c r="W688" s="6">
        <v>78</v>
      </c>
      <c r="X688" s="6">
        <v>72</v>
      </c>
      <c r="Y688" s="6">
        <v>83</v>
      </c>
      <c r="Z688" s="6">
        <v>75</v>
      </c>
      <c r="AA688" s="6">
        <v>70</v>
      </c>
      <c r="AB688" s="6">
        <v>68</v>
      </c>
      <c r="AC688" s="6">
        <v>68</v>
      </c>
      <c r="AD688" s="6">
        <v>70</v>
      </c>
      <c r="AE688" s="6">
        <v>76</v>
      </c>
      <c r="AF688" s="6">
        <v>73</v>
      </c>
      <c r="AG688" s="6" t="s">
        <v>7883</v>
      </c>
      <c r="AH688" s="6" t="s">
        <v>6684</v>
      </c>
    </row>
    <row r="689" spans="1:34" x14ac:dyDescent="0.2">
      <c r="A689" t="s">
        <v>4157</v>
      </c>
      <c r="B689" t="s">
        <v>2421</v>
      </c>
      <c r="C689" t="s">
        <v>2878</v>
      </c>
      <c r="D689" s="7" t="s">
        <v>150</v>
      </c>
      <c r="E689" t="s">
        <v>58</v>
      </c>
      <c r="F689">
        <v>24</v>
      </c>
      <c r="G689">
        <v>68</v>
      </c>
      <c r="H689">
        <v>76</v>
      </c>
      <c r="I689" t="s">
        <v>6331</v>
      </c>
      <c r="J689">
        <v>75</v>
      </c>
      <c r="K689">
        <v>250</v>
      </c>
      <c r="L689" t="s">
        <v>5851</v>
      </c>
      <c r="M689" s="6" t="s">
        <v>6558</v>
      </c>
      <c r="N689" s="6" t="s">
        <v>6565</v>
      </c>
      <c r="O689" s="6">
        <v>71</v>
      </c>
      <c r="P689" s="6">
        <v>62</v>
      </c>
      <c r="Q689" s="6">
        <v>60</v>
      </c>
      <c r="R689" s="6">
        <v>74</v>
      </c>
      <c r="S689" s="6">
        <v>78</v>
      </c>
      <c r="T689" s="6">
        <v>73</v>
      </c>
      <c r="U689" s="6">
        <v>81</v>
      </c>
      <c r="V689" s="6">
        <v>66</v>
      </c>
      <c r="W689" s="6">
        <v>71</v>
      </c>
      <c r="X689" s="6">
        <v>72</v>
      </c>
      <c r="Y689" s="6">
        <v>68</v>
      </c>
      <c r="Z689" s="6">
        <v>71</v>
      </c>
      <c r="AA689" s="6">
        <v>64</v>
      </c>
      <c r="AB689" s="6">
        <v>77</v>
      </c>
      <c r="AC689" s="6">
        <v>69</v>
      </c>
      <c r="AD689" s="6">
        <v>66</v>
      </c>
      <c r="AE689" s="6">
        <v>71</v>
      </c>
      <c r="AF689" s="6">
        <v>73</v>
      </c>
      <c r="AG689" s="6" t="s">
        <v>7888</v>
      </c>
      <c r="AH689" s="6" t="s">
        <v>6797</v>
      </c>
    </row>
    <row r="690" spans="1:34" x14ac:dyDescent="0.2">
      <c r="A690" t="s">
        <v>4164</v>
      </c>
      <c r="B690" t="s">
        <v>2428</v>
      </c>
      <c r="C690" t="s">
        <v>61</v>
      </c>
      <c r="D690" s="7" t="s">
        <v>150</v>
      </c>
      <c r="E690" t="s">
        <v>38</v>
      </c>
      <c r="F690">
        <v>31</v>
      </c>
      <c r="G690">
        <v>72</v>
      </c>
      <c r="H690">
        <v>76</v>
      </c>
      <c r="I690" t="s">
        <v>6339</v>
      </c>
      <c r="J690">
        <v>71</v>
      </c>
      <c r="K690">
        <v>183</v>
      </c>
      <c r="L690" t="s">
        <v>5858</v>
      </c>
      <c r="M690" s="6" t="s">
        <v>6558</v>
      </c>
      <c r="N690" s="6" t="s">
        <v>6567</v>
      </c>
      <c r="O690" s="6">
        <v>81</v>
      </c>
      <c r="P690" s="6">
        <v>80</v>
      </c>
      <c r="Q690" s="6">
        <v>78</v>
      </c>
      <c r="R690" s="6">
        <v>66</v>
      </c>
      <c r="S690" s="6">
        <v>94</v>
      </c>
      <c r="T690" s="6">
        <v>74</v>
      </c>
      <c r="U690" s="6">
        <v>80</v>
      </c>
      <c r="V690" s="6">
        <v>75</v>
      </c>
      <c r="W690" s="6">
        <v>80</v>
      </c>
      <c r="X690" s="6">
        <v>81</v>
      </c>
      <c r="Y690" s="6">
        <v>70</v>
      </c>
      <c r="Z690" s="6">
        <v>75</v>
      </c>
      <c r="AA690" s="6">
        <v>70</v>
      </c>
      <c r="AB690" s="6">
        <v>79</v>
      </c>
      <c r="AC690" s="6">
        <v>71</v>
      </c>
      <c r="AD690" s="6">
        <v>72</v>
      </c>
      <c r="AE690" s="6">
        <v>71</v>
      </c>
      <c r="AF690" s="6">
        <v>75</v>
      </c>
      <c r="AG690" s="6" t="s">
        <v>7895</v>
      </c>
      <c r="AH690" s="6" t="s">
        <v>6630</v>
      </c>
    </row>
    <row r="691" spans="1:34" x14ac:dyDescent="0.2">
      <c r="A691" t="s">
        <v>4170</v>
      </c>
      <c r="B691" t="s">
        <v>2434</v>
      </c>
      <c r="C691" t="s">
        <v>2883</v>
      </c>
      <c r="D691" s="7" t="s">
        <v>150</v>
      </c>
      <c r="E691" t="s">
        <v>38</v>
      </c>
      <c r="F691">
        <v>25</v>
      </c>
      <c r="G691">
        <v>76</v>
      </c>
      <c r="H691">
        <v>76</v>
      </c>
      <c r="I691" t="s">
        <v>6367</v>
      </c>
      <c r="J691">
        <v>73</v>
      </c>
      <c r="K691">
        <v>203</v>
      </c>
      <c r="L691" t="s">
        <v>5864</v>
      </c>
      <c r="M691" s="6" t="s">
        <v>6558</v>
      </c>
      <c r="N691" s="6" t="s">
        <v>6583</v>
      </c>
      <c r="O691" s="6">
        <v>79</v>
      </c>
      <c r="P691" s="6">
        <v>76</v>
      </c>
      <c r="Q691" s="6">
        <v>72</v>
      </c>
      <c r="R691" s="6">
        <v>76</v>
      </c>
      <c r="S691" s="6">
        <v>79</v>
      </c>
      <c r="T691" s="6">
        <v>78</v>
      </c>
      <c r="U691" s="6">
        <v>66</v>
      </c>
      <c r="V691" s="6">
        <v>76</v>
      </c>
      <c r="W691" s="6">
        <v>70</v>
      </c>
      <c r="X691" s="6">
        <v>71</v>
      </c>
      <c r="Y691" s="6">
        <v>78</v>
      </c>
      <c r="Z691" s="6">
        <v>75</v>
      </c>
      <c r="AA691" s="6">
        <v>73</v>
      </c>
      <c r="AB691" s="6">
        <v>74</v>
      </c>
      <c r="AC691" s="6">
        <v>77</v>
      </c>
      <c r="AD691" s="6">
        <v>88</v>
      </c>
      <c r="AE691" s="6">
        <v>72</v>
      </c>
      <c r="AF691" s="6">
        <v>75</v>
      </c>
      <c r="AG691" s="6" t="s">
        <v>7901</v>
      </c>
      <c r="AH691" s="6" t="s">
        <v>6640</v>
      </c>
    </row>
    <row r="692" spans="1:34" x14ac:dyDescent="0.2">
      <c r="A692" t="s">
        <v>4172</v>
      </c>
      <c r="B692" t="s">
        <v>2436</v>
      </c>
      <c r="C692" t="s">
        <v>2883</v>
      </c>
      <c r="D692" s="7" t="s">
        <v>150</v>
      </c>
      <c r="E692" t="s">
        <v>38</v>
      </c>
      <c r="F692">
        <v>21</v>
      </c>
      <c r="G692">
        <v>67</v>
      </c>
      <c r="H692">
        <v>76</v>
      </c>
      <c r="I692" t="s">
        <v>6354</v>
      </c>
      <c r="J692">
        <v>73</v>
      </c>
      <c r="K692">
        <v>201</v>
      </c>
      <c r="L692" t="s">
        <v>5866</v>
      </c>
      <c r="M692" s="6" t="s">
        <v>6558</v>
      </c>
      <c r="N692" s="6" t="s">
        <v>6565</v>
      </c>
      <c r="O692" s="6">
        <v>72</v>
      </c>
      <c r="P692" s="6">
        <v>71</v>
      </c>
      <c r="Q692" s="6">
        <v>69</v>
      </c>
      <c r="R692" s="6">
        <v>72</v>
      </c>
      <c r="S692" s="6">
        <v>66</v>
      </c>
      <c r="T692" s="6">
        <v>64</v>
      </c>
      <c r="U692" s="6">
        <v>69</v>
      </c>
      <c r="V692" s="6">
        <v>69</v>
      </c>
      <c r="W692" s="6">
        <v>69</v>
      </c>
      <c r="X692" s="6">
        <v>59</v>
      </c>
      <c r="Y692" s="6">
        <v>66</v>
      </c>
      <c r="Z692" s="6">
        <v>69</v>
      </c>
      <c r="AA692" s="6">
        <v>69</v>
      </c>
      <c r="AB692" s="6">
        <v>61</v>
      </c>
      <c r="AC692" s="6">
        <v>82</v>
      </c>
      <c r="AD692" s="6">
        <v>62</v>
      </c>
      <c r="AE692" s="6">
        <v>66</v>
      </c>
      <c r="AF692" s="6">
        <v>66</v>
      </c>
      <c r="AG692" s="6" t="s">
        <v>7903</v>
      </c>
      <c r="AH692" s="6" t="s">
        <v>6640</v>
      </c>
    </row>
    <row r="693" spans="1:34" x14ac:dyDescent="0.2">
      <c r="A693" t="s">
        <v>4182</v>
      </c>
      <c r="B693" t="s">
        <v>2446</v>
      </c>
      <c r="C693" t="s">
        <v>2870</v>
      </c>
      <c r="D693" s="7" t="s">
        <v>151</v>
      </c>
      <c r="E693" t="s">
        <v>38</v>
      </c>
      <c r="F693">
        <v>22</v>
      </c>
      <c r="G693">
        <v>72</v>
      </c>
      <c r="H693">
        <v>76</v>
      </c>
      <c r="I693" t="s">
        <v>6328</v>
      </c>
      <c r="J693">
        <v>73</v>
      </c>
      <c r="K693">
        <v>230</v>
      </c>
      <c r="L693" t="s">
        <v>5876</v>
      </c>
      <c r="M693" s="6" t="s">
        <v>6558</v>
      </c>
      <c r="N693" s="6" t="s">
        <v>6567</v>
      </c>
      <c r="O693" s="6">
        <v>57</v>
      </c>
      <c r="P693" s="6">
        <v>64</v>
      </c>
      <c r="Q693" s="6">
        <v>70</v>
      </c>
      <c r="R693" s="6">
        <v>66</v>
      </c>
      <c r="S693" s="6">
        <v>71</v>
      </c>
      <c r="T693" s="6">
        <v>74</v>
      </c>
      <c r="U693" s="6">
        <v>66</v>
      </c>
      <c r="V693" s="6">
        <v>65</v>
      </c>
      <c r="W693" s="6">
        <v>70</v>
      </c>
      <c r="X693" s="6">
        <v>66</v>
      </c>
      <c r="Y693" s="6">
        <v>79</v>
      </c>
      <c r="Z693" s="6">
        <v>73</v>
      </c>
      <c r="AA693" s="6">
        <v>70</v>
      </c>
      <c r="AB693" s="6">
        <v>66</v>
      </c>
      <c r="AC693" s="6">
        <v>74</v>
      </c>
      <c r="AD693" s="6">
        <v>65</v>
      </c>
      <c r="AE693" s="6">
        <v>79</v>
      </c>
      <c r="AF693" s="6">
        <v>64</v>
      </c>
      <c r="AG693" s="6" t="s">
        <v>7913</v>
      </c>
      <c r="AH693" s="6" t="s">
        <v>6656</v>
      </c>
    </row>
    <row r="694" spans="1:34" x14ac:dyDescent="0.2">
      <c r="A694" t="s">
        <v>4183</v>
      </c>
      <c r="B694" t="s">
        <v>2447</v>
      </c>
      <c r="C694" t="s">
        <v>2870</v>
      </c>
      <c r="D694" s="7" t="s">
        <v>151</v>
      </c>
      <c r="E694" t="s">
        <v>38</v>
      </c>
      <c r="F694">
        <v>28</v>
      </c>
      <c r="G694">
        <v>71</v>
      </c>
      <c r="H694">
        <v>76</v>
      </c>
      <c r="I694" t="s">
        <v>6345</v>
      </c>
      <c r="J694">
        <v>69</v>
      </c>
      <c r="K694">
        <v>219</v>
      </c>
      <c r="L694" t="s">
        <v>5877</v>
      </c>
      <c r="M694" s="6" t="s">
        <v>6558</v>
      </c>
      <c r="N694" s="6" t="s">
        <v>6567</v>
      </c>
      <c r="O694" s="6">
        <v>61</v>
      </c>
      <c r="P694" s="6">
        <v>62</v>
      </c>
      <c r="Q694" s="6">
        <v>75</v>
      </c>
      <c r="R694" s="6">
        <v>69</v>
      </c>
      <c r="S694" s="6">
        <v>79</v>
      </c>
      <c r="T694" s="6">
        <v>77</v>
      </c>
      <c r="U694" s="6">
        <v>74</v>
      </c>
      <c r="V694" s="6">
        <v>72</v>
      </c>
      <c r="W694" s="6">
        <v>66</v>
      </c>
      <c r="X694" s="6">
        <v>68</v>
      </c>
      <c r="Y694" s="6">
        <v>74</v>
      </c>
      <c r="Z694" s="6">
        <v>63</v>
      </c>
      <c r="AA694" s="6">
        <v>67</v>
      </c>
      <c r="AB694" s="6">
        <v>74</v>
      </c>
      <c r="AC694" s="6">
        <v>69</v>
      </c>
      <c r="AD694" s="6">
        <v>69</v>
      </c>
      <c r="AE694" s="6">
        <v>70</v>
      </c>
      <c r="AF694" s="6">
        <v>73</v>
      </c>
      <c r="AG694" s="6" t="s">
        <v>7914</v>
      </c>
      <c r="AH694" s="6" t="s">
        <v>6887</v>
      </c>
    </row>
    <row r="695" spans="1:34" x14ac:dyDescent="0.2">
      <c r="A695" t="s">
        <v>4203</v>
      </c>
      <c r="B695" t="s">
        <v>2467</v>
      </c>
      <c r="C695" t="s">
        <v>2877</v>
      </c>
      <c r="D695" s="7" t="s">
        <v>151</v>
      </c>
      <c r="E695" t="s">
        <v>38</v>
      </c>
      <c r="F695">
        <v>27</v>
      </c>
      <c r="G695">
        <v>65</v>
      </c>
      <c r="H695">
        <v>76</v>
      </c>
      <c r="I695" t="s">
        <v>8333</v>
      </c>
      <c r="J695">
        <v>76</v>
      </c>
      <c r="K695">
        <v>312</v>
      </c>
      <c r="L695" t="s">
        <v>5897</v>
      </c>
      <c r="M695" s="6" t="s">
        <v>6558</v>
      </c>
      <c r="N695" s="6" t="s">
        <v>6583</v>
      </c>
      <c r="O695" s="6">
        <v>62</v>
      </c>
      <c r="P695" s="6">
        <v>71</v>
      </c>
      <c r="Q695" s="6">
        <v>71</v>
      </c>
      <c r="R695" s="6">
        <v>78</v>
      </c>
      <c r="S695" s="6">
        <v>71</v>
      </c>
      <c r="T695" s="6">
        <v>71</v>
      </c>
      <c r="U695" s="6">
        <v>75</v>
      </c>
      <c r="V695" s="6">
        <v>71</v>
      </c>
      <c r="W695" s="6">
        <v>75</v>
      </c>
      <c r="X695" s="6">
        <v>77</v>
      </c>
      <c r="Y695" s="6">
        <v>73</v>
      </c>
      <c r="Z695" s="6">
        <v>76</v>
      </c>
      <c r="AA695" s="6">
        <v>74</v>
      </c>
      <c r="AB695" s="6">
        <v>68</v>
      </c>
      <c r="AC695" s="6">
        <v>67</v>
      </c>
      <c r="AD695" s="6">
        <v>69</v>
      </c>
      <c r="AE695" s="6">
        <v>68</v>
      </c>
      <c r="AF695" s="6">
        <v>69</v>
      </c>
      <c r="AG695" s="6" t="s">
        <v>7935</v>
      </c>
      <c r="AH695" s="6" t="s">
        <v>6596</v>
      </c>
    </row>
    <row r="696" spans="1:34" x14ac:dyDescent="0.2">
      <c r="A696" t="s">
        <v>4205</v>
      </c>
      <c r="B696" t="s">
        <v>2469</v>
      </c>
      <c r="C696" t="s">
        <v>2878</v>
      </c>
      <c r="D696" s="7" t="s">
        <v>151</v>
      </c>
      <c r="E696" t="s">
        <v>38</v>
      </c>
      <c r="F696">
        <v>29</v>
      </c>
      <c r="G696">
        <v>83</v>
      </c>
      <c r="H696">
        <v>76</v>
      </c>
      <c r="I696" t="s">
        <v>6336</v>
      </c>
      <c r="J696">
        <v>78</v>
      </c>
      <c r="K696">
        <v>269</v>
      </c>
      <c r="L696" t="s">
        <v>5899</v>
      </c>
      <c r="M696" s="6" t="s">
        <v>6558</v>
      </c>
      <c r="N696" s="6" t="s">
        <v>6583</v>
      </c>
      <c r="O696" s="6">
        <v>88</v>
      </c>
      <c r="P696" s="6">
        <v>66</v>
      </c>
      <c r="Q696" s="6">
        <v>73</v>
      </c>
      <c r="R696" s="6">
        <v>79</v>
      </c>
      <c r="S696" s="6">
        <v>95</v>
      </c>
      <c r="T696" s="6">
        <v>79</v>
      </c>
      <c r="U696" s="6">
        <v>67</v>
      </c>
      <c r="V696" s="6">
        <v>86</v>
      </c>
      <c r="W696" s="6">
        <v>80</v>
      </c>
      <c r="X696" s="6">
        <v>77</v>
      </c>
      <c r="Y696" s="6">
        <v>79</v>
      </c>
      <c r="Z696" s="6">
        <v>76</v>
      </c>
      <c r="AA696" s="6">
        <v>74</v>
      </c>
      <c r="AB696" s="6">
        <v>71</v>
      </c>
      <c r="AC696" s="6">
        <v>69</v>
      </c>
      <c r="AD696" s="6">
        <v>75</v>
      </c>
      <c r="AE696" s="6">
        <v>70</v>
      </c>
      <c r="AF696" s="6">
        <v>74</v>
      </c>
      <c r="AG696" s="6" t="s">
        <v>7937</v>
      </c>
      <c r="AH696" s="6" t="s">
        <v>6612</v>
      </c>
    </row>
    <row r="697" spans="1:34" x14ac:dyDescent="0.2">
      <c r="A697" t="s">
        <v>4214</v>
      </c>
      <c r="B697" t="s">
        <v>2478</v>
      </c>
      <c r="C697" t="s">
        <v>2879</v>
      </c>
      <c r="D697" s="7" t="s">
        <v>151</v>
      </c>
      <c r="E697" t="s">
        <v>38</v>
      </c>
      <c r="F697">
        <v>24</v>
      </c>
      <c r="G697">
        <v>65</v>
      </c>
      <c r="H697">
        <v>76</v>
      </c>
      <c r="I697" t="s">
        <v>6329</v>
      </c>
      <c r="J697">
        <v>73</v>
      </c>
      <c r="K697">
        <v>316</v>
      </c>
      <c r="L697" t="s">
        <v>5908</v>
      </c>
      <c r="M697" s="6" t="s">
        <v>6558</v>
      </c>
      <c r="N697" s="6" t="s">
        <v>6614</v>
      </c>
      <c r="O697" s="6">
        <v>66</v>
      </c>
      <c r="P697" s="6">
        <v>60</v>
      </c>
      <c r="Q697" s="6">
        <v>65</v>
      </c>
      <c r="R697" s="6">
        <v>57</v>
      </c>
      <c r="S697" s="6">
        <v>69</v>
      </c>
      <c r="T697" s="6">
        <v>75</v>
      </c>
      <c r="U697" s="6">
        <v>64</v>
      </c>
      <c r="V697" s="6">
        <v>64</v>
      </c>
      <c r="W697" s="6">
        <v>67</v>
      </c>
      <c r="X697" s="6">
        <v>67</v>
      </c>
      <c r="Y697" s="6">
        <v>69</v>
      </c>
      <c r="Z697" s="6">
        <v>66</v>
      </c>
      <c r="AA697" s="6">
        <v>62</v>
      </c>
      <c r="AB697" s="6">
        <v>65</v>
      </c>
      <c r="AC697" s="6">
        <v>65</v>
      </c>
      <c r="AD697" s="6">
        <v>75</v>
      </c>
      <c r="AE697" s="6">
        <v>66</v>
      </c>
      <c r="AF697" s="6">
        <v>66</v>
      </c>
      <c r="AG697" s="6" t="s">
        <v>7946</v>
      </c>
      <c r="AH697" s="6" t="s">
        <v>6617</v>
      </c>
    </row>
    <row r="698" spans="1:34" x14ac:dyDescent="0.2">
      <c r="A698" t="s">
        <v>4217</v>
      </c>
      <c r="B698" t="s">
        <v>2481</v>
      </c>
      <c r="C698" t="s">
        <v>2881</v>
      </c>
      <c r="D698" s="7" t="s">
        <v>151</v>
      </c>
      <c r="E698" t="s">
        <v>38</v>
      </c>
      <c r="F698">
        <v>29</v>
      </c>
      <c r="G698">
        <v>72</v>
      </c>
      <c r="H698">
        <v>76</v>
      </c>
      <c r="I698" t="s">
        <v>6346</v>
      </c>
      <c r="J698">
        <v>73</v>
      </c>
      <c r="K698">
        <v>233</v>
      </c>
      <c r="L698" t="s">
        <v>5911</v>
      </c>
      <c r="M698" s="6" t="s">
        <v>6558</v>
      </c>
      <c r="N698" s="6" t="s">
        <v>6559</v>
      </c>
      <c r="O698" s="6">
        <v>71</v>
      </c>
      <c r="P698" s="6">
        <v>71</v>
      </c>
      <c r="Q698" s="6">
        <v>72</v>
      </c>
      <c r="R698" s="6">
        <v>84</v>
      </c>
      <c r="S698" s="6">
        <v>80</v>
      </c>
      <c r="T698" s="6">
        <v>70</v>
      </c>
      <c r="U698" s="6">
        <v>76</v>
      </c>
      <c r="V698" s="6">
        <v>85</v>
      </c>
      <c r="W698" s="6">
        <v>77</v>
      </c>
      <c r="X698" s="6">
        <v>82</v>
      </c>
      <c r="Y698" s="6">
        <v>85</v>
      </c>
      <c r="Z698" s="6">
        <v>72</v>
      </c>
      <c r="AA698" s="6">
        <v>69</v>
      </c>
      <c r="AB698" s="6">
        <v>76</v>
      </c>
      <c r="AC698" s="6">
        <v>68</v>
      </c>
      <c r="AD698" s="6">
        <v>75</v>
      </c>
      <c r="AE698" s="6">
        <v>70</v>
      </c>
      <c r="AF698" s="6">
        <v>68</v>
      </c>
      <c r="AG698" s="6" t="s">
        <v>7949</v>
      </c>
      <c r="AH698" s="6" t="s">
        <v>6711</v>
      </c>
    </row>
    <row r="699" spans="1:34" x14ac:dyDescent="0.2">
      <c r="A699" t="s">
        <v>4220</v>
      </c>
      <c r="B699" t="s">
        <v>2484</v>
      </c>
      <c r="C699" t="s">
        <v>61</v>
      </c>
      <c r="D699" s="7" t="s">
        <v>151</v>
      </c>
      <c r="E699" t="s">
        <v>38</v>
      </c>
      <c r="F699">
        <v>27</v>
      </c>
      <c r="G699">
        <v>72</v>
      </c>
      <c r="H699">
        <v>76</v>
      </c>
      <c r="I699" t="s">
        <v>6310</v>
      </c>
      <c r="J699">
        <v>71</v>
      </c>
      <c r="K699">
        <v>186</v>
      </c>
      <c r="L699" t="s">
        <v>5914</v>
      </c>
      <c r="M699" s="6" t="s">
        <v>7921</v>
      </c>
      <c r="N699" s="6" t="s">
        <v>6583</v>
      </c>
      <c r="O699" s="6">
        <v>83</v>
      </c>
      <c r="P699" s="6">
        <v>64</v>
      </c>
      <c r="Q699" s="6">
        <v>77</v>
      </c>
      <c r="R699" s="6">
        <v>81</v>
      </c>
      <c r="S699" s="6">
        <v>91</v>
      </c>
      <c r="T699" s="6">
        <v>79</v>
      </c>
      <c r="U699" s="6">
        <v>81</v>
      </c>
      <c r="V699" s="6">
        <v>71</v>
      </c>
      <c r="W699" s="6">
        <v>70</v>
      </c>
      <c r="X699" s="6">
        <v>65</v>
      </c>
      <c r="Y699" s="6">
        <v>77</v>
      </c>
      <c r="Z699" s="6">
        <v>76</v>
      </c>
      <c r="AA699" s="6">
        <v>69</v>
      </c>
      <c r="AB699" s="6">
        <v>75</v>
      </c>
      <c r="AC699" s="6">
        <v>77</v>
      </c>
      <c r="AD699" s="6">
        <v>78</v>
      </c>
      <c r="AE699" s="6">
        <v>68</v>
      </c>
      <c r="AF699" s="6">
        <v>75</v>
      </c>
      <c r="AG699" s="6" t="s">
        <v>7952</v>
      </c>
      <c r="AH699" s="6" t="s">
        <v>6630</v>
      </c>
    </row>
    <row r="700" spans="1:34" x14ac:dyDescent="0.2">
      <c r="A700" t="s">
        <v>4231</v>
      </c>
      <c r="B700" t="s">
        <v>2495</v>
      </c>
      <c r="C700" t="s">
        <v>2885</v>
      </c>
      <c r="D700" s="7" t="s">
        <v>151</v>
      </c>
      <c r="E700" t="s">
        <v>58</v>
      </c>
      <c r="F700">
        <v>31</v>
      </c>
      <c r="G700">
        <v>76</v>
      </c>
      <c r="H700">
        <v>76</v>
      </c>
      <c r="I700" t="s">
        <v>6359</v>
      </c>
      <c r="J700">
        <v>73</v>
      </c>
      <c r="K700">
        <v>233</v>
      </c>
      <c r="L700" t="s">
        <v>5925</v>
      </c>
      <c r="M700" s="6" t="s">
        <v>6558</v>
      </c>
      <c r="N700" s="6" t="s">
        <v>6567</v>
      </c>
      <c r="O700" s="6">
        <v>66</v>
      </c>
      <c r="P700" s="6">
        <v>71</v>
      </c>
      <c r="Q700" s="6">
        <v>87</v>
      </c>
      <c r="R700" s="6">
        <v>64</v>
      </c>
      <c r="S700" s="6">
        <v>70</v>
      </c>
      <c r="T700" s="6">
        <v>71</v>
      </c>
      <c r="U700" s="6">
        <v>69</v>
      </c>
      <c r="V700" s="6">
        <v>71</v>
      </c>
      <c r="W700" s="6">
        <v>77</v>
      </c>
      <c r="X700" s="6">
        <v>73</v>
      </c>
      <c r="Y700" s="6">
        <v>64</v>
      </c>
      <c r="Z700" s="6">
        <v>71</v>
      </c>
      <c r="AA700" s="6">
        <v>63</v>
      </c>
      <c r="AB700" s="6">
        <v>71</v>
      </c>
      <c r="AC700" s="6">
        <v>75</v>
      </c>
      <c r="AD700" s="6">
        <v>67</v>
      </c>
      <c r="AE700" s="6">
        <v>63</v>
      </c>
      <c r="AF700" s="6">
        <v>59</v>
      </c>
      <c r="AG700" s="6" t="s">
        <v>7963</v>
      </c>
      <c r="AH700" s="6" t="s">
        <v>6628</v>
      </c>
    </row>
    <row r="701" spans="1:34" x14ac:dyDescent="0.2">
      <c r="A701" t="s">
        <v>4241</v>
      </c>
      <c r="B701" t="s">
        <v>2505</v>
      </c>
      <c r="C701" t="s">
        <v>57</v>
      </c>
      <c r="D701" s="7" t="s">
        <v>152</v>
      </c>
      <c r="E701" t="s">
        <v>38</v>
      </c>
      <c r="F701">
        <v>27</v>
      </c>
      <c r="G701">
        <v>77</v>
      </c>
      <c r="H701">
        <v>76</v>
      </c>
      <c r="I701" t="s">
        <v>6410</v>
      </c>
      <c r="J701">
        <v>72</v>
      </c>
      <c r="K701">
        <v>208</v>
      </c>
      <c r="L701" t="s">
        <v>5935</v>
      </c>
      <c r="M701" s="6" t="s">
        <v>6558</v>
      </c>
      <c r="N701" s="6" t="s">
        <v>6567</v>
      </c>
      <c r="O701" s="6">
        <v>77</v>
      </c>
      <c r="P701" s="6">
        <v>68</v>
      </c>
      <c r="Q701" s="6">
        <v>66</v>
      </c>
      <c r="R701" s="6">
        <v>68</v>
      </c>
      <c r="S701" s="6">
        <v>79</v>
      </c>
      <c r="T701" s="6">
        <v>79</v>
      </c>
      <c r="U701" s="6">
        <v>68</v>
      </c>
      <c r="V701" s="6">
        <v>70</v>
      </c>
      <c r="W701" s="6">
        <v>71</v>
      </c>
      <c r="X701" s="6">
        <v>71</v>
      </c>
      <c r="Y701" s="6">
        <v>84</v>
      </c>
      <c r="Z701" s="6">
        <v>81</v>
      </c>
      <c r="AA701" s="6">
        <v>74</v>
      </c>
      <c r="AB701" s="6">
        <v>70</v>
      </c>
      <c r="AC701" s="6">
        <v>67</v>
      </c>
      <c r="AD701" s="6">
        <v>79</v>
      </c>
      <c r="AE701" s="6">
        <v>75</v>
      </c>
      <c r="AF701" s="6">
        <v>75</v>
      </c>
      <c r="AG701" s="6" t="s">
        <v>7972</v>
      </c>
      <c r="AH701" s="6" t="s">
        <v>6574</v>
      </c>
    </row>
    <row r="702" spans="1:34" x14ac:dyDescent="0.2">
      <c r="A702" t="s">
        <v>4260</v>
      </c>
      <c r="B702" t="s">
        <v>2524</v>
      </c>
      <c r="C702" t="s">
        <v>2878</v>
      </c>
      <c r="D702" s="7" t="s">
        <v>152</v>
      </c>
      <c r="E702" t="s">
        <v>38</v>
      </c>
      <c r="F702">
        <v>26</v>
      </c>
      <c r="G702">
        <v>78</v>
      </c>
      <c r="H702">
        <v>76</v>
      </c>
      <c r="I702" t="s">
        <v>6417</v>
      </c>
      <c r="J702">
        <v>75</v>
      </c>
      <c r="K702">
        <v>278</v>
      </c>
      <c r="L702" t="s">
        <v>5954</v>
      </c>
      <c r="M702" s="6" t="s">
        <v>6558</v>
      </c>
      <c r="N702" s="6" t="s">
        <v>6565</v>
      </c>
      <c r="O702" s="6">
        <v>71</v>
      </c>
      <c r="P702" s="6">
        <v>81</v>
      </c>
      <c r="Q702" s="6">
        <v>68</v>
      </c>
      <c r="R702" s="6">
        <v>71</v>
      </c>
      <c r="S702" s="6">
        <v>81</v>
      </c>
      <c r="T702" s="6">
        <v>80</v>
      </c>
      <c r="U702" s="6">
        <v>73</v>
      </c>
      <c r="V702" s="6">
        <v>75</v>
      </c>
      <c r="W702" s="6">
        <v>73</v>
      </c>
      <c r="X702" s="6">
        <v>80</v>
      </c>
      <c r="Y702" s="6">
        <v>85</v>
      </c>
      <c r="Z702" s="6">
        <v>73</v>
      </c>
      <c r="AA702" s="6">
        <v>75</v>
      </c>
      <c r="AB702" s="6">
        <v>75</v>
      </c>
      <c r="AC702" s="6">
        <v>78</v>
      </c>
      <c r="AD702" s="6">
        <v>76</v>
      </c>
      <c r="AE702" s="6">
        <v>67</v>
      </c>
      <c r="AF702" s="6">
        <v>71</v>
      </c>
      <c r="AG702" s="6" t="s">
        <v>7990</v>
      </c>
      <c r="AH702" s="6" t="s">
        <v>6612</v>
      </c>
    </row>
    <row r="703" spans="1:34" x14ac:dyDescent="0.2">
      <c r="A703" t="s">
        <v>4265</v>
      </c>
      <c r="B703" t="s">
        <v>2529</v>
      </c>
      <c r="C703" t="s">
        <v>2879</v>
      </c>
      <c r="D703" s="7" t="s">
        <v>152</v>
      </c>
      <c r="E703" t="s">
        <v>38</v>
      </c>
      <c r="F703">
        <v>31</v>
      </c>
      <c r="G703">
        <v>78</v>
      </c>
      <c r="H703">
        <v>76</v>
      </c>
      <c r="I703" t="s">
        <v>6459</v>
      </c>
      <c r="J703">
        <v>74</v>
      </c>
      <c r="K703">
        <v>324</v>
      </c>
      <c r="L703" t="s">
        <v>5959</v>
      </c>
      <c r="M703" s="6" t="s">
        <v>6558</v>
      </c>
      <c r="N703" s="6" t="s">
        <v>6565</v>
      </c>
      <c r="O703" s="6">
        <v>77</v>
      </c>
      <c r="P703" s="6">
        <v>69</v>
      </c>
      <c r="Q703" s="6">
        <v>80</v>
      </c>
      <c r="R703" s="6">
        <v>72</v>
      </c>
      <c r="S703" s="6">
        <v>83</v>
      </c>
      <c r="T703" s="6">
        <v>81</v>
      </c>
      <c r="U703" s="6">
        <v>84</v>
      </c>
      <c r="V703" s="6">
        <v>81</v>
      </c>
      <c r="W703" s="6">
        <v>67</v>
      </c>
      <c r="X703" s="6">
        <v>82</v>
      </c>
      <c r="Y703" s="6">
        <v>74</v>
      </c>
      <c r="Z703" s="6">
        <v>81</v>
      </c>
      <c r="AA703" s="6">
        <v>71</v>
      </c>
      <c r="AB703" s="6">
        <v>68</v>
      </c>
      <c r="AC703" s="6">
        <v>70</v>
      </c>
      <c r="AD703" s="6">
        <v>73</v>
      </c>
      <c r="AE703" s="6">
        <v>70</v>
      </c>
      <c r="AF703" s="6">
        <v>73</v>
      </c>
      <c r="AG703" s="6" t="s">
        <v>7995</v>
      </c>
      <c r="AH703" s="6" t="s">
        <v>6619</v>
      </c>
    </row>
    <row r="704" spans="1:34" x14ac:dyDescent="0.2">
      <c r="A704" t="s">
        <v>4273</v>
      </c>
      <c r="B704" t="s">
        <v>2536</v>
      </c>
      <c r="C704" t="s">
        <v>61</v>
      </c>
      <c r="D704" s="7" t="s">
        <v>152</v>
      </c>
      <c r="E704" t="s">
        <v>38</v>
      </c>
      <c r="F704">
        <v>24</v>
      </c>
      <c r="G704">
        <v>75</v>
      </c>
      <c r="H704">
        <v>76</v>
      </c>
      <c r="I704" t="s">
        <v>6334</v>
      </c>
      <c r="J704">
        <v>70</v>
      </c>
      <c r="K704">
        <v>206</v>
      </c>
      <c r="L704" t="s">
        <v>5967</v>
      </c>
      <c r="M704" s="6" t="s">
        <v>6558</v>
      </c>
      <c r="N704" s="6" t="s">
        <v>6567</v>
      </c>
      <c r="O704" s="6">
        <v>82</v>
      </c>
      <c r="P704" s="6">
        <v>81</v>
      </c>
      <c r="Q704" s="6">
        <v>75</v>
      </c>
      <c r="R704" s="6">
        <v>68</v>
      </c>
      <c r="S704" s="6">
        <v>79</v>
      </c>
      <c r="T704" s="6">
        <v>80</v>
      </c>
      <c r="U704" s="6">
        <v>77</v>
      </c>
      <c r="V704" s="6">
        <v>78</v>
      </c>
      <c r="W704" s="6">
        <v>73</v>
      </c>
      <c r="X704" s="6">
        <v>85</v>
      </c>
      <c r="Y704" s="6">
        <v>78</v>
      </c>
      <c r="Z704" s="6">
        <v>71</v>
      </c>
      <c r="AA704" s="6">
        <v>75</v>
      </c>
      <c r="AB704" s="6">
        <v>74</v>
      </c>
      <c r="AC704" s="6">
        <v>75</v>
      </c>
      <c r="AD704" s="6">
        <v>76</v>
      </c>
      <c r="AE704" s="6">
        <v>71</v>
      </c>
      <c r="AF704" s="6">
        <v>75</v>
      </c>
      <c r="AG704" s="6" t="s">
        <v>8003</v>
      </c>
      <c r="AH704" s="6" t="s">
        <v>6630</v>
      </c>
    </row>
    <row r="705" spans="1:34" x14ac:dyDescent="0.2">
      <c r="A705" t="s">
        <v>4282</v>
      </c>
      <c r="B705" t="s">
        <v>2545</v>
      </c>
      <c r="C705" t="s">
        <v>2885</v>
      </c>
      <c r="D705" s="7" t="s">
        <v>152</v>
      </c>
      <c r="E705" t="s">
        <v>38</v>
      </c>
      <c r="F705">
        <v>24</v>
      </c>
      <c r="G705">
        <v>81</v>
      </c>
      <c r="H705">
        <v>76</v>
      </c>
      <c r="I705" t="s">
        <v>6303</v>
      </c>
      <c r="J705">
        <v>73</v>
      </c>
      <c r="K705">
        <v>230</v>
      </c>
      <c r="L705" t="s">
        <v>5976</v>
      </c>
      <c r="M705" s="6" t="s">
        <v>6558</v>
      </c>
      <c r="N705" s="6" t="s">
        <v>6565</v>
      </c>
      <c r="O705" s="6">
        <v>65</v>
      </c>
      <c r="P705" s="6">
        <v>71</v>
      </c>
      <c r="Q705" s="6">
        <v>74</v>
      </c>
      <c r="R705" s="6">
        <v>75</v>
      </c>
      <c r="S705" s="6">
        <v>73</v>
      </c>
      <c r="T705" s="6">
        <v>68</v>
      </c>
      <c r="U705" s="6">
        <v>76</v>
      </c>
      <c r="V705" s="6">
        <v>78</v>
      </c>
      <c r="W705" s="6">
        <v>74</v>
      </c>
      <c r="X705" s="6">
        <v>70</v>
      </c>
      <c r="Y705" s="6">
        <v>71</v>
      </c>
      <c r="Z705" s="6">
        <v>75</v>
      </c>
      <c r="AA705" s="6">
        <v>67</v>
      </c>
      <c r="AB705" s="6">
        <v>72</v>
      </c>
      <c r="AC705" s="6">
        <v>73</v>
      </c>
      <c r="AD705" s="6">
        <v>68</v>
      </c>
      <c r="AE705" s="6">
        <v>68</v>
      </c>
      <c r="AF705" s="6">
        <v>73</v>
      </c>
      <c r="AG705" s="6" t="s">
        <v>7300</v>
      </c>
      <c r="AH705" s="6" t="s">
        <v>6628</v>
      </c>
    </row>
    <row r="706" spans="1:34" x14ac:dyDescent="0.2">
      <c r="A706" t="s">
        <v>4295</v>
      </c>
      <c r="B706" t="s">
        <v>2558</v>
      </c>
      <c r="C706" t="s">
        <v>2870</v>
      </c>
      <c r="D706" s="7" t="s">
        <v>153</v>
      </c>
      <c r="E706" t="s">
        <v>38</v>
      </c>
      <c r="F706">
        <v>25</v>
      </c>
      <c r="G706">
        <v>67</v>
      </c>
      <c r="H706">
        <v>76</v>
      </c>
      <c r="I706" t="s">
        <v>6339</v>
      </c>
      <c r="J706">
        <v>70</v>
      </c>
      <c r="K706">
        <v>228</v>
      </c>
      <c r="L706" t="s">
        <v>5989</v>
      </c>
      <c r="M706" s="6" t="s">
        <v>6558</v>
      </c>
      <c r="N706" s="6" t="s">
        <v>6567</v>
      </c>
      <c r="O706" s="6">
        <v>76</v>
      </c>
      <c r="P706" s="6">
        <v>73</v>
      </c>
      <c r="Q706" s="6">
        <v>68</v>
      </c>
      <c r="R706" s="6">
        <v>64</v>
      </c>
      <c r="S706" s="6">
        <v>76</v>
      </c>
      <c r="T706" s="6">
        <v>65</v>
      </c>
      <c r="U706" s="6">
        <v>62</v>
      </c>
      <c r="V706" s="6">
        <v>73</v>
      </c>
      <c r="W706" s="6">
        <v>63</v>
      </c>
      <c r="X706" s="6">
        <v>69</v>
      </c>
      <c r="Y706" s="6">
        <v>80</v>
      </c>
      <c r="Z706" s="6">
        <v>74</v>
      </c>
      <c r="AA706" s="6">
        <v>72</v>
      </c>
      <c r="AB706" s="6">
        <v>77</v>
      </c>
      <c r="AC706" s="6">
        <v>70</v>
      </c>
      <c r="AD706" s="6">
        <v>75</v>
      </c>
      <c r="AE706" s="6">
        <v>71</v>
      </c>
      <c r="AF706" s="6">
        <v>73</v>
      </c>
      <c r="AG706" s="6" t="s">
        <v>8024</v>
      </c>
      <c r="AH706" s="6" t="s">
        <v>6656</v>
      </c>
    </row>
    <row r="707" spans="1:34" x14ac:dyDescent="0.2">
      <c r="A707" t="s">
        <v>4308</v>
      </c>
      <c r="B707" t="s">
        <v>2571</v>
      </c>
      <c r="C707" t="s">
        <v>2872</v>
      </c>
      <c r="D707" s="7" t="s">
        <v>153</v>
      </c>
      <c r="E707" t="s">
        <v>58</v>
      </c>
      <c r="F707">
        <v>33</v>
      </c>
      <c r="G707">
        <v>73</v>
      </c>
      <c r="H707">
        <v>76</v>
      </c>
      <c r="I707" t="s">
        <v>6383</v>
      </c>
      <c r="J707">
        <v>76</v>
      </c>
      <c r="K707">
        <v>324</v>
      </c>
      <c r="L707" t="s">
        <v>6002</v>
      </c>
      <c r="M707" s="6" t="s">
        <v>6558</v>
      </c>
      <c r="N707" s="6" t="s">
        <v>6567</v>
      </c>
      <c r="O707" s="6">
        <v>69</v>
      </c>
      <c r="P707" s="6">
        <v>68</v>
      </c>
      <c r="Q707" s="6">
        <v>69</v>
      </c>
      <c r="R707" s="6">
        <v>69</v>
      </c>
      <c r="S707" s="6">
        <v>66</v>
      </c>
      <c r="T707" s="6">
        <v>74</v>
      </c>
      <c r="U707" s="6">
        <v>72</v>
      </c>
      <c r="V707" s="6">
        <v>79</v>
      </c>
      <c r="W707" s="6">
        <v>68</v>
      </c>
      <c r="X707" s="6">
        <v>69</v>
      </c>
      <c r="Y707" s="6">
        <v>80</v>
      </c>
      <c r="Z707" s="6">
        <v>71</v>
      </c>
      <c r="AA707" s="6">
        <v>64</v>
      </c>
      <c r="AB707" s="6">
        <v>62</v>
      </c>
      <c r="AC707" s="6">
        <v>60</v>
      </c>
      <c r="AD707" s="6">
        <v>69</v>
      </c>
      <c r="AE707" s="6">
        <v>65</v>
      </c>
      <c r="AF707" s="6">
        <v>65</v>
      </c>
      <c r="AG707" s="6" t="s">
        <v>8037</v>
      </c>
      <c r="AH707" s="6" t="s">
        <v>6593</v>
      </c>
    </row>
    <row r="708" spans="1:34" x14ac:dyDescent="0.2">
      <c r="A708" t="s">
        <v>4318</v>
      </c>
      <c r="B708" t="s">
        <v>2581</v>
      </c>
      <c r="C708" t="s">
        <v>2878</v>
      </c>
      <c r="D708" s="7" t="s">
        <v>153</v>
      </c>
      <c r="E708" t="s">
        <v>38</v>
      </c>
      <c r="F708">
        <v>22</v>
      </c>
      <c r="G708">
        <v>67</v>
      </c>
      <c r="H708">
        <v>76</v>
      </c>
      <c r="I708" t="s">
        <v>6305</v>
      </c>
      <c r="J708">
        <v>76</v>
      </c>
      <c r="K708">
        <v>275</v>
      </c>
      <c r="L708" t="s">
        <v>6012</v>
      </c>
      <c r="M708" s="6" t="s">
        <v>6558</v>
      </c>
      <c r="N708" s="6" t="s">
        <v>6567</v>
      </c>
      <c r="O708" s="6">
        <v>68</v>
      </c>
      <c r="P708" s="6">
        <v>67</v>
      </c>
      <c r="Q708" s="6">
        <v>62</v>
      </c>
      <c r="R708" s="6">
        <v>66</v>
      </c>
      <c r="S708" s="6">
        <v>73</v>
      </c>
      <c r="T708" s="6">
        <v>58</v>
      </c>
      <c r="U708" s="6">
        <v>60</v>
      </c>
      <c r="V708" s="6">
        <v>70</v>
      </c>
      <c r="W708" s="6">
        <v>60</v>
      </c>
      <c r="X708" s="6">
        <v>56</v>
      </c>
      <c r="Y708" s="6">
        <v>65</v>
      </c>
      <c r="Z708" s="6">
        <v>64</v>
      </c>
      <c r="AA708" s="6">
        <v>60</v>
      </c>
      <c r="AB708" s="6">
        <v>67</v>
      </c>
      <c r="AC708" s="6">
        <v>68</v>
      </c>
      <c r="AD708" s="6">
        <v>62</v>
      </c>
      <c r="AE708" s="6">
        <v>67</v>
      </c>
      <c r="AF708" s="6">
        <v>64</v>
      </c>
      <c r="AG708" s="6" t="s">
        <v>8047</v>
      </c>
      <c r="AH708" s="6" t="s">
        <v>6612</v>
      </c>
    </row>
    <row r="709" spans="1:34" x14ac:dyDescent="0.2">
      <c r="A709" t="s">
        <v>4335</v>
      </c>
      <c r="B709" t="s">
        <v>2598</v>
      </c>
      <c r="C709" t="s">
        <v>2884</v>
      </c>
      <c r="D709" s="7" t="s">
        <v>153</v>
      </c>
      <c r="E709" t="s">
        <v>58</v>
      </c>
      <c r="F709">
        <v>33</v>
      </c>
      <c r="G709">
        <v>80</v>
      </c>
      <c r="H709">
        <v>76</v>
      </c>
      <c r="I709" t="s">
        <v>6427</v>
      </c>
      <c r="J709">
        <v>73</v>
      </c>
      <c r="K709">
        <v>225</v>
      </c>
      <c r="L709" t="s">
        <v>6029</v>
      </c>
      <c r="M709" s="6" t="s">
        <v>6558</v>
      </c>
      <c r="N709" s="6" t="s">
        <v>6583</v>
      </c>
      <c r="O709" s="6">
        <v>90</v>
      </c>
      <c r="P709" s="6">
        <v>78</v>
      </c>
      <c r="Q709" s="6">
        <v>80</v>
      </c>
      <c r="R709" s="6">
        <v>76</v>
      </c>
      <c r="S709" s="6">
        <v>83</v>
      </c>
      <c r="T709" s="6">
        <v>82</v>
      </c>
      <c r="U709" s="6">
        <v>86</v>
      </c>
      <c r="V709" s="6">
        <v>85</v>
      </c>
      <c r="W709" s="6">
        <v>90</v>
      </c>
      <c r="X709" s="6">
        <v>87</v>
      </c>
      <c r="Y709" s="6">
        <v>75</v>
      </c>
      <c r="Z709" s="6">
        <v>88</v>
      </c>
      <c r="AA709" s="6">
        <v>74</v>
      </c>
      <c r="AB709" s="6">
        <v>79</v>
      </c>
      <c r="AC709" s="6">
        <v>73</v>
      </c>
      <c r="AD709" s="6">
        <v>66</v>
      </c>
      <c r="AE709" s="6">
        <v>68</v>
      </c>
      <c r="AF709" s="6">
        <v>75</v>
      </c>
      <c r="AG709" s="6" t="s">
        <v>8064</v>
      </c>
      <c r="AH709" s="6" t="s">
        <v>6644</v>
      </c>
    </row>
    <row r="710" spans="1:34" x14ac:dyDescent="0.2">
      <c r="A710" t="s">
        <v>4337</v>
      </c>
      <c r="B710" t="s">
        <v>2600</v>
      </c>
      <c r="C710" t="s">
        <v>2885</v>
      </c>
      <c r="D710" s="7" t="s">
        <v>153</v>
      </c>
      <c r="E710" t="s">
        <v>58</v>
      </c>
      <c r="F710">
        <v>32</v>
      </c>
      <c r="G710">
        <v>71</v>
      </c>
      <c r="H710">
        <v>76</v>
      </c>
      <c r="I710" t="s">
        <v>6368</v>
      </c>
      <c r="J710">
        <v>72</v>
      </c>
      <c r="K710">
        <v>230</v>
      </c>
      <c r="L710" t="s">
        <v>6031</v>
      </c>
      <c r="M710" s="6" t="s">
        <v>6558</v>
      </c>
      <c r="N710" s="6" t="s">
        <v>6583</v>
      </c>
      <c r="O710" s="6">
        <v>78</v>
      </c>
      <c r="P710" s="6">
        <v>70</v>
      </c>
      <c r="Q710" s="6">
        <v>83</v>
      </c>
      <c r="R710" s="6">
        <v>79</v>
      </c>
      <c r="S710" s="6">
        <v>81</v>
      </c>
      <c r="T710" s="6">
        <v>72</v>
      </c>
      <c r="U710" s="6">
        <v>74</v>
      </c>
      <c r="V710" s="6">
        <v>75</v>
      </c>
      <c r="W710" s="6">
        <v>79</v>
      </c>
      <c r="X710" s="6">
        <v>73</v>
      </c>
      <c r="Y710" s="6">
        <v>77</v>
      </c>
      <c r="Z710" s="6">
        <v>76</v>
      </c>
      <c r="AA710" s="6">
        <v>75</v>
      </c>
      <c r="AB710" s="6">
        <v>72</v>
      </c>
      <c r="AC710" s="6">
        <v>71</v>
      </c>
      <c r="AD710" s="6">
        <v>59</v>
      </c>
      <c r="AE710" s="6">
        <v>65</v>
      </c>
      <c r="AF710" s="6">
        <v>65</v>
      </c>
      <c r="AG710" s="6" t="s">
        <v>8065</v>
      </c>
      <c r="AH710" s="6" t="s">
        <v>6711</v>
      </c>
    </row>
    <row r="711" spans="1:34" x14ac:dyDescent="0.2">
      <c r="A711" t="s">
        <v>4341</v>
      </c>
      <c r="B711" t="s">
        <v>2604</v>
      </c>
      <c r="C711" t="s">
        <v>53</v>
      </c>
      <c r="D711" s="7" t="s">
        <v>156</v>
      </c>
      <c r="E711" t="s">
        <v>38</v>
      </c>
      <c r="F711">
        <v>27</v>
      </c>
      <c r="G711">
        <v>76</v>
      </c>
      <c r="H711">
        <v>76</v>
      </c>
      <c r="I711" t="s">
        <v>6388</v>
      </c>
      <c r="J711">
        <v>76</v>
      </c>
      <c r="K711">
        <v>210</v>
      </c>
      <c r="L711" t="s">
        <v>6035</v>
      </c>
      <c r="M711" s="6" t="s">
        <v>6558</v>
      </c>
      <c r="N711" s="6" t="s">
        <v>6583</v>
      </c>
      <c r="O711" s="6">
        <v>92</v>
      </c>
      <c r="P711" s="6">
        <v>76</v>
      </c>
      <c r="Q711" s="6">
        <v>82</v>
      </c>
      <c r="R711" s="6">
        <v>78</v>
      </c>
      <c r="S711" s="6">
        <v>81</v>
      </c>
      <c r="T711" s="6">
        <v>79</v>
      </c>
      <c r="U711" s="6">
        <v>78</v>
      </c>
      <c r="V711" s="6">
        <v>71</v>
      </c>
      <c r="W711" s="6">
        <v>85</v>
      </c>
      <c r="X711" s="6">
        <v>69</v>
      </c>
      <c r="Y711" s="6">
        <v>76</v>
      </c>
      <c r="Z711" s="6">
        <v>73</v>
      </c>
      <c r="AA711" s="6">
        <v>76</v>
      </c>
      <c r="AB711" s="6">
        <v>73</v>
      </c>
      <c r="AC711" s="6">
        <v>73</v>
      </c>
      <c r="AD711" s="6">
        <v>86</v>
      </c>
      <c r="AE711" s="6">
        <v>70</v>
      </c>
      <c r="AF711" s="6">
        <v>68</v>
      </c>
      <c r="AG711" s="6" t="s">
        <v>8069</v>
      </c>
      <c r="AH711" s="6" t="s">
        <v>6564</v>
      </c>
    </row>
    <row r="712" spans="1:34" x14ac:dyDescent="0.2">
      <c r="A712" t="s">
        <v>4352</v>
      </c>
      <c r="B712" t="s">
        <v>2615</v>
      </c>
      <c r="C712" t="s">
        <v>2871</v>
      </c>
      <c r="D712" s="7" t="s">
        <v>156</v>
      </c>
      <c r="E712" t="s">
        <v>38</v>
      </c>
      <c r="F712">
        <v>24</v>
      </c>
      <c r="G712">
        <v>70</v>
      </c>
      <c r="H712">
        <v>76</v>
      </c>
      <c r="I712" t="s">
        <v>6368</v>
      </c>
      <c r="J712">
        <v>75</v>
      </c>
      <c r="K712">
        <v>270</v>
      </c>
      <c r="L712" t="s">
        <v>6046</v>
      </c>
      <c r="M712" s="6" t="s">
        <v>6558</v>
      </c>
      <c r="N712" s="6" t="s">
        <v>6567</v>
      </c>
      <c r="O712" s="6">
        <v>81</v>
      </c>
      <c r="P712" s="6">
        <v>74</v>
      </c>
      <c r="Q712" s="6">
        <v>67</v>
      </c>
      <c r="R712" s="6">
        <v>68</v>
      </c>
      <c r="S712" s="6">
        <v>65</v>
      </c>
      <c r="T712" s="6">
        <v>63</v>
      </c>
      <c r="U712" s="6">
        <v>77</v>
      </c>
      <c r="V712" s="6">
        <v>74</v>
      </c>
      <c r="W712" s="6">
        <v>75</v>
      </c>
      <c r="X712" s="6">
        <v>78</v>
      </c>
      <c r="Y712" s="6">
        <v>73</v>
      </c>
      <c r="Z712" s="6">
        <v>67</v>
      </c>
      <c r="AA712" s="6">
        <v>65</v>
      </c>
      <c r="AB712" s="6">
        <v>74</v>
      </c>
      <c r="AC712" s="6">
        <v>73</v>
      </c>
      <c r="AD712" s="6">
        <v>76</v>
      </c>
      <c r="AE712" s="6">
        <v>65</v>
      </c>
      <c r="AF712" s="6">
        <v>78</v>
      </c>
      <c r="AG712" s="6" t="s">
        <v>8079</v>
      </c>
      <c r="AH712" s="6" t="s">
        <v>6587</v>
      </c>
    </row>
    <row r="713" spans="1:34" x14ac:dyDescent="0.2">
      <c r="A713" t="s">
        <v>4356</v>
      </c>
      <c r="B713" t="s">
        <v>2619</v>
      </c>
      <c r="C713" t="s">
        <v>2872</v>
      </c>
      <c r="D713" s="7" t="s">
        <v>156</v>
      </c>
      <c r="E713" t="s">
        <v>58</v>
      </c>
      <c r="F713">
        <v>32</v>
      </c>
      <c r="G713">
        <v>74</v>
      </c>
      <c r="H713">
        <v>76</v>
      </c>
      <c r="I713" t="s">
        <v>6303</v>
      </c>
      <c r="J713">
        <v>77</v>
      </c>
      <c r="K713">
        <v>318</v>
      </c>
      <c r="L713" t="s">
        <v>6050</v>
      </c>
      <c r="M713" s="6" t="s">
        <v>6558</v>
      </c>
      <c r="N713" s="6" t="s">
        <v>6583</v>
      </c>
      <c r="O713" s="6">
        <v>67</v>
      </c>
      <c r="P713" s="6">
        <v>77</v>
      </c>
      <c r="Q713" s="6">
        <v>84</v>
      </c>
      <c r="R713" s="6">
        <v>78</v>
      </c>
      <c r="S713" s="6">
        <v>84</v>
      </c>
      <c r="T713" s="6">
        <v>67</v>
      </c>
      <c r="U713" s="6">
        <v>81</v>
      </c>
      <c r="V713" s="6">
        <v>75</v>
      </c>
      <c r="W713" s="6">
        <v>63</v>
      </c>
      <c r="X713" s="6">
        <v>68</v>
      </c>
      <c r="Y713" s="6">
        <v>79</v>
      </c>
      <c r="Z713" s="6">
        <v>62</v>
      </c>
      <c r="AA713" s="6">
        <v>66</v>
      </c>
      <c r="AB713" s="6">
        <v>70</v>
      </c>
      <c r="AC713" s="6">
        <v>67</v>
      </c>
      <c r="AD713" s="6">
        <v>63</v>
      </c>
      <c r="AE713" s="6">
        <v>66</v>
      </c>
      <c r="AF713" s="6">
        <v>63</v>
      </c>
      <c r="AG713" s="6" t="s">
        <v>8083</v>
      </c>
      <c r="AH713" s="6" t="s">
        <v>6610</v>
      </c>
    </row>
    <row r="714" spans="1:34" x14ac:dyDescent="0.2">
      <c r="A714" t="s">
        <v>4358</v>
      </c>
      <c r="B714" t="s">
        <v>2621</v>
      </c>
      <c r="C714" t="s">
        <v>2873</v>
      </c>
      <c r="D714" s="7" t="s">
        <v>156</v>
      </c>
      <c r="E714" t="s">
        <v>38</v>
      </c>
      <c r="F714">
        <v>26</v>
      </c>
      <c r="G714">
        <v>70</v>
      </c>
      <c r="H714">
        <v>76</v>
      </c>
      <c r="I714" t="s">
        <v>6309</v>
      </c>
      <c r="J714">
        <v>78</v>
      </c>
      <c r="K714">
        <v>321</v>
      </c>
      <c r="L714" t="s">
        <v>6052</v>
      </c>
      <c r="M714" s="6" t="s">
        <v>6558</v>
      </c>
      <c r="N714" s="6" t="s">
        <v>6567</v>
      </c>
      <c r="O714" s="6">
        <v>78</v>
      </c>
      <c r="P714" s="6">
        <v>64</v>
      </c>
      <c r="Q714" s="6">
        <v>69</v>
      </c>
      <c r="R714" s="6">
        <v>67</v>
      </c>
      <c r="S714" s="6">
        <v>78</v>
      </c>
      <c r="T714" s="6">
        <v>58</v>
      </c>
      <c r="U714" s="6">
        <v>76</v>
      </c>
      <c r="V714" s="6">
        <v>73</v>
      </c>
      <c r="W714" s="6">
        <v>78</v>
      </c>
      <c r="X714" s="6">
        <v>63</v>
      </c>
      <c r="Y714" s="6">
        <v>75</v>
      </c>
      <c r="Z714" s="6">
        <v>67</v>
      </c>
      <c r="AA714" s="6">
        <v>70</v>
      </c>
      <c r="AB714" s="6">
        <v>76</v>
      </c>
      <c r="AC714" s="6">
        <v>66</v>
      </c>
      <c r="AD714" s="6">
        <v>77</v>
      </c>
      <c r="AE714" s="6">
        <v>69</v>
      </c>
      <c r="AF714" s="6">
        <v>69</v>
      </c>
      <c r="AG714" s="6" t="s">
        <v>8085</v>
      </c>
      <c r="AH714" s="6" t="s">
        <v>6596</v>
      </c>
    </row>
    <row r="715" spans="1:34" x14ac:dyDescent="0.2">
      <c r="A715" t="s">
        <v>4362</v>
      </c>
      <c r="B715" t="s">
        <v>2625</v>
      </c>
      <c r="C715" t="s">
        <v>2878</v>
      </c>
      <c r="D715" s="7" t="s">
        <v>156</v>
      </c>
      <c r="E715" t="s">
        <v>58</v>
      </c>
      <c r="F715">
        <v>29</v>
      </c>
      <c r="G715">
        <v>84</v>
      </c>
      <c r="H715">
        <v>76</v>
      </c>
      <c r="I715" t="s">
        <v>6359</v>
      </c>
      <c r="J715">
        <v>77</v>
      </c>
      <c r="K715">
        <v>275</v>
      </c>
      <c r="L715" t="s">
        <v>6056</v>
      </c>
      <c r="M715" s="6" t="s">
        <v>6558</v>
      </c>
      <c r="N715" s="6" t="s">
        <v>6567</v>
      </c>
      <c r="O715" s="6">
        <v>82</v>
      </c>
      <c r="P715" s="6">
        <v>73</v>
      </c>
      <c r="Q715" s="6">
        <v>77</v>
      </c>
      <c r="R715" s="6">
        <v>69</v>
      </c>
      <c r="S715" s="6">
        <v>84</v>
      </c>
      <c r="T715" s="6">
        <v>83</v>
      </c>
      <c r="U715" s="6">
        <v>89</v>
      </c>
      <c r="V715" s="6">
        <v>81</v>
      </c>
      <c r="W715" s="6">
        <v>79</v>
      </c>
      <c r="X715" s="6">
        <v>73</v>
      </c>
      <c r="Y715" s="6">
        <v>73</v>
      </c>
      <c r="Z715" s="6">
        <v>81</v>
      </c>
      <c r="AA715" s="6">
        <v>71</v>
      </c>
      <c r="AB715" s="6">
        <v>72</v>
      </c>
      <c r="AC715" s="6">
        <v>62</v>
      </c>
      <c r="AD715" s="6">
        <v>70</v>
      </c>
      <c r="AE715" s="6">
        <v>72</v>
      </c>
      <c r="AF715" s="6">
        <v>70</v>
      </c>
      <c r="AG715" s="6" t="s">
        <v>8089</v>
      </c>
      <c r="AH715" s="6" t="s">
        <v>6686</v>
      </c>
    </row>
    <row r="716" spans="1:34" x14ac:dyDescent="0.2">
      <c r="A716" t="s">
        <v>4380</v>
      </c>
      <c r="B716" t="s">
        <v>2643</v>
      </c>
      <c r="C716" t="s">
        <v>2882</v>
      </c>
      <c r="D716" s="7" t="s">
        <v>156</v>
      </c>
      <c r="E716" t="s">
        <v>38</v>
      </c>
      <c r="F716">
        <v>21</v>
      </c>
      <c r="G716">
        <v>71</v>
      </c>
      <c r="H716">
        <v>76</v>
      </c>
      <c r="I716" t="s">
        <v>6304</v>
      </c>
      <c r="J716">
        <v>72</v>
      </c>
      <c r="K716">
        <v>211</v>
      </c>
      <c r="L716" t="s">
        <v>6074</v>
      </c>
      <c r="M716" s="6" t="s">
        <v>6558</v>
      </c>
      <c r="N716" s="6" t="s">
        <v>6614</v>
      </c>
      <c r="O716" s="6">
        <v>74</v>
      </c>
      <c r="P716" s="6">
        <v>71</v>
      </c>
      <c r="Q716" s="6">
        <v>76</v>
      </c>
      <c r="R716" s="6">
        <v>55</v>
      </c>
      <c r="S716" s="6">
        <v>64</v>
      </c>
      <c r="T716" s="6">
        <v>59</v>
      </c>
      <c r="U716" s="6">
        <v>72</v>
      </c>
      <c r="V716" s="6">
        <v>63</v>
      </c>
      <c r="W716" s="6">
        <v>67</v>
      </c>
      <c r="X716" s="6">
        <v>71</v>
      </c>
      <c r="Y716" s="6">
        <v>69</v>
      </c>
      <c r="Z716" s="6">
        <v>65</v>
      </c>
      <c r="AA716" s="6">
        <v>67</v>
      </c>
      <c r="AB716" s="6">
        <v>62</v>
      </c>
      <c r="AC716" s="6">
        <v>69</v>
      </c>
      <c r="AD716" s="6">
        <v>70</v>
      </c>
      <c r="AE716" s="6">
        <v>69</v>
      </c>
      <c r="AF716" s="6">
        <v>67</v>
      </c>
      <c r="AG716" s="6" t="s">
        <v>7355</v>
      </c>
      <c r="AH716" s="6" t="s">
        <v>6636</v>
      </c>
    </row>
    <row r="717" spans="1:34" x14ac:dyDescent="0.2">
      <c r="A717" t="s">
        <v>4390</v>
      </c>
      <c r="B717" t="s">
        <v>2653</v>
      </c>
      <c r="C717" t="s">
        <v>2891</v>
      </c>
      <c r="D717" s="7" t="s">
        <v>156</v>
      </c>
      <c r="E717" t="s">
        <v>38</v>
      </c>
      <c r="F717">
        <v>28</v>
      </c>
      <c r="G717">
        <v>80</v>
      </c>
      <c r="H717">
        <v>76</v>
      </c>
      <c r="I717" t="s">
        <v>8337</v>
      </c>
      <c r="J717">
        <v>73</v>
      </c>
      <c r="K717">
        <v>240</v>
      </c>
      <c r="L717" t="s">
        <v>6084</v>
      </c>
      <c r="M717" s="6" t="s">
        <v>6558</v>
      </c>
      <c r="N717" s="6" t="s">
        <v>6565</v>
      </c>
      <c r="O717" s="6">
        <v>79</v>
      </c>
      <c r="P717" s="6">
        <v>83</v>
      </c>
      <c r="Q717" s="6">
        <v>78</v>
      </c>
      <c r="R717" s="6">
        <v>74</v>
      </c>
      <c r="S717" s="6">
        <v>83</v>
      </c>
      <c r="T717" s="6">
        <v>71</v>
      </c>
      <c r="U717" s="6">
        <v>77</v>
      </c>
      <c r="V717" s="6">
        <v>74</v>
      </c>
      <c r="W717" s="6">
        <v>79</v>
      </c>
      <c r="X717" s="6">
        <v>85</v>
      </c>
      <c r="Y717" s="6">
        <v>73</v>
      </c>
      <c r="Z717" s="6">
        <v>79</v>
      </c>
      <c r="AA717" s="6">
        <v>80</v>
      </c>
      <c r="AB717" s="6">
        <v>79</v>
      </c>
      <c r="AC717" s="6">
        <v>73</v>
      </c>
      <c r="AD717" s="6">
        <v>73</v>
      </c>
      <c r="AE717" s="6">
        <v>75</v>
      </c>
      <c r="AF717" s="6">
        <v>79</v>
      </c>
      <c r="AG717" s="6" t="s">
        <v>8116</v>
      </c>
      <c r="AH717" s="6" t="s">
        <v>6824</v>
      </c>
    </row>
    <row r="718" spans="1:34" x14ac:dyDescent="0.2">
      <c r="A718" t="s">
        <v>4396</v>
      </c>
      <c r="B718" t="s">
        <v>2659</v>
      </c>
      <c r="C718" t="s">
        <v>53</v>
      </c>
      <c r="D718" s="7" t="s">
        <v>158</v>
      </c>
      <c r="E718" t="s">
        <v>58</v>
      </c>
      <c r="F718">
        <v>27</v>
      </c>
      <c r="G718">
        <v>65</v>
      </c>
      <c r="H718">
        <v>76</v>
      </c>
      <c r="I718" t="s">
        <v>6309</v>
      </c>
      <c r="J718">
        <v>74</v>
      </c>
      <c r="K718">
        <v>228</v>
      </c>
      <c r="L718" t="s">
        <v>6090</v>
      </c>
      <c r="M718" s="6" t="s">
        <v>6558</v>
      </c>
      <c r="N718" s="6" t="s">
        <v>6559</v>
      </c>
      <c r="O718" s="6">
        <v>74</v>
      </c>
      <c r="P718" s="6">
        <v>70</v>
      </c>
      <c r="Q718" s="6">
        <v>81</v>
      </c>
      <c r="R718" s="6">
        <v>83</v>
      </c>
      <c r="S718" s="6">
        <v>68</v>
      </c>
      <c r="T718" s="6">
        <v>67</v>
      </c>
      <c r="U718" s="6">
        <v>73</v>
      </c>
      <c r="V718" s="6">
        <v>61</v>
      </c>
      <c r="W718" s="6">
        <v>76</v>
      </c>
      <c r="X718" s="6">
        <v>58</v>
      </c>
      <c r="Y718" s="6">
        <v>77</v>
      </c>
      <c r="Z718" s="6">
        <v>73</v>
      </c>
      <c r="AA718" s="6">
        <v>68</v>
      </c>
      <c r="AB718" s="6">
        <v>71</v>
      </c>
      <c r="AC718" s="6">
        <v>67</v>
      </c>
      <c r="AD718" s="6">
        <v>68</v>
      </c>
      <c r="AE718" s="6">
        <v>66</v>
      </c>
      <c r="AF718" s="6">
        <v>65</v>
      </c>
      <c r="AG718" s="6" t="s">
        <v>8121</v>
      </c>
      <c r="AH718" s="6" t="s">
        <v>6564</v>
      </c>
    </row>
    <row r="719" spans="1:34" x14ac:dyDescent="0.2">
      <c r="A719" t="s">
        <v>4400</v>
      </c>
      <c r="B719" t="s">
        <v>2663</v>
      </c>
      <c r="C719" t="s">
        <v>2870</v>
      </c>
      <c r="D719" s="7" t="s">
        <v>158</v>
      </c>
      <c r="E719" t="s">
        <v>58</v>
      </c>
      <c r="F719">
        <v>25</v>
      </c>
      <c r="G719">
        <v>72</v>
      </c>
      <c r="H719">
        <v>76</v>
      </c>
      <c r="I719" t="s">
        <v>6374</v>
      </c>
      <c r="J719">
        <v>69</v>
      </c>
      <c r="K719">
        <v>206</v>
      </c>
      <c r="L719" t="s">
        <v>6094</v>
      </c>
      <c r="M719" s="6" t="s">
        <v>6558</v>
      </c>
      <c r="N719" s="6" t="s">
        <v>6567</v>
      </c>
      <c r="O719" s="6">
        <v>66</v>
      </c>
      <c r="P719" s="6">
        <v>68</v>
      </c>
      <c r="Q719" s="6">
        <v>67</v>
      </c>
      <c r="R719" s="6">
        <v>66</v>
      </c>
      <c r="S719" s="6">
        <v>74</v>
      </c>
      <c r="T719" s="6">
        <v>61</v>
      </c>
      <c r="U719" s="6">
        <v>63</v>
      </c>
      <c r="V719" s="6">
        <v>69</v>
      </c>
      <c r="W719" s="6">
        <v>70</v>
      </c>
      <c r="X719" s="6">
        <v>61</v>
      </c>
      <c r="Y719" s="6">
        <v>70</v>
      </c>
      <c r="Z719" s="6">
        <v>67</v>
      </c>
      <c r="AA719" s="6">
        <v>72</v>
      </c>
      <c r="AB719" s="6">
        <v>70</v>
      </c>
      <c r="AC719" s="6">
        <v>70</v>
      </c>
      <c r="AD719" s="6">
        <v>54</v>
      </c>
      <c r="AE719" s="6">
        <v>72</v>
      </c>
      <c r="AF719" s="6">
        <v>75</v>
      </c>
      <c r="AG719" s="6" t="s">
        <v>8125</v>
      </c>
      <c r="AH719" s="6" t="s">
        <v>6656</v>
      </c>
    </row>
    <row r="720" spans="1:34" x14ac:dyDescent="0.2">
      <c r="A720" t="s">
        <v>3026</v>
      </c>
      <c r="B720" t="s">
        <v>1290</v>
      </c>
      <c r="C720" t="s">
        <v>2871</v>
      </c>
      <c r="D720" s="7" t="s">
        <v>131</v>
      </c>
      <c r="E720" t="s">
        <v>58</v>
      </c>
      <c r="F720">
        <v>21</v>
      </c>
      <c r="G720">
        <v>77</v>
      </c>
      <c r="H720">
        <v>75</v>
      </c>
      <c r="I720" t="s">
        <v>6314</v>
      </c>
      <c r="J720">
        <v>76</v>
      </c>
      <c r="K720">
        <v>255</v>
      </c>
      <c r="L720" t="s">
        <v>4720</v>
      </c>
      <c r="M720" s="6" t="s">
        <v>6558</v>
      </c>
      <c r="N720" s="6" t="s">
        <v>6565</v>
      </c>
      <c r="O720" s="6">
        <v>71</v>
      </c>
      <c r="P720" s="6">
        <v>58</v>
      </c>
      <c r="Q720" s="6">
        <v>78</v>
      </c>
      <c r="R720" s="6">
        <v>72</v>
      </c>
      <c r="S720" s="6">
        <v>73</v>
      </c>
      <c r="T720" s="6">
        <v>64</v>
      </c>
      <c r="U720" s="6">
        <v>80</v>
      </c>
      <c r="V720" s="6">
        <v>71</v>
      </c>
      <c r="W720" s="6">
        <v>67</v>
      </c>
      <c r="X720" s="6">
        <v>50</v>
      </c>
      <c r="Y720" s="6">
        <v>68</v>
      </c>
      <c r="Z720" s="6">
        <v>73</v>
      </c>
      <c r="AA720" s="6">
        <v>71</v>
      </c>
      <c r="AB720" s="6">
        <v>66</v>
      </c>
      <c r="AC720" s="6">
        <v>64</v>
      </c>
      <c r="AD720" s="6">
        <v>63</v>
      </c>
      <c r="AE720" s="6">
        <v>68</v>
      </c>
      <c r="AF720" s="6">
        <v>77</v>
      </c>
      <c r="AG720" s="6" t="s">
        <v>6736</v>
      </c>
      <c r="AH720" s="6" t="s">
        <v>6737</v>
      </c>
    </row>
    <row r="721" spans="1:34" x14ac:dyDescent="0.2">
      <c r="A721" t="s">
        <v>3038</v>
      </c>
      <c r="B721" t="s">
        <v>1302</v>
      </c>
      <c r="C721" t="s">
        <v>2879</v>
      </c>
      <c r="D721" s="7" t="s">
        <v>131</v>
      </c>
      <c r="E721" t="s">
        <v>58</v>
      </c>
      <c r="F721">
        <v>30</v>
      </c>
      <c r="G721">
        <v>73</v>
      </c>
      <c r="H721">
        <v>75</v>
      </c>
      <c r="I721" t="s">
        <v>6325</v>
      </c>
      <c r="J721">
        <v>75</v>
      </c>
      <c r="K721">
        <v>315</v>
      </c>
      <c r="L721" t="s">
        <v>4732</v>
      </c>
      <c r="M721" s="6" t="s">
        <v>6558</v>
      </c>
      <c r="N721" s="6" t="s">
        <v>6565</v>
      </c>
      <c r="O721" s="6">
        <v>80</v>
      </c>
      <c r="P721" s="6">
        <v>68</v>
      </c>
      <c r="Q721" s="6">
        <v>72</v>
      </c>
      <c r="R721" s="6">
        <v>74</v>
      </c>
      <c r="S721" s="6">
        <v>80</v>
      </c>
      <c r="T721" s="6">
        <v>74</v>
      </c>
      <c r="U721" s="6">
        <v>75</v>
      </c>
      <c r="V721" s="6">
        <v>64</v>
      </c>
      <c r="W721" s="6">
        <v>66</v>
      </c>
      <c r="X721" s="6">
        <v>63</v>
      </c>
      <c r="Y721" s="6">
        <v>76</v>
      </c>
      <c r="Z721" s="6">
        <v>75</v>
      </c>
      <c r="AA721" s="6">
        <v>68</v>
      </c>
      <c r="AB721" s="6">
        <v>69</v>
      </c>
      <c r="AC721" s="6">
        <v>71</v>
      </c>
      <c r="AD721" s="6">
        <v>60</v>
      </c>
      <c r="AE721" s="6">
        <v>70</v>
      </c>
      <c r="AF721" s="6">
        <v>76</v>
      </c>
      <c r="AG721" s="6" t="s">
        <v>6750</v>
      </c>
      <c r="AH721" s="6" t="s">
        <v>6617</v>
      </c>
    </row>
    <row r="722" spans="1:34" x14ac:dyDescent="0.2">
      <c r="A722" t="s">
        <v>3040</v>
      </c>
      <c r="B722" t="s">
        <v>1304</v>
      </c>
      <c r="C722" t="s">
        <v>2881</v>
      </c>
      <c r="D722" s="7" t="s">
        <v>131</v>
      </c>
      <c r="E722" t="s">
        <v>38</v>
      </c>
      <c r="F722">
        <v>23</v>
      </c>
      <c r="G722">
        <v>74</v>
      </c>
      <c r="H722">
        <v>75</v>
      </c>
      <c r="I722" t="s">
        <v>6327</v>
      </c>
      <c r="J722">
        <v>74</v>
      </c>
      <c r="K722">
        <v>255</v>
      </c>
      <c r="L722" t="s">
        <v>4734</v>
      </c>
      <c r="M722" s="6" t="s">
        <v>6558</v>
      </c>
      <c r="N722" s="6" t="s">
        <v>6565</v>
      </c>
      <c r="O722" s="6">
        <v>89</v>
      </c>
      <c r="P722" s="6">
        <v>72</v>
      </c>
      <c r="Q722" s="6">
        <v>70</v>
      </c>
      <c r="R722" s="6">
        <v>72</v>
      </c>
      <c r="S722" s="6">
        <v>81</v>
      </c>
      <c r="T722" s="6">
        <v>75</v>
      </c>
      <c r="U722" s="6">
        <v>72</v>
      </c>
      <c r="V722" s="6">
        <v>71</v>
      </c>
      <c r="W722" s="6">
        <v>69</v>
      </c>
      <c r="X722" s="6">
        <v>63</v>
      </c>
      <c r="Y722" s="6">
        <v>78</v>
      </c>
      <c r="Z722" s="6">
        <v>70</v>
      </c>
      <c r="AA722" s="6">
        <v>76</v>
      </c>
      <c r="AB722" s="6">
        <v>77</v>
      </c>
      <c r="AC722" s="6">
        <v>72</v>
      </c>
      <c r="AD722" s="6">
        <v>75</v>
      </c>
      <c r="AE722" s="6">
        <v>78</v>
      </c>
      <c r="AF722" s="6">
        <v>77</v>
      </c>
      <c r="AG722" s="6" t="s">
        <v>6753</v>
      </c>
      <c r="AH722" s="6" t="s">
        <v>6628</v>
      </c>
    </row>
    <row r="723" spans="1:34" x14ac:dyDescent="0.2">
      <c r="A723" t="s">
        <v>3043</v>
      </c>
      <c r="B723" t="s">
        <v>1307</v>
      </c>
      <c r="C723" t="s">
        <v>61</v>
      </c>
      <c r="D723" s="7" t="s">
        <v>131</v>
      </c>
      <c r="E723" t="s">
        <v>38</v>
      </c>
      <c r="F723">
        <v>29</v>
      </c>
      <c r="G723">
        <v>70</v>
      </c>
      <c r="H723">
        <v>75</v>
      </c>
      <c r="I723" t="s">
        <v>6330</v>
      </c>
      <c r="J723">
        <v>69</v>
      </c>
      <c r="K723">
        <v>198</v>
      </c>
      <c r="L723" t="s">
        <v>4737</v>
      </c>
      <c r="M723" s="6" t="s">
        <v>6558</v>
      </c>
      <c r="N723" s="6" t="s">
        <v>6614</v>
      </c>
      <c r="O723" s="6">
        <v>71</v>
      </c>
      <c r="P723" s="6">
        <v>67</v>
      </c>
      <c r="Q723" s="6">
        <v>69</v>
      </c>
      <c r="R723" s="6">
        <v>62</v>
      </c>
      <c r="S723" s="6">
        <v>76</v>
      </c>
      <c r="T723" s="6">
        <v>75</v>
      </c>
      <c r="U723" s="6">
        <v>71</v>
      </c>
      <c r="V723" s="6">
        <v>71</v>
      </c>
      <c r="W723" s="6">
        <v>70</v>
      </c>
      <c r="X723" s="6">
        <v>66</v>
      </c>
      <c r="Y723" s="6">
        <v>71</v>
      </c>
      <c r="Z723" s="6">
        <v>77</v>
      </c>
      <c r="AA723" s="6">
        <v>66</v>
      </c>
      <c r="AB723" s="6">
        <v>75</v>
      </c>
      <c r="AC723" s="6">
        <v>70</v>
      </c>
      <c r="AD723" s="6">
        <v>68</v>
      </c>
      <c r="AE723" s="6">
        <v>70</v>
      </c>
      <c r="AF723" s="6">
        <v>75</v>
      </c>
      <c r="AG723" s="6" t="s">
        <v>6756</v>
      </c>
      <c r="AH723" s="6" t="s">
        <v>6632</v>
      </c>
    </row>
    <row r="724" spans="1:34" x14ac:dyDescent="0.2">
      <c r="A724" t="s">
        <v>3076</v>
      </c>
      <c r="B724" t="s">
        <v>1340</v>
      </c>
      <c r="C724" t="s">
        <v>2875</v>
      </c>
      <c r="D724" s="7" t="s">
        <v>130</v>
      </c>
      <c r="E724" t="s">
        <v>58</v>
      </c>
      <c r="F724">
        <v>30</v>
      </c>
      <c r="G724">
        <v>76</v>
      </c>
      <c r="H724">
        <v>75</v>
      </c>
      <c r="I724" t="s">
        <v>6314</v>
      </c>
      <c r="J724">
        <v>74</v>
      </c>
      <c r="K724">
        <v>305</v>
      </c>
      <c r="L724" t="s">
        <v>4770</v>
      </c>
      <c r="M724" s="6" t="s">
        <v>6558</v>
      </c>
      <c r="N724" s="6" t="s">
        <v>6559</v>
      </c>
      <c r="O724" s="6">
        <v>83</v>
      </c>
      <c r="P724" s="6">
        <v>75</v>
      </c>
      <c r="Q724" s="6">
        <v>82</v>
      </c>
      <c r="R724" s="6">
        <v>83</v>
      </c>
      <c r="S724" s="6">
        <v>75</v>
      </c>
      <c r="T724" s="6">
        <v>75</v>
      </c>
      <c r="U724" s="6">
        <v>84</v>
      </c>
      <c r="V724" s="6">
        <v>80</v>
      </c>
      <c r="W724" s="6">
        <v>85</v>
      </c>
      <c r="X724" s="6">
        <v>84</v>
      </c>
      <c r="Y724" s="6">
        <v>84</v>
      </c>
      <c r="Z724" s="6">
        <v>73</v>
      </c>
      <c r="AA724" s="6">
        <v>77</v>
      </c>
      <c r="AB724" s="6">
        <v>69</v>
      </c>
      <c r="AC724" s="6">
        <v>75</v>
      </c>
      <c r="AD724" s="6">
        <v>72</v>
      </c>
      <c r="AE724" s="6">
        <v>71</v>
      </c>
      <c r="AF724" s="6">
        <v>74</v>
      </c>
      <c r="AG724" s="6" t="s">
        <v>6792</v>
      </c>
      <c r="AH724" s="6" t="s">
        <v>6606</v>
      </c>
    </row>
    <row r="725" spans="1:34" x14ac:dyDescent="0.2">
      <c r="A725" t="s">
        <v>3112</v>
      </c>
      <c r="B725" t="s">
        <v>1376</v>
      </c>
      <c r="C725" t="s">
        <v>57</v>
      </c>
      <c r="D725" s="7" t="s">
        <v>133</v>
      </c>
      <c r="E725" t="s">
        <v>38</v>
      </c>
      <c r="F725">
        <v>25</v>
      </c>
      <c r="G725">
        <v>75</v>
      </c>
      <c r="H725">
        <v>75</v>
      </c>
      <c r="I725" t="s">
        <v>6314</v>
      </c>
      <c r="J725">
        <v>72</v>
      </c>
      <c r="K725">
        <v>194</v>
      </c>
      <c r="L725" t="s">
        <v>4806</v>
      </c>
      <c r="M725" s="6" t="s">
        <v>6558</v>
      </c>
      <c r="N725" s="6" t="s">
        <v>6567</v>
      </c>
      <c r="O725" s="6">
        <v>73</v>
      </c>
      <c r="P725" s="6">
        <v>83</v>
      </c>
      <c r="Q725" s="6">
        <v>79</v>
      </c>
      <c r="R725" s="6">
        <v>69</v>
      </c>
      <c r="S725" s="6">
        <v>84</v>
      </c>
      <c r="T725" s="6">
        <v>74</v>
      </c>
      <c r="U725" s="6">
        <v>81</v>
      </c>
      <c r="V725" s="6">
        <v>80</v>
      </c>
      <c r="W725" s="6">
        <v>78</v>
      </c>
      <c r="X725" s="6">
        <v>68</v>
      </c>
      <c r="Y725" s="6">
        <v>70</v>
      </c>
      <c r="Z725" s="6">
        <v>77</v>
      </c>
      <c r="AA725" s="6">
        <v>73</v>
      </c>
      <c r="AB725" s="6">
        <v>74</v>
      </c>
      <c r="AC725" s="6">
        <v>74</v>
      </c>
      <c r="AD725" s="6">
        <v>78</v>
      </c>
      <c r="AE725" s="6">
        <v>74</v>
      </c>
      <c r="AF725" s="6">
        <v>76</v>
      </c>
      <c r="AG725" s="6" t="s">
        <v>6833</v>
      </c>
      <c r="AH725" s="6" t="s">
        <v>6574</v>
      </c>
    </row>
    <row r="726" spans="1:34" x14ac:dyDescent="0.2">
      <c r="A726" t="s">
        <v>3170</v>
      </c>
      <c r="B726" t="s">
        <v>1434</v>
      </c>
      <c r="C726" t="s">
        <v>2873</v>
      </c>
      <c r="D726" s="7" t="s">
        <v>134</v>
      </c>
      <c r="E726" t="s">
        <v>38</v>
      </c>
      <c r="F726">
        <v>24</v>
      </c>
      <c r="G726">
        <v>74</v>
      </c>
      <c r="H726">
        <v>75</v>
      </c>
      <c r="I726" t="s">
        <v>6361</v>
      </c>
      <c r="J726">
        <v>77</v>
      </c>
      <c r="K726">
        <v>311</v>
      </c>
      <c r="L726" t="s">
        <v>4864</v>
      </c>
      <c r="M726" s="6" t="s">
        <v>6558</v>
      </c>
      <c r="N726" s="6" t="s">
        <v>6583</v>
      </c>
      <c r="O726" s="6">
        <v>74</v>
      </c>
      <c r="P726" s="6">
        <v>75</v>
      </c>
      <c r="Q726" s="6">
        <v>83</v>
      </c>
      <c r="R726" s="6">
        <v>76</v>
      </c>
      <c r="S726" s="6">
        <v>81</v>
      </c>
      <c r="T726" s="6">
        <v>75</v>
      </c>
      <c r="U726" s="6">
        <v>65</v>
      </c>
      <c r="V726" s="6">
        <v>70</v>
      </c>
      <c r="W726" s="6">
        <v>69</v>
      </c>
      <c r="X726" s="6">
        <v>70</v>
      </c>
      <c r="Y726" s="6">
        <v>75</v>
      </c>
      <c r="Z726" s="6">
        <v>70</v>
      </c>
      <c r="AA726" s="6">
        <v>73</v>
      </c>
      <c r="AB726" s="6">
        <v>68</v>
      </c>
      <c r="AC726" s="6">
        <v>73</v>
      </c>
      <c r="AD726" s="6">
        <v>71</v>
      </c>
      <c r="AE726" s="6">
        <v>70</v>
      </c>
      <c r="AF726" s="6">
        <v>74</v>
      </c>
      <c r="AG726" s="6" t="s">
        <v>6607</v>
      </c>
      <c r="AH726" s="6" t="s">
        <v>6610</v>
      </c>
    </row>
    <row r="727" spans="1:34" x14ac:dyDescent="0.2">
      <c r="A727" t="s">
        <v>3186</v>
      </c>
      <c r="B727" t="s">
        <v>1450</v>
      </c>
      <c r="C727" t="s">
        <v>2879</v>
      </c>
      <c r="D727" s="7" t="s">
        <v>134</v>
      </c>
      <c r="E727" t="s">
        <v>38</v>
      </c>
      <c r="F727">
        <v>24</v>
      </c>
      <c r="G727">
        <v>73</v>
      </c>
      <c r="H727">
        <v>75</v>
      </c>
      <c r="I727" t="s">
        <v>6376</v>
      </c>
      <c r="J727">
        <v>74</v>
      </c>
      <c r="K727">
        <v>298</v>
      </c>
      <c r="L727" t="s">
        <v>4880</v>
      </c>
      <c r="M727" s="6" t="s">
        <v>6558</v>
      </c>
      <c r="N727" s="6" t="s">
        <v>6565</v>
      </c>
      <c r="O727" s="6">
        <v>68</v>
      </c>
      <c r="P727" s="6">
        <v>79</v>
      </c>
      <c r="Q727" s="6">
        <v>71</v>
      </c>
      <c r="R727" s="6">
        <v>72</v>
      </c>
      <c r="S727" s="6">
        <v>77</v>
      </c>
      <c r="T727" s="6">
        <v>74</v>
      </c>
      <c r="U727" s="6">
        <v>73</v>
      </c>
      <c r="V727" s="6">
        <v>76</v>
      </c>
      <c r="W727" s="6">
        <v>73</v>
      </c>
      <c r="X727" s="6">
        <v>77</v>
      </c>
      <c r="Y727" s="6">
        <v>80</v>
      </c>
      <c r="Z727" s="6">
        <v>77</v>
      </c>
      <c r="AA727" s="6">
        <v>69</v>
      </c>
      <c r="AB727" s="6">
        <v>76</v>
      </c>
      <c r="AC727" s="6">
        <v>65</v>
      </c>
      <c r="AD727" s="6">
        <v>65</v>
      </c>
      <c r="AE727" s="6">
        <v>68</v>
      </c>
      <c r="AF727" s="6">
        <v>74</v>
      </c>
      <c r="AG727" s="6" t="s">
        <v>6912</v>
      </c>
      <c r="AH727" s="6" t="s">
        <v>6617</v>
      </c>
    </row>
    <row r="728" spans="1:34" x14ac:dyDescent="0.2">
      <c r="A728" t="s">
        <v>3218</v>
      </c>
      <c r="B728" t="s">
        <v>1482</v>
      </c>
      <c r="C728" t="s">
        <v>57</v>
      </c>
      <c r="D728" s="7" t="s">
        <v>132</v>
      </c>
      <c r="E728" t="s">
        <v>38</v>
      </c>
      <c r="F728">
        <v>22</v>
      </c>
      <c r="G728">
        <v>76</v>
      </c>
      <c r="H728">
        <v>75</v>
      </c>
      <c r="I728" t="s">
        <v>6408</v>
      </c>
      <c r="J728">
        <v>70</v>
      </c>
      <c r="K728">
        <v>208</v>
      </c>
      <c r="L728" t="s">
        <v>4912</v>
      </c>
      <c r="M728" s="6" t="s">
        <v>6558</v>
      </c>
      <c r="N728" s="6" t="s">
        <v>6614</v>
      </c>
      <c r="O728" s="6">
        <v>73</v>
      </c>
      <c r="P728" s="6">
        <v>69</v>
      </c>
      <c r="Q728" s="6">
        <v>72</v>
      </c>
      <c r="R728" s="6">
        <v>61</v>
      </c>
      <c r="S728" s="6">
        <v>55</v>
      </c>
      <c r="T728" s="6">
        <v>62</v>
      </c>
      <c r="U728" s="6">
        <v>74</v>
      </c>
      <c r="V728" s="6">
        <v>68</v>
      </c>
      <c r="W728" s="6">
        <v>65</v>
      </c>
      <c r="X728" s="6">
        <v>73</v>
      </c>
      <c r="Y728" s="6">
        <v>76</v>
      </c>
      <c r="Z728" s="6">
        <v>73</v>
      </c>
      <c r="AA728" s="6">
        <v>68</v>
      </c>
      <c r="AB728" s="6">
        <v>69</v>
      </c>
      <c r="AC728" s="6">
        <v>74</v>
      </c>
      <c r="AD728" s="6">
        <v>76</v>
      </c>
      <c r="AE728" s="6">
        <v>75</v>
      </c>
      <c r="AF728" s="6">
        <v>73</v>
      </c>
      <c r="AG728" s="6" t="s">
        <v>6945</v>
      </c>
      <c r="AH728" s="6" t="s">
        <v>6782</v>
      </c>
    </row>
    <row r="729" spans="1:34" x14ac:dyDescent="0.2">
      <c r="A729" t="s">
        <v>3234</v>
      </c>
      <c r="B729" t="s">
        <v>1498</v>
      </c>
      <c r="C729" t="s">
        <v>2878</v>
      </c>
      <c r="D729" s="7" t="s">
        <v>132</v>
      </c>
      <c r="E729" t="s">
        <v>38</v>
      </c>
      <c r="F729">
        <v>28</v>
      </c>
      <c r="G729">
        <v>79</v>
      </c>
      <c r="H729">
        <v>75</v>
      </c>
      <c r="I729" t="s">
        <v>6423</v>
      </c>
      <c r="J729">
        <v>79</v>
      </c>
      <c r="K729">
        <v>272</v>
      </c>
      <c r="L729" t="s">
        <v>4928</v>
      </c>
      <c r="M729" s="6" t="s">
        <v>6558</v>
      </c>
      <c r="N729" s="6" t="s">
        <v>6583</v>
      </c>
      <c r="O729" s="6">
        <v>86</v>
      </c>
      <c r="P729" s="6">
        <v>75</v>
      </c>
      <c r="Q729" s="6">
        <v>69</v>
      </c>
      <c r="R729" s="6">
        <v>78</v>
      </c>
      <c r="S729" s="6">
        <v>80</v>
      </c>
      <c r="T729" s="6">
        <v>79</v>
      </c>
      <c r="U729" s="6">
        <v>67</v>
      </c>
      <c r="V729" s="6">
        <v>79</v>
      </c>
      <c r="W729" s="6">
        <v>77</v>
      </c>
      <c r="X729" s="6">
        <v>71</v>
      </c>
      <c r="Y729" s="6">
        <v>73</v>
      </c>
      <c r="Z729" s="6">
        <v>78</v>
      </c>
      <c r="AA729" s="6">
        <v>75</v>
      </c>
      <c r="AB729" s="6">
        <v>83</v>
      </c>
      <c r="AC729" s="6">
        <v>67</v>
      </c>
      <c r="AD729" s="6">
        <v>71</v>
      </c>
      <c r="AE729" s="6">
        <v>71</v>
      </c>
      <c r="AF729" s="6">
        <v>84</v>
      </c>
      <c r="AG729" s="6" t="s">
        <v>6961</v>
      </c>
      <c r="AH729" s="6" t="s">
        <v>6682</v>
      </c>
    </row>
    <row r="730" spans="1:34" x14ac:dyDescent="0.2">
      <c r="A730" t="s">
        <v>3288</v>
      </c>
      <c r="B730" t="s">
        <v>1552</v>
      </c>
      <c r="C730" t="s">
        <v>2879</v>
      </c>
      <c r="D730" s="7" t="s">
        <v>136</v>
      </c>
      <c r="E730" t="s">
        <v>38</v>
      </c>
      <c r="F730">
        <v>28</v>
      </c>
      <c r="G730">
        <v>86</v>
      </c>
      <c r="H730">
        <v>75</v>
      </c>
      <c r="I730" t="s">
        <v>6477</v>
      </c>
      <c r="J730">
        <v>74</v>
      </c>
      <c r="K730">
        <v>290</v>
      </c>
      <c r="L730" t="s">
        <v>4982</v>
      </c>
      <c r="M730" s="6" t="s">
        <v>6558</v>
      </c>
      <c r="N730" s="6" t="s">
        <v>6567</v>
      </c>
      <c r="O730" s="6">
        <v>77</v>
      </c>
      <c r="P730" s="6">
        <v>78</v>
      </c>
      <c r="Q730" s="6">
        <v>69</v>
      </c>
      <c r="R730" s="6">
        <v>65</v>
      </c>
      <c r="S730" s="6">
        <v>86</v>
      </c>
      <c r="T730" s="6">
        <v>68</v>
      </c>
      <c r="U730" s="6">
        <v>80</v>
      </c>
      <c r="V730" s="6">
        <v>81</v>
      </c>
      <c r="W730" s="6">
        <v>84</v>
      </c>
      <c r="X730" s="6">
        <v>79</v>
      </c>
      <c r="Y730" s="6">
        <v>78</v>
      </c>
      <c r="Z730" s="6">
        <v>84</v>
      </c>
      <c r="AA730" s="6">
        <v>80</v>
      </c>
      <c r="AB730" s="6">
        <v>80</v>
      </c>
      <c r="AC730" s="6">
        <v>79</v>
      </c>
      <c r="AD730" s="6">
        <v>79</v>
      </c>
      <c r="AE730" s="6">
        <v>75</v>
      </c>
      <c r="AF730" s="6">
        <v>76</v>
      </c>
      <c r="AG730" s="6" t="s">
        <v>7019</v>
      </c>
      <c r="AH730" s="6" t="s">
        <v>6617</v>
      </c>
    </row>
    <row r="731" spans="1:34" x14ac:dyDescent="0.2">
      <c r="A731" t="s">
        <v>3291</v>
      </c>
      <c r="B731" t="s">
        <v>1555</v>
      </c>
      <c r="C731" t="s">
        <v>2880</v>
      </c>
      <c r="D731" s="7" t="s">
        <v>136</v>
      </c>
      <c r="E731" t="s">
        <v>38</v>
      </c>
      <c r="F731">
        <v>26</v>
      </c>
      <c r="G731">
        <v>81</v>
      </c>
      <c r="H731">
        <v>75</v>
      </c>
      <c r="I731" t="s">
        <v>6479</v>
      </c>
      <c r="J731">
        <v>73</v>
      </c>
      <c r="K731">
        <v>236</v>
      </c>
      <c r="L731" t="s">
        <v>4985</v>
      </c>
      <c r="M731" s="6" t="s">
        <v>6558</v>
      </c>
      <c r="N731" s="6" t="s">
        <v>6565</v>
      </c>
      <c r="O731" s="6">
        <v>81</v>
      </c>
      <c r="P731" s="6">
        <v>79</v>
      </c>
      <c r="Q731" s="6">
        <v>70</v>
      </c>
      <c r="R731" s="6">
        <v>71</v>
      </c>
      <c r="S731" s="6">
        <v>87</v>
      </c>
      <c r="T731" s="6">
        <v>79</v>
      </c>
      <c r="U731" s="6">
        <v>58</v>
      </c>
      <c r="V731" s="6">
        <v>69</v>
      </c>
      <c r="W731" s="6">
        <v>80</v>
      </c>
      <c r="X731" s="6">
        <v>83</v>
      </c>
      <c r="Y731" s="6">
        <v>75</v>
      </c>
      <c r="Z731" s="6">
        <v>71</v>
      </c>
      <c r="AA731" s="6">
        <v>69</v>
      </c>
      <c r="AB731" s="6">
        <v>76</v>
      </c>
      <c r="AC731" s="6">
        <v>66</v>
      </c>
      <c r="AD731" s="6">
        <v>74</v>
      </c>
      <c r="AE731" s="6">
        <v>77</v>
      </c>
      <c r="AF731" s="6">
        <v>76</v>
      </c>
      <c r="AG731" s="6" t="s">
        <v>7022</v>
      </c>
      <c r="AH731" s="6" t="s">
        <v>6623</v>
      </c>
    </row>
    <row r="732" spans="1:34" x14ac:dyDescent="0.2">
      <c r="A732" t="s">
        <v>3302</v>
      </c>
      <c r="B732" t="s">
        <v>1566</v>
      </c>
      <c r="C732" t="s">
        <v>2885</v>
      </c>
      <c r="D732" s="7" t="s">
        <v>136</v>
      </c>
      <c r="E732" t="s">
        <v>58</v>
      </c>
      <c r="F732">
        <v>32</v>
      </c>
      <c r="G732">
        <v>76</v>
      </c>
      <c r="H732">
        <v>75</v>
      </c>
      <c r="I732" t="s">
        <v>6328</v>
      </c>
      <c r="J732">
        <v>74</v>
      </c>
      <c r="K732">
        <v>255</v>
      </c>
      <c r="L732" t="s">
        <v>4996</v>
      </c>
      <c r="M732" s="6" t="s">
        <v>6558</v>
      </c>
      <c r="N732" s="6" t="s">
        <v>6565</v>
      </c>
      <c r="O732" s="6">
        <v>73</v>
      </c>
      <c r="P732" s="6">
        <v>67</v>
      </c>
      <c r="Q732" s="6">
        <v>72</v>
      </c>
      <c r="R732" s="6">
        <v>71</v>
      </c>
      <c r="S732" s="6">
        <v>78</v>
      </c>
      <c r="T732" s="6">
        <v>69</v>
      </c>
      <c r="U732" s="6">
        <v>71</v>
      </c>
      <c r="V732" s="6">
        <v>75</v>
      </c>
      <c r="W732" s="6">
        <v>81</v>
      </c>
      <c r="X732" s="6">
        <v>64</v>
      </c>
      <c r="Y732" s="6">
        <v>72</v>
      </c>
      <c r="Z732" s="6">
        <v>78</v>
      </c>
      <c r="AA732" s="6">
        <v>66</v>
      </c>
      <c r="AB732" s="6">
        <v>66</v>
      </c>
      <c r="AC732" s="6">
        <v>60</v>
      </c>
      <c r="AD732" s="6">
        <v>77</v>
      </c>
      <c r="AE732" s="6">
        <v>69</v>
      </c>
      <c r="AF732" s="6">
        <v>66</v>
      </c>
      <c r="AG732" s="6" t="s">
        <v>7034</v>
      </c>
      <c r="AH732" s="6" t="s">
        <v>6628</v>
      </c>
    </row>
    <row r="733" spans="1:34" x14ac:dyDescent="0.2">
      <c r="A733" t="s">
        <v>3311</v>
      </c>
      <c r="B733" t="s">
        <v>1575</v>
      </c>
      <c r="C733" t="s">
        <v>2870</v>
      </c>
      <c r="D733" s="7" t="s">
        <v>137</v>
      </c>
      <c r="E733" t="s">
        <v>38</v>
      </c>
      <c r="F733">
        <v>26</v>
      </c>
      <c r="G733">
        <v>73</v>
      </c>
      <c r="H733">
        <v>75</v>
      </c>
      <c r="I733" t="s">
        <v>62</v>
      </c>
      <c r="J733">
        <v>71</v>
      </c>
      <c r="K733">
        <v>210</v>
      </c>
      <c r="L733" t="s">
        <v>5005</v>
      </c>
      <c r="M733" s="6" t="s">
        <v>6558</v>
      </c>
      <c r="N733" s="6" t="s">
        <v>6567</v>
      </c>
      <c r="O733" s="6">
        <v>70</v>
      </c>
      <c r="P733" s="6">
        <v>68</v>
      </c>
      <c r="Q733" s="6">
        <v>77</v>
      </c>
      <c r="R733" s="6">
        <v>68</v>
      </c>
      <c r="S733" s="6">
        <v>65</v>
      </c>
      <c r="T733" s="6">
        <v>83</v>
      </c>
      <c r="U733" s="6">
        <v>76</v>
      </c>
      <c r="V733" s="6">
        <v>73</v>
      </c>
      <c r="W733" s="6">
        <v>76</v>
      </c>
      <c r="X733" s="6">
        <v>75</v>
      </c>
      <c r="Y733" s="6">
        <v>82</v>
      </c>
      <c r="Z733" s="6">
        <v>74</v>
      </c>
      <c r="AA733" s="6">
        <v>73</v>
      </c>
      <c r="AB733" s="6">
        <v>66</v>
      </c>
      <c r="AC733" s="6">
        <v>72</v>
      </c>
      <c r="AD733" s="6">
        <v>73</v>
      </c>
      <c r="AE733" s="6">
        <v>73</v>
      </c>
      <c r="AF733" s="6">
        <v>76</v>
      </c>
      <c r="AG733" s="6" t="s">
        <v>7044</v>
      </c>
      <c r="AH733" s="6" t="s">
        <v>6654</v>
      </c>
    </row>
    <row r="734" spans="1:34" x14ac:dyDescent="0.2">
      <c r="A734" t="s">
        <v>3322</v>
      </c>
      <c r="B734" t="s">
        <v>1586</v>
      </c>
      <c r="C734" t="s">
        <v>2871</v>
      </c>
      <c r="D734" s="7" t="s">
        <v>137</v>
      </c>
      <c r="E734" t="s">
        <v>38</v>
      </c>
      <c r="F734">
        <v>27</v>
      </c>
      <c r="G734">
        <v>71</v>
      </c>
      <c r="H734">
        <v>75</v>
      </c>
      <c r="I734" t="s">
        <v>6314</v>
      </c>
      <c r="J734">
        <v>77</v>
      </c>
      <c r="K734">
        <v>240</v>
      </c>
      <c r="L734" t="s">
        <v>5016</v>
      </c>
      <c r="M734" s="6" t="s">
        <v>6558</v>
      </c>
      <c r="N734" s="6" t="s">
        <v>6565</v>
      </c>
      <c r="O734" s="6">
        <v>87</v>
      </c>
      <c r="P734" s="6">
        <v>76</v>
      </c>
      <c r="Q734" s="6">
        <v>79</v>
      </c>
      <c r="R734" s="6">
        <v>75</v>
      </c>
      <c r="S734" s="6">
        <v>76</v>
      </c>
      <c r="T734" s="6">
        <v>70</v>
      </c>
      <c r="U734" s="6">
        <v>77</v>
      </c>
      <c r="V734" s="6">
        <v>75</v>
      </c>
      <c r="W734" s="6">
        <v>75</v>
      </c>
      <c r="X734" s="6">
        <v>68</v>
      </c>
      <c r="Y734" s="6">
        <v>69</v>
      </c>
      <c r="Z734" s="6">
        <v>68</v>
      </c>
      <c r="AA734" s="6">
        <v>72</v>
      </c>
      <c r="AB734" s="6">
        <v>74</v>
      </c>
      <c r="AC734" s="6">
        <v>68</v>
      </c>
      <c r="AD734" s="6">
        <v>74</v>
      </c>
      <c r="AE734" s="6">
        <v>74</v>
      </c>
      <c r="AF734" s="6">
        <v>76</v>
      </c>
      <c r="AG734" s="6" t="s">
        <v>7055</v>
      </c>
      <c r="AH734" s="6" t="s">
        <v>6585</v>
      </c>
    </row>
    <row r="735" spans="1:34" x14ac:dyDescent="0.2">
      <c r="A735" t="s">
        <v>3328</v>
      </c>
      <c r="B735" t="s">
        <v>1592</v>
      </c>
      <c r="C735" t="s">
        <v>2887</v>
      </c>
      <c r="D735" s="7" t="s">
        <v>137</v>
      </c>
      <c r="E735" t="s">
        <v>38</v>
      </c>
      <c r="F735">
        <v>32</v>
      </c>
      <c r="G735">
        <v>83</v>
      </c>
      <c r="H735">
        <v>75</v>
      </c>
      <c r="I735" t="s">
        <v>6337</v>
      </c>
      <c r="J735">
        <v>75</v>
      </c>
      <c r="K735">
        <v>302</v>
      </c>
      <c r="L735" t="s">
        <v>5022</v>
      </c>
      <c r="M735" s="6" t="s">
        <v>6558</v>
      </c>
      <c r="N735" s="6" t="s">
        <v>6583</v>
      </c>
      <c r="O735" s="6">
        <v>90</v>
      </c>
      <c r="P735" s="6">
        <v>80</v>
      </c>
      <c r="Q735" s="6">
        <v>77</v>
      </c>
      <c r="R735" s="6">
        <v>77</v>
      </c>
      <c r="S735" s="6">
        <v>85</v>
      </c>
      <c r="T735" s="6">
        <v>86</v>
      </c>
      <c r="U735" s="6">
        <v>90</v>
      </c>
      <c r="V735" s="6">
        <v>86</v>
      </c>
      <c r="W735" s="6">
        <v>69</v>
      </c>
      <c r="X735" s="6">
        <v>72</v>
      </c>
      <c r="Y735" s="6">
        <v>82</v>
      </c>
      <c r="Z735" s="6">
        <v>82</v>
      </c>
      <c r="AA735" s="6">
        <v>69</v>
      </c>
      <c r="AB735" s="6">
        <v>81</v>
      </c>
      <c r="AC735" s="6">
        <v>69</v>
      </c>
      <c r="AD735" s="6">
        <v>73</v>
      </c>
      <c r="AE735" s="6">
        <v>76</v>
      </c>
      <c r="AF735" s="6">
        <v>75</v>
      </c>
      <c r="AG735" s="6" t="s">
        <v>7061</v>
      </c>
      <c r="AH735" s="6" t="s">
        <v>6598</v>
      </c>
    </row>
    <row r="736" spans="1:34" x14ac:dyDescent="0.2">
      <c r="A736" t="s">
        <v>3331</v>
      </c>
      <c r="B736" t="s">
        <v>1595</v>
      </c>
      <c r="C736" t="s">
        <v>2878</v>
      </c>
      <c r="D736" s="7" t="s">
        <v>137</v>
      </c>
      <c r="E736" t="s">
        <v>38</v>
      </c>
      <c r="F736">
        <v>31</v>
      </c>
      <c r="G736">
        <v>74</v>
      </c>
      <c r="H736">
        <v>75</v>
      </c>
      <c r="I736" t="s">
        <v>6340</v>
      </c>
      <c r="J736">
        <v>77</v>
      </c>
      <c r="K736">
        <v>266</v>
      </c>
      <c r="L736" t="s">
        <v>5025</v>
      </c>
      <c r="M736" s="6" t="s">
        <v>6558</v>
      </c>
      <c r="N736" s="6" t="s">
        <v>6583</v>
      </c>
      <c r="O736" s="6">
        <v>63</v>
      </c>
      <c r="P736" s="6">
        <v>69</v>
      </c>
      <c r="Q736" s="6">
        <v>84</v>
      </c>
      <c r="R736" s="6">
        <v>80</v>
      </c>
      <c r="S736" s="6">
        <v>90</v>
      </c>
      <c r="T736" s="6">
        <v>65</v>
      </c>
      <c r="U736" s="6">
        <v>76</v>
      </c>
      <c r="V736" s="6">
        <v>76</v>
      </c>
      <c r="W736" s="6">
        <v>73</v>
      </c>
      <c r="X736" s="6">
        <v>74</v>
      </c>
      <c r="Y736" s="6">
        <v>72</v>
      </c>
      <c r="Z736" s="6">
        <v>76</v>
      </c>
      <c r="AA736" s="6">
        <v>68</v>
      </c>
      <c r="AB736" s="6">
        <v>68</v>
      </c>
      <c r="AC736" s="6">
        <v>62</v>
      </c>
      <c r="AD736" s="6">
        <v>61</v>
      </c>
      <c r="AE736" s="6">
        <v>59</v>
      </c>
      <c r="AF736" s="6">
        <v>70</v>
      </c>
      <c r="AG736" s="6" t="s">
        <v>7064</v>
      </c>
      <c r="AH736" s="6" t="s">
        <v>6612</v>
      </c>
    </row>
    <row r="737" spans="1:34" x14ac:dyDescent="0.2">
      <c r="A737" t="s">
        <v>3342</v>
      </c>
      <c r="B737" t="s">
        <v>1606</v>
      </c>
      <c r="C737" t="s">
        <v>2880</v>
      </c>
      <c r="D737" s="7" t="s">
        <v>137</v>
      </c>
      <c r="E737" t="s">
        <v>58</v>
      </c>
      <c r="F737">
        <v>33</v>
      </c>
      <c r="G737">
        <v>73</v>
      </c>
      <c r="H737">
        <v>75</v>
      </c>
      <c r="I737" t="s">
        <v>6331</v>
      </c>
      <c r="J737">
        <v>74</v>
      </c>
      <c r="K737">
        <v>242</v>
      </c>
      <c r="L737" t="s">
        <v>5036</v>
      </c>
      <c r="M737" s="6" t="s">
        <v>6558</v>
      </c>
      <c r="N737" s="6" t="s">
        <v>6562</v>
      </c>
      <c r="O737" s="6">
        <v>81</v>
      </c>
      <c r="P737" s="6">
        <v>69</v>
      </c>
      <c r="Q737" s="6">
        <v>84</v>
      </c>
      <c r="R737" s="6">
        <v>89</v>
      </c>
      <c r="S737" s="6">
        <v>83</v>
      </c>
      <c r="T737" s="6">
        <v>76</v>
      </c>
      <c r="U737" s="6">
        <v>67</v>
      </c>
      <c r="V737" s="6">
        <v>77</v>
      </c>
      <c r="W737" s="6">
        <v>73</v>
      </c>
      <c r="X737" s="6">
        <v>80</v>
      </c>
      <c r="Y737" s="6">
        <v>81</v>
      </c>
      <c r="Z737" s="6">
        <v>84</v>
      </c>
      <c r="AA737" s="6">
        <v>64</v>
      </c>
      <c r="AB737" s="6">
        <v>61</v>
      </c>
      <c r="AC737" s="6">
        <v>69</v>
      </c>
      <c r="AD737" s="6">
        <v>63</v>
      </c>
      <c r="AE737" s="6">
        <v>62</v>
      </c>
      <c r="AF737" s="6">
        <v>67</v>
      </c>
      <c r="AG737" s="6" t="s">
        <v>7075</v>
      </c>
      <c r="AH737" s="6" t="s">
        <v>6623</v>
      </c>
    </row>
    <row r="738" spans="1:34" x14ac:dyDescent="0.2">
      <c r="A738" t="s">
        <v>3353</v>
      </c>
      <c r="B738" t="s">
        <v>1617</v>
      </c>
      <c r="C738" t="s">
        <v>2884</v>
      </c>
      <c r="D738" s="7" t="s">
        <v>137</v>
      </c>
      <c r="E738" t="s">
        <v>58</v>
      </c>
      <c r="F738">
        <v>33</v>
      </c>
      <c r="G738">
        <v>86</v>
      </c>
      <c r="H738">
        <v>75</v>
      </c>
      <c r="I738" t="s">
        <v>6361</v>
      </c>
      <c r="J738">
        <v>76</v>
      </c>
      <c r="K738">
        <v>199</v>
      </c>
      <c r="L738" t="s">
        <v>5047</v>
      </c>
      <c r="M738" s="6" t="s">
        <v>6558</v>
      </c>
      <c r="N738" s="6" t="s">
        <v>6583</v>
      </c>
      <c r="O738" s="6">
        <v>84</v>
      </c>
      <c r="P738" s="6">
        <v>82</v>
      </c>
      <c r="Q738" s="6">
        <v>77</v>
      </c>
      <c r="R738" s="6">
        <v>79</v>
      </c>
      <c r="S738" s="6">
        <v>80</v>
      </c>
      <c r="T738" s="6">
        <v>83</v>
      </c>
      <c r="U738" s="6">
        <v>86</v>
      </c>
      <c r="V738" s="6">
        <v>84</v>
      </c>
      <c r="W738" s="6">
        <v>78</v>
      </c>
      <c r="X738" s="6">
        <v>77</v>
      </c>
      <c r="Y738" s="6">
        <v>77</v>
      </c>
      <c r="Z738" s="6">
        <v>77</v>
      </c>
      <c r="AA738" s="6">
        <v>73</v>
      </c>
      <c r="AB738" s="6">
        <v>76</v>
      </c>
      <c r="AC738" s="6">
        <v>74</v>
      </c>
      <c r="AD738" s="6">
        <v>75</v>
      </c>
      <c r="AE738" s="6">
        <v>67</v>
      </c>
      <c r="AF738" s="6">
        <v>74</v>
      </c>
      <c r="AG738" s="6" t="s">
        <v>7087</v>
      </c>
      <c r="AH738" s="6" t="s">
        <v>6818</v>
      </c>
    </row>
    <row r="739" spans="1:34" x14ac:dyDescent="0.2">
      <c r="A739" t="s">
        <v>3368</v>
      </c>
      <c r="B739" t="s">
        <v>1632</v>
      </c>
      <c r="C739" t="s">
        <v>57</v>
      </c>
      <c r="D739" s="7" t="s">
        <v>138</v>
      </c>
      <c r="E739" t="s">
        <v>38</v>
      </c>
      <c r="F739">
        <v>22</v>
      </c>
      <c r="G739">
        <v>76</v>
      </c>
      <c r="H739">
        <v>75</v>
      </c>
      <c r="I739" t="s">
        <v>6375</v>
      </c>
      <c r="J739">
        <v>69</v>
      </c>
      <c r="K739">
        <v>199</v>
      </c>
      <c r="L739" t="s">
        <v>5062</v>
      </c>
      <c r="M739" s="6" t="s">
        <v>6558</v>
      </c>
      <c r="N739" s="6" t="s">
        <v>6614</v>
      </c>
      <c r="O739" s="6">
        <v>57</v>
      </c>
      <c r="P739" s="6">
        <v>67</v>
      </c>
      <c r="Q739" s="6">
        <v>74</v>
      </c>
      <c r="R739" s="6">
        <v>58</v>
      </c>
      <c r="S739" s="6">
        <v>78</v>
      </c>
      <c r="T739" s="6">
        <v>63</v>
      </c>
      <c r="U739" s="6">
        <v>69</v>
      </c>
      <c r="V739" s="6">
        <v>77</v>
      </c>
      <c r="W739" s="6">
        <v>64</v>
      </c>
      <c r="X739" s="6">
        <v>75</v>
      </c>
      <c r="Y739" s="6">
        <v>82</v>
      </c>
      <c r="Z739" s="6">
        <v>71</v>
      </c>
      <c r="AA739" s="6">
        <v>73</v>
      </c>
      <c r="AB739" s="6">
        <v>68</v>
      </c>
      <c r="AC739" s="6">
        <v>76</v>
      </c>
      <c r="AD739" s="6">
        <v>69</v>
      </c>
      <c r="AE739" s="6">
        <v>70</v>
      </c>
      <c r="AF739" s="6">
        <v>60</v>
      </c>
      <c r="AG739" s="6" t="s">
        <v>7103</v>
      </c>
      <c r="AH739" s="6" t="s">
        <v>6730</v>
      </c>
    </row>
    <row r="740" spans="1:34" x14ac:dyDescent="0.2">
      <c r="A740" t="s">
        <v>3390</v>
      </c>
      <c r="B740" t="s">
        <v>1654</v>
      </c>
      <c r="C740" t="s">
        <v>2879</v>
      </c>
      <c r="D740" s="7" t="s">
        <v>138</v>
      </c>
      <c r="E740" t="s">
        <v>38</v>
      </c>
      <c r="F740">
        <v>25</v>
      </c>
      <c r="G740">
        <v>84</v>
      </c>
      <c r="H740">
        <v>75</v>
      </c>
      <c r="I740" t="s">
        <v>6397</v>
      </c>
      <c r="J740">
        <v>75</v>
      </c>
      <c r="K740">
        <v>330</v>
      </c>
      <c r="L740" t="s">
        <v>5084</v>
      </c>
      <c r="M740" s="6" t="s">
        <v>6558</v>
      </c>
      <c r="N740" s="6" t="s">
        <v>6565</v>
      </c>
      <c r="O740" s="6">
        <v>85</v>
      </c>
      <c r="P740" s="6">
        <v>87</v>
      </c>
      <c r="Q740" s="6">
        <v>79</v>
      </c>
      <c r="R740" s="6">
        <v>74</v>
      </c>
      <c r="S740" s="6">
        <v>79</v>
      </c>
      <c r="T740" s="6">
        <v>86</v>
      </c>
      <c r="U740" s="6">
        <v>95</v>
      </c>
      <c r="V740" s="6">
        <v>81</v>
      </c>
      <c r="W740" s="6">
        <v>70</v>
      </c>
      <c r="X740" s="6">
        <v>77</v>
      </c>
      <c r="Y740" s="6">
        <v>75</v>
      </c>
      <c r="Z740" s="6">
        <v>84</v>
      </c>
      <c r="AA740" s="6">
        <v>76</v>
      </c>
      <c r="AB740" s="6">
        <v>77</v>
      </c>
      <c r="AC740" s="6">
        <v>75</v>
      </c>
      <c r="AD740" s="6">
        <v>68</v>
      </c>
      <c r="AE740" s="6">
        <v>80</v>
      </c>
      <c r="AF740" s="6">
        <v>76</v>
      </c>
      <c r="AG740" s="6" t="s">
        <v>7125</v>
      </c>
      <c r="AH740" s="6" t="s">
        <v>6619</v>
      </c>
    </row>
    <row r="741" spans="1:34" x14ac:dyDescent="0.2">
      <c r="A741" t="s">
        <v>3398</v>
      </c>
      <c r="B741" t="s">
        <v>1662</v>
      </c>
      <c r="C741" t="s">
        <v>2882</v>
      </c>
      <c r="D741" s="7" t="s">
        <v>138</v>
      </c>
      <c r="E741" t="s">
        <v>58</v>
      </c>
      <c r="F741">
        <v>32</v>
      </c>
      <c r="G741">
        <v>73</v>
      </c>
      <c r="H741">
        <v>75</v>
      </c>
      <c r="I741" t="s">
        <v>6405</v>
      </c>
      <c r="J741">
        <v>71</v>
      </c>
      <c r="K741">
        <v>204</v>
      </c>
      <c r="L741" t="s">
        <v>5092</v>
      </c>
      <c r="M741" s="6" t="s">
        <v>6558</v>
      </c>
      <c r="N741" s="6" t="s">
        <v>6562</v>
      </c>
      <c r="O741" s="6">
        <v>78</v>
      </c>
      <c r="P741" s="6">
        <v>78</v>
      </c>
      <c r="Q741" s="6">
        <v>76</v>
      </c>
      <c r="R741" s="6">
        <v>86</v>
      </c>
      <c r="S741" s="6">
        <v>78</v>
      </c>
      <c r="T741" s="6">
        <v>77</v>
      </c>
      <c r="U741" s="6">
        <v>68</v>
      </c>
      <c r="V741" s="6">
        <v>74</v>
      </c>
      <c r="W741" s="6">
        <v>84</v>
      </c>
      <c r="X741" s="6">
        <v>80</v>
      </c>
      <c r="Y741" s="6">
        <v>77</v>
      </c>
      <c r="Z741" s="6">
        <v>80</v>
      </c>
      <c r="AA741" s="6">
        <v>71</v>
      </c>
      <c r="AB741" s="6">
        <v>72</v>
      </c>
      <c r="AC741" s="6">
        <v>73</v>
      </c>
      <c r="AD741" s="6">
        <v>69</v>
      </c>
      <c r="AE741" s="6">
        <v>72</v>
      </c>
      <c r="AF741" s="6">
        <v>67</v>
      </c>
      <c r="AG741" s="6" t="s">
        <v>7132</v>
      </c>
      <c r="AH741" s="6" t="s">
        <v>6636</v>
      </c>
    </row>
    <row r="742" spans="1:34" x14ac:dyDescent="0.2">
      <c r="A742" t="s">
        <v>3404</v>
      </c>
      <c r="B742" t="s">
        <v>1668</v>
      </c>
      <c r="C742" t="s">
        <v>2889</v>
      </c>
      <c r="D742" s="7" t="s">
        <v>138</v>
      </c>
      <c r="E742" t="s">
        <v>58</v>
      </c>
      <c r="F742">
        <v>33</v>
      </c>
      <c r="G742">
        <v>67</v>
      </c>
      <c r="H742">
        <v>75</v>
      </c>
      <c r="I742" t="s">
        <v>6411</v>
      </c>
      <c r="J742">
        <v>72</v>
      </c>
      <c r="K742">
        <v>259</v>
      </c>
      <c r="L742" t="s">
        <v>5098</v>
      </c>
      <c r="M742" s="6" t="s">
        <v>6558</v>
      </c>
      <c r="N742" s="6" t="s">
        <v>6583</v>
      </c>
      <c r="O742" s="6">
        <v>87</v>
      </c>
      <c r="P742" s="6">
        <v>75</v>
      </c>
      <c r="Q742" s="6">
        <v>70</v>
      </c>
      <c r="R742" s="6">
        <v>77</v>
      </c>
      <c r="S742" s="6">
        <v>78</v>
      </c>
      <c r="T742" s="6">
        <v>68</v>
      </c>
      <c r="U742" s="6">
        <v>76</v>
      </c>
      <c r="V742" s="6">
        <v>78</v>
      </c>
      <c r="W742" s="6">
        <v>74</v>
      </c>
      <c r="X742" s="6">
        <v>65</v>
      </c>
      <c r="Y742" s="6">
        <v>69</v>
      </c>
      <c r="Z742" s="6">
        <v>68</v>
      </c>
      <c r="AA742" s="6">
        <v>61</v>
      </c>
      <c r="AB742" s="6">
        <v>61</v>
      </c>
      <c r="AC742" s="6">
        <v>59</v>
      </c>
      <c r="AD742" s="6">
        <v>65</v>
      </c>
      <c r="AE742" s="6">
        <v>60</v>
      </c>
      <c r="AF742" s="6">
        <v>69</v>
      </c>
      <c r="AG742" s="6" t="s">
        <v>7138</v>
      </c>
      <c r="AH742" s="6" t="s">
        <v>6709</v>
      </c>
    </row>
    <row r="743" spans="1:34" x14ac:dyDescent="0.2">
      <c r="A743" t="s">
        <v>3412</v>
      </c>
      <c r="B743" t="s">
        <v>1676</v>
      </c>
      <c r="C743" t="s">
        <v>2891</v>
      </c>
      <c r="D743" s="7" t="s">
        <v>138</v>
      </c>
      <c r="E743" t="s">
        <v>58</v>
      </c>
      <c r="F743">
        <v>30</v>
      </c>
      <c r="G743">
        <v>64</v>
      </c>
      <c r="H743">
        <v>75</v>
      </c>
      <c r="I743" t="s">
        <v>6420</v>
      </c>
      <c r="J743">
        <v>72</v>
      </c>
      <c r="K743">
        <v>241</v>
      </c>
      <c r="L743" t="s">
        <v>5106</v>
      </c>
      <c r="M743" s="6" t="s">
        <v>6558</v>
      </c>
      <c r="N743" s="6" t="s">
        <v>6565</v>
      </c>
      <c r="O743" s="6">
        <v>82</v>
      </c>
      <c r="P743" s="6">
        <v>66</v>
      </c>
      <c r="Q743" s="6">
        <v>69</v>
      </c>
      <c r="R743" s="6">
        <v>74</v>
      </c>
      <c r="S743" s="6">
        <v>79</v>
      </c>
      <c r="T743" s="6">
        <v>73</v>
      </c>
      <c r="U743" s="6">
        <v>73</v>
      </c>
      <c r="V743" s="6">
        <v>73</v>
      </c>
      <c r="W743" s="6">
        <v>87</v>
      </c>
      <c r="X743" s="6">
        <v>67</v>
      </c>
      <c r="Y743" s="6">
        <v>73</v>
      </c>
      <c r="Z743" s="6">
        <v>74</v>
      </c>
      <c r="AA743" s="6">
        <v>69</v>
      </c>
      <c r="AB743" s="6">
        <v>72</v>
      </c>
      <c r="AC743" s="6">
        <v>57</v>
      </c>
      <c r="AD743" s="6">
        <v>71</v>
      </c>
      <c r="AE743" s="6">
        <v>68</v>
      </c>
      <c r="AF743" s="6">
        <v>69</v>
      </c>
      <c r="AG743" s="6" t="s">
        <v>7146</v>
      </c>
      <c r="AH743" s="6" t="s">
        <v>7093</v>
      </c>
    </row>
    <row r="744" spans="1:34" x14ac:dyDescent="0.2">
      <c r="A744" t="s">
        <v>3437</v>
      </c>
      <c r="B744" t="s">
        <v>1701</v>
      </c>
      <c r="C744" t="s">
        <v>2874</v>
      </c>
      <c r="D744" s="7" t="s">
        <v>139</v>
      </c>
      <c r="E744" t="s">
        <v>38</v>
      </c>
      <c r="F744">
        <v>28</v>
      </c>
      <c r="G744">
        <v>66</v>
      </c>
      <c r="H744">
        <v>75</v>
      </c>
      <c r="I744" t="s">
        <v>6455</v>
      </c>
      <c r="J744">
        <v>77</v>
      </c>
      <c r="K744">
        <v>325</v>
      </c>
      <c r="L744" t="s">
        <v>5131</v>
      </c>
      <c r="M744" s="6" t="s">
        <v>6558</v>
      </c>
      <c r="N744" s="6" t="s">
        <v>6567</v>
      </c>
      <c r="O744" s="6">
        <v>74</v>
      </c>
      <c r="P744" s="6">
        <v>81</v>
      </c>
      <c r="Q744" s="6">
        <v>63</v>
      </c>
      <c r="R744" s="6">
        <v>63</v>
      </c>
      <c r="S744" s="6">
        <v>72</v>
      </c>
      <c r="T744" s="6">
        <v>73</v>
      </c>
      <c r="U744" s="6">
        <v>67</v>
      </c>
      <c r="V744" s="6">
        <v>71</v>
      </c>
      <c r="W744" s="6">
        <v>71</v>
      </c>
      <c r="X744" s="6">
        <v>59</v>
      </c>
      <c r="Y744" s="6">
        <v>72</v>
      </c>
      <c r="Z744" s="6">
        <v>72</v>
      </c>
      <c r="AA744" s="6">
        <v>66</v>
      </c>
      <c r="AB744" s="6">
        <v>70</v>
      </c>
      <c r="AC744" s="6">
        <v>63</v>
      </c>
      <c r="AD744" s="6">
        <v>75</v>
      </c>
      <c r="AE744" s="6">
        <v>71</v>
      </c>
      <c r="AF744" s="6">
        <v>65</v>
      </c>
      <c r="AG744" s="6" t="s">
        <v>7172</v>
      </c>
      <c r="AH744" s="6" t="s">
        <v>6674</v>
      </c>
    </row>
    <row r="745" spans="1:34" x14ac:dyDescent="0.2">
      <c r="A745" t="s">
        <v>3438</v>
      </c>
      <c r="B745" t="s">
        <v>1702</v>
      </c>
      <c r="C745" t="s">
        <v>2887</v>
      </c>
      <c r="D745" s="7" t="s">
        <v>139</v>
      </c>
      <c r="E745" t="s">
        <v>38</v>
      </c>
      <c r="F745">
        <v>30</v>
      </c>
      <c r="G745">
        <v>85</v>
      </c>
      <c r="H745">
        <v>75</v>
      </c>
      <c r="I745" t="s">
        <v>6456</v>
      </c>
      <c r="J745">
        <v>74</v>
      </c>
      <c r="K745">
        <v>332</v>
      </c>
      <c r="L745" t="s">
        <v>5132</v>
      </c>
      <c r="M745" s="6" t="s">
        <v>6558</v>
      </c>
      <c r="N745" s="6" t="s">
        <v>6583</v>
      </c>
      <c r="O745" s="6">
        <v>86</v>
      </c>
      <c r="P745" s="6">
        <v>77</v>
      </c>
      <c r="Q745" s="6">
        <v>79</v>
      </c>
      <c r="R745" s="6">
        <v>78</v>
      </c>
      <c r="S745" s="6">
        <v>91</v>
      </c>
      <c r="T745" s="6">
        <v>81</v>
      </c>
      <c r="U745" s="6">
        <v>79</v>
      </c>
      <c r="V745" s="6">
        <v>81</v>
      </c>
      <c r="W745" s="6">
        <v>78</v>
      </c>
      <c r="X745" s="6">
        <v>77</v>
      </c>
      <c r="Y745" s="6">
        <v>80</v>
      </c>
      <c r="Z745" s="6">
        <v>75</v>
      </c>
      <c r="AA745" s="6">
        <v>75</v>
      </c>
      <c r="AB745" s="6">
        <v>77</v>
      </c>
      <c r="AC745" s="6">
        <v>73</v>
      </c>
      <c r="AD745" s="6">
        <v>81</v>
      </c>
      <c r="AE745" s="6">
        <v>78</v>
      </c>
      <c r="AF745" s="6">
        <v>72</v>
      </c>
      <c r="AG745" s="6" t="s">
        <v>7173</v>
      </c>
      <c r="AH745" s="6" t="s">
        <v>6600</v>
      </c>
    </row>
    <row r="746" spans="1:34" x14ac:dyDescent="0.2">
      <c r="A746" t="s">
        <v>3455</v>
      </c>
      <c r="B746" t="s">
        <v>1719</v>
      </c>
      <c r="C746" t="s">
        <v>2881</v>
      </c>
      <c r="D746" s="7" t="s">
        <v>139</v>
      </c>
      <c r="E746" t="s">
        <v>38</v>
      </c>
      <c r="F746">
        <v>27</v>
      </c>
      <c r="G746">
        <v>77</v>
      </c>
      <c r="H746">
        <v>75</v>
      </c>
      <c r="I746" t="s">
        <v>6479</v>
      </c>
      <c r="J746">
        <v>75</v>
      </c>
      <c r="K746">
        <v>240</v>
      </c>
      <c r="L746" t="s">
        <v>5149</v>
      </c>
      <c r="M746" s="6" t="s">
        <v>6558</v>
      </c>
      <c r="N746" s="6" t="s">
        <v>6565</v>
      </c>
      <c r="O746" s="6">
        <v>81</v>
      </c>
      <c r="P746" s="6">
        <v>74</v>
      </c>
      <c r="Q746" s="6">
        <v>74</v>
      </c>
      <c r="R746" s="6">
        <v>73</v>
      </c>
      <c r="S746" s="6">
        <v>81</v>
      </c>
      <c r="T746" s="6">
        <v>72</v>
      </c>
      <c r="U746" s="6">
        <v>80</v>
      </c>
      <c r="V746" s="6">
        <v>80</v>
      </c>
      <c r="W746" s="6">
        <v>80</v>
      </c>
      <c r="X746" s="6">
        <v>85</v>
      </c>
      <c r="Y746" s="6">
        <v>76</v>
      </c>
      <c r="Z746" s="6">
        <v>78</v>
      </c>
      <c r="AA746" s="6">
        <v>75</v>
      </c>
      <c r="AB746" s="6">
        <v>64</v>
      </c>
      <c r="AC746" s="6">
        <v>74</v>
      </c>
      <c r="AD746" s="6">
        <v>76</v>
      </c>
      <c r="AE746" s="6">
        <v>74</v>
      </c>
      <c r="AF746" s="6">
        <v>73</v>
      </c>
      <c r="AG746" s="6" t="s">
        <v>7190</v>
      </c>
      <c r="AH746" s="6" t="s">
        <v>6692</v>
      </c>
    </row>
    <row r="747" spans="1:34" x14ac:dyDescent="0.2">
      <c r="A747" t="s">
        <v>3467</v>
      </c>
      <c r="B747" t="s">
        <v>1731</v>
      </c>
      <c r="C747" t="s">
        <v>2884</v>
      </c>
      <c r="D747" s="7" t="s">
        <v>139</v>
      </c>
      <c r="E747" t="s">
        <v>58</v>
      </c>
      <c r="F747">
        <v>35</v>
      </c>
      <c r="G747">
        <v>65</v>
      </c>
      <c r="H747">
        <v>75</v>
      </c>
      <c r="I747" t="s">
        <v>6343</v>
      </c>
      <c r="J747">
        <v>76</v>
      </c>
      <c r="K747">
        <v>211</v>
      </c>
      <c r="L747" t="s">
        <v>5161</v>
      </c>
      <c r="M747" s="6" t="s">
        <v>6558</v>
      </c>
      <c r="N747" s="6" t="s">
        <v>6583</v>
      </c>
      <c r="O747" s="6">
        <v>74</v>
      </c>
      <c r="P747" s="6">
        <v>70</v>
      </c>
      <c r="Q747" s="6">
        <v>83</v>
      </c>
      <c r="R747" s="6">
        <v>80</v>
      </c>
      <c r="S747" s="6">
        <v>80</v>
      </c>
      <c r="T747" s="6">
        <v>78</v>
      </c>
      <c r="U747" s="6">
        <v>81</v>
      </c>
      <c r="V747" s="6">
        <v>78</v>
      </c>
      <c r="W747" s="6">
        <v>76</v>
      </c>
      <c r="X747" s="6">
        <v>82</v>
      </c>
      <c r="Y747" s="6">
        <v>72</v>
      </c>
      <c r="Z747" s="6">
        <v>76</v>
      </c>
      <c r="AA747" s="6">
        <v>69</v>
      </c>
      <c r="AB747" s="6">
        <v>64</v>
      </c>
      <c r="AC747" s="6">
        <v>65</v>
      </c>
      <c r="AD747" s="6">
        <v>66</v>
      </c>
      <c r="AE747" s="6">
        <v>67</v>
      </c>
      <c r="AF747" s="6">
        <v>67</v>
      </c>
      <c r="AG747" s="6" t="s">
        <v>7203</v>
      </c>
      <c r="AH747" s="6" t="s">
        <v>6644</v>
      </c>
    </row>
    <row r="748" spans="1:34" x14ac:dyDescent="0.2">
      <c r="A748" t="s">
        <v>3528</v>
      </c>
      <c r="B748" t="s">
        <v>1792</v>
      </c>
      <c r="C748" t="s">
        <v>2870</v>
      </c>
      <c r="D748" s="7" t="s">
        <v>141</v>
      </c>
      <c r="E748" t="s">
        <v>38</v>
      </c>
      <c r="F748">
        <v>24</v>
      </c>
      <c r="G748">
        <v>68</v>
      </c>
      <c r="H748">
        <v>75</v>
      </c>
      <c r="I748" t="s">
        <v>6355</v>
      </c>
      <c r="J748">
        <v>71</v>
      </c>
      <c r="K748">
        <v>195</v>
      </c>
      <c r="L748" t="s">
        <v>5222</v>
      </c>
      <c r="M748" s="6" t="s">
        <v>6558</v>
      </c>
      <c r="N748" s="6" t="s">
        <v>6614</v>
      </c>
      <c r="O748" s="6">
        <v>62</v>
      </c>
      <c r="P748" s="6">
        <v>72</v>
      </c>
      <c r="Q748" s="6">
        <v>68</v>
      </c>
      <c r="R748" s="6">
        <v>54</v>
      </c>
      <c r="S748" s="6">
        <v>69</v>
      </c>
      <c r="T748" s="6">
        <v>65</v>
      </c>
      <c r="U748" s="6">
        <v>82</v>
      </c>
      <c r="V748" s="6">
        <v>69</v>
      </c>
      <c r="W748" s="6">
        <v>69</v>
      </c>
      <c r="X748" s="6">
        <v>72</v>
      </c>
      <c r="Y748" s="6">
        <v>85</v>
      </c>
      <c r="Z748" s="6">
        <v>66</v>
      </c>
      <c r="AA748" s="6">
        <v>69</v>
      </c>
      <c r="AB748" s="6">
        <v>76</v>
      </c>
      <c r="AC748" s="6">
        <v>67</v>
      </c>
      <c r="AD748" s="6">
        <v>71</v>
      </c>
      <c r="AE748" s="6">
        <v>70</v>
      </c>
      <c r="AF748" s="6">
        <v>67</v>
      </c>
      <c r="AG748" s="6" t="s">
        <v>7265</v>
      </c>
      <c r="AH748" s="6" t="s">
        <v>6885</v>
      </c>
    </row>
    <row r="749" spans="1:34" x14ac:dyDescent="0.2">
      <c r="A749" t="s">
        <v>3565</v>
      </c>
      <c r="B749" t="s">
        <v>1829</v>
      </c>
      <c r="C749" t="s">
        <v>61</v>
      </c>
      <c r="D749" s="7" t="s">
        <v>141</v>
      </c>
      <c r="E749" t="s">
        <v>38</v>
      </c>
      <c r="F749">
        <v>23</v>
      </c>
      <c r="G749">
        <v>77</v>
      </c>
      <c r="H749">
        <v>75</v>
      </c>
      <c r="I749" t="s">
        <v>6377</v>
      </c>
      <c r="J749">
        <v>71</v>
      </c>
      <c r="K749">
        <v>198</v>
      </c>
      <c r="L749" t="s">
        <v>5259</v>
      </c>
      <c r="M749" s="6" t="s">
        <v>6558</v>
      </c>
      <c r="N749" s="6" t="s">
        <v>6567</v>
      </c>
      <c r="O749" s="6">
        <v>76</v>
      </c>
      <c r="P749" s="6">
        <v>77</v>
      </c>
      <c r="Q749" s="6">
        <v>79</v>
      </c>
      <c r="R749" s="6">
        <v>64</v>
      </c>
      <c r="S749" s="6">
        <v>80</v>
      </c>
      <c r="T749" s="6">
        <v>71</v>
      </c>
      <c r="U749" s="6">
        <v>85</v>
      </c>
      <c r="V749" s="6">
        <v>77</v>
      </c>
      <c r="W749" s="6">
        <v>63</v>
      </c>
      <c r="X749" s="6">
        <v>75</v>
      </c>
      <c r="Y749" s="6">
        <v>76</v>
      </c>
      <c r="Z749" s="6">
        <v>80</v>
      </c>
      <c r="AA749" s="6">
        <v>72</v>
      </c>
      <c r="AB749" s="6">
        <v>75</v>
      </c>
      <c r="AC749" s="6">
        <v>73</v>
      </c>
      <c r="AD749" s="6">
        <v>78</v>
      </c>
      <c r="AE749" s="6">
        <v>72</v>
      </c>
      <c r="AF749" s="6">
        <v>74</v>
      </c>
      <c r="AG749" s="6" t="s">
        <v>7302</v>
      </c>
      <c r="AH749" s="6" t="s">
        <v>6630</v>
      </c>
    </row>
    <row r="750" spans="1:34" x14ac:dyDescent="0.2">
      <c r="A750" t="s">
        <v>3572</v>
      </c>
      <c r="B750" t="s">
        <v>1836</v>
      </c>
      <c r="C750" t="s">
        <v>2888</v>
      </c>
      <c r="D750" s="7" t="s">
        <v>141</v>
      </c>
      <c r="E750" t="s">
        <v>58</v>
      </c>
      <c r="F750">
        <v>35</v>
      </c>
      <c r="G750">
        <v>58</v>
      </c>
      <c r="H750">
        <v>75</v>
      </c>
      <c r="I750" t="s">
        <v>6418</v>
      </c>
      <c r="J750">
        <v>72</v>
      </c>
      <c r="K750">
        <v>206</v>
      </c>
      <c r="L750" t="s">
        <v>5266</v>
      </c>
      <c r="M750" s="6" t="s">
        <v>6558</v>
      </c>
      <c r="N750" s="6" t="s">
        <v>6565</v>
      </c>
      <c r="O750" s="6">
        <v>69</v>
      </c>
      <c r="P750" s="6">
        <v>82</v>
      </c>
      <c r="Q750" s="6">
        <v>76</v>
      </c>
      <c r="R750" s="6">
        <v>74</v>
      </c>
      <c r="S750" s="6">
        <v>73</v>
      </c>
      <c r="T750" s="6">
        <v>89</v>
      </c>
      <c r="U750" s="6">
        <v>66</v>
      </c>
      <c r="V750" s="6">
        <v>83</v>
      </c>
      <c r="W750" s="6">
        <v>84</v>
      </c>
      <c r="X750" s="6">
        <v>69</v>
      </c>
      <c r="Y750" s="6">
        <v>73</v>
      </c>
      <c r="Z750" s="6">
        <v>74</v>
      </c>
      <c r="AA750" s="6">
        <v>63</v>
      </c>
      <c r="AB750" s="6">
        <v>62</v>
      </c>
      <c r="AC750" s="6">
        <v>71</v>
      </c>
      <c r="AD750" s="6">
        <v>64</v>
      </c>
      <c r="AE750" s="6">
        <v>63</v>
      </c>
      <c r="AF750" s="6">
        <v>69</v>
      </c>
      <c r="AG750" s="6" t="s">
        <v>7309</v>
      </c>
      <c r="AH750" s="6" t="s">
        <v>6762</v>
      </c>
    </row>
    <row r="751" spans="1:34" x14ac:dyDescent="0.2">
      <c r="A751" t="s">
        <v>3581</v>
      </c>
      <c r="B751" t="s">
        <v>1845</v>
      </c>
      <c r="C751" t="s">
        <v>53</v>
      </c>
      <c r="D751" s="7" t="s">
        <v>142</v>
      </c>
      <c r="E751" t="s">
        <v>38</v>
      </c>
      <c r="F751">
        <v>30</v>
      </c>
      <c r="G751">
        <v>78</v>
      </c>
      <c r="H751">
        <v>75</v>
      </c>
      <c r="I751" t="s">
        <v>6447</v>
      </c>
      <c r="J751">
        <v>75</v>
      </c>
      <c r="K751">
        <v>216</v>
      </c>
      <c r="L751" t="s">
        <v>5275</v>
      </c>
      <c r="M751" s="6" t="s">
        <v>6558</v>
      </c>
      <c r="N751" s="6" t="s">
        <v>6562</v>
      </c>
      <c r="O751" s="6">
        <v>81</v>
      </c>
      <c r="P751" s="6">
        <v>88</v>
      </c>
      <c r="Q751" s="6">
        <v>83</v>
      </c>
      <c r="R751" s="6">
        <v>88</v>
      </c>
      <c r="S751" s="6">
        <v>84</v>
      </c>
      <c r="T751" s="6">
        <v>87</v>
      </c>
      <c r="U751" s="6">
        <v>84</v>
      </c>
      <c r="V751" s="6">
        <v>84</v>
      </c>
      <c r="W751" s="6">
        <v>92</v>
      </c>
      <c r="X751" s="6">
        <v>83</v>
      </c>
      <c r="Y751" s="6">
        <v>82</v>
      </c>
      <c r="Z751" s="6">
        <v>75</v>
      </c>
      <c r="AA751" s="6">
        <v>78</v>
      </c>
      <c r="AB751" s="6">
        <v>79</v>
      </c>
      <c r="AC751" s="6">
        <v>69</v>
      </c>
      <c r="AD751" s="6">
        <v>70</v>
      </c>
      <c r="AE751" s="6">
        <v>72</v>
      </c>
      <c r="AF751" s="6">
        <v>78</v>
      </c>
      <c r="AG751" s="6" t="s">
        <v>7318</v>
      </c>
      <c r="AH751" s="6" t="s">
        <v>6936</v>
      </c>
    </row>
    <row r="752" spans="1:34" x14ac:dyDescent="0.2">
      <c r="A752" t="s">
        <v>3607</v>
      </c>
      <c r="B752" t="s">
        <v>1871</v>
      </c>
      <c r="C752" t="s">
        <v>2878</v>
      </c>
      <c r="D752" s="7" t="s">
        <v>142</v>
      </c>
      <c r="E752" t="s">
        <v>58</v>
      </c>
      <c r="F752">
        <v>27</v>
      </c>
      <c r="G752">
        <v>66</v>
      </c>
      <c r="H752">
        <v>75</v>
      </c>
      <c r="I752" t="s">
        <v>6382</v>
      </c>
      <c r="J752">
        <v>75</v>
      </c>
      <c r="K752">
        <v>272</v>
      </c>
      <c r="L752" t="s">
        <v>5301</v>
      </c>
      <c r="M752" s="6" t="s">
        <v>6558</v>
      </c>
      <c r="N752" s="6" t="s">
        <v>6614</v>
      </c>
      <c r="O752" s="6">
        <v>83</v>
      </c>
      <c r="P752" s="6">
        <v>65</v>
      </c>
      <c r="Q752" s="6">
        <v>71</v>
      </c>
      <c r="R752" s="6">
        <v>62</v>
      </c>
      <c r="S752" s="6">
        <v>78</v>
      </c>
      <c r="T752" s="6">
        <v>71</v>
      </c>
      <c r="U752" s="6">
        <v>67</v>
      </c>
      <c r="V752" s="6">
        <v>62</v>
      </c>
      <c r="W752" s="6">
        <v>69</v>
      </c>
      <c r="X752" s="6">
        <v>69</v>
      </c>
      <c r="Y752" s="6">
        <v>64</v>
      </c>
      <c r="Z752" s="6">
        <v>68</v>
      </c>
      <c r="AA752" s="6">
        <v>67</v>
      </c>
      <c r="AB752" s="6">
        <v>70</v>
      </c>
      <c r="AC752" s="6">
        <v>77</v>
      </c>
      <c r="AD752" s="6">
        <v>69</v>
      </c>
      <c r="AE752" s="6">
        <v>69</v>
      </c>
      <c r="AF752" s="6">
        <v>73</v>
      </c>
      <c r="AG752" s="6" t="s">
        <v>7342</v>
      </c>
      <c r="AH752" s="6" t="s">
        <v>6686</v>
      </c>
    </row>
    <row r="753" spans="1:34" x14ac:dyDescent="0.2">
      <c r="A753" t="s">
        <v>3643</v>
      </c>
      <c r="B753" t="s">
        <v>1907</v>
      </c>
      <c r="C753" t="s">
        <v>57</v>
      </c>
      <c r="D753" s="7" t="s">
        <v>143</v>
      </c>
      <c r="E753" t="s">
        <v>38</v>
      </c>
      <c r="F753">
        <v>28</v>
      </c>
      <c r="G753">
        <v>65</v>
      </c>
      <c r="H753">
        <v>75</v>
      </c>
      <c r="I753" t="s">
        <v>6475</v>
      </c>
      <c r="J753">
        <v>72</v>
      </c>
      <c r="K753">
        <v>193</v>
      </c>
      <c r="L753" t="s">
        <v>5337</v>
      </c>
      <c r="M753" s="6" t="s">
        <v>6558</v>
      </c>
      <c r="N753" s="6" t="s">
        <v>6565</v>
      </c>
      <c r="O753" s="6">
        <v>76</v>
      </c>
      <c r="P753" s="6">
        <v>73</v>
      </c>
      <c r="Q753" s="6">
        <v>85</v>
      </c>
      <c r="R753" s="6">
        <v>73</v>
      </c>
      <c r="S753" s="6">
        <v>80</v>
      </c>
      <c r="T753" s="6">
        <v>71</v>
      </c>
      <c r="U753" s="6">
        <v>75</v>
      </c>
      <c r="V753" s="6">
        <v>66</v>
      </c>
      <c r="W753" s="6">
        <v>75</v>
      </c>
      <c r="X753" s="6">
        <v>80</v>
      </c>
      <c r="Y753" s="6">
        <v>75</v>
      </c>
      <c r="Z753" s="6">
        <v>74</v>
      </c>
      <c r="AA753" s="6">
        <v>67</v>
      </c>
      <c r="AB753" s="6">
        <v>73</v>
      </c>
      <c r="AC753" s="6">
        <v>63</v>
      </c>
      <c r="AD753" s="6">
        <v>75</v>
      </c>
      <c r="AE753" s="6">
        <v>68</v>
      </c>
      <c r="AF753" s="6">
        <v>69</v>
      </c>
      <c r="AG753" s="6" t="s">
        <v>7378</v>
      </c>
      <c r="AH753" s="6" t="s">
        <v>6574</v>
      </c>
    </row>
    <row r="754" spans="1:34" x14ac:dyDescent="0.2">
      <c r="A754" t="s">
        <v>3645</v>
      </c>
      <c r="B754" t="s">
        <v>1909</v>
      </c>
      <c r="C754" t="s">
        <v>57</v>
      </c>
      <c r="D754" s="7" t="s">
        <v>143</v>
      </c>
      <c r="E754" t="s">
        <v>58</v>
      </c>
      <c r="F754">
        <v>32</v>
      </c>
      <c r="G754">
        <v>59</v>
      </c>
      <c r="H754">
        <v>75</v>
      </c>
      <c r="I754" t="s">
        <v>6499</v>
      </c>
      <c r="J754">
        <v>69</v>
      </c>
      <c r="K754">
        <v>186</v>
      </c>
      <c r="L754" t="s">
        <v>5339</v>
      </c>
      <c r="M754" s="6" t="s">
        <v>6558</v>
      </c>
      <c r="N754" s="6" t="s">
        <v>6614</v>
      </c>
      <c r="O754" s="6">
        <v>56</v>
      </c>
      <c r="P754" s="6">
        <v>71</v>
      </c>
      <c r="Q754" s="6">
        <v>74</v>
      </c>
      <c r="R754" s="6">
        <v>59</v>
      </c>
      <c r="S754" s="6">
        <v>60</v>
      </c>
      <c r="T754" s="6">
        <v>77</v>
      </c>
      <c r="U754" s="6">
        <v>70</v>
      </c>
      <c r="V754" s="6">
        <v>72</v>
      </c>
      <c r="W754" s="6">
        <v>72</v>
      </c>
      <c r="X754" s="6">
        <v>67</v>
      </c>
      <c r="Y754" s="6">
        <v>77</v>
      </c>
      <c r="Z754" s="6">
        <v>63</v>
      </c>
      <c r="AA754" s="6">
        <v>62</v>
      </c>
      <c r="AB754" s="6">
        <v>62</v>
      </c>
      <c r="AC754" s="6">
        <v>57</v>
      </c>
      <c r="AD754" s="6">
        <v>65</v>
      </c>
      <c r="AE754" s="6">
        <v>65</v>
      </c>
      <c r="AF754" s="6">
        <v>58</v>
      </c>
      <c r="AG754" s="6" t="s">
        <v>7380</v>
      </c>
      <c r="AH754" s="6" t="s">
        <v>6661</v>
      </c>
    </row>
    <row r="755" spans="1:34" x14ac:dyDescent="0.2">
      <c r="A755" t="s">
        <v>3654</v>
      </c>
      <c r="B755" t="s">
        <v>1918</v>
      </c>
      <c r="C755" t="s">
        <v>2887</v>
      </c>
      <c r="D755" s="7" t="s">
        <v>143</v>
      </c>
      <c r="E755" t="s">
        <v>58</v>
      </c>
      <c r="F755">
        <v>31</v>
      </c>
      <c r="G755">
        <v>89</v>
      </c>
      <c r="H755">
        <v>75</v>
      </c>
      <c r="I755" t="s">
        <v>6442</v>
      </c>
      <c r="J755">
        <v>77</v>
      </c>
      <c r="K755">
        <v>309</v>
      </c>
      <c r="L755" t="s">
        <v>5348</v>
      </c>
      <c r="M755" s="6" t="s">
        <v>6558</v>
      </c>
      <c r="N755" s="6" t="s">
        <v>6562</v>
      </c>
      <c r="O755" s="6">
        <v>76</v>
      </c>
      <c r="P755" s="6">
        <v>85</v>
      </c>
      <c r="Q755" s="6">
        <v>74</v>
      </c>
      <c r="R755" s="6">
        <v>86</v>
      </c>
      <c r="S755" s="6">
        <v>82</v>
      </c>
      <c r="T755" s="6">
        <v>77</v>
      </c>
      <c r="U755" s="6">
        <v>84</v>
      </c>
      <c r="V755" s="6">
        <v>71</v>
      </c>
      <c r="W755" s="6">
        <v>82</v>
      </c>
      <c r="X755" s="6">
        <v>83</v>
      </c>
      <c r="Y755" s="6">
        <v>74</v>
      </c>
      <c r="Z755" s="6">
        <v>79</v>
      </c>
      <c r="AA755" s="6">
        <v>71</v>
      </c>
      <c r="AB755" s="6">
        <v>72</v>
      </c>
      <c r="AC755" s="6">
        <v>83</v>
      </c>
      <c r="AD755" s="6">
        <v>82</v>
      </c>
      <c r="AE755" s="6">
        <v>77</v>
      </c>
      <c r="AF755" s="6">
        <v>77</v>
      </c>
      <c r="AG755" s="6" t="s">
        <v>7389</v>
      </c>
      <c r="AH755" s="6" t="s">
        <v>6598</v>
      </c>
    </row>
    <row r="756" spans="1:34" x14ac:dyDescent="0.2">
      <c r="A756" t="s">
        <v>3692</v>
      </c>
      <c r="B756" t="s">
        <v>1956</v>
      </c>
      <c r="C756" t="s">
        <v>53</v>
      </c>
      <c r="D756" s="7" t="s">
        <v>154</v>
      </c>
      <c r="E756" t="s">
        <v>58</v>
      </c>
      <c r="F756">
        <v>30</v>
      </c>
      <c r="G756">
        <v>75</v>
      </c>
      <c r="H756">
        <v>75</v>
      </c>
      <c r="I756" t="s">
        <v>6347</v>
      </c>
      <c r="J756">
        <v>75</v>
      </c>
      <c r="K756">
        <v>210</v>
      </c>
      <c r="L756" t="s">
        <v>5386</v>
      </c>
      <c r="M756" s="6" t="s">
        <v>6558</v>
      </c>
      <c r="N756" s="6" t="s">
        <v>6562</v>
      </c>
      <c r="O756" s="6">
        <v>72</v>
      </c>
      <c r="P756" s="6">
        <v>73</v>
      </c>
      <c r="Q756" s="6">
        <v>70</v>
      </c>
      <c r="R756" s="6">
        <v>85</v>
      </c>
      <c r="S756" s="6">
        <v>75</v>
      </c>
      <c r="T756" s="6">
        <v>73</v>
      </c>
      <c r="U756" s="6">
        <v>71</v>
      </c>
      <c r="V756" s="6">
        <v>74</v>
      </c>
      <c r="W756" s="6">
        <v>76</v>
      </c>
      <c r="X756" s="6">
        <v>79</v>
      </c>
      <c r="Y756" s="6">
        <v>91</v>
      </c>
      <c r="Z756" s="6">
        <v>76</v>
      </c>
      <c r="AA756" s="6">
        <v>66</v>
      </c>
      <c r="AB756" s="6">
        <v>70</v>
      </c>
      <c r="AC756" s="6">
        <v>69</v>
      </c>
      <c r="AD756" s="6">
        <v>74</v>
      </c>
      <c r="AE756" s="6">
        <v>68</v>
      </c>
      <c r="AF756" s="6">
        <v>72</v>
      </c>
      <c r="AG756" s="6" t="s">
        <v>7429</v>
      </c>
      <c r="AH756" s="6" t="s">
        <v>6651</v>
      </c>
    </row>
    <row r="757" spans="1:34" x14ac:dyDescent="0.2">
      <c r="A757" t="s">
        <v>3706</v>
      </c>
      <c r="B757" t="s">
        <v>1970</v>
      </c>
      <c r="C757" t="s">
        <v>2871</v>
      </c>
      <c r="D757" s="7" t="s">
        <v>154</v>
      </c>
      <c r="E757" t="s">
        <v>38</v>
      </c>
      <c r="F757">
        <v>25</v>
      </c>
      <c r="G757">
        <v>78</v>
      </c>
      <c r="H757">
        <v>75</v>
      </c>
      <c r="I757" t="s">
        <v>6334</v>
      </c>
      <c r="J757">
        <v>76</v>
      </c>
      <c r="K757">
        <v>268</v>
      </c>
      <c r="L757" t="s">
        <v>5400</v>
      </c>
      <c r="M757" s="6" t="s">
        <v>6558</v>
      </c>
      <c r="N757" s="6" t="s">
        <v>6567</v>
      </c>
      <c r="O757" s="6">
        <v>83</v>
      </c>
      <c r="P757" s="6">
        <v>68</v>
      </c>
      <c r="Q757" s="6">
        <v>74</v>
      </c>
      <c r="R757" s="6">
        <v>69</v>
      </c>
      <c r="S757" s="6">
        <v>71</v>
      </c>
      <c r="T757" s="6">
        <v>80</v>
      </c>
      <c r="U757" s="6">
        <v>71</v>
      </c>
      <c r="V757" s="6">
        <v>73</v>
      </c>
      <c r="W757" s="6">
        <v>77</v>
      </c>
      <c r="X757" s="6">
        <v>73</v>
      </c>
      <c r="Y757" s="6">
        <v>81</v>
      </c>
      <c r="Z757" s="6">
        <v>79</v>
      </c>
      <c r="AA757" s="6">
        <v>74</v>
      </c>
      <c r="AB757" s="6">
        <v>77</v>
      </c>
      <c r="AC757" s="6">
        <v>78</v>
      </c>
      <c r="AD757" s="6">
        <v>82</v>
      </c>
      <c r="AE757" s="6">
        <v>75</v>
      </c>
      <c r="AF757" s="6">
        <v>78</v>
      </c>
      <c r="AG757" s="6" t="s">
        <v>7442</v>
      </c>
      <c r="AH757" s="6" t="s">
        <v>6585</v>
      </c>
    </row>
    <row r="758" spans="1:34" x14ac:dyDescent="0.2">
      <c r="A758" t="s">
        <v>3744</v>
      </c>
      <c r="B758" t="s">
        <v>2008</v>
      </c>
      <c r="C758" t="s">
        <v>2886</v>
      </c>
      <c r="D758" s="7" t="s">
        <v>154</v>
      </c>
      <c r="E758" t="s">
        <v>58</v>
      </c>
      <c r="F758">
        <v>30</v>
      </c>
      <c r="G758">
        <v>73</v>
      </c>
      <c r="H758">
        <v>75</v>
      </c>
      <c r="I758" t="s">
        <v>6326</v>
      </c>
      <c r="J758">
        <v>74</v>
      </c>
      <c r="K758">
        <v>244</v>
      </c>
      <c r="L758" t="s">
        <v>5438</v>
      </c>
      <c r="M758" s="6" t="s">
        <v>6558</v>
      </c>
      <c r="N758" s="6" t="s">
        <v>6562</v>
      </c>
      <c r="O758" s="6">
        <v>75</v>
      </c>
      <c r="P758" s="6">
        <v>77</v>
      </c>
      <c r="Q758" s="6">
        <v>74</v>
      </c>
      <c r="R758" s="6">
        <v>85</v>
      </c>
      <c r="S758" s="6">
        <v>89</v>
      </c>
      <c r="T758" s="6">
        <v>84</v>
      </c>
      <c r="U758" s="6">
        <v>79</v>
      </c>
      <c r="V758" s="6">
        <v>76</v>
      </c>
      <c r="W758" s="6">
        <v>79</v>
      </c>
      <c r="X758" s="6">
        <v>74</v>
      </c>
      <c r="Y758" s="6">
        <v>84</v>
      </c>
      <c r="Z758" s="6">
        <v>84</v>
      </c>
      <c r="AA758" s="6">
        <v>73</v>
      </c>
      <c r="AB758" s="6">
        <v>75</v>
      </c>
      <c r="AC758" s="6">
        <v>68</v>
      </c>
      <c r="AD758" s="6">
        <v>81</v>
      </c>
      <c r="AE758" s="6">
        <v>69</v>
      </c>
      <c r="AF758" s="6">
        <v>76</v>
      </c>
      <c r="AG758" s="6" t="s">
        <v>7480</v>
      </c>
      <c r="AH758" s="6" t="s">
        <v>6649</v>
      </c>
    </row>
    <row r="759" spans="1:34" x14ac:dyDescent="0.2">
      <c r="A759" t="s">
        <v>3753</v>
      </c>
      <c r="B759" t="s">
        <v>2017</v>
      </c>
      <c r="C759" t="s">
        <v>57</v>
      </c>
      <c r="D759" s="7" t="s">
        <v>155</v>
      </c>
      <c r="E759" t="s">
        <v>38</v>
      </c>
      <c r="F759">
        <v>22</v>
      </c>
      <c r="G759">
        <v>75</v>
      </c>
      <c r="H759">
        <v>75</v>
      </c>
      <c r="I759" t="s">
        <v>6313</v>
      </c>
      <c r="J759">
        <v>71</v>
      </c>
      <c r="K759">
        <v>206</v>
      </c>
      <c r="L759" t="s">
        <v>5447</v>
      </c>
      <c r="M759" s="6" t="s">
        <v>6558</v>
      </c>
      <c r="N759" s="6" t="s">
        <v>6567</v>
      </c>
      <c r="O759" s="6">
        <v>78</v>
      </c>
      <c r="P759" s="6">
        <v>80</v>
      </c>
      <c r="Q759" s="6">
        <v>70</v>
      </c>
      <c r="R759" s="6">
        <v>64</v>
      </c>
      <c r="S759" s="6">
        <v>66</v>
      </c>
      <c r="T759" s="6">
        <v>74</v>
      </c>
      <c r="U759" s="6">
        <v>82</v>
      </c>
      <c r="V759" s="6">
        <v>75</v>
      </c>
      <c r="W759" s="6">
        <v>73</v>
      </c>
      <c r="X759" s="6">
        <v>69</v>
      </c>
      <c r="Y759" s="6">
        <v>77</v>
      </c>
      <c r="Z759" s="6">
        <v>81</v>
      </c>
      <c r="AA759" s="6">
        <v>73</v>
      </c>
      <c r="AB759" s="6">
        <v>72</v>
      </c>
      <c r="AC759" s="6">
        <v>71</v>
      </c>
      <c r="AD759" s="6">
        <v>86</v>
      </c>
      <c r="AE759" s="6">
        <v>75</v>
      </c>
      <c r="AF759" s="6">
        <v>65</v>
      </c>
      <c r="AG759" s="6" t="s">
        <v>7489</v>
      </c>
      <c r="AH759" s="6" t="s">
        <v>6670</v>
      </c>
    </row>
    <row r="760" spans="1:34" x14ac:dyDescent="0.2">
      <c r="A760" t="s">
        <v>3765</v>
      </c>
      <c r="B760" t="s">
        <v>2029</v>
      </c>
      <c r="C760" t="s">
        <v>2874</v>
      </c>
      <c r="D760" s="7" t="s">
        <v>155</v>
      </c>
      <c r="E760" t="s">
        <v>58</v>
      </c>
      <c r="F760">
        <v>33</v>
      </c>
      <c r="G760">
        <v>82</v>
      </c>
      <c r="H760">
        <v>75</v>
      </c>
      <c r="I760" t="s">
        <v>6414</v>
      </c>
      <c r="J760">
        <v>75</v>
      </c>
      <c r="K760">
        <v>322</v>
      </c>
      <c r="L760" t="s">
        <v>5459</v>
      </c>
      <c r="M760" s="6" t="s">
        <v>6558</v>
      </c>
      <c r="N760" s="6" t="s">
        <v>6583</v>
      </c>
      <c r="O760" s="6">
        <v>79</v>
      </c>
      <c r="P760" s="6">
        <v>87</v>
      </c>
      <c r="Q760" s="6">
        <v>72</v>
      </c>
      <c r="R760" s="6">
        <v>78</v>
      </c>
      <c r="S760" s="6">
        <v>84</v>
      </c>
      <c r="T760" s="6">
        <v>71</v>
      </c>
      <c r="U760" s="6">
        <v>81</v>
      </c>
      <c r="V760" s="6">
        <v>82</v>
      </c>
      <c r="W760" s="6">
        <v>79</v>
      </c>
      <c r="X760" s="6">
        <v>78</v>
      </c>
      <c r="Y760" s="6">
        <v>71</v>
      </c>
      <c r="Z760" s="6">
        <v>82</v>
      </c>
      <c r="AA760" s="6">
        <v>68</v>
      </c>
      <c r="AB760" s="6">
        <v>73</v>
      </c>
      <c r="AC760" s="6">
        <v>67</v>
      </c>
      <c r="AD760" s="6">
        <v>69</v>
      </c>
      <c r="AE760" s="6">
        <v>72</v>
      </c>
      <c r="AF760" s="6">
        <v>68</v>
      </c>
      <c r="AG760" s="6" t="s">
        <v>7501</v>
      </c>
      <c r="AH760" s="6" t="s">
        <v>6600</v>
      </c>
    </row>
    <row r="761" spans="1:34" x14ac:dyDescent="0.2">
      <c r="A761" t="s">
        <v>3768</v>
      </c>
      <c r="B761" t="s">
        <v>2032</v>
      </c>
      <c r="C761" t="s">
        <v>2875</v>
      </c>
      <c r="D761" s="7" t="s">
        <v>155</v>
      </c>
      <c r="E761" t="s">
        <v>38</v>
      </c>
      <c r="F761">
        <v>24</v>
      </c>
      <c r="G761">
        <v>86</v>
      </c>
      <c r="H761">
        <v>75</v>
      </c>
      <c r="I761" t="s">
        <v>6411</v>
      </c>
      <c r="J761">
        <v>72</v>
      </c>
      <c r="K761">
        <v>315</v>
      </c>
      <c r="L761" t="s">
        <v>5462</v>
      </c>
      <c r="M761" s="6" t="s">
        <v>6558</v>
      </c>
      <c r="N761" s="6" t="s">
        <v>6559</v>
      </c>
      <c r="O761" s="6">
        <v>94</v>
      </c>
      <c r="P761" s="6">
        <v>80</v>
      </c>
      <c r="Q761" s="6">
        <v>82</v>
      </c>
      <c r="R761" s="6">
        <v>84</v>
      </c>
      <c r="S761" s="6">
        <v>77</v>
      </c>
      <c r="T761" s="6">
        <v>86</v>
      </c>
      <c r="U761" s="6">
        <v>89</v>
      </c>
      <c r="V761" s="6">
        <v>80</v>
      </c>
      <c r="W761" s="6">
        <v>69</v>
      </c>
      <c r="X761" s="6">
        <v>77</v>
      </c>
      <c r="Y761" s="6">
        <v>91</v>
      </c>
      <c r="Z761" s="6">
        <v>71</v>
      </c>
      <c r="AA761" s="6">
        <v>75</v>
      </c>
      <c r="AB761" s="6">
        <v>73</v>
      </c>
      <c r="AC761" s="6">
        <v>83</v>
      </c>
      <c r="AD761" s="6">
        <v>72</v>
      </c>
      <c r="AE761" s="6">
        <v>76</v>
      </c>
      <c r="AF761" s="6">
        <v>82</v>
      </c>
      <c r="AG761" s="6" t="s">
        <v>7504</v>
      </c>
      <c r="AH761" s="6" t="s">
        <v>6606</v>
      </c>
    </row>
    <row r="762" spans="1:34" x14ac:dyDescent="0.2">
      <c r="A762" t="s">
        <v>3772</v>
      </c>
      <c r="B762" t="s">
        <v>2036</v>
      </c>
      <c r="C762" t="s">
        <v>2878</v>
      </c>
      <c r="D762" s="7" t="s">
        <v>155</v>
      </c>
      <c r="E762" t="s">
        <v>38</v>
      </c>
      <c r="F762">
        <v>26</v>
      </c>
      <c r="G762">
        <v>75</v>
      </c>
      <c r="H762">
        <v>75</v>
      </c>
      <c r="I762" t="s">
        <v>6375</v>
      </c>
      <c r="J762">
        <v>74</v>
      </c>
      <c r="K762">
        <v>273</v>
      </c>
      <c r="L762" t="s">
        <v>5466</v>
      </c>
      <c r="M762" s="6" t="s">
        <v>6558</v>
      </c>
      <c r="N762" s="6" t="s">
        <v>6567</v>
      </c>
      <c r="O762" s="6">
        <v>67</v>
      </c>
      <c r="P762" s="6">
        <v>65</v>
      </c>
      <c r="Q762" s="6">
        <v>76</v>
      </c>
      <c r="R762" s="6">
        <v>63</v>
      </c>
      <c r="S762" s="6">
        <v>84</v>
      </c>
      <c r="T762" s="6">
        <v>76</v>
      </c>
      <c r="U762" s="6">
        <v>76</v>
      </c>
      <c r="V762" s="6">
        <v>74</v>
      </c>
      <c r="W762" s="6">
        <v>79</v>
      </c>
      <c r="X762" s="6">
        <v>70</v>
      </c>
      <c r="Y762" s="6">
        <v>76</v>
      </c>
      <c r="Z762" s="6">
        <v>67</v>
      </c>
      <c r="AA762" s="6">
        <v>72</v>
      </c>
      <c r="AB762" s="6">
        <v>65</v>
      </c>
      <c r="AC762" s="6">
        <v>78</v>
      </c>
      <c r="AD762" s="6">
        <v>85</v>
      </c>
      <c r="AE762" s="6">
        <v>72</v>
      </c>
      <c r="AF762" s="6">
        <v>76</v>
      </c>
      <c r="AG762" s="6" t="s">
        <v>7508</v>
      </c>
      <c r="AH762" s="6" t="s">
        <v>6686</v>
      </c>
    </row>
    <row r="763" spans="1:34" x14ac:dyDescent="0.2">
      <c r="A763" t="s">
        <v>3783</v>
      </c>
      <c r="B763" t="s">
        <v>2047</v>
      </c>
      <c r="C763" t="s">
        <v>2880</v>
      </c>
      <c r="D763" s="7" t="s">
        <v>155</v>
      </c>
      <c r="E763" t="s">
        <v>58</v>
      </c>
      <c r="F763">
        <v>32</v>
      </c>
      <c r="G763">
        <v>78</v>
      </c>
      <c r="H763">
        <v>75</v>
      </c>
      <c r="I763" t="s">
        <v>6384</v>
      </c>
      <c r="J763">
        <v>76</v>
      </c>
      <c r="K763">
        <v>238</v>
      </c>
      <c r="L763" t="s">
        <v>5477</v>
      </c>
      <c r="M763" s="6" t="s">
        <v>6558</v>
      </c>
      <c r="N763" s="6" t="s">
        <v>6583</v>
      </c>
      <c r="O763" s="6">
        <v>85</v>
      </c>
      <c r="P763" s="6">
        <v>76</v>
      </c>
      <c r="Q763" s="6">
        <v>77</v>
      </c>
      <c r="R763" s="6">
        <v>77</v>
      </c>
      <c r="S763" s="6">
        <v>85</v>
      </c>
      <c r="T763" s="6">
        <v>80</v>
      </c>
      <c r="U763" s="6">
        <v>75</v>
      </c>
      <c r="V763" s="6">
        <v>81</v>
      </c>
      <c r="W763" s="6">
        <v>72</v>
      </c>
      <c r="X763" s="6">
        <v>70</v>
      </c>
      <c r="Y763" s="6">
        <v>80</v>
      </c>
      <c r="Z763" s="6">
        <v>83</v>
      </c>
      <c r="AA763" s="6">
        <v>67</v>
      </c>
      <c r="AB763" s="6">
        <v>79</v>
      </c>
      <c r="AC763" s="6">
        <v>68</v>
      </c>
      <c r="AD763" s="6">
        <v>85</v>
      </c>
      <c r="AE763" s="6">
        <v>70</v>
      </c>
      <c r="AF763" s="6">
        <v>67</v>
      </c>
      <c r="AG763" s="6" t="s">
        <v>7519</v>
      </c>
      <c r="AH763" s="6" t="s">
        <v>6623</v>
      </c>
    </row>
    <row r="764" spans="1:34" x14ac:dyDescent="0.2">
      <c r="A764" t="s">
        <v>3792</v>
      </c>
      <c r="B764" t="s">
        <v>2056</v>
      </c>
      <c r="C764" t="s">
        <v>2883</v>
      </c>
      <c r="D764" s="7" t="s">
        <v>155</v>
      </c>
      <c r="E764" t="s">
        <v>38</v>
      </c>
      <c r="F764">
        <v>30</v>
      </c>
      <c r="G764">
        <v>91</v>
      </c>
      <c r="H764">
        <v>75</v>
      </c>
      <c r="I764" t="s">
        <v>6392</v>
      </c>
      <c r="J764">
        <v>72</v>
      </c>
      <c r="K764">
        <v>218</v>
      </c>
      <c r="L764" t="s">
        <v>5486</v>
      </c>
      <c r="M764" s="6" t="s">
        <v>6558</v>
      </c>
      <c r="N764" s="6" t="s">
        <v>6559</v>
      </c>
      <c r="O764" s="6">
        <v>89</v>
      </c>
      <c r="P764" s="6">
        <v>82</v>
      </c>
      <c r="Q764" s="6">
        <v>81</v>
      </c>
      <c r="R764" s="6">
        <v>84</v>
      </c>
      <c r="S764" s="6">
        <v>86</v>
      </c>
      <c r="T764" s="6">
        <v>81</v>
      </c>
      <c r="U764" s="6">
        <v>72</v>
      </c>
      <c r="V764" s="6">
        <v>82</v>
      </c>
      <c r="W764" s="6">
        <v>80</v>
      </c>
      <c r="X764" s="6">
        <v>88</v>
      </c>
      <c r="Y764" s="6">
        <v>88</v>
      </c>
      <c r="Z764" s="6">
        <v>93</v>
      </c>
      <c r="AA764" s="6">
        <v>78</v>
      </c>
      <c r="AB764" s="6">
        <v>79</v>
      </c>
      <c r="AC764" s="6">
        <v>85</v>
      </c>
      <c r="AD764" s="6">
        <v>75</v>
      </c>
      <c r="AE764" s="6">
        <v>77</v>
      </c>
      <c r="AF764" s="6">
        <v>80</v>
      </c>
      <c r="AG764" s="6" t="s">
        <v>7528</v>
      </c>
      <c r="AH764" s="6" t="s">
        <v>6640</v>
      </c>
    </row>
    <row r="765" spans="1:34" x14ac:dyDescent="0.2">
      <c r="A765" t="s">
        <v>3819</v>
      </c>
      <c r="B765" t="s">
        <v>2083</v>
      </c>
      <c r="C765" t="s">
        <v>2874</v>
      </c>
      <c r="D765" s="7" t="s">
        <v>148</v>
      </c>
      <c r="E765" t="s">
        <v>58</v>
      </c>
      <c r="F765">
        <v>32</v>
      </c>
      <c r="G765">
        <v>72</v>
      </c>
      <c r="H765">
        <v>75</v>
      </c>
      <c r="I765" t="s">
        <v>6499</v>
      </c>
      <c r="J765">
        <v>77</v>
      </c>
      <c r="K765">
        <v>311</v>
      </c>
      <c r="L765" t="s">
        <v>5513</v>
      </c>
      <c r="M765" s="6" t="s">
        <v>6558</v>
      </c>
      <c r="N765" s="6" t="s">
        <v>6567</v>
      </c>
      <c r="O765" s="6">
        <v>80</v>
      </c>
      <c r="P765" s="6">
        <v>70</v>
      </c>
      <c r="Q765" s="6">
        <v>79</v>
      </c>
      <c r="R765" s="6">
        <v>68</v>
      </c>
      <c r="S765" s="6">
        <v>74</v>
      </c>
      <c r="T765" s="6">
        <v>72</v>
      </c>
      <c r="U765" s="6">
        <v>87</v>
      </c>
      <c r="V765" s="6">
        <v>71</v>
      </c>
      <c r="W765" s="6">
        <v>82</v>
      </c>
      <c r="X765" s="6">
        <v>65</v>
      </c>
      <c r="Y765" s="6">
        <v>82</v>
      </c>
      <c r="Z765" s="6">
        <v>72</v>
      </c>
      <c r="AA765" s="6">
        <v>60</v>
      </c>
      <c r="AB765" s="6">
        <v>57</v>
      </c>
      <c r="AC765" s="6">
        <v>60</v>
      </c>
      <c r="AD765" s="6">
        <v>73</v>
      </c>
      <c r="AE765" s="6">
        <v>67</v>
      </c>
      <c r="AF765" s="6">
        <v>60</v>
      </c>
      <c r="AG765" s="6" t="s">
        <v>7555</v>
      </c>
      <c r="AH765" s="6" t="s">
        <v>6598</v>
      </c>
    </row>
    <row r="766" spans="1:34" x14ac:dyDescent="0.2">
      <c r="A766" t="s">
        <v>3862</v>
      </c>
      <c r="B766" t="s">
        <v>2126</v>
      </c>
      <c r="C766" t="s">
        <v>2871</v>
      </c>
      <c r="D766" s="7" t="s">
        <v>147</v>
      </c>
      <c r="E766" t="s">
        <v>58</v>
      </c>
      <c r="F766">
        <v>30</v>
      </c>
      <c r="G766">
        <v>73</v>
      </c>
      <c r="H766">
        <v>75</v>
      </c>
      <c r="I766" t="s">
        <v>6430</v>
      </c>
      <c r="J766">
        <v>76</v>
      </c>
      <c r="K766">
        <v>254</v>
      </c>
      <c r="L766" t="s">
        <v>5556</v>
      </c>
      <c r="M766" s="6" t="s">
        <v>6558</v>
      </c>
      <c r="N766" s="6" t="s">
        <v>6565</v>
      </c>
      <c r="O766" s="6">
        <v>66</v>
      </c>
      <c r="P766" s="6">
        <v>63</v>
      </c>
      <c r="Q766" s="6">
        <v>74</v>
      </c>
      <c r="R766" s="6">
        <v>74</v>
      </c>
      <c r="S766" s="6">
        <v>70</v>
      </c>
      <c r="T766" s="6">
        <v>68</v>
      </c>
      <c r="U766" s="6">
        <v>80</v>
      </c>
      <c r="V766" s="6">
        <v>77</v>
      </c>
      <c r="W766" s="6">
        <v>78</v>
      </c>
      <c r="X766" s="6">
        <v>82</v>
      </c>
      <c r="Y766" s="6">
        <v>70</v>
      </c>
      <c r="Z766" s="6">
        <v>78</v>
      </c>
      <c r="AA766" s="6">
        <v>67</v>
      </c>
      <c r="AB766" s="6">
        <v>72</v>
      </c>
      <c r="AC766" s="6">
        <v>71</v>
      </c>
      <c r="AD766" s="6">
        <v>64</v>
      </c>
      <c r="AE766" s="6">
        <v>62</v>
      </c>
      <c r="AF766" s="6">
        <v>71</v>
      </c>
      <c r="AG766" s="6" t="s">
        <v>7597</v>
      </c>
      <c r="AH766" s="6" t="s">
        <v>6585</v>
      </c>
    </row>
    <row r="767" spans="1:34" x14ac:dyDescent="0.2">
      <c r="A767" t="s">
        <v>3933</v>
      </c>
      <c r="B767" t="s">
        <v>2197</v>
      </c>
      <c r="C767" t="s">
        <v>2879</v>
      </c>
      <c r="D767" s="7" t="s">
        <v>144</v>
      </c>
      <c r="E767" t="s">
        <v>38</v>
      </c>
      <c r="F767">
        <v>26</v>
      </c>
      <c r="G767">
        <v>72</v>
      </c>
      <c r="H767">
        <v>75</v>
      </c>
      <c r="I767" t="s">
        <v>6356</v>
      </c>
      <c r="J767">
        <v>73</v>
      </c>
      <c r="K767">
        <v>322</v>
      </c>
      <c r="L767" t="s">
        <v>5627</v>
      </c>
      <c r="M767" s="6" t="s">
        <v>6558</v>
      </c>
      <c r="N767" s="6" t="s">
        <v>6567</v>
      </c>
      <c r="O767" s="6">
        <v>66</v>
      </c>
      <c r="P767" s="6">
        <v>66</v>
      </c>
      <c r="Q767" s="6">
        <v>73</v>
      </c>
      <c r="R767" s="6">
        <v>65</v>
      </c>
      <c r="S767" s="6">
        <v>77</v>
      </c>
      <c r="T767" s="6">
        <v>74</v>
      </c>
      <c r="U767" s="6">
        <v>88</v>
      </c>
      <c r="V767" s="6">
        <v>72</v>
      </c>
      <c r="W767" s="6">
        <v>68</v>
      </c>
      <c r="X767" s="6">
        <v>74</v>
      </c>
      <c r="Y767" s="6">
        <v>77</v>
      </c>
      <c r="Z767" s="6">
        <v>77</v>
      </c>
      <c r="AA767" s="6">
        <v>69</v>
      </c>
      <c r="AB767" s="6">
        <v>76</v>
      </c>
      <c r="AC767" s="6">
        <v>70</v>
      </c>
      <c r="AD767" s="6">
        <v>78</v>
      </c>
      <c r="AE767" s="6">
        <v>66</v>
      </c>
      <c r="AF767" s="6">
        <v>74</v>
      </c>
      <c r="AG767" s="6" t="s">
        <v>7667</v>
      </c>
      <c r="AH767" s="6" t="s">
        <v>6619</v>
      </c>
    </row>
    <row r="768" spans="1:34" x14ac:dyDescent="0.2">
      <c r="A768" t="s">
        <v>3952</v>
      </c>
      <c r="B768" t="s">
        <v>2216</v>
      </c>
      <c r="C768" t="s">
        <v>2889</v>
      </c>
      <c r="D768" s="7" t="s">
        <v>144</v>
      </c>
      <c r="E768" t="s">
        <v>58</v>
      </c>
      <c r="F768">
        <v>24</v>
      </c>
      <c r="G768">
        <v>70</v>
      </c>
      <c r="H768">
        <v>75</v>
      </c>
      <c r="I768" t="s">
        <v>6336</v>
      </c>
      <c r="J768">
        <v>74</v>
      </c>
      <c r="K768">
        <v>242</v>
      </c>
      <c r="L768" t="s">
        <v>5646</v>
      </c>
      <c r="M768" s="6" t="s">
        <v>6558</v>
      </c>
      <c r="N768" s="6" t="s">
        <v>6565</v>
      </c>
      <c r="O768" s="6">
        <v>70</v>
      </c>
      <c r="P768" s="6">
        <v>73</v>
      </c>
      <c r="Q768" s="6">
        <v>67</v>
      </c>
      <c r="R768" s="6">
        <v>72</v>
      </c>
      <c r="S768" s="6">
        <v>62</v>
      </c>
      <c r="T768" s="6">
        <v>68</v>
      </c>
      <c r="U768" s="6">
        <v>71</v>
      </c>
      <c r="V768" s="6">
        <v>63</v>
      </c>
      <c r="W768" s="6">
        <v>74</v>
      </c>
      <c r="X768" s="6">
        <v>71</v>
      </c>
      <c r="Y768" s="6">
        <v>71</v>
      </c>
      <c r="Z768" s="6">
        <v>63</v>
      </c>
      <c r="AA768" s="6">
        <v>67</v>
      </c>
      <c r="AB768" s="6">
        <v>65</v>
      </c>
      <c r="AC768" s="6">
        <v>69</v>
      </c>
      <c r="AD768" s="6">
        <v>70</v>
      </c>
      <c r="AE768" s="6">
        <v>65</v>
      </c>
      <c r="AF768" s="6">
        <v>72</v>
      </c>
      <c r="AG768" s="6" t="s">
        <v>6875</v>
      </c>
      <c r="AH768" s="6" t="s">
        <v>6709</v>
      </c>
    </row>
    <row r="769" spans="1:34" x14ac:dyDescent="0.2">
      <c r="A769" t="s">
        <v>4130</v>
      </c>
      <c r="B769" t="s">
        <v>2394</v>
      </c>
      <c r="C769" t="s">
        <v>2870</v>
      </c>
      <c r="D769" s="7" t="s">
        <v>150</v>
      </c>
      <c r="E769" t="s">
        <v>58</v>
      </c>
      <c r="F769">
        <v>23</v>
      </c>
      <c r="G769">
        <v>72</v>
      </c>
      <c r="H769">
        <v>75</v>
      </c>
      <c r="I769" t="s">
        <v>6410</v>
      </c>
      <c r="J769">
        <v>72</v>
      </c>
      <c r="K769">
        <v>219</v>
      </c>
      <c r="L769" t="s">
        <v>5824</v>
      </c>
      <c r="M769" s="6" t="s">
        <v>6558</v>
      </c>
      <c r="N769" s="6" t="s">
        <v>6567</v>
      </c>
      <c r="O769" s="6">
        <v>71</v>
      </c>
      <c r="P769" s="6">
        <v>66</v>
      </c>
      <c r="Q769" s="6">
        <v>73</v>
      </c>
      <c r="R769" s="6">
        <v>64</v>
      </c>
      <c r="S769" s="6">
        <v>64</v>
      </c>
      <c r="T769" s="6">
        <v>65</v>
      </c>
      <c r="U769" s="6">
        <v>65</v>
      </c>
      <c r="V769" s="6">
        <v>66</v>
      </c>
      <c r="W769" s="6">
        <v>71</v>
      </c>
      <c r="X769" s="6">
        <v>64</v>
      </c>
      <c r="Y769" s="6">
        <v>71</v>
      </c>
      <c r="Z769" s="6">
        <v>69</v>
      </c>
      <c r="AA769" s="6">
        <v>71</v>
      </c>
      <c r="AB769" s="6">
        <v>72</v>
      </c>
      <c r="AC769" s="6">
        <v>75</v>
      </c>
      <c r="AD769" s="6">
        <v>63</v>
      </c>
      <c r="AE769" s="6">
        <v>67</v>
      </c>
      <c r="AF769" s="6">
        <v>71</v>
      </c>
      <c r="AG769" s="6" t="s">
        <v>7861</v>
      </c>
      <c r="AH769" s="6" t="s">
        <v>6887</v>
      </c>
    </row>
    <row r="770" spans="1:34" x14ac:dyDescent="0.2">
      <c r="A770" t="s">
        <v>4311</v>
      </c>
      <c r="B770" t="s">
        <v>2574</v>
      </c>
      <c r="C770" t="s">
        <v>2874</v>
      </c>
      <c r="D770" s="7" t="s">
        <v>153</v>
      </c>
      <c r="E770" t="s">
        <v>58</v>
      </c>
      <c r="F770">
        <v>23</v>
      </c>
      <c r="G770">
        <v>73</v>
      </c>
      <c r="H770">
        <v>75</v>
      </c>
      <c r="I770" t="s">
        <v>6507</v>
      </c>
      <c r="J770">
        <v>75</v>
      </c>
      <c r="K770">
        <v>300</v>
      </c>
      <c r="L770" t="s">
        <v>6005</v>
      </c>
      <c r="M770" s="6" t="s">
        <v>6558</v>
      </c>
      <c r="N770" s="6" t="s">
        <v>6583</v>
      </c>
      <c r="O770" s="6">
        <v>53</v>
      </c>
      <c r="P770" s="6">
        <v>65</v>
      </c>
      <c r="Q770" s="6">
        <v>73</v>
      </c>
      <c r="R770" s="6">
        <v>79</v>
      </c>
      <c r="S770" s="6">
        <v>76</v>
      </c>
      <c r="T770" s="6">
        <v>64</v>
      </c>
      <c r="U770" s="6">
        <v>79</v>
      </c>
      <c r="V770" s="6">
        <v>70</v>
      </c>
      <c r="W770" s="6">
        <v>63</v>
      </c>
      <c r="X770" s="6">
        <v>72</v>
      </c>
      <c r="Y770" s="6">
        <v>78</v>
      </c>
      <c r="Z770" s="6">
        <v>71</v>
      </c>
      <c r="AA770" s="6">
        <v>74</v>
      </c>
      <c r="AB770" s="6">
        <v>68</v>
      </c>
      <c r="AC770" s="6">
        <v>73</v>
      </c>
      <c r="AD770" s="6">
        <v>70</v>
      </c>
      <c r="AE770" s="6">
        <v>74</v>
      </c>
      <c r="AF770" s="6">
        <v>69</v>
      </c>
      <c r="AG770" s="6" t="s">
        <v>8040</v>
      </c>
      <c r="AH770" s="6" t="s">
        <v>6674</v>
      </c>
    </row>
    <row r="771" spans="1:34" x14ac:dyDescent="0.2">
      <c r="A771" t="s">
        <v>2959</v>
      </c>
      <c r="B771" t="s">
        <v>1223</v>
      </c>
      <c r="C771" t="s">
        <v>2883</v>
      </c>
      <c r="D771" s="7" t="s">
        <v>129</v>
      </c>
      <c r="E771" t="s">
        <v>38</v>
      </c>
      <c r="F771">
        <v>25</v>
      </c>
      <c r="G771">
        <v>65</v>
      </c>
      <c r="H771">
        <v>74</v>
      </c>
      <c r="I771" t="s">
        <v>6346</v>
      </c>
      <c r="J771">
        <v>72</v>
      </c>
      <c r="K771">
        <v>218</v>
      </c>
      <c r="L771" t="s">
        <v>4653</v>
      </c>
      <c r="M771" s="6" t="s">
        <v>6558</v>
      </c>
      <c r="N771" s="6" t="s">
        <v>6583</v>
      </c>
      <c r="O771" s="6">
        <v>73</v>
      </c>
      <c r="P771" s="6">
        <v>61</v>
      </c>
      <c r="Q771" s="6">
        <v>71</v>
      </c>
      <c r="R771" s="6">
        <v>79</v>
      </c>
      <c r="S771" s="6">
        <v>74</v>
      </c>
      <c r="T771" s="6">
        <v>68</v>
      </c>
      <c r="U771" s="6">
        <v>79</v>
      </c>
      <c r="V771" s="6">
        <v>76</v>
      </c>
      <c r="W771" s="6">
        <v>64</v>
      </c>
      <c r="X771" s="6">
        <v>65</v>
      </c>
      <c r="Y771" s="6">
        <v>67</v>
      </c>
      <c r="Z771" s="6">
        <v>68</v>
      </c>
      <c r="AA771" s="6">
        <v>71</v>
      </c>
      <c r="AB771" s="6">
        <v>67</v>
      </c>
      <c r="AC771" s="6">
        <v>76</v>
      </c>
      <c r="AD771" s="6">
        <v>78</v>
      </c>
      <c r="AE771" s="6">
        <v>77</v>
      </c>
      <c r="AF771" s="6">
        <v>65</v>
      </c>
      <c r="AG771" s="6" t="s">
        <v>6642</v>
      </c>
      <c r="AH771" s="6" t="s">
        <v>6640</v>
      </c>
    </row>
    <row r="772" spans="1:34" x14ac:dyDescent="0.2">
      <c r="A772" t="s">
        <v>2988</v>
      </c>
      <c r="B772" t="s">
        <v>1252</v>
      </c>
      <c r="C772" t="s">
        <v>2878</v>
      </c>
      <c r="D772" s="7" t="s">
        <v>146</v>
      </c>
      <c r="E772" t="s">
        <v>58</v>
      </c>
      <c r="F772">
        <v>24</v>
      </c>
      <c r="G772">
        <v>69</v>
      </c>
      <c r="H772">
        <v>74</v>
      </c>
      <c r="I772" t="s">
        <v>6325</v>
      </c>
      <c r="J772">
        <v>76</v>
      </c>
      <c r="K772">
        <v>290</v>
      </c>
      <c r="L772" t="s">
        <v>4682</v>
      </c>
      <c r="M772" s="6" t="s">
        <v>6558</v>
      </c>
      <c r="N772" s="6" t="s">
        <v>6583</v>
      </c>
      <c r="O772" s="6">
        <v>70</v>
      </c>
      <c r="P772" s="6">
        <v>67</v>
      </c>
      <c r="Q772" s="6">
        <v>69</v>
      </c>
      <c r="R772" s="6">
        <v>77</v>
      </c>
      <c r="S772" s="6">
        <v>74</v>
      </c>
      <c r="T772" s="6">
        <v>74</v>
      </c>
      <c r="U772" s="6">
        <v>74</v>
      </c>
      <c r="V772" s="6">
        <v>67</v>
      </c>
      <c r="W772" s="6">
        <v>87</v>
      </c>
      <c r="X772" s="6">
        <v>63</v>
      </c>
      <c r="Y772" s="6">
        <v>72</v>
      </c>
      <c r="Z772" s="6">
        <v>68</v>
      </c>
      <c r="AA772" s="6">
        <v>74</v>
      </c>
      <c r="AB772" s="6">
        <v>77</v>
      </c>
      <c r="AC772" s="6">
        <v>64</v>
      </c>
      <c r="AD772" s="6">
        <v>69</v>
      </c>
      <c r="AE772" s="6">
        <v>75</v>
      </c>
      <c r="AF772" s="6">
        <v>67</v>
      </c>
      <c r="AG772" s="6" t="s">
        <v>6685</v>
      </c>
      <c r="AH772" s="6" t="s">
        <v>6686</v>
      </c>
    </row>
    <row r="773" spans="1:34" x14ac:dyDescent="0.2">
      <c r="A773" t="s">
        <v>3006</v>
      </c>
      <c r="B773" t="s">
        <v>1270</v>
      </c>
      <c r="C773" t="s">
        <v>2889</v>
      </c>
      <c r="D773" s="7" t="s">
        <v>146</v>
      </c>
      <c r="E773" t="s">
        <v>58</v>
      </c>
      <c r="F773">
        <v>35</v>
      </c>
      <c r="G773">
        <v>87</v>
      </c>
      <c r="H773">
        <v>74</v>
      </c>
      <c r="I773" t="s">
        <v>6343</v>
      </c>
      <c r="J773">
        <v>74</v>
      </c>
      <c r="K773">
        <v>235</v>
      </c>
      <c r="L773" t="s">
        <v>4700</v>
      </c>
      <c r="M773" s="6" t="s">
        <v>6558</v>
      </c>
      <c r="N773" s="6" t="s">
        <v>6562</v>
      </c>
      <c r="O773" s="6">
        <v>82</v>
      </c>
      <c r="P773" s="6">
        <v>77</v>
      </c>
      <c r="Q773" s="6">
        <v>83</v>
      </c>
      <c r="R773" s="6">
        <v>87</v>
      </c>
      <c r="S773" s="6">
        <v>81</v>
      </c>
      <c r="T773" s="6">
        <v>78</v>
      </c>
      <c r="U773" s="6">
        <v>70</v>
      </c>
      <c r="V773" s="6">
        <v>77</v>
      </c>
      <c r="W773" s="6">
        <v>81</v>
      </c>
      <c r="X773" s="6">
        <v>67</v>
      </c>
      <c r="Y773" s="6">
        <v>82</v>
      </c>
      <c r="Z773" s="6">
        <v>77</v>
      </c>
      <c r="AA773" s="6">
        <v>65</v>
      </c>
      <c r="AB773" s="6">
        <v>66</v>
      </c>
      <c r="AC773" s="6">
        <v>65</v>
      </c>
      <c r="AD773" s="6">
        <v>72</v>
      </c>
      <c r="AE773" s="6">
        <v>66</v>
      </c>
      <c r="AF773" s="6">
        <v>66</v>
      </c>
      <c r="AG773" s="6" t="s">
        <v>6708</v>
      </c>
      <c r="AH773" s="6" t="s">
        <v>6709</v>
      </c>
    </row>
    <row r="774" spans="1:34" x14ac:dyDescent="0.2">
      <c r="A774" t="s">
        <v>3013</v>
      </c>
      <c r="B774" t="s">
        <v>1277</v>
      </c>
      <c r="C774" t="s">
        <v>2870</v>
      </c>
      <c r="D774" s="7" t="s">
        <v>131</v>
      </c>
      <c r="E774" t="s">
        <v>58</v>
      </c>
      <c r="F774">
        <v>23</v>
      </c>
      <c r="G774">
        <v>78</v>
      </c>
      <c r="H774">
        <v>74</v>
      </c>
      <c r="I774" t="s">
        <v>6303</v>
      </c>
      <c r="J774">
        <v>69</v>
      </c>
      <c r="K774">
        <v>230</v>
      </c>
      <c r="L774" t="s">
        <v>4707</v>
      </c>
      <c r="M774" s="6" t="s">
        <v>6558</v>
      </c>
      <c r="N774" s="6" t="s">
        <v>6567</v>
      </c>
      <c r="O774" s="6">
        <v>76</v>
      </c>
      <c r="P774" s="6">
        <v>73</v>
      </c>
      <c r="Q774" s="6">
        <v>66</v>
      </c>
      <c r="R774" s="6">
        <v>68</v>
      </c>
      <c r="S774" s="6">
        <v>78</v>
      </c>
      <c r="T774" s="6">
        <v>65</v>
      </c>
      <c r="U774" s="6">
        <v>71</v>
      </c>
      <c r="V774" s="6">
        <v>76</v>
      </c>
      <c r="W774" s="6">
        <v>78</v>
      </c>
      <c r="X774" s="6">
        <v>62</v>
      </c>
      <c r="Y774" s="6">
        <v>74</v>
      </c>
      <c r="Z774" s="6">
        <v>79</v>
      </c>
      <c r="AA774" s="6">
        <v>73</v>
      </c>
      <c r="AB774" s="6">
        <v>73</v>
      </c>
      <c r="AC774" s="6">
        <v>74</v>
      </c>
      <c r="AD774" s="6">
        <v>64</v>
      </c>
      <c r="AE774" s="6">
        <v>72</v>
      </c>
      <c r="AF774" s="6">
        <v>71</v>
      </c>
      <c r="AG774" s="6" t="s">
        <v>6718</v>
      </c>
      <c r="AH774" s="6" t="s">
        <v>6656</v>
      </c>
    </row>
    <row r="775" spans="1:34" x14ac:dyDescent="0.2">
      <c r="A775" t="s">
        <v>3045</v>
      </c>
      <c r="B775" t="s">
        <v>1309</v>
      </c>
      <c r="C775" t="s">
        <v>2882</v>
      </c>
      <c r="D775" s="7" t="s">
        <v>131</v>
      </c>
      <c r="E775" t="s">
        <v>38</v>
      </c>
      <c r="F775">
        <v>25</v>
      </c>
      <c r="G775">
        <v>76</v>
      </c>
      <c r="H775">
        <v>74</v>
      </c>
      <c r="I775" t="s">
        <v>6332</v>
      </c>
      <c r="J775">
        <v>73</v>
      </c>
      <c r="K775">
        <v>210</v>
      </c>
      <c r="L775" t="s">
        <v>4739</v>
      </c>
      <c r="M775" s="6" t="s">
        <v>6558</v>
      </c>
      <c r="N775" s="6" t="s">
        <v>6559</v>
      </c>
      <c r="O775" s="6">
        <v>81</v>
      </c>
      <c r="P775" s="6">
        <v>71</v>
      </c>
      <c r="Q775" s="6">
        <v>77</v>
      </c>
      <c r="R775" s="6">
        <v>82</v>
      </c>
      <c r="S775" s="6">
        <v>73</v>
      </c>
      <c r="T775" s="6">
        <v>69</v>
      </c>
      <c r="U775" s="6">
        <v>80</v>
      </c>
      <c r="V775" s="6">
        <v>72</v>
      </c>
      <c r="W775" s="6">
        <v>71</v>
      </c>
      <c r="X775" s="6">
        <v>76</v>
      </c>
      <c r="Y775" s="6">
        <v>76</v>
      </c>
      <c r="Z775" s="6">
        <v>70</v>
      </c>
      <c r="AA775" s="6">
        <v>76</v>
      </c>
      <c r="AB775" s="6">
        <v>76</v>
      </c>
      <c r="AC775" s="6">
        <v>73</v>
      </c>
      <c r="AD775" s="6">
        <v>67</v>
      </c>
      <c r="AE775" s="6">
        <v>71</v>
      </c>
      <c r="AF775" s="6">
        <v>75</v>
      </c>
      <c r="AG775" s="6" t="s">
        <v>6758</v>
      </c>
      <c r="AH775" s="6" t="s">
        <v>6636</v>
      </c>
    </row>
    <row r="776" spans="1:34" x14ac:dyDescent="0.2">
      <c r="A776" t="s">
        <v>3144</v>
      </c>
      <c r="B776" t="s">
        <v>1408</v>
      </c>
      <c r="C776" t="s">
        <v>61</v>
      </c>
      <c r="D776" s="7" t="s">
        <v>133</v>
      </c>
      <c r="E776" t="s">
        <v>38</v>
      </c>
      <c r="F776">
        <v>27</v>
      </c>
      <c r="G776">
        <v>64</v>
      </c>
      <c r="H776">
        <v>74</v>
      </c>
      <c r="I776" t="s">
        <v>6337</v>
      </c>
      <c r="J776">
        <v>71</v>
      </c>
      <c r="K776">
        <v>193</v>
      </c>
      <c r="L776" t="s">
        <v>4838</v>
      </c>
      <c r="M776" s="6" t="s">
        <v>6558</v>
      </c>
      <c r="N776" s="6" t="s">
        <v>6565</v>
      </c>
      <c r="O776" s="6">
        <v>83</v>
      </c>
      <c r="P776" s="6">
        <v>81</v>
      </c>
      <c r="Q776" s="6">
        <v>67</v>
      </c>
      <c r="R776" s="6">
        <v>71</v>
      </c>
      <c r="S776" s="6">
        <v>84</v>
      </c>
      <c r="T776" s="6">
        <v>65</v>
      </c>
      <c r="U776" s="6">
        <v>89</v>
      </c>
      <c r="V776" s="6">
        <v>78</v>
      </c>
      <c r="W776" s="6">
        <v>87</v>
      </c>
      <c r="X776" s="6">
        <v>67</v>
      </c>
      <c r="Y776" s="6">
        <v>74</v>
      </c>
      <c r="Z776" s="6">
        <v>77</v>
      </c>
      <c r="AA776" s="6">
        <v>70</v>
      </c>
      <c r="AB776" s="6">
        <v>75</v>
      </c>
      <c r="AC776" s="6">
        <v>75</v>
      </c>
      <c r="AD776" s="6">
        <v>73</v>
      </c>
      <c r="AE776" s="6">
        <v>61</v>
      </c>
      <c r="AF776" s="6">
        <v>68</v>
      </c>
      <c r="AG776" s="6" t="s">
        <v>6868</v>
      </c>
      <c r="AH776" s="6" t="s">
        <v>6630</v>
      </c>
    </row>
    <row r="777" spans="1:34" x14ac:dyDescent="0.2">
      <c r="A777" t="s">
        <v>3185</v>
      </c>
      <c r="B777" t="s">
        <v>1449</v>
      </c>
      <c r="C777" t="s">
        <v>2879</v>
      </c>
      <c r="D777" s="7" t="s">
        <v>134</v>
      </c>
      <c r="E777" t="s">
        <v>38</v>
      </c>
      <c r="F777">
        <v>28</v>
      </c>
      <c r="G777">
        <v>80</v>
      </c>
      <c r="H777">
        <v>74</v>
      </c>
      <c r="I777" t="s">
        <v>6375</v>
      </c>
      <c r="J777">
        <v>75</v>
      </c>
      <c r="K777">
        <v>332</v>
      </c>
      <c r="L777" t="s">
        <v>4879</v>
      </c>
      <c r="M777" s="6" t="s">
        <v>6558</v>
      </c>
      <c r="N777" s="6" t="s">
        <v>6567</v>
      </c>
      <c r="O777" s="6">
        <v>80</v>
      </c>
      <c r="P777" s="6">
        <v>73</v>
      </c>
      <c r="Q777" s="6">
        <v>79</v>
      </c>
      <c r="R777" s="6">
        <v>66</v>
      </c>
      <c r="S777" s="6">
        <v>78</v>
      </c>
      <c r="T777" s="6">
        <v>78</v>
      </c>
      <c r="U777" s="6">
        <v>77</v>
      </c>
      <c r="V777" s="6">
        <v>79</v>
      </c>
      <c r="W777" s="6">
        <v>80</v>
      </c>
      <c r="X777" s="6">
        <v>65</v>
      </c>
      <c r="Y777" s="6">
        <v>74</v>
      </c>
      <c r="Z777" s="6">
        <v>70</v>
      </c>
      <c r="AA777" s="6">
        <v>76</v>
      </c>
      <c r="AB777" s="6">
        <v>72</v>
      </c>
      <c r="AC777" s="6">
        <v>70</v>
      </c>
      <c r="AD777" s="6">
        <v>65</v>
      </c>
      <c r="AE777" s="6">
        <v>69</v>
      </c>
      <c r="AF777" s="6">
        <v>67</v>
      </c>
      <c r="AG777" s="6" t="s">
        <v>6911</v>
      </c>
      <c r="AH777" s="6" t="s">
        <v>6806</v>
      </c>
    </row>
    <row r="778" spans="1:34" x14ac:dyDescent="0.2">
      <c r="A778" t="s">
        <v>3208</v>
      </c>
      <c r="B778" t="s">
        <v>1472</v>
      </c>
      <c r="C778" t="s">
        <v>2886</v>
      </c>
      <c r="D778" s="7" t="s">
        <v>134</v>
      </c>
      <c r="E778" t="s">
        <v>38</v>
      </c>
      <c r="F778">
        <v>27</v>
      </c>
      <c r="G778">
        <v>84</v>
      </c>
      <c r="H778">
        <v>74</v>
      </c>
      <c r="I778" t="s">
        <v>6398</v>
      </c>
      <c r="J778">
        <v>73</v>
      </c>
      <c r="K778">
        <v>230</v>
      </c>
      <c r="L778" t="s">
        <v>4902</v>
      </c>
      <c r="M778" s="6" t="s">
        <v>6558</v>
      </c>
      <c r="N778" s="6" t="s">
        <v>6565</v>
      </c>
      <c r="O778" s="6">
        <v>86</v>
      </c>
      <c r="P778" s="6">
        <v>72</v>
      </c>
      <c r="Q778" s="6">
        <v>82</v>
      </c>
      <c r="R778" s="6">
        <v>74</v>
      </c>
      <c r="S778" s="6">
        <v>84</v>
      </c>
      <c r="T778" s="6">
        <v>76</v>
      </c>
      <c r="U778" s="6">
        <v>79</v>
      </c>
      <c r="V778" s="6">
        <v>76</v>
      </c>
      <c r="W778" s="6">
        <v>75</v>
      </c>
      <c r="X778" s="6">
        <v>75</v>
      </c>
      <c r="Y778" s="6">
        <v>82</v>
      </c>
      <c r="Z778" s="6">
        <v>73</v>
      </c>
      <c r="AA778" s="6">
        <v>77</v>
      </c>
      <c r="AB778" s="6">
        <v>80</v>
      </c>
      <c r="AC778" s="6">
        <v>70</v>
      </c>
      <c r="AD778" s="6">
        <v>76</v>
      </c>
      <c r="AE778" s="6">
        <v>79</v>
      </c>
      <c r="AF778" s="6">
        <v>78</v>
      </c>
      <c r="AG778" s="6" t="s">
        <v>6934</v>
      </c>
      <c r="AH778" s="6" t="s">
        <v>6711</v>
      </c>
    </row>
    <row r="779" spans="1:34" x14ac:dyDescent="0.2">
      <c r="A779" t="s">
        <v>3216</v>
      </c>
      <c r="B779" t="s">
        <v>1480</v>
      </c>
      <c r="C779" t="s">
        <v>57</v>
      </c>
      <c r="D779" s="7" t="s">
        <v>132</v>
      </c>
      <c r="E779" t="s">
        <v>38</v>
      </c>
      <c r="F779">
        <v>23</v>
      </c>
      <c r="G779">
        <v>84</v>
      </c>
      <c r="H779">
        <v>74</v>
      </c>
      <c r="I779" t="s">
        <v>6406</v>
      </c>
      <c r="J779">
        <v>76</v>
      </c>
      <c r="K779">
        <v>201</v>
      </c>
      <c r="L779" t="s">
        <v>4910</v>
      </c>
      <c r="M779" s="6" t="s">
        <v>6558</v>
      </c>
      <c r="N779" s="6" t="s">
        <v>6567</v>
      </c>
      <c r="O779" s="6">
        <v>78</v>
      </c>
      <c r="P779" s="6">
        <v>77</v>
      </c>
      <c r="Q779" s="6">
        <v>67</v>
      </c>
      <c r="R779" s="6">
        <v>65</v>
      </c>
      <c r="S779" s="6">
        <v>82</v>
      </c>
      <c r="T779" s="6">
        <v>72</v>
      </c>
      <c r="U779" s="6">
        <v>83</v>
      </c>
      <c r="V779" s="6">
        <v>78</v>
      </c>
      <c r="W779" s="6">
        <v>70</v>
      </c>
      <c r="X779" s="6">
        <v>77</v>
      </c>
      <c r="Y779" s="6">
        <v>70</v>
      </c>
      <c r="Z779" s="6">
        <v>81</v>
      </c>
      <c r="AA779" s="6">
        <v>78</v>
      </c>
      <c r="AB779" s="6">
        <v>78</v>
      </c>
      <c r="AC779" s="6">
        <v>69</v>
      </c>
      <c r="AD779" s="6">
        <v>67</v>
      </c>
      <c r="AE779" s="6">
        <v>79</v>
      </c>
      <c r="AF779" s="6">
        <v>76</v>
      </c>
      <c r="AG779" s="6" t="s">
        <v>6943</v>
      </c>
      <c r="AH779" s="6" t="s">
        <v>6574</v>
      </c>
    </row>
    <row r="780" spans="1:34" x14ac:dyDescent="0.2">
      <c r="A780" t="s">
        <v>3235</v>
      </c>
      <c r="B780" t="s">
        <v>1499</v>
      </c>
      <c r="C780" t="s">
        <v>2878</v>
      </c>
      <c r="D780" s="7" t="s">
        <v>132</v>
      </c>
      <c r="E780" t="s">
        <v>38</v>
      </c>
      <c r="F780">
        <v>33</v>
      </c>
      <c r="G780">
        <v>71</v>
      </c>
      <c r="H780">
        <v>74</v>
      </c>
      <c r="I780" t="s">
        <v>6424</v>
      </c>
      <c r="J780">
        <v>77</v>
      </c>
      <c r="K780">
        <v>279</v>
      </c>
      <c r="L780" t="s">
        <v>4929</v>
      </c>
      <c r="M780" s="6" t="s">
        <v>6558</v>
      </c>
      <c r="N780" s="6" t="s">
        <v>6567</v>
      </c>
      <c r="O780" s="6">
        <v>64</v>
      </c>
      <c r="P780" s="6">
        <v>70</v>
      </c>
      <c r="Q780" s="6">
        <v>65</v>
      </c>
      <c r="R780" s="6">
        <v>64</v>
      </c>
      <c r="S780" s="6">
        <v>70</v>
      </c>
      <c r="T780" s="6">
        <v>71</v>
      </c>
      <c r="U780" s="6">
        <v>72</v>
      </c>
      <c r="V780" s="6">
        <v>65</v>
      </c>
      <c r="W780" s="6">
        <v>74</v>
      </c>
      <c r="X780" s="6">
        <v>65</v>
      </c>
      <c r="Y780" s="6">
        <v>71</v>
      </c>
      <c r="Z780" s="6">
        <v>75</v>
      </c>
      <c r="AA780" s="6">
        <v>59</v>
      </c>
      <c r="AB780" s="6">
        <v>62</v>
      </c>
      <c r="AC780" s="6">
        <v>66</v>
      </c>
      <c r="AD780" s="6">
        <v>58</v>
      </c>
      <c r="AE780" s="6">
        <v>66</v>
      </c>
      <c r="AF780" s="6">
        <v>63</v>
      </c>
      <c r="AG780" s="6" t="s">
        <v>6962</v>
      </c>
      <c r="AH780" s="6" t="s">
        <v>6963</v>
      </c>
    </row>
    <row r="781" spans="1:34" x14ac:dyDescent="0.2">
      <c r="A781" t="s">
        <v>3240</v>
      </c>
      <c r="B781" t="s">
        <v>1504</v>
      </c>
      <c r="C781" t="s">
        <v>2879</v>
      </c>
      <c r="D781" s="7" t="s">
        <v>132</v>
      </c>
      <c r="E781" t="s">
        <v>38</v>
      </c>
      <c r="F781">
        <v>31</v>
      </c>
      <c r="G781">
        <v>70</v>
      </c>
      <c r="H781">
        <v>74</v>
      </c>
      <c r="I781" t="s">
        <v>6429</v>
      </c>
      <c r="J781">
        <v>73</v>
      </c>
      <c r="K781">
        <v>298</v>
      </c>
      <c r="L781" t="s">
        <v>4934</v>
      </c>
      <c r="M781" s="6" t="s">
        <v>6558</v>
      </c>
      <c r="N781" s="6" t="s">
        <v>6565</v>
      </c>
      <c r="O781" s="6">
        <v>72</v>
      </c>
      <c r="P781" s="6">
        <v>74</v>
      </c>
      <c r="Q781" s="6">
        <v>70</v>
      </c>
      <c r="R781" s="6">
        <v>70</v>
      </c>
      <c r="S781" s="6">
        <v>84</v>
      </c>
      <c r="T781" s="6">
        <v>72</v>
      </c>
      <c r="U781" s="6">
        <v>84</v>
      </c>
      <c r="V781" s="6">
        <v>71</v>
      </c>
      <c r="W781" s="6">
        <v>76</v>
      </c>
      <c r="X781" s="6">
        <v>71</v>
      </c>
      <c r="Y781" s="6">
        <v>74</v>
      </c>
      <c r="Z781" s="6">
        <v>80</v>
      </c>
      <c r="AA781" s="6">
        <v>69</v>
      </c>
      <c r="AB781" s="6">
        <v>64</v>
      </c>
      <c r="AC781" s="6">
        <v>63</v>
      </c>
      <c r="AD781" s="6">
        <v>71</v>
      </c>
      <c r="AE781" s="6">
        <v>63</v>
      </c>
      <c r="AF781" s="6">
        <v>68</v>
      </c>
      <c r="AG781" s="6" t="s">
        <v>6968</v>
      </c>
      <c r="AH781" s="6" t="s">
        <v>6617</v>
      </c>
    </row>
    <row r="782" spans="1:34" x14ac:dyDescent="0.2">
      <c r="A782" t="s">
        <v>3281</v>
      </c>
      <c r="B782" t="s">
        <v>1545</v>
      </c>
      <c r="C782" t="s">
        <v>2887</v>
      </c>
      <c r="D782" s="7" t="s">
        <v>136</v>
      </c>
      <c r="E782" t="s">
        <v>38</v>
      </c>
      <c r="F782">
        <v>28</v>
      </c>
      <c r="G782">
        <v>80</v>
      </c>
      <c r="H782">
        <v>74</v>
      </c>
      <c r="I782" t="s">
        <v>6470</v>
      </c>
      <c r="J782">
        <v>73</v>
      </c>
      <c r="K782">
        <v>328</v>
      </c>
      <c r="L782" t="s">
        <v>4975</v>
      </c>
      <c r="M782" s="6" t="s">
        <v>6558</v>
      </c>
      <c r="N782" s="6" t="s">
        <v>6565</v>
      </c>
      <c r="O782" s="6">
        <v>85</v>
      </c>
      <c r="P782" s="6">
        <v>83</v>
      </c>
      <c r="Q782" s="6">
        <v>78</v>
      </c>
      <c r="R782" s="6">
        <v>74</v>
      </c>
      <c r="S782" s="6">
        <v>82</v>
      </c>
      <c r="T782" s="6">
        <v>75</v>
      </c>
      <c r="U782" s="6">
        <v>84</v>
      </c>
      <c r="V782" s="6">
        <v>80</v>
      </c>
      <c r="W782" s="6">
        <v>83</v>
      </c>
      <c r="X782" s="6">
        <v>85</v>
      </c>
      <c r="Y782" s="6">
        <v>86</v>
      </c>
      <c r="Z782" s="6">
        <v>74</v>
      </c>
      <c r="AA782" s="6">
        <v>83</v>
      </c>
      <c r="AB782" s="6">
        <v>75</v>
      </c>
      <c r="AC782" s="6">
        <v>74</v>
      </c>
      <c r="AD782" s="6">
        <v>73</v>
      </c>
      <c r="AE782" s="6">
        <v>70</v>
      </c>
      <c r="AF782" s="6">
        <v>80</v>
      </c>
      <c r="AG782" s="6" t="s">
        <v>7012</v>
      </c>
      <c r="AH782" s="6" t="s">
        <v>6600</v>
      </c>
    </row>
    <row r="783" spans="1:34" x14ac:dyDescent="0.2">
      <c r="A783" t="s">
        <v>3299</v>
      </c>
      <c r="B783" t="s">
        <v>1563</v>
      </c>
      <c r="C783" t="s">
        <v>2883</v>
      </c>
      <c r="D783" s="7" t="s">
        <v>136</v>
      </c>
      <c r="E783" t="s">
        <v>38</v>
      </c>
      <c r="F783">
        <v>23</v>
      </c>
      <c r="G783">
        <v>71</v>
      </c>
      <c r="H783">
        <v>74</v>
      </c>
      <c r="I783" t="s">
        <v>6317</v>
      </c>
      <c r="J783">
        <v>70</v>
      </c>
      <c r="K783">
        <v>214</v>
      </c>
      <c r="L783" t="s">
        <v>4993</v>
      </c>
      <c r="M783" s="6" t="s">
        <v>6558</v>
      </c>
      <c r="N783" s="6" t="s">
        <v>6565</v>
      </c>
      <c r="O783" s="6">
        <v>67</v>
      </c>
      <c r="P783" s="6">
        <v>69</v>
      </c>
      <c r="Q783" s="6">
        <v>71</v>
      </c>
      <c r="R783" s="6">
        <v>75</v>
      </c>
      <c r="S783" s="6">
        <v>81</v>
      </c>
      <c r="T783" s="6">
        <v>73</v>
      </c>
      <c r="U783" s="6">
        <v>82</v>
      </c>
      <c r="V783" s="6">
        <v>64</v>
      </c>
      <c r="W783" s="6">
        <v>68</v>
      </c>
      <c r="X783" s="6">
        <v>68</v>
      </c>
      <c r="Y783" s="6">
        <v>73</v>
      </c>
      <c r="Z783" s="6">
        <v>79</v>
      </c>
      <c r="AA783" s="6">
        <v>76</v>
      </c>
      <c r="AB783" s="6">
        <v>70</v>
      </c>
      <c r="AC783" s="6">
        <v>72</v>
      </c>
      <c r="AD783" s="6">
        <v>62</v>
      </c>
      <c r="AE783" s="6">
        <v>65</v>
      </c>
      <c r="AF783" s="6">
        <v>76</v>
      </c>
      <c r="AG783" s="6" t="s">
        <v>7031</v>
      </c>
      <c r="AH783" s="6" t="s">
        <v>6640</v>
      </c>
    </row>
    <row r="784" spans="1:34" x14ac:dyDescent="0.2">
      <c r="A784" t="s">
        <v>3301</v>
      </c>
      <c r="B784" t="s">
        <v>1565</v>
      </c>
      <c r="C784" t="s">
        <v>2889</v>
      </c>
      <c r="D784" s="7" t="s">
        <v>136</v>
      </c>
      <c r="E784" t="s">
        <v>38</v>
      </c>
      <c r="F784">
        <v>28</v>
      </c>
      <c r="G784">
        <v>74</v>
      </c>
      <c r="H784">
        <v>74</v>
      </c>
      <c r="I784" t="s">
        <v>6323</v>
      </c>
      <c r="J784">
        <v>75</v>
      </c>
      <c r="K784">
        <v>235</v>
      </c>
      <c r="L784" t="s">
        <v>4995</v>
      </c>
      <c r="M784" s="6" t="s">
        <v>6558</v>
      </c>
      <c r="N784" s="6" t="s">
        <v>6565</v>
      </c>
      <c r="O784" s="6">
        <v>82</v>
      </c>
      <c r="P784" s="6">
        <v>73</v>
      </c>
      <c r="Q784" s="6">
        <v>71</v>
      </c>
      <c r="R784" s="6">
        <v>70</v>
      </c>
      <c r="S784" s="6">
        <v>64</v>
      </c>
      <c r="T784" s="6">
        <v>75</v>
      </c>
      <c r="U784" s="6">
        <v>76</v>
      </c>
      <c r="V784" s="6">
        <v>66</v>
      </c>
      <c r="W784" s="6">
        <v>73</v>
      </c>
      <c r="X784" s="6">
        <v>65</v>
      </c>
      <c r="Y784" s="6">
        <v>73</v>
      </c>
      <c r="Z784" s="6">
        <v>70</v>
      </c>
      <c r="AA784" s="6">
        <v>71</v>
      </c>
      <c r="AB784" s="6">
        <v>72</v>
      </c>
      <c r="AC784" s="6">
        <v>64</v>
      </c>
      <c r="AD784" s="6">
        <v>80</v>
      </c>
      <c r="AE784" s="6">
        <v>68</v>
      </c>
      <c r="AF784" s="6">
        <v>75</v>
      </c>
      <c r="AG784" s="6" t="s">
        <v>7033</v>
      </c>
      <c r="AH784" s="6" t="s">
        <v>6709</v>
      </c>
    </row>
    <row r="785" spans="1:34" x14ac:dyDescent="0.2">
      <c r="A785" t="s">
        <v>3371</v>
      </c>
      <c r="B785" t="s">
        <v>1635</v>
      </c>
      <c r="C785" t="s">
        <v>2871</v>
      </c>
      <c r="D785" s="7" t="s">
        <v>138</v>
      </c>
      <c r="E785" t="s">
        <v>38</v>
      </c>
      <c r="F785">
        <v>33</v>
      </c>
      <c r="G785">
        <v>77</v>
      </c>
      <c r="H785">
        <v>74</v>
      </c>
      <c r="I785" t="s">
        <v>6378</v>
      </c>
      <c r="J785">
        <v>74</v>
      </c>
      <c r="K785">
        <v>242</v>
      </c>
      <c r="L785" t="s">
        <v>5065</v>
      </c>
      <c r="M785" s="6" t="s">
        <v>6558</v>
      </c>
      <c r="N785" s="6" t="s">
        <v>6562</v>
      </c>
      <c r="O785" s="6">
        <v>81</v>
      </c>
      <c r="P785" s="6">
        <v>71</v>
      </c>
      <c r="Q785" s="6">
        <v>71</v>
      </c>
      <c r="R785" s="6">
        <v>92</v>
      </c>
      <c r="S785" s="6">
        <v>82</v>
      </c>
      <c r="T785" s="6">
        <v>70</v>
      </c>
      <c r="U785" s="6">
        <v>76</v>
      </c>
      <c r="V785" s="6">
        <v>79</v>
      </c>
      <c r="W785" s="6">
        <v>77</v>
      </c>
      <c r="X785" s="6">
        <v>90</v>
      </c>
      <c r="Y785" s="6">
        <v>79</v>
      </c>
      <c r="Z785" s="6">
        <v>69</v>
      </c>
      <c r="AA785" s="6">
        <v>67</v>
      </c>
      <c r="AB785" s="6">
        <v>60</v>
      </c>
      <c r="AC785" s="6">
        <v>67</v>
      </c>
      <c r="AD785" s="6">
        <v>68</v>
      </c>
      <c r="AE785" s="6">
        <v>68</v>
      </c>
      <c r="AF785" s="6">
        <v>67</v>
      </c>
      <c r="AG785" s="6" t="s">
        <v>7106</v>
      </c>
      <c r="AH785" s="6" t="s">
        <v>6587</v>
      </c>
    </row>
    <row r="786" spans="1:34" x14ac:dyDescent="0.2">
      <c r="A786" t="s">
        <v>3381</v>
      </c>
      <c r="B786" t="s">
        <v>1645</v>
      </c>
      <c r="C786" t="s">
        <v>2875</v>
      </c>
      <c r="D786" s="7" t="s">
        <v>138</v>
      </c>
      <c r="E786" t="s">
        <v>38</v>
      </c>
      <c r="F786">
        <v>29</v>
      </c>
      <c r="G786">
        <v>62</v>
      </c>
      <c r="H786">
        <v>74</v>
      </c>
      <c r="I786" t="s">
        <v>6388</v>
      </c>
      <c r="J786">
        <v>73</v>
      </c>
      <c r="K786">
        <v>290</v>
      </c>
      <c r="L786" t="s">
        <v>5075</v>
      </c>
      <c r="M786" s="6" t="s">
        <v>6558</v>
      </c>
      <c r="N786" s="6" t="s">
        <v>6583</v>
      </c>
      <c r="O786" s="6">
        <v>78</v>
      </c>
      <c r="P786" s="6">
        <v>81</v>
      </c>
      <c r="Q786" s="6">
        <v>80</v>
      </c>
      <c r="R786" s="6">
        <v>78</v>
      </c>
      <c r="S786" s="6">
        <v>73</v>
      </c>
      <c r="T786" s="6">
        <v>81</v>
      </c>
      <c r="U786" s="6">
        <v>85</v>
      </c>
      <c r="V786" s="6">
        <v>85</v>
      </c>
      <c r="W786" s="6">
        <v>67</v>
      </c>
      <c r="X786" s="6">
        <v>69</v>
      </c>
      <c r="Y786" s="6">
        <v>77</v>
      </c>
      <c r="Z786" s="6">
        <v>74</v>
      </c>
      <c r="AA786" s="6">
        <v>69</v>
      </c>
      <c r="AB786" s="6">
        <v>74</v>
      </c>
      <c r="AC786" s="6">
        <v>72</v>
      </c>
      <c r="AD786" s="6">
        <v>70</v>
      </c>
      <c r="AE786" s="6">
        <v>68</v>
      </c>
      <c r="AF786" s="6">
        <v>72</v>
      </c>
      <c r="AG786" s="6" t="s">
        <v>7116</v>
      </c>
      <c r="AH786" s="6" t="s">
        <v>6606</v>
      </c>
    </row>
    <row r="787" spans="1:34" x14ac:dyDescent="0.2">
      <c r="A787" t="s">
        <v>3399</v>
      </c>
      <c r="B787" t="s">
        <v>1663</v>
      </c>
      <c r="C787" t="s">
        <v>2882</v>
      </c>
      <c r="D787" s="7" t="s">
        <v>138</v>
      </c>
      <c r="E787" t="s">
        <v>38</v>
      </c>
      <c r="F787">
        <v>22</v>
      </c>
      <c r="G787">
        <v>62</v>
      </c>
      <c r="H787">
        <v>74</v>
      </c>
      <c r="I787" t="s">
        <v>6406</v>
      </c>
      <c r="J787">
        <v>72</v>
      </c>
      <c r="K787">
        <v>214</v>
      </c>
      <c r="L787" t="s">
        <v>5093</v>
      </c>
      <c r="M787" s="6" t="s">
        <v>6558</v>
      </c>
      <c r="N787" s="6" t="s">
        <v>6565</v>
      </c>
      <c r="O787" s="6">
        <v>68</v>
      </c>
      <c r="P787" s="6">
        <v>66</v>
      </c>
      <c r="Q787" s="6">
        <v>71</v>
      </c>
      <c r="R787" s="6">
        <v>73</v>
      </c>
      <c r="S787" s="6">
        <v>61</v>
      </c>
      <c r="T787" s="6">
        <v>72</v>
      </c>
      <c r="U787" s="6">
        <v>60</v>
      </c>
      <c r="V787" s="6">
        <v>64</v>
      </c>
      <c r="W787" s="6">
        <v>61</v>
      </c>
      <c r="X787" s="6">
        <v>71</v>
      </c>
      <c r="Y787" s="6">
        <v>75</v>
      </c>
      <c r="Z787" s="6">
        <v>73</v>
      </c>
      <c r="AA787" s="6">
        <v>74</v>
      </c>
      <c r="AB787" s="6">
        <v>70</v>
      </c>
      <c r="AC787" s="6">
        <v>66</v>
      </c>
      <c r="AD787" s="6">
        <v>79</v>
      </c>
      <c r="AE787" s="6">
        <v>64</v>
      </c>
      <c r="AF787" s="6">
        <v>70</v>
      </c>
      <c r="AG787" s="6" t="s">
        <v>7133</v>
      </c>
      <c r="AH787" s="6" t="s">
        <v>6636</v>
      </c>
    </row>
    <row r="788" spans="1:34" x14ac:dyDescent="0.2">
      <c r="A788" t="s">
        <v>3423</v>
      </c>
      <c r="B788" t="s">
        <v>1687</v>
      </c>
      <c r="C788" t="s">
        <v>57</v>
      </c>
      <c r="D788" s="7" t="s">
        <v>139</v>
      </c>
      <c r="E788" t="s">
        <v>38</v>
      </c>
      <c r="F788">
        <v>28</v>
      </c>
      <c r="G788">
        <v>76</v>
      </c>
      <c r="H788">
        <v>74</v>
      </c>
      <c r="I788" t="s">
        <v>6435</v>
      </c>
      <c r="J788">
        <v>72</v>
      </c>
      <c r="K788">
        <v>213</v>
      </c>
      <c r="L788" t="s">
        <v>5117</v>
      </c>
      <c r="M788" s="6" t="s">
        <v>6558</v>
      </c>
      <c r="N788" s="6" t="s">
        <v>6565</v>
      </c>
      <c r="O788" s="6">
        <v>83</v>
      </c>
      <c r="P788" s="6">
        <v>78</v>
      </c>
      <c r="Q788" s="6">
        <v>85</v>
      </c>
      <c r="R788" s="6">
        <v>72</v>
      </c>
      <c r="S788" s="6">
        <v>88</v>
      </c>
      <c r="T788" s="6">
        <v>70</v>
      </c>
      <c r="U788" s="6">
        <v>81</v>
      </c>
      <c r="V788" s="6">
        <v>70</v>
      </c>
      <c r="W788" s="6">
        <v>86</v>
      </c>
      <c r="X788" s="6">
        <v>65</v>
      </c>
      <c r="Y788" s="6">
        <v>81</v>
      </c>
      <c r="Z788" s="6">
        <v>79</v>
      </c>
      <c r="AA788" s="6">
        <v>77</v>
      </c>
      <c r="AB788" s="6">
        <v>78</v>
      </c>
      <c r="AC788" s="6">
        <v>76</v>
      </c>
      <c r="AD788" s="6">
        <v>78</v>
      </c>
      <c r="AE788" s="6">
        <v>71</v>
      </c>
      <c r="AF788" s="6">
        <v>75</v>
      </c>
      <c r="AG788" s="6" t="s">
        <v>7158</v>
      </c>
      <c r="AH788" s="6" t="s">
        <v>6574</v>
      </c>
    </row>
    <row r="789" spans="1:34" x14ac:dyDescent="0.2">
      <c r="A789" t="s">
        <v>3445</v>
      </c>
      <c r="B789" t="s">
        <v>1709</v>
      </c>
      <c r="C789" t="s">
        <v>2878</v>
      </c>
      <c r="D789" s="7" t="s">
        <v>139</v>
      </c>
      <c r="E789" t="s">
        <v>58</v>
      </c>
      <c r="F789">
        <v>32</v>
      </c>
      <c r="G789">
        <v>77</v>
      </c>
      <c r="H789">
        <v>74</v>
      </c>
      <c r="I789" t="s">
        <v>6467</v>
      </c>
      <c r="J789">
        <v>76</v>
      </c>
      <c r="K789">
        <v>256</v>
      </c>
      <c r="L789" t="s">
        <v>5139</v>
      </c>
      <c r="M789" s="6" t="s">
        <v>6558</v>
      </c>
      <c r="N789" s="6" t="s">
        <v>6565</v>
      </c>
      <c r="O789" s="6">
        <v>70</v>
      </c>
      <c r="P789" s="6">
        <v>73</v>
      </c>
      <c r="Q789" s="6">
        <v>84</v>
      </c>
      <c r="R789" s="6">
        <v>70</v>
      </c>
      <c r="S789" s="6">
        <v>82</v>
      </c>
      <c r="T789" s="6">
        <v>85</v>
      </c>
      <c r="U789" s="6">
        <v>80</v>
      </c>
      <c r="V789" s="6">
        <v>84</v>
      </c>
      <c r="W789" s="6">
        <v>81</v>
      </c>
      <c r="X789" s="6">
        <v>75</v>
      </c>
      <c r="Y789" s="6">
        <v>76</v>
      </c>
      <c r="Z789" s="6">
        <v>77</v>
      </c>
      <c r="AA789" s="6">
        <v>69</v>
      </c>
      <c r="AB789" s="6">
        <v>66</v>
      </c>
      <c r="AC789" s="6">
        <v>67</v>
      </c>
      <c r="AD789" s="6">
        <v>59</v>
      </c>
      <c r="AE789" s="6">
        <v>62</v>
      </c>
      <c r="AF789" s="6">
        <v>67</v>
      </c>
      <c r="AG789" s="6" t="s">
        <v>7180</v>
      </c>
      <c r="AH789" s="6" t="s">
        <v>6686</v>
      </c>
    </row>
    <row r="790" spans="1:34" x14ac:dyDescent="0.2">
      <c r="A790" t="s">
        <v>3469</v>
      </c>
      <c r="B790" t="s">
        <v>1733</v>
      </c>
      <c r="C790" t="s">
        <v>2891</v>
      </c>
      <c r="D790" s="7" t="s">
        <v>139</v>
      </c>
      <c r="E790" t="s">
        <v>38</v>
      </c>
      <c r="F790">
        <v>29</v>
      </c>
      <c r="G790">
        <v>83</v>
      </c>
      <c r="H790">
        <v>74</v>
      </c>
      <c r="I790" t="s">
        <v>6374</v>
      </c>
      <c r="J790">
        <v>75</v>
      </c>
      <c r="K790">
        <v>250</v>
      </c>
      <c r="L790" t="s">
        <v>5163</v>
      </c>
      <c r="M790" s="6" t="s">
        <v>6558</v>
      </c>
      <c r="N790" s="6" t="s">
        <v>6583</v>
      </c>
      <c r="O790" s="6">
        <v>87</v>
      </c>
      <c r="P790" s="6">
        <v>73</v>
      </c>
      <c r="Q790" s="6">
        <v>80</v>
      </c>
      <c r="R790" s="6">
        <v>80</v>
      </c>
      <c r="S790" s="6">
        <v>78</v>
      </c>
      <c r="T790" s="6">
        <v>76</v>
      </c>
      <c r="U790" s="6">
        <v>77</v>
      </c>
      <c r="V790" s="6">
        <v>80</v>
      </c>
      <c r="W790" s="6">
        <v>85</v>
      </c>
      <c r="X790" s="6">
        <v>74</v>
      </c>
      <c r="Y790" s="6">
        <v>83</v>
      </c>
      <c r="Z790" s="6">
        <v>85</v>
      </c>
      <c r="AA790" s="6">
        <v>80</v>
      </c>
      <c r="AB790" s="6">
        <v>82</v>
      </c>
      <c r="AC790" s="6">
        <v>71</v>
      </c>
      <c r="AD790" s="6">
        <v>74</v>
      </c>
      <c r="AE790" s="6">
        <v>68</v>
      </c>
      <c r="AF790" s="6">
        <v>75</v>
      </c>
      <c r="AG790" s="6" t="s">
        <v>7204</v>
      </c>
      <c r="AH790" s="6" t="s">
        <v>7093</v>
      </c>
    </row>
    <row r="791" spans="1:34" x14ac:dyDescent="0.2">
      <c r="A791" t="s">
        <v>3473</v>
      </c>
      <c r="B791" t="s">
        <v>1737</v>
      </c>
      <c r="C791" t="s">
        <v>53</v>
      </c>
      <c r="D791" s="7" t="s">
        <v>140</v>
      </c>
      <c r="E791" t="s">
        <v>58</v>
      </c>
      <c r="F791">
        <v>25</v>
      </c>
      <c r="G791">
        <v>70</v>
      </c>
      <c r="H791">
        <v>74</v>
      </c>
      <c r="I791" t="s">
        <v>6409</v>
      </c>
      <c r="J791">
        <v>74</v>
      </c>
      <c r="K791">
        <v>242</v>
      </c>
      <c r="L791" t="s">
        <v>5167</v>
      </c>
      <c r="M791" s="6" t="s">
        <v>6558</v>
      </c>
      <c r="N791" s="6" t="s">
        <v>6583</v>
      </c>
      <c r="O791" s="6">
        <v>74</v>
      </c>
      <c r="P791" s="6">
        <v>74</v>
      </c>
      <c r="Q791" s="6">
        <v>72</v>
      </c>
      <c r="R791" s="6">
        <v>78</v>
      </c>
      <c r="S791" s="6">
        <v>72</v>
      </c>
      <c r="T791" s="6">
        <v>69</v>
      </c>
      <c r="U791" s="6">
        <v>72</v>
      </c>
      <c r="V791" s="6">
        <v>67</v>
      </c>
      <c r="W791" s="6">
        <v>73</v>
      </c>
      <c r="X791" s="6">
        <v>69</v>
      </c>
      <c r="Y791" s="6">
        <v>73</v>
      </c>
      <c r="Z791" s="6">
        <v>72</v>
      </c>
      <c r="AA791" s="6">
        <v>66</v>
      </c>
      <c r="AB791" s="6">
        <v>75</v>
      </c>
      <c r="AC791" s="6">
        <v>72</v>
      </c>
      <c r="AD791" s="6">
        <v>67</v>
      </c>
      <c r="AE791" s="6">
        <v>65</v>
      </c>
      <c r="AF791" s="6">
        <v>73</v>
      </c>
      <c r="AG791" s="6" t="s">
        <v>7208</v>
      </c>
      <c r="AH791" s="6" t="s">
        <v>6570</v>
      </c>
    </row>
    <row r="792" spans="1:34" x14ac:dyDescent="0.2">
      <c r="A792" t="s">
        <v>3478</v>
      </c>
      <c r="B792" t="s">
        <v>1742</v>
      </c>
      <c r="C792" t="s">
        <v>2870</v>
      </c>
      <c r="D792" s="7" t="s">
        <v>140</v>
      </c>
      <c r="E792" t="s">
        <v>58</v>
      </c>
      <c r="F792">
        <v>23</v>
      </c>
      <c r="G792">
        <v>59</v>
      </c>
      <c r="H792">
        <v>74</v>
      </c>
      <c r="I792" t="s">
        <v>6377</v>
      </c>
      <c r="J792">
        <v>70</v>
      </c>
      <c r="K792">
        <v>220</v>
      </c>
      <c r="L792" t="s">
        <v>5172</v>
      </c>
      <c r="M792" s="6" t="s">
        <v>6733</v>
      </c>
      <c r="N792" s="6" t="s">
        <v>6614</v>
      </c>
      <c r="O792" s="6">
        <v>66</v>
      </c>
      <c r="P792" s="6">
        <v>60</v>
      </c>
      <c r="Q792" s="6">
        <v>66</v>
      </c>
      <c r="R792" s="6">
        <v>60</v>
      </c>
      <c r="S792" s="6">
        <v>68</v>
      </c>
      <c r="T792" s="6">
        <v>57</v>
      </c>
      <c r="U792" s="6">
        <v>64</v>
      </c>
      <c r="V792" s="6">
        <v>69</v>
      </c>
      <c r="W792" s="6">
        <v>60</v>
      </c>
      <c r="X792" s="6">
        <v>55</v>
      </c>
      <c r="Y792" s="6">
        <v>65</v>
      </c>
      <c r="Z792" s="6">
        <v>58</v>
      </c>
      <c r="AA792" s="6">
        <v>69</v>
      </c>
      <c r="AB792" s="6">
        <v>71</v>
      </c>
      <c r="AC792" s="6">
        <v>63</v>
      </c>
      <c r="AD792" s="6">
        <v>63</v>
      </c>
      <c r="AE792" s="6">
        <v>64</v>
      </c>
      <c r="AF792" s="6">
        <v>60</v>
      </c>
      <c r="AG792" s="6" t="s">
        <v>7213</v>
      </c>
      <c r="AH792" s="6" t="s">
        <v>6656</v>
      </c>
    </row>
    <row r="793" spans="1:34" x14ac:dyDescent="0.2">
      <c r="A793" t="s">
        <v>3522</v>
      </c>
      <c r="B793" t="s">
        <v>1786</v>
      </c>
      <c r="C793" t="s">
        <v>53</v>
      </c>
      <c r="D793" s="7" t="s">
        <v>141</v>
      </c>
      <c r="E793" t="s">
        <v>38</v>
      </c>
      <c r="F793">
        <v>31</v>
      </c>
      <c r="G793">
        <v>75</v>
      </c>
      <c r="H793">
        <v>74</v>
      </c>
      <c r="I793" t="s">
        <v>6322</v>
      </c>
      <c r="J793">
        <v>73</v>
      </c>
      <c r="K793">
        <v>229</v>
      </c>
      <c r="L793" t="s">
        <v>5216</v>
      </c>
      <c r="M793" s="6" t="s">
        <v>6558</v>
      </c>
      <c r="N793" s="6" t="s">
        <v>6559</v>
      </c>
      <c r="O793" s="6">
        <v>99</v>
      </c>
      <c r="P793" s="6">
        <v>77</v>
      </c>
      <c r="Q793" s="6">
        <v>64</v>
      </c>
      <c r="R793" s="6">
        <v>83</v>
      </c>
      <c r="S793" s="6">
        <v>68</v>
      </c>
      <c r="T793" s="6">
        <v>81</v>
      </c>
      <c r="U793" s="6">
        <v>81</v>
      </c>
      <c r="V793" s="6">
        <v>74</v>
      </c>
      <c r="W793" s="6">
        <v>82</v>
      </c>
      <c r="X793" s="6">
        <v>72</v>
      </c>
      <c r="Y793" s="6">
        <v>88</v>
      </c>
      <c r="Z793" s="6">
        <v>76</v>
      </c>
      <c r="AA793" s="6">
        <v>75</v>
      </c>
      <c r="AB793" s="6">
        <v>69</v>
      </c>
      <c r="AC793" s="6">
        <v>72</v>
      </c>
      <c r="AD793" s="6">
        <v>87</v>
      </c>
      <c r="AE793" s="6">
        <v>72</v>
      </c>
      <c r="AF793" s="6">
        <v>71</v>
      </c>
      <c r="AG793" s="6" t="s">
        <v>7259</v>
      </c>
      <c r="AH793" s="6" t="s">
        <v>6990</v>
      </c>
    </row>
    <row r="794" spans="1:34" x14ac:dyDescent="0.2">
      <c r="A794" t="s">
        <v>3527</v>
      </c>
      <c r="B794" t="s">
        <v>1791</v>
      </c>
      <c r="C794" t="s">
        <v>2870</v>
      </c>
      <c r="D794" s="7" t="s">
        <v>141</v>
      </c>
      <c r="E794" t="s">
        <v>58</v>
      </c>
      <c r="F794">
        <v>21</v>
      </c>
      <c r="G794">
        <v>76</v>
      </c>
      <c r="H794">
        <v>74</v>
      </c>
      <c r="I794" t="s">
        <v>6356</v>
      </c>
      <c r="J794">
        <v>70</v>
      </c>
      <c r="K794">
        <v>226</v>
      </c>
      <c r="L794" t="s">
        <v>5221</v>
      </c>
      <c r="M794" s="6" t="s">
        <v>6558</v>
      </c>
      <c r="N794" s="6" t="s">
        <v>6565</v>
      </c>
      <c r="O794" s="6">
        <v>68</v>
      </c>
      <c r="P794" s="6">
        <v>70</v>
      </c>
      <c r="Q794" s="6">
        <v>71</v>
      </c>
      <c r="R794" s="6">
        <v>71</v>
      </c>
      <c r="S794" s="6">
        <v>82</v>
      </c>
      <c r="T794" s="6">
        <v>73</v>
      </c>
      <c r="U794" s="6">
        <v>78</v>
      </c>
      <c r="V794" s="6">
        <v>72</v>
      </c>
      <c r="W794" s="6">
        <v>71</v>
      </c>
      <c r="X794" s="6">
        <v>66</v>
      </c>
      <c r="Y794" s="6">
        <v>81</v>
      </c>
      <c r="Z794" s="6">
        <v>74</v>
      </c>
      <c r="AA794" s="6">
        <v>72</v>
      </c>
      <c r="AB794" s="6">
        <v>73</v>
      </c>
      <c r="AC794" s="6">
        <v>74</v>
      </c>
      <c r="AD794" s="6">
        <v>71</v>
      </c>
      <c r="AE794" s="6">
        <v>71</v>
      </c>
      <c r="AF794" s="6">
        <v>74</v>
      </c>
      <c r="AG794" s="6" t="s">
        <v>7264</v>
      </c>
      <c r="AH794" s="6" t="s">
        <v>6656</v>
      </c>
    </row>
    <row r="795" spans="1:34" x14ac:dyDescent="0.2">
      <c r="A795" t="s">
        <v>3532</v>
      </c>
      <c r="B795" t="s">
        <v>1796</v>
      </c>
      <c r="C795" t="s">
        <v>57</v>
      </c>
      <c r="D795" s="7" t="s">
        <v>141</v>
      </c>
      <c r="E795" t="s">
        <v>38</v>
      </c>
      <c r="F795">
        <v>23</v>
      </c>
      <c r="G795">
        <v>83</v>
      </c>
      <c r="H795">
        <v>74</v>
      </c>
      <c r="I795" t="s">
        <v>6326</v>
      </c>
      <c r="J795">
        <v>77</v>
      </c>
      <c r="K795">
        <v>181</v>
      </c>
      <c r="L795" t="s">
        <v>5226</v>
      </c>
      <c r="M795" s="6" t="s">
        <v>6558</v>
      </c>
      <c r="N795" s="6" t="s">
        <v>6567</v>
      </c>
      <c r="O795" s="6">
        <v>70</v>
      </c>
      <c r="P795" s="6">
        <v>61</v>
      </c>
      <c r="Q795" s="6">
        <v>69</v>
      </c>
      <c r="R795" s="6">
        <v>63</v>
      </c>
      <c r="S795" s="6">
        <v>83</v>
      </c>
      <c r="T795" s="6">
        <v>79</v>
      </c>
      <c r="U795" s="6">
        <v>72</v>
      </c>
      <c r="V795" s="6">
        <v>65</v>
      </c>
      <c r="W795" s="6">
        <v>82</v>
      </c>
      <c r="X795" s="6">
        <v>74</v>
      </c>
      <c r="Y795" s="6">
        <v>75</v>
      </c>
      <c r="Z795" s="6">
        <v>84</v>
      </c>
      <c r="AA795" s="6">
        <v>74</v>
      </c>
      <c r="AB795" s="6">
        <v>72</v>
      </c>
      <c r="AC795" s="6">
        <v>70</v>
      </c>
      <c r="AD795" s="6">
        <v>81</v>
      </c>
      <c r="AE795" s="6">
        <v>79</v>
      </c>
      <c r="AF795" s="6">
        <v>78</v>
      </c>
      <c r="AG795" s="6" t="s">
        <v>7269</v>
      </c>
      <c r="AH795" s="6" t="s">
        <v>6664</v>
      </c>
    </row>
    <row r="796" spans="1:34" x14ac:dyDescent="0.2">
      <c r="A796" t="s">
        <v>3541</v>
      </c>
      <c r="B796" t="s">
        <v>1805</v>
      </c>
      <c r="C796" t="s">
        <v>2871</v>
      </c>
      <c r="D796" s="7" t="s">
        <v>141</v>
      </c>
      <c r="E796" t="s">
        <v>38</v>
      </c>
      <c r="F796">
        <v>25</v>
      </c>
      <c r="G796">
        <v>79</v>
      </c>
      <c r="H796">
        <v>74</v>
      </c>
      <c r="I796" t="s">
        <v>6313</v>
      </c>
      <c r="J796">
        <v>78</v>
      </c>
      <c r="K796">
        <v>254</v>
      </c>
      <c r="L796" t="s">
        <v>5235</v>
      </c>
      <c r="M796" s="6" t="s">
        <v>6558</v>
      </c>
      <c r="N796" s="6" t="s">
        <v>6583</v>
      </c>
      <c r="O796" s="6">
        <v>82</v>
      </c>
      <c r="P796" s="6">
        <v>71</v>
      </c>
      <c r="Q796" s="6">
        <v>72</v>
      </c>
      <c r="R796" s="6">
        <v>78</v>
      </c>
      <c r="S796" s="6">
        <v>76</v>
      </c>
      <c r="T796" s="6">
        <v>72</v>
      </c>
      <c r="U796" s="6">
        <v>85</v>
      </c>
      <c r="V796" s="6">
        <v>72</v>
      </c>
      <c r="W796" s="6">
        <v>76</v>
      </c>
      <c r="X796" s="6">
        <v>75</v>
      </c>
      <c r="Y796" s="6">
        <v>80</v>
      </c>
      <c r="Z796" s="6">
        <v>75</v>
      </c>
      <c r="AA796" s="6">
        <v>74</v>
      </c>
      <c r="AB796" s="6">
        <v>72</v>
      </c>
      <c r="AC796" s="6">
        <v>76</v>
      </c>
      <c r="AD796" s="6">
        <v>69</v>
      </c>
      <c r="AE796" s="6">
        <v>72</v>
      </c>
      <c r="AF796" s="6">
        <v>79</v>
      </c>
      <c r="AG796" s="6" t="s">
        <v>7278</v>
      </c>
      <c r="AH796" s="6" t="s">
        <v>6838</v>
      </c>
    </row>
    <row r="797" spans="1:34" x14ac:dyDescent="0.2">
      <c r="A797" t="s">
        <v>3542</v>
      </c>
      <c r="B797" t="s">
        <v>1806</v>
      </c>
      <c r="C797" t="s">
        <v>2871</v>
      </c>
      <c r="D797" s="7" t="s">
        <v>141</v>
      </c>
      <c r="E797" t="s">
        <v>38</v>
      </c>
      <c r="F797">
        <v>23</v>
      </c>
      <c r="G797">
        <v>56</v>
      </c>
      <c r="H797">
        <v>74</v>
      </c>
      <c r="I797" t="s">
        <v>6314</v>
      </c>
      <c r="J797">
        <v>75</v>
      </c>
      <c r="K797">
        <v>251</v>
      </c>
      <c r="L797" t="s">
        <v>5236</v>
      </c>
      <c r="M797" s="6" t="s">
        <v>6558</v>
      </c>
      <c r="N797" s="6" t="s">
        <v>6614</v>
      </c>
      <c r="O797" s="6">
        <v>78</v>
      </c>
      <c r="P797" s="6">
        <v>59</v>
      </c>
      <c r="Q797" s="6">
        <v>70</v>
      </c>
      <c r="R797" s="6">
        <v>57</v>
      </c>
      <c r="S797" s="6">
        <v>61</v>
      </c>
      <c r="T797" s="6">
        <v>62</v>
      </c>
      <c r="U797" s="6">
        <v>65</v>
      </c>
      <c r="V797" s="6">
        <v>72</v>
      </c>
      <c r="W797" s="6">
        <v>64</v>
      </c>
      <c r="X797" s="6">
        <v>64</v>
      </c>
      <c r="Y797" s="6">
        <v>72</v>
      </c>
      <c r="Z797" s="6">
        <v>63</v>
      </c>
      <c r="AA797" s="6">
        <v>66</v>
      </c>
      <c r="AB797" s="6">
        <v>62</v>
      </c>
      <c r="AC797" s="6">
        <v>70</v>
      </c>
      <c r="AD797" s="6">
        <v>61</v>
      </c>
      <c r="AE797" s="6">
        <v>63</v>
      </c>
      <c r="AF797" s="6">
        <v>74</v>
      </c>
      <c r="AG797" s="6" t="s">
        <v>7279</v>
      </c>
      <c r="AH797" s="6" t="s">
        <v>7219</v>
      </c>
    </row>
    <row r="798" spans="1:34" x14ac:dyDescent="0.2">
      <c r="A798" t="s">
        <v>3563</v>
      </c>
      <c r="B798" t="s">
        <v>1827</v>
      </c>
      <c r="C798" t="s">
        <v>2880</v>
      </c>
      <c r="D798" s="7" t="s">
        <v>141</v>
      </c>
      <c r="E798" t="s">
        <v>58</v>
      </c>
      <c r="F798">
        <v>27</v>
      </c>
      <c r="G798">
        <v>59</v>
      </c>
      <c r="H798">
        <v>74</v>
      </c>
      <c r="I798" t="s">
        <v>6407</v>
      </c>
      <c r="J798">
        <v>74</v>
      </c>
      <c r="K798">
        <v>246</v>
      </c>
      <c r="L798" t="s">
        <v>5257</v>
      </c>
      <c r="M798" s="6" t="s">
        <v>6558</v>
      </c>
      <c r="N798" s="6" t="s">
        <v>6565</v>
      </c>
      <c r="O798" s="6">
        <v>86</v>
      </c>
      <c r="P798" s="6">
        <v>67</v>
      </c>
      <c r="Q798" s="6">
        <v>72</v>
      </c>
      <c r="R798" s="6">
        <v>72</v>
      </c>
      <c r="S798" s="6">
        <v>64</v>
      </c>
      <c r="T798" s="6">
        <v>67</v>
      </c>
      <c r="U798" s="6">
        <v>76</v>
      </c>
      <c r="V798" s="6">
        <v>66</v>
      </c>
      <c r="W798" s="6">
        <v>74</v>
      </c>
      <c r="X798" s="6">
        <v>74</v>
      </c>
      <c r="Y798" s="6">
        <v>71</v>
      </c>
      <c r="Z798" s="6">
        <v>74</v>
      </c>
      <c r="AA798" s="6">
        <v>67</v>
      </c>
      <c r="AB798" s="6">
        <v>65</v>
      </c>
      <c r="AC798" s="6">
        <v>67</v>
      </c>
      <c r="AD798" s="6">
        <v>72</v>
      </c>
      <c r="AE798" s="6">
        <v>70</v>
      </c>
      <c r="AF798" s="6">
        <v>82</v>
      </c>
      <c r="AG798" s="6" t="s">
        <v>7300</v>
      </c>
      <c r="AH798" s="6" t="s">
        <v>6623</v>
      </c>
    </row>
    <row r="799" spans="1:34" x14ac:dyDescent="0.2">
      <c r="A799" t="s">
        <v>3583</v>
      </c>
      <c r="B799" t="s">
        <v>1847</v>
      </c>
      <c r="C799" t="s">
        <v>2870</v>
      </c>
      <c r="D799" s="7" t="s">
        <v>142</v>
      </c>
      <c r="E799" t="s">
        <v>38</v>
      </c>
      <c r="F799">
        <v>25</v>
      </c>
      <c r="G799">
        <v>82</v>
      </c>
      <c r="H799">
        <v>74</v>
      </c>
      <c r="I799" t="s">
        <v>6449</v>
      </c>
      <c r="J799">
        <v>71</v>
      </c>
      <c r="K799">
        <v>220</v>
      </c>
      <c r="L799" t="s">
        <v>5277</v>
      </c>
      <c r="M799" s="6" t="s">
        <v>6558</v>
      </c>
      <c r="N799" s="6" t="s">
        <v>6565</v>
      </c>
      <c r="O799" s="6">
        <v>67</v>
      </c>
      <c r="P799" s="6">
        <v>73</v>
      </c>
      <c r="Q799" s="6">
        <v>84</v>
      </c>
      <c r="R799" s="6">
        <v>71</v>
      </c>
      <c r="S799" s="6">
        <v>77</v>
      </c>
      <c r="T799" s="6">
        <v>75</v>
      </c>
      <c r="U799" s="6">
        <v>76</v>
      </c>
      <c r="V799" s="6">
        <v>73</v>
      </c>
      <c r="W799" s="6">
        <v>76</v>
      </c>
      <c r="X799" s="6">
        <v>78</v>
      </c>
      <c r="Y799" s="6">
        <v>88</v>
      </c>
      <c r="Z799" s="6">
        <v>66</v>
      </c>
      <c r="AA799" s="6">
        <v>82</v>
      </c>
      <c r="AB799" s="6">
        <v>77</v>
      </c>
      <c r="AC799" s="6">
        <v>68</v>
      </c>
      <c r="AD799" s="6">
        <v>71</v>
      </c>
      <c r="AE799" s="6">
        <v>76</v>
      </c>
      <c r="AF799" s="6">
        <v>70</v>
      </c>
      <c r="AG799" s="6" t="s">
        <v>7319</v>
      </c>
      <c r="AH799" s="6" t="s">
        <v>6656</v>
      </c>
    </row>
    <row r="800" spans="1:34" x14ac:dyDescent="0.2">
      <c r="A800" t="s">
        <v>3604</v>
      </c>
      <c r="B800" t="s">
        <v>1868</v>
      </c>
      <c r="C800" t="s">
        <v>2878</v>
      </c>
      <c r="D800" s="7" t="s">
        <v>142</v>
      </c>
      <c r="E800" t="s">
        <v>38</v>
      </c>
      <c r="F800">
        <v>31</v>
      </c>
      <c r="G800">
        <v>84</v>
      </c>
      <c r="H800">
        <v>74</v>
      </c>
      <c r="I800" t="s">
        <v>6435</v>
      </c>
      <c r="J800">
        <v>75</v>
      </c>
      <c r="K800">
        <v>271</v>
      </c>
      <c r="L800" t="s">
        <v>5298</v>
      </c>
      <c r="M800" s="6" t="s">
        <v>6558</v>
      </c>
      <c r="N800" s="6" t="s">
        <v>6565</v>
      </c>
      <c r="O800" s="6">
        <v>72</v>
      </c>
      <c r="P800" s="6">
        <v>72</v>
      </c>
      <c r="Q800" s="6">
        <v>65</v>
      </c>
      <c r="R800" s="6">
        <v>74</v>
      </c>
      <c r="S800" s="6">
        <v>86</v>
      </c>
      <c r="T800" s="6">
        <v>80</v>
      </c>
      <c r="U800" s="6">
        <v>69</v>
      </c>
      <c r="V800" s="6">
        <v>78</v>
      </c>
      <c r="W800" s="6">
        <v>83</v>
      </c>
      <c r="X800" s="6">
        <v>79</v>
      </c>
      <c r="Y800" s="6">
        <v>83</v>
      </c>
      <c r="Z800" s="6">
        <v>82</v>
      </c>
      <c r="AA800" s="6">
        <v>65</v>
      </c>
      <c r="AB800" s="6">
        <v>76</v>
      </c>
      <c r="AC800" s="6">
        <v>74</v>
      </c>
      <c r="AD800" s="6">
        <v>76</v>
      </c>
      <c r="AE800" s="6">
        <v>68</v>
      </c>
      <c r="AF800" s="6">
        <v>67</v>
      </c>
      <c r="AG800" s="6" t="s">
        <v>7339</v>
      </c>
      <c r="AH800" s="6" t="s">
        <v>6684</v>
      </c>
    </row>
    <row r="801" spans="1:34" x14ac:dyDescent="0.2">
      <c r="A801" t="s">
        <v>3606</v>
      </c>
      <c r="B801" t="s">
        <v>1870</v>
      </c>
      <c r="C801" t="s">
        <v>2878</v>
      </c>
      <c r="D801" s="7" t="s">
        <v>142</v>
      </c>
      <c r="E801" t="s">
        <v>38</v>
      </c>
      <c r="F801">
        <v>25</v>
      </c>
      <c r="G801">
        <v>71</v>
      </c>
      <c r="H801">
        <v>74</v>
      </c>
      <c r="I801" t="s">
        <v>6380</v>
      </c>
      <c r="J801">
        <v>76</v>
      </c>
      <c r="K801">
        <v>263</v>
      </c>
      <c r="L801" t="s">
        <v>5300</v>
      </c>
      <c r="M801" s="6" t="s">
        <v>6558</v>
      </c>
      <c r="N801" s="6" t="s">
        <v>6565</v>
      </c>
      <c r="O801" s="6">
        <v>71</v>
      </c>
      <c r="P801" s="6">
        <v>72</v>
      </c>
      <c r="Q801" s="6">
        <v>76</v>
      </c>
      <c r="R801" s="6">
        <v>71</v>
      </c>
      <c r="S801" s="6">
        <v>70</v>
      </c>
      <c r="T801" s="6">
        <v>67</v>
      </c>
      <c r="U801" s="6">
        <v>69</v>
      </c>
      <c r="V801" s="6">
        <v>65</v>
      </c>
      <c r="W801" s="6">
        <v>70</v>
      </c>
      <c r="X801" s="6">
        <v>59</v>
      </c>
      <c r="Y801" s="6">
        <v>73</v>
      </c>
      <c r="Z801" s="6">
        <v>64</v>
      </c>
      <c r="AA801" s="6">
        <v>72</v>
      </c>
      <c r="AB801" s="6">
        <v>69</v>
      </c>
      <c r="AC801" s="6">
        <v>64</v>
      </c>
      <c r="AD801" s="6">
        <v>67</v>
      </c>
      <c r="AE801" s="6">
        <v>64</v>
      </c>
      <c r="AF801" s="6">
        <v>68</v>
      </c>
      <c r="AG801" s="6" t="s">
        <v>7341</v>
      </c>
      <c r="AH801" s="6" t="s">
        <v>6686</v>
      </c>
    </row>
    <row r="802" spans="1:34" x14ac:dyDescent="0.2">
      <c r="A802" t="s">
        <v>3629</v>
      </c>
      <c r="B802" t="s">
        <v>1893</v>
      </c>
      <c r="C802" t="s">
        <v>2889</v>
      </c>
      <c r="D802" s="7" t="s">
        <v>142</v>
      </c>
      <c r="E802" t="s">
        <v>38</v>
      </c>
      <c r="F802">
        <v>25</v>
      </c>
      <c r="G802">
        <v>58</v>
      </c>
      <c r="H802">
        <v>74</v>
      </c>
      <c r="I802" t="s">
        <v>6466</v>
      </c>
      <c r="J802">
        <v>75</v>
      </c>
      <c r="K802">
        <v>262</v>
      </c>
      <c r="L802" t="s">
        <v>5323</v>
      </c>
      <c r="M802" s="6" t="s">
        <v>6733</v>
      </c>
      <c r="N802" s="6" t="s">
        <v>6565</v>
      </c>
      <c r="O802" s="6">
        <v>63</v>
      </c>
      <c r="P802" s="6">
        <v>67</v>
      </c>
      <c r="Q802" s="6">
        <v>65</v>
      </c>
      <c r="R802" s="6">
        <v>72</v>
      </c>
      <c r="S802" s="6">
        <v>67</v>
      </c>
      <c r="T802" s="6">
        <v>71</v>
      </c>
      <c r="U802" s="6">
        <v>77</v>
      </c>
      <c r="V802" s="6">
        <v>65</v>
      </c>
      <c r="W802" s="6">
        <v>65</v>
      </c>
      <c r="X802" s="6">
        <v>66</v>
      </c>
      <c r="Y802" s="6">
        <v>70</v>
      </c>
      <c r="Z802" s="6">
        <v>55</v>
      </c>
      <c r="AA802" s="6">
        <v>67</v>
      </c>
      <c r="AB802" s="6">
        <v>70</v>
      </c>
      <c r="AC802" s="6">
        <v>67</v>
      </c>
      <c r="AD802" s="6">
        <v>63</v>
      </c>
      <c r="AE802" s="6">
        <v>69</v>
      </c>
      <c r="AF802" s="6">
        <v>65</v>
      </c>
      <c r="AG802" s="6" t="s">
        <v>7364</v>
      </c>
      <c r="AH802" s="6" t="s">
        <v>6709</v>
      </c>
    </row>
    <row r="803" spans="1:34" x14ac:dyDescent="0.2">
      <c r="A803" t="s">
        <v>3655</v>
      </c>
      <c r="B803" t="s">
        <v>1919</v>
      </c>
      <c r="C803" t="s">
        <v>2887</v>
      </c>
      <c r="D803" s="7" t="s">
        <v>143</v>
      </c>
      <c r="E803" t="s">
        <v>38</v>
      </c>
      <c r="F803">
        <v>33</v>
      </c>
      <c r="G803">
        <v>78</v>
      </c>
      <c r="H803">
        <v>74</v>
      </c>
      <c r="I803" t="s">
        <v>6446</v>
      </c>
      <c r="J803">
        <v>74</v>
      </c>
      <c r="K803">
        <v>329</v>
      </c>
      <c r="L803" t="s">
        <v>5349</v>
      </c>
      <c r="M803" s="6" t="s">
        <v>6558</v>
      </c>
      <c r="N803" s="6" t="s">
        <v>6565</v>
      </c>
      <c r="O803" s="6">
        <v>72</v>
      </c>
      <c r="P803" s="6">
        <v>80</v>
      </c>
      <c r="Q803" s="6">
        <v>83</v>
      </c>
      <c r="R803" s="6">
        <v>73</v>
      </c>
      <c r="S803" s="6">
        <v>76</v>
      </c>
      <c r="T803" s="6">
        <v>75</v>
      </c>
      <c r="U803" s="6">
        <v>80</v>
      </c>
      <c r="V803" s="6">
        <v>75</v>
      </c>
      <c r="W803" s="6">
        <v>79</v>
      </c>
      <c r="X803" s="6">
        <v>87</v>
      </c>
      <c r="Y803" s="6">
        <v>73</v>
      </c>
      <c r="Z803" s="6">
        <v>92</v>
      </c>
      <c r="AA803" s="6">
        <v>72</v>
      </c>
      <c r="AB803" s="6">
        <v>74</v>
      </c>
      <c r="AC803" s="6">
        <v>59</v>
      </c>
      <c r="AD803" s="6">
        <v>73</v>
      </c>
      <c r="AE803" s="6">
        <v>67</v>
      </c>
      <c r="AF803" s="6">
        <v>71</v>
      </c>
      <c r="AG803" s="6" t="s">
        <v>7390</v>
      </c>
      <c r="AH803" s="6" t="s">
        <v>6598</v>
      </c>
    </row>
    <row r="804" spans="1:34" x14ac:dyDescent="0.2">
      <c r="A804" t="s">
        <v>3686</v>
      </c>
      <c r="B804" t="s">
        <v>1950</v>
      </c>
      <c r="C804" t="s">
        <v>2885</v>
      </c>
      <c r="D804" s="7" t="s">
        <v>143</v>
      </c>
      <c r="E804" t="s">
        <v>58</v>
      </c>
      <c r="F804">
        <v>32</v>
      </c>
      <c r="G804">
        <v>60</v>
      </c>
      <c r="H804">
        <v>74</v>
      </c>
      <c r="I804" t="s">
        <v>6404</v>
      </c>
      <c r="J804">
        <v>74</v>
      </c>
      <c r="K804">
        <v>238</v>
      </c>
      <c r="L804" t="s">
        <v>5380</v>
      </c>
      <c r="M804" s="6" t="s">
        <v>6558</v>
      </c>
      <c r="N804" s="6" t="s">
        <v>6565</v>
      </c>
      <c r="O804" s="6">
        <v>85</v>
      </c>
      <c r="P804" s="6">
        <v>74</v>
      </c>
      <c r="Q804" s="6">
        <v>80</v>
      </c>
      <c r="R804" s="6">
        <v>71</v>
      </c>
      <c r="S804" s="6">
        <v>75</v>
      </c>
      <c r="T804" s="6">
        <v>69</v>
      </c>
      <c r="U804" s="6">
        <v>63</v>
      </c>
      <c r="V804" s="6">
        <v>74</v>
      </c>
      <c r="W804" s="6">
        <v>81</v>
      </c>
      <c r="X804" s="6">
        <v>79</v>
      </c>
      <c r="Y804" s="6">
        <v>77</v>
      </c>
      <c r="Z804" s="6">
        <v>77</v>
      </c>
      <c r="AA804" s="6">
        <v>65</v>
      </c>
      <c r="AB804" s="6">
        <v>58</v>
      </c>
      <c r="AC804" s="6">
        <v>59</v>
      </c>
      <c r="AD804" s="6">
        <v>58</v>
      </c>
      <c r="AE804" s="6">
        <v>70</v>
      </c>
      <c r="AF804" s="6">
        <v>59</v>
      </c>
      <c r="AG804" s="6" t="s">
        <v>7423</v>
      </c>
      <c r="AH804" s="6" t="s">
        <v>6628</v>
      </c>
    </row>
    <row r="805" spans="1:34" x14ac:dyDescent="0.2">
      <c r="A805" t="s">
        <v>3693</v>
      </c>
      <c r="B805" t="s">
        <v>1957</v>
      </c>
      <c r="C805" t="s">
        <v>53</v>
      </c>
      <c r="D805" s="7" t="s">
        <v>154</v>
      </c>
      <c r="E805" t="s">
        <v>38</v>
      </c>
      <c r="F805">
        <v>24</v>
      </c>
      <c r="G805">
        <v>70</v>
      </c>
      <c r="H805">
        <v>74</v>
      </c>
      <c r="I805" t="s">
        <v>6369</v>
      </c>
      <c r="J805">
        <v>76</v>
      </c>
      <c r="K805">
        <v>223</v>
      </c>
      <c r="L805" t="s">
        <v>5387</v>
      </c>
      <c r="M805" s="6" t="s">
        <v>6733</v>
      </c>
      <c r="N805" s="6" t="s">
        <v>6567</v>
      </c>
      <c r="O805" s="6">
        <v>73</v>
      </c>
      <c r="P805" s="6">
        <v>75</v>
      </c>
      <c r="Q805" s="6">
        <v>67</v>
      </c>
      <c r="R805" s="6">
        <v>67</v>
      </c>
      <c r="S805" s="6">
        <v>74</v>
      </c>
      <c r="T805" s="6">
        <v>62</v>
      </c>
      <c r="U805" s="6">
        <v>75</v>
      </c>
      <c r="V805" s="6">
        <v>74</v>
      </c>
      <c r="W805" s="6">
        <v>71</v>
      </c>
      <c r="X805" s="6">
        <v>70</v>
      </c>
      <c r="Y805" s="6">
        <v>67</v>
      </c>
      <c r="Z805" s="6">
        <v>58</v>
      </c>
      <c r="AA805" s="6">
        <v>71</v>
      </c>
      <c r="AB805" s="6">
        <v>65</v>
      </c>
      <c r="AC805" s="6">
        <v>64</v>
      </c>
      <c r="AD805" s="6">
        <v>68</v>
      </c>
      <c r="AE805" s="6">
        <v>60</v>
      </c>
      <c r="AF805" s="6">
        <v>74</v>
      </c>
      <c r="AG805" s="6" t="s">
        <v>7430</v>
      </c>
      <c r="AH805" s="6" t="s">
        <v>6570</v>
      </c>
    </row>
    <row r="806" spans="1:34" x14ac:dyDescent="0.2">
      <c r="A806" t="s">
        <v>3696</v>
      </c>
      <c r="B806" t="s">
        <v>1960</v>
      </c>
      <c r="C806" t="s">
        <v>2870</v>
      </c>
      <c r="D806" s="7" t="s">
        <v>154</v>
      </c>
      <c r="E806" t="s">
        <v>38</v>
      </c>
      <c r="F806">
        <v>22</v>
      </c>
      <c r="G806">
        <v>76</v>
      </c>
      <c r="H806">
        <v>74</v>
      </c>
      <c r="I806" t="s">
        <v>6362</v>
      </c>
      <c r="J806">
        <v>70</v>
      </c>
      <c r="K806">
        <v>211</v>
      </c>
      <c r="L806" t="s">
        <v>5390</v>
      </c>
      <c r="M806" s="6" t="s">
        <v>6558</v>
      </c>
      <c r="N806" s="6" t="s">
        <v>6565</v>
      </c>
      <c r="O806" s="6">
        <v>65</v>
      </c>
      <c r="P806" s="6">
        <v>69</v>
      </c>
      <c r="Q806" s="6">
        <v>69</v>
      </c>
      <c r="R806" s="6">
        <v>72</v>
      </c>
      <c r="S806" s="6">
        <v>76</v>
      </c>
      <c r="T806" s="6">
        <v>61</v>
      </c>
      <c r="U806" s="6">
        <v>67</v>
      </c>
      <c r="V806" s="6">
        <v>70</v>
      </c>
      <c r="W806" s="6">
        <v>67</v>
      </c>
      <c r="X806" s="6">
        <v>64</v>
      </c>
      <c r="Y806" s="6">
        <v>76</v>
      </c>
      <c r="Z806" s="6">
        <v>71</v>
      </c>
      <c r="AA806" s="6">
        <v>70</v>
      </c>
      <c r="AB806" s="6">
        <v>76</v>
      </c>
      <c r="AC806" s="6">
        <v>73</v>
      </c>
      <c r="AD806" s="6">
        <v>76</v>
      </c>
      <c r="AE806" s="6">
        <v>72</v>
      </c>
      <c r="AF806" s="6">
        <v>74</v>
      </c>
      <c r="AG806" s="6" t="s">
        <v>7432</v>
      </c>
      <c r="AH806" s="6" t="s">
        <v>6887</v>
      </c>
    </row>
    <row r="807" spans="1:34" x14ac:dyDescent="0.2">
      <c r="A807" t="s">
        <v>3709</v>
      </c>
      <c r="B807" t="s">
        <v>1973</v>
      </c>
      <c r="C807" t="s">
        <v>2871</v>
      </c>
      <c r="D807" s="7" t="s">
        <v>154</v>
      </c>
      <c r="E807" t="s">
        <v>58</v>
      </c>
      <c r="F807">
        <v>31</v>
      </c>
      <c r="G807">
        <v>62</v>
      </c>
      <c r="H807">
        <v>74</v>
      </c>
      <c r="I807" t="s">
        <v>6364</v>
      </c>
      <c r="J807">
        <v>74</v>
      </c>
      <c r="K807">
        <v>240</v>
      </c>
      <c r="L807" t="s">
        <v>5403</v>
      </c>
      <c r="M807" s="6" t="s">
        <v>6733</v>
      </c>
      <c r="N807" s="6" t="s">
        <v>6565</v>
      </c>
      <c r="O807" s="6">
        <v>75</v>
      </c>
      <c r="P807" s="6">
        <v>67</v>
      </c>
      <c r="Q807" s="6">
        <v>65</v>
      </c>
      <c r="R807" s="6">
        <v>71</v>
      </c>
      <c r="S807" s="6">
        <v>80</v>
      </c>
      <c r="T807" s="6">
        <v>68</v>
      </c>
      <c r="U807" s="6">
        <v>69</v>
      </c>
      <c r="V807" s="6">
        <v>59</v>
      </c>
      <c r="W807" s="6">
        <v>78</v>
      </c>
      <c r="X807" s="6">
        <v>72</v>
      </c>
      <c r="Y807" s="6">
        <v>85</v>
      </c>
      <c r="Z807" s="6">
        <v>59</v>
      </c>
      <c r="AA807" s="6">
        <v>69</v>
      </c>
      <c r="AB807" s="6">
        <v>71</v>
      </c>
      <c r="AC807" s="6">
        <v>68</v>
      </c>
      <c r="AD807" s="6">
        <v>72</v>
      </c>
      <c r="AE807" s="6">
        <v>67</v>
      </c>
      <c r="AF807" s="6">
        <v>60</v>
      </c>
      <c r="AG807" s="6" t="s">
        <v>7445</v>
      </c>
      <c r="AH807" s="6" t="s">
        <v>6587</v>
      </c>
    </row>
    <row r="808" spans="1:34" x14ac:dyDescent="0.2">
      <c r="A808" t="s">
        <v>3736</v>
      </c>
      <c r="B808" t="s">
        <v>2000</v>
      </c>
      <c r="C808" t="s">
        <v>2882</v>
      </c>
      <c r="D808" s="7" t="s">
        <v>154</v>
      </c>
      <c r="E808" t="s">
        <v>38</v>
      </c>
      <c r="F808">
        <v>23</v>
      </c>
      <c r="G808">
        <v>78</v>
      </c>
      <c r="H808">
        <v>74</v>
      </c>
      <c r="I808" t="s">
        <v>6309</v>
      </c>
      <c r="J808">
        <v>75</v>
      </c>
      <c r="K808">
        <v>191</v>
      </c>
      <c r="L808" t="s">
        <v>5430</v>
      </c>
      <c r="M808" s="6" t="s">
        <v>6558</v>
      </c>
      <c r="N808" s="6" t="s">
        <v>6565</v>
      </c>
      <c r="O808" s="6">
        <v>69</v>
      </c>
      <c r="P808" s="6">
        <v>67</v>
      </c>
      <c r="Q808" s="6">
        <v>67</v>
      </c>
      <c r="R808" s="6">
        <v>71</v>
      </c>
      <c r="S808" s="6">
        <v>71</v>
      </c>
      <c r="T808" s="6">
        <v>72</v>
      </c>
      <c r="U808" s="6">
        <v>68</v>
      </c>
      <c r="V808" s="6">
        <v>59</v>
      </c>
      <c r="W808" s="6">
        <v>70</v>
      </c>
      <c r="X808" s="6">
        <v>54</v>
      </c>
      <c r="Y808" s="6">
        <v>70</v>
      </c>
      <c r="Z808" s="6">
        <v>74</v>
      </c>
      <c r="AA808" s="6">
        <v>62</v>
      </c>
      <c r="AB808" s="6">
        <v>75</v>
      </c>
      <c r="AC808" s="6">
        <v>63</v>
      </c>
      <c r="AD808" s="6">
        <v>74</v>
      </c>
      <c r="AE808" s="6">
        <v>72</v>
      </c>
      <c r="AF808" s="6">
        <v>63</v>
      </c>
      <c r="AG808" s="6" t="s">
        <v>7472</v>
      </c>
      <c r="AH808" s="6" t="s">
        <v>6636</v>
      </c>
    </row>
    <row r="809" spans="1:34" x14ac:dyDescent="0.2">
      <c r="A809" t="s">
        <v>3754</v>
      </c>
      <c r="B809" t="s">
        <v>2018</v>
      </c>
      <c r="C809" t="s">
        <v>57</v>
      </c>
      <c r="D809" s="7" t="s">
        <v>155</v>
      </c>
      <c r="E809" t="s">
        <v>58</v>
      </c>
      <c r="F809">
        <v>30</v>
      </c>
      <c r="G809">
        <v>73</v>
      </c>
      <c r="H809">
        <v>74</v>
      </c>
      <c r="I809" t="s">
        <v>6314</v>
      </c>
      <c r="J809">
        <v>75</v>
      </c>
      <c r="K809">
        <v>179</v>
      </c>
      <c r="L809" t="s">
        <v>5448</v>
      </c>
      <c r="M809" s="6" t="s">
        <v>6558</v>
      </c>
      <c r="N809" s="6" t="s">
        <v>6565</v>
      </c>
      <c r="O809" s="6">
        <v>77</v>
      </c>
      <c r="P809" s="6">
        <v>75</v>
      </c>
      <c r="Q809" s="6">
        <v>87</v>
      </c>
      <c r="R809" s="6">
        <v>72</v>
      </c>
      <c r="S809" s="6">
        <v>82</v>
      </c>
      <c r="T809" s="6">
        <v>66</v>
      </c>
      <c r="U809" s="6">
        <v>78</v>
      </c>
      <c r="V809" s="6">
        <v>76</v>
      </c>
      <c r="W809" s="6">
        <v>88</v>
      </c>
      <c r="X809" s="6">
        <v>85</v>
      </c>
      <c r="Y809" s="6">
        <v>85</v>
      </c>
      <c r="Z809" s="6">
        <v>85</v>
      </c>
      <c r="AA809" s="6">
        <v>71</v>
      </c>
      <c r="AB809" s="6">
        <v>75</v>
      </c>
      <c r="AC809" s="6">
        <v>70</v>
      </c>
      <c r="AD809" s="6">
        <v>75</v>
      </c>
      <c r="AE809" s="6">
        <v>70</v>
      </c>
      <c r="AF809" s="6">
        <v>74</v>
      </c>
      <c r="AG809" s="6" t="s">
        <v>7490</v>
      </c>
      <c r="AH809" s="6" t="s">
        <v>6661</v>
      </c>
    </row>
    <row r="810" spans="1:34" x14ac:dyDescent="0.2">
      <c r="A810" t="s">
        <v>3759</v>
      </c>
      <c r="B810" t="s">
        <v>2023</v>
      </c>
      <c r="C810" t="s">
        <v>2871</v>
      </c>
      <c r="D810" s="7" t="s">
        <v>155</v>
      </c>
      <c r="E810" t="s">
        <v>58</v>
      </c>
      <c r="F810">
        <v>26</v>
      </c>
      <c r="G810">
        <v>77</v>
      </c>
      <c r="H810">
        <v>74</v>
      </c>
      <c r="I810" t="s">
        <v>6318</v>
      </c>
      <c r="J810">
        <v>76</v>
      </c>
      <c r="K810">
        <v>266</v>
      </c>
      <c r="L810" t="s">
        <v>5453</v>
      </c>
      <c r="M810" s="6" t="s">
        <v>6558</v>
      </c>
      <c r="N810" s="6" t="s">
        <v>6583</v>
      </c>
      <c r="O810" s="6">
        <v>75</v>
      </c>
      <c r="P810" s="6">
        <v>74</v>
      </c>
      <c r="Q810" s="6">
        <v>78</v>
      </c>
      <c r="R810" s="6">
        <v>76</v>
      </c>
      <c r="S810" s="6">
        <v>72</v>
      </c>
      <c r="T810" s="6">
        <v>71</v>
      </c>
      <c r="U810" s="6">
        <v>84</v>
      </c>
      <c r="V810" s="6">
        <v>86</v>
      </c>
      <c r="W810" s="6">
        <v>88</v>
      </c>
      <c r="X810" s="6">
        <v>74</v>
      </c>
      <c r="Y810" s="6">
        <v>75</v>
      </c>
      <c r="Z810" s="6">
        <v>72</v>
      </c>
      <c r="AA810" s="6">
        <v>73</v>
      </c>
      <c r="AB810" s="6">
        <v>76</v>
      </c>
      <c r="AC810" s="6">
        <v>72</v>
      </c>
      <c r="AD810" s="6">
        <v>81</v>
      </c>
      <c r="AE810" s="6">
        <v>76</v>
      </c>
      <c r="AF810" s="6">
        <v>73</v>
      </c>
      <c r="AG810" s="6" t="s">
        <v>7495</v>
      </c>
      <c r="AH810" s="6" t="s">
        <v>6737</v>
      </c>
    </row>
    <row r="811" spans="1:34" x14ac:dyDescent="0.2">
      <c r="A811" t="s">
        <v>3780</v>
      </c>
      <c r="B811" t="s">
        <v>2044</v>
      </c>
      <c r="C811" t="s">
        <v>2879</v>
      </c>
      <c r="D811" s="7" t="s">
        <v>155</v>
      </c>
      <c r="E811" t="s">
        <v>38</v>
      </c>
      <c r="F811">
        <v>28</v>
      </c>
      <c r="G811">
        <v>75</v>
      </c>
      <c r="H811">
        <v>74</v>
      </c>
      <c r="I811" t="s">
        <v>6381</v>
      </c>
      <c r="J811">
        <v>75</v>
      </c>
      <c r="K811">
        <v>302</v>
      </c>
      <c r="L811" t="s">
        <v>5474</v>
      </c>
      <c r="M811" s="6" t="s">
        <v>6558</v>
      </c>
      <c r="N811" s="6" t="s">
        <v>6565</v>
      </c>
      <c r="O811" s="6">
        <v>80</v>
      </c>
      <c r="P811" s="6">
        <v>78</v>
      </c>
      <c r="Q811" s="6">
        <v>71</v>
      </c>
      <c r="R811" s="6">
        <v>71</v>
      </c>
      <c r="S811" s="6">
        <v>70</v>
      </c>
      <c r="T811" s="6">
        <v>68</v>
      </c>
      <c r="U811" s="6">
        <v>75</v>
      </c>
      <c r="V811" s="6">
        <v>69</v>
      </c>
      <c r="W811" s="6">
        <v>82</v>
      </c>
      <c r="X811" s="6">
        <v>79</v>
      </c>
      <c r="Y811" s="6">
        <v>69</v>
      </c>
      <c r="Z811" s="6">
        <v>77</v>
      </c>
      <c r="AA811" s="6">
        <v>71</v>
      </c>
      <c r="AB811" s="6">
        <v>71</v>
      </c>
      <c r="AC811" s="6">
        <v>69</v>
      </c>
      <c r="AD811" s="6">
        <v>68</v>
      </c>
      <c r="AE811" s="6">
        <v>66</v>
      </c>
      <c r="AF811" s="6">
        <v>69</v>
      </c>
      <c r="AG811" s="6" t="s">
        <v>7516</v>
      </c>
      <c r="AH811" s="6" t="s">
        <v>6617</v>
      </c>
    </row>
    <row r="812" spans="1:34" x14ac:dyDescent="0.2">
      <c r="A812" t="s">
        <v>3790</v>
      </c>
      <c r="B812" t="s">
        <v>2054</v>
      </c>
      <c r="C812" t="s">
        <v>2882</v>
      </c>
      <c r="D812" s="7" t="s">
        <v>155</v>
      </c>
      <c r="E812" t="s">
        <v>38</v>
      </c>
      <c r="F812">
        <v>21</v>
      </c>
      <c r="G812">
        <v>76</v>
      </c>
      <c r="H812">
        <v>74</v>
      </c>
      <c r="I812" t="s">
        <v>6385</v>
      </c>
      <c r="J812">
        <v>71</v>
      </c>
      <c r="K812">
        <v>208</v>
      </c>
      <c r="L812" t="s">
        <v>5484</v>
      </c>
      <c r="M812" s="6" t="s">
        <v>6558</v>
      </c>
      <c r="N812" s="6" t="s">
        <v>6614</v>
      </c>
      <c r="O812" s="6">
        <v>69</v>
      </c>
      <c r="P812" s="6">
        <v>71</v>
      </c>
      <c r="Q812" s="6">
        <v>75</v>
      </c>
      <c r="R812" s="6">
        <v>59</v>
      </c>
      <c r="S812" s="6">
        <v>71</v>
      </c>
      <c r="T812" s="6">
        <v>78</v>
      </c>
      <c r="U812" s="6">
        <v>75</v>
      </c>
      <c r="V812" s="6">
        <v>78</v>
      </c>
      <c r="W812" s="6">
        <v>72</v>
      </c>
      <c r="X812" s="6">
        <v>72</v>
      </c>
      <c r="Y812" s="6">
        <v>68</v>
      </c>
      <c r="Z812" s="6">
        <v>76</v>
      </c>
      <c r="AA812" s="6">
        <v>75</v>
      </c>
      <c r="AB812" s="6">
        <v>74</v>
      </c>
      <c r="AC812" s="6">
        <v>66</v>
      </c>
      <c r="AD812" s="6">
        <v>73</v>
      </c>
      <c r="AE812" s="6">
        <v>67</v>
      </c>
      <c r="AF812" s="6">
        <v>72</v>
      </c>
      <c r="AG812" s="6" t="s">
        <v>7526</v>
      </c>
      <c r="AH812" s="6" t="s">
        <v>6636</v>
      </c>
    </row>
    <row r="813" spans="1:34" x14ac:dyDescent="0.2">
      <c r="A813" t="s">
        <v>3803</v>
      </c>
      <c r="B813" t="s">
        <v>2067</v>
      </c>
      <c r="C813" t="s">
        <v>53</v>
      </c>
      <c r="D813" s="7" t="s">
        <v>148</v>
      </c>
      <c r="E813" t="s">
        <v>38</v>
      </c>
      <c r="F813">
        <v>26</v>
      </c>
      <c r="G813">
        <v>80</v>
      </c>
      <c r="H813">
        <v>74</v>
      </c>
      <c r="I813" t="s">
        <v>6378</v>
      </c>
      <c r="J813">
        <v>74</v>
      </c>
      <c r="K813">
        <v>231</v>
      </c>
      <c r="L813" t="s">
        <v>5497</v>
      </c>
      <c r="M813" s="6" t="s">
        <v>6558</v>
      </c>
      <c r="N813" s="6" t="s">
        <v>6583</v>
      </c>
      <c r="O813" s="6">
        <v>79</v>
      </c>
      <c r="P813" s="6">
        <v>83</v>
      </c>
      <c r="Q813" s="6">
        <v>76</v>
      </c>
      <c r="R813" s="6">
        <v>78</v>
      </c>
      <c r="S813" s="6">
        <v>82</v>
      </c>
      <c r="T813" s="6">
        <v>72</v>
      </c>
      <c r="U813" s="6">
        <v>71</v>
      </c>
      <c r="V813" s="6">
        <v>74</v>
      </c>
      <c r="W813" s="6">
        <v>84</v>
      </c>
      <c r="X813" s="6">
        <v>74</v>
      </c>
      <c r="Y813" s="6">
        <v>73</v>
      </c>
      <c r="Z813" s="6">
        <v>76</v>
      </c>
      <c r="AA813" s="6">
        <v>78</v>
      </c>
      <c r="AB813" s="6">
        <v>67</v>
      </c>
      <c r="AC813" s="6">
        <v>73</v>
      </c>
      <c r="AD813" s="6">
        <v>75</v>
      </c>
      <c r="AE813" s="6">
        <v>75</v>
      </c>
      <c r="AF813" s="6">
        <v>77</v>
      </c>
      <c r="AG813" s="6" t="s">
        <v>7539</v>
      </c>
      <c r="AH813" s="6" t="s">
        <v>7149</v>
      </c>
    </row>
    <row r="814" spans="1:34" x14ac:dyDescent="0.2">
      <c r="A814" t="s">
        <v>3818</v>
      </c>
      <c r="B814" t="s">
        <v>2082</v>
      </c>
      <c r="C814" t="s">
        <v>2873</v>
      </c>
      <c r="D814" s="7" t="s">
        <v>148</v>
      </c>
      <c r="E814" t="s">
        <v>38</v>
      </c>
      <c r="F814">
        <v>26</v>
      </c>
      <c r="G814">
        <v>82</v>
      </c>
      <c r="H814">
        <v>74</v>
      </c>
      <c r="I814" t="s">
        <v>6514</v>
      </c>
      <c r="J814">
        <v>78</v>
      </c>
      <c r="K814">
        <v>320</v>
      </c>
      <c r="L814" t="s">
        <v>5512</v>
      </c>
      <c r="M814" s="6" t="s">
        <v>6558</v>
      </c>
      <c r="N814" s="6" t="s">
        <v>6565</v>
      </c>
      <c r="O814" s="6">
        <v>82</v>
      </c>
      <c r="P814" s="6">
        <v>80</v>
      </c>
      <c r="Q814" s="6">
        <v>72</v>
      </c>
      <c r="R814" s="6">
        <v>75</v>
      </c>
      <c r="S814" s="6">
        <v>75</v>
      </c>
      <c r="T814" s="6">
        <v>79</v>
      </c>
      <c r="U814" s="6">
        <v>79</v>
      </c>
      <c r="V814" s="6">
        <v>75</v>
      </c>
      <c r="W814" s="6">
        <v>87</v>
      </c>
      <c r="X814" s="6">
        <v>87</v>
      </c>
      <c r="Y814" s="6">
        <v>73</v>
      </c>
      <c r="Z814" s="6">
        <v>83</v>
      </c>
      <c r="AA814" s="6">
        <v>78</v>
      </c>
      <c r="AB814" s="6">
        <v>79</v>
      </c>
      <c r="AC814" s="6">
        <v>78</v>
      </c>
      <c r="AD814" s="6">
        <v>79</v>
      </c>
      <c r="AE814" s="6">
        <v>82</v>
      </c>
      <c r="AF814" s="6">
        <v>73</v>
      </c>
      <c r="AG814" s="6" t="s">
        <v>7554</v>
      </c>
      <c r="AH814" s="6" t="s">
        <v>6596</v>
      </c>
    </row>
    <row r="815" spans="1:34" x14ac:dyDescent="0.2">
      <c r="A815" t="s">
        <v>3833</v>
      </c>
      <c r="B815" t="s">
        <v>2097</v>
      </c>
      <c r="C815" t="s">
        <v>2880</v>
      </c>
      <c r="D815" s="7" t="s">
        <v>148</v>
      </c>
      <c r="E815" t="s">
        <v>58</v>
      </c>
      <c r="F815">
        <v>31</v>
      </c>
      <c r="G815">
        <v>74</v>
      </c>
      <c r="H815">
        <v>74</v>
      </c>
      <c r="I815" t="s">
        <v>6420</v>
      </c>
      <c r="J815">
        <v>73</v>
      </c>
      <c r="K815">
        <v>235</v>
      </c>
      <c r="L815" t="s">
        <v>5527</v>
      </c>
      <c r="M815" s="6" t="s">
        <v>6558</v>
      </c>
      <c r="N815" s="6" t="s">
        <v>6583</v>
      </c>
      <c r="O815" s="6">
        <v>75</v>
      </c>
      <c r="P815" s="6">
        <v>75</v>
      </c>
      <c r="Q815" s="6">
        <v>67</v>
      </c>
      <c r="R815" s="6">
        <v>76</v>
      </c>
      <c r="S815" s="6">
        <v>72</v>
      </c>
      <c r="T815" s="6">
        <v>71</v>
      </c>
      <c r="U815" s="6">
        <v>66</v>
      </c>
      <c r="V815" s="6">
        <v>76</v>
      </c>
      <c r="W815" s="6">
        <v>72</v>
      </c>
      <c r="X815" s="6">
        <v>71</v>
      </c>
      <c r="Y815" s="6">
        <v>84</v>
      </c>
      <c r="Z815" s="6">
        <v>74</v>
      </c>
      <c r="AA815" s="6">
        <v>65</v>
      </c>
      <c r="AB815" s="6">
        <v>67</v>
      </c>
      <c r="AC815" s="6">
        <v>62</v>
      </c>
      <c r="AD815" s="6">
        <v>66</v>
      </c>
      <c r="AE815" s="6">
        <v>64</v>
      </c>
      <c r="AF815" s="6">
        <v>65</v>
      </c>
      <c r="AG815" s="6" t="s">
        <v>7569</v>
      </c>
      <c r="AH815" s="6" t="s">
        <v>6623</v>
      </c>
    </row>
    <row r="816" spans="1:34" x14ac:dyDescent="0.2">
      <c r="A816" t="s">
        <v>3868</v>
      </c>
      <c r="B816" t="s">
        <v>2132</v>
      </c>
      <c r="C816" t="s">
        <v>2874</v>
      </c>
      <c r="D816" s="7" t="s">
        <v>147</v>
      </c>
      <c r="E816" t="s">
        <v>38</v>
      </c>
      <c r="F816">
        <v>25</v>
      </c>
      <c r="G816">
        <v>69</v>
      </c>
      <c r="H816">
        <v>74</v>
      </c>
      <c r="I816" t="s">
        <v>6448</v>
      </c>
      <c r="J816">
        <v>76</v>
      </c>
      <c r="K816">
        <v>326</v>
      </c>
      <c r="L816" t="s">
        <v>5562</v>
      </c>
      <c r="M816" s="6" t="s">
        <v>6558</v>
      </c>
      <c r="N816" s="6" t="s">
        <v>6567</v>
      </c>
      <c r="O816" s="6">
        <v>66</v>
      </c>
      <c r="P816" s="6">
        <v>79</v>
      </c>
      <c r="Q816" s="6">
        <v>62</v>
      </c>
      <c r="R816" s="6">
        <v>65</v>
      </c>
      <c r="S816" s="6">
        <v>73</v>
      </c>
      <c r="T816" s="6">
        <v>64</v>
      </c>
      <c r="U816" s="6">
        <v>77</v>
      </c>
      <c r="V816" s="6">
        <v>78</v>
      </c>
      <c r="W816" s="6">
        <v>68</v>
      </c>
      <c r="X816" s="6">
        <v>63</v>
      </c>
      <c r="Y816" s="6">
        <v>66</v>
      </c>
      <c r="Z816" s="6">
        <v>72</v>
      </c>
      <c r="AA816" s="6">
        <v>72</v>
      </c>
      <c r="AB816" s="6">
        <v>76</v>
      </c>
      <c r="AC816" s="6">
        <v>76</v>
      </c>
      <c r="AD816" s="6">
        <v>73</v>
      </c>
      <c r="AE816" s="6">
        <v>68</v>
      </c>
      <c r="AF816" s="6">
        <v>73</v>
      </c>
      <c r="AG816" s="6" t="s">
        <v>7603</v>
      </c>
      <c r="AH816" s="6" t="s">
        <v>6598</v>
      </c>
    </row>
    <row r="817" spans="1:34" x14ac:dyDescent="0.2">
      <c r="A817" t="s">
        <v>3871</v>
      </c>
      <c r="B817" t="s">
        <v>2135</v>
      </c>
      <c r="C817" t="s">
        <v>2876</v>
      </c>
      <c r="D817" s="7" t="s">
        <v>147</v>
      </c>
      <c r="E817" t="s">
        <v>58</v>
      </c>
      <c r="F817">
        <v>31</v>
      </c>
      <c r="G817">
        <v>72</v>
      </c>
      <c r="H817">
        <v>74</v>
      </c>
      <c r="I817" t="s">
        <v>6433</v>
      </c>
      <c r="J817">
        <v>76</v>
      </c>
      <c r="K817">
        <v>333</v>
      </c>
      <c r="L817" t="s">
        <v>5565</v>
      </c>
      <c r="M817" s="6" t="s">
        <v>6558</v>
      </c>
      <c r="N817" s="6" t="s">
        <v>6583</v>
      </c>
      <c r="O817" s="6">
        <v>85</v>
      </c>
      <c r="P817" s="6">
        <v>76</v>
      </c>
      <c r="Q817" s="6">
        <v>73</v>
      </c>
      <c r="R817" s="6">
        <v>79</v>
      </c>
      <c r="S817" s="6">
        <v>82</v>
      </c>
      <c r="T817" s="6">
        <v>79</v>
      </c>
      <c r="U817" s="6">
        <v>79</v>
      </c>
      <c r="V817" s="6">
        <v>77</v>
      </c>
      <c r="W817" s="6">
        <v>79</v>
      </c>
      <c r="X817" s="6">
        <v>84</v>
      </c>
      <c r="Y817" s="6">
        <v>88</v>
      </c>
      <c r="Z817" s="6">
        <v>78</v>
      </c>
      <c r="AA817" s="6">
        <v>68</v>
      </c>
      <c r="AB817" s="6">
        <v>72</v>
      </c>
      <c r="AC817" s="6">
        <v>74</v>
      </c>
      <c r="AD817" s="6">
        <v>76</v>
      </c>
      <c r="AE817" s="6">
        <v>70</v>
      </c>
      <c r="AF817" s="6">
        <v>73</v>
      </c>
      <c r="AG817" s="6" t="s">
        <v>7606</v>
      </c>
      <c r="AH817" s="6" t="s">
        <v>6598</v>
      </c>
    </row>
    <row r="818" spans="1:34" x14ac:dyDescent="0.2">
      <c r="A818" t="s">
        <v>3879</v>
      </c>
      <c r="B818" t="s">
        <v>2143</v>
      </c>
      <c r="C818" t="s">
        <v>2879</v>
      </c>
      <c r="D818" s="7" t="s">
        <v>147</v>
      </c>
      <c r="E818" t="s">
        <v>38</v>
      </c>
      <c r="F818">
        <v>29</v>
      </c>
      <c r="G818">
        <v>81</v>
      </c>
      <c r="H818">
        <v>74</v>
      </c>
      <c r="I818" t="s">
        <v>6460</v>
      </c>
      <c r="J818">
        <v>74</v>
      </c>
      <c r="K818">
        <v>290</v>
      </c>
      <c r="L818" t="s">
        <v>5573</v>
      </c>
      <c r="M818" s="6" t="s">
        <v>6558</v>
      </c>
      <c r="N818" s="6" t="s">
        <v>6559</v>
      </c>
      <c r="O818" s="6">
        <v>77</v>
      </c>
      <c r="P818" s="6">
        <v>77</v>
      </c>
      <c r="Q818" s="6">
        <v>73</v>
      </c>
      <c r="R818" s="6">
        <v>84</v>
      </c>
      <c r="S818" s="6">
        <v>85</v>
      </c>
      <c r="T818" s="6">
        <v>75</v>
      </c>
      <c r="U818" s="6">
        <v>73</v>
      </c>
      <c r="V818" s="6">
        <v>80</v>
      </c>
      <c r="W818" s="6">
        <v>67</v>
      </c>
      <c r="X818" s="6">
        <v>70</v>
      </c>
      <c r="Y818" s="6">
        <v>72</v>
      </c>
      <c r="Z818" s="6">
        <v>75</v>
      </c>
      <c r="AA818" s="6">
        <v>73</v>
      </c>
      <c r="AB818" s="6">
        <v>80</v>
      </c>
      <c r="AC818" s="6">
        <v>72</v>
      </c>
      <c r="AD818" s="6">
        <v>74</v>
      </c>
      <c r="AE818" s="6">
        <v>68</v>
      </c>
      <c r="AF818" s="6">
        <v>69</v>
      </c>
      <c r="AG818" s="6" t="s">
        <v>7614</v>
      </c>
      <c r="AH818" s="6" t="s">
        <v>6855</v>
      </c>
    </row>
    <row r="819" spans="1:34" x14ac:dyDescent="0.2">
      <c r="A819" t="s">
        <v>3904</v>
      </c>
      <c r="B819" t="s">
        <v>2168</v>
      </c>
      <c r="C819" t="s">
        <v>53</v>
      </c>
      <c r="D819" s="7" t="s">
        <v>144</v>
      </c>
      <c r="E819" t="s">
        <v>58</v>
      </c>
      <c r="F819">
        <v>27</v>
      </c>
      <c r="G819">
        <v>68</v>
      </c>
      <c r="H819">
        <v>74</v>
      </c>
      <c r="I819" t="s">
        <v>6334</v>
      </c>
      <c r="J819">
        <v>74</v>
      </c>
      <c r="K819">
        <v>240</v>
      </c>
      <c r="L819" t="s">
        <v>5598</v>
      </c>
      <c r="M819" s="6" t="s">
        <v>6558</v>
      </c>
      <c r="N819" s="6" t="s">
        <v>6567</v>
      </c>
      <c r="O819" s="6">
        <v>73</v>
      </c>
      <c r="P819" s="6">
        <v>72</v>
      </c>
      <c r="Q819" s="6">
        <v>63</v>
      </c>
      <c r="R819" s="6">
        <v>64</v>
      </c>
      <c r="S819" s="6">
        <v>70</v>
      </c>
      <c r="T819" s="6">
        <v>70</v>
      </c>
      <c r="U819" s="6">
        <v>78</v>
      </c>
      <c r="V819" s="6">
        <v>68</v>
      </c>
      <c r="W819" s="6">
        <v>74</v>
      </c>
      <c r="X819" s="6">
        <v>67</v>
      </c>
      <c r="Y819" s="6">
        <v>63</v>
      </c>
      <c r="Z819" s="6">
        <v>70</v>
      </c>
      <c r="AA819" s="6">
        <v>67</v>
      </c>
      <c r="AB819" s="6">
        <v>71</v>
      </c>
      <c r="AC819" s="6">
        <v>64</v>
      </c>
      <c r="AD819" s="6">
        <v>67</v>
      </c>
      <c r="AE819" s="6">
        <v>62</v>
      </c>
      <c r="AF819" s="6">
        <v>70</v>
      </c>
      <c r="AG819" s="6" t="s">
        <v>7639</v>
      </c>
      <c r="AH819" s="6" t="s">
        <v>6570</v>
      </c>
    </row>
    <row r="820" spans="1:34" x14ac:dyDescent="0.2">
      <c r="A820" t="s">
        <v>3935</v>
      </c>
      <c r="B820" t="s">
        <v>2199</v>
      </c>
      <c r="C820" t="s">
        <v>2880</v>
      </c>
      <c r="D820" s="7" t="s">
        <v>144</v>
      </c>
      <c r="E820" t="s">
        <v>58</v>
      </c>
      <c r="F820">
        <v>31</v>
      </c>
      <c r="G820">
        <v>75</v>
      </c>
      <c r="H820">
        <v>74</v>
      </c>
      <c r="I820" t="s">
        <v>6310</v>
      </c>
      <c r="J820">
        <v>74</v>
      </c>
      <c r="K820">
        <v>251</v>
      </c>
      <c r="L820" t="s">
        <v>5629</v>
      </c>
      <c r="M820" s="6" t="s">
        <v>6558</v>
      </c>
      <c r="N820" s="6" t="s">
        <v>6565</v>
      </c>
      <c r="O820" s="6">
        <v>90</v>
      </c>
      <c r="P820" s="6">
        <v>77</v>
      </c>
      <c r="Q820" s="6">
        <v>65</v>
      </c>
      <c r="R820" s="6">
        <v>75</v>
      </c>
      <c r="S820" s="6">
        <v>75</v>
      </c>
      <c r="T820" s="6">
        <v>71</v>
      </c>
      <c r="U820" s="6">
        <v>66</v>
      </c>
      <c r="V820" s="6">
        <v>73</v>
      </c>
      <c r="W820" s="6">
        <v>85</v>
      </c>
      <c r="X820" s="6">
        <v>73</v>
      </c>
      <c r="Y820" s="6">
        <v>81</v>
      </c>
      <c r="Z820" s="6">
        <v>70</v>
      </c>
      <c r="AA820" s="6">
        <v>69</v>
      </c>
      <c r="AB820" s="6">
        <v>70</v>
      </c>
      <c r="AC820" s="6">
        <v>62</v>
      </c>
      <c r="AD820" s="6">
        <v>75</v>
      </c>
      <c r="AE820" s="6">
        <v>67</v>
      </c>
      <c r="AF820" s="6">
        <v>73</v>
      </c>
      <c r="AG820" s="6" t="s">
        <v>7669</v>
      </c>
      <c r="AH820" s="6" t="s">
        <v>6623</v>
      </c>
    </row>
    <row r="821" spans="1:34" x14ac:dyDescent="0.2">
      <c r="A821" t="s">
        <v>3977</v>
      </c>
      <c r="B821" t="s">
        <v>2241</v>
      </c>
      <c r="C821" t="s">
        <v>2871</v>
      </c>
      <c r="D821" s="7" t="s">
        <v>149</v>
      </c>
      <c r="E821" t="s">
        <v>38</v>
      </c>
      <c r="F821">
        <v>29</v>
      </c>
      <c r="G821">
        <v>64</v>
      </c>
      <c r="H821">
        <v>74</v>
      </c>
      <c r="I821" t="s">
        <v>6388</v>
      </c>
      <c r="J821">
        <v>77</v>
      </c>
      <c r="K821">
        <v>258</v>
      </c>
      <c r="L821" t="s">
        <v>5671</v>
      </c>
      <c r="M821" s="6" t="s">
        <v>6558</v>
      </c>
      <c r="N821" s="6" t="s">
        <v>6565</v>
      </c>
      <c r="O821" s="6">
        <v>74</v>
      </c>
      <c r="P821" s="6">
        <v>61</v>
      </c>
      <c r="Q821" s="6">
        <v>68</v>
      </c>
      <c r="R821" s="6">
        <v>73</v>
      </c>
      <c r="S821" s="6">
        <v>69</v>
      </c>
      <c r="T821" s="6">
        <v>77</v>
      </c>
      <c r="U821" s="6">
        <v>73</v>
      </c>
      <c r="V821" s="6">
        <v>62</v>
      </c>
      <c r="W821" s="6">
        <v>75</v>
      </c>
      <c r="X821" s="6">
        <v>73</v>
      </c>
      <c r="Y821" s="6">
        <v>78</v>
      </c>
      <c r="Z821" s="6">
        <v>63</v>
      </c>
      <c r="AA821" s="6">
        <v>63</v>
      </c>
      <c r="AB821" s="6">
        <v>71</v>
      </c>
      <c r="AC821" s="6">
        <v>61</v>
      </c>
      <c r="AD821" s="6">
        <v>68</v>
      </c>
      <c r="AE821" s="6">
        <v>59</v>
      </c>
      <c r="AF821" s="6">
        <v>70</v>
      </c>
      <c r="AG821" s="6" t="s">
        <v>7710</v>
      </c>
      <c r="AH821" s="6" t="s">
        <v>6737</v>
      </c>
    </row>
    <row r="822" spans="1:34" x14ac:dyDescent="0.2">
      <c r="A822" t="s">
        <v>4012</v>
      </c>
      <c r="B822" t="s">
        <v>2276</v>
      </c>
      <c r="C822" t="s">
        <v>2883</v>
      </c>
      <c r="D822" s="7" t="s">
        <v>149</v>
      </c>
      <c r="E822" t="s">
        <v>38</v>
      </c>
      <c r="F822">
        <v>22</v>
      </c>
      <c r="G822">
        <v>69</v>
      </c>
      <c r="H822">
        <v>74</v>
      </c>
      <c r="I822" t="s">
        <v>6344</v>
      </c>
      <c r="J822">
        <v>72</v>
      </c>
      <c r="K822">
        <v>220</v>
      </c>
      <c r="L822" t="s">
        <v>5706</v>
      </c>
      <c r="M822" s="6" t="s">
        <v>6558</v>
      </c>
      <c r="N822" s="6" t="s">
        <v>6567</v>
      </c>
      <c r="O822" s="6">
        <v>62</v>
      </c>
      <c r="P822" s="6">
        <v>69</v>
      </c>
      <c r="Q822" s="6">
        <v>65</v>
      </c>
      <c r="R822" s="6">
        <v>69</v>
      </c>
      <c r="S822" s="6">
        <v>69</v>
      </c>
      <c r="T822" s="6">
        <v>63</v>
      </c>
      <c r="U822" s="6">
        <v>69</v>
      </c>
      <c r="V822" s="6">
        <v>74</v>
      </c>
      <c r="W822" s="6">
        <v>58</v>
      </c>
      <c r="X822" s="6">
        <v>63</v>
      </c>
      <c r="Y822" s="6">
        <v>68</v>
      </c>
      <c r="Z822" s="6">
        <v>72</v>
      </c>
      <c r="AA822" s="6">
        <v>71</v>
      </c>
      <c r="AB822" s="6">
        <v>68</v>
      </c>
      <c r="AC822" s="6">
        <v>69</v>
      </c>
      <c r="AD822" s="6">
        <v>66</v>
      </c>
      <c r="AE822" s="6">
        <v>70</v>
      </c>
      <c r="AF822" s="6">
        <v>70</v>
      </c>
      <c r="AG822" s="6" t="s">
        <v>7745</v>
      </c>
      <c r="AH822" s="6" t="s">
        <v>6640</v>
      </c>
    </row>
    <row r="823" spans="1:34" x14ac:dyDescent="0.2">
      <c r="A823" t="s">
        <v>4021</v>
      </c>
      <c r="B823" t="s">
        <v>2285</v>
      </c>
      <c r="C823" t="s">
        <v>53</v>
      </c>
      <c r="D823" s="7" t="s">
        <v>22</v>
      </c>
      <c r="E823" t="s">
        <v>58</v>
      </c>
      <c r="F823">
        <v>35</v>
      </c>
      <c r="G823">
        <v>71</v>
      </c>
      <c r="H823">
        <v>74</v>
      </c>
      <c r="I823" t="s">
        <v>62</v>
      </c>
      <c r="J823">
        <v>74</v>
      </c>
      <c r="K823">
        <v>228</v>
      </c>
      <c r="L823" t="s">
        <v>5715</v>
      </c>
      <c r="M823" s="6" t="s">
        <v>6558</v>
      </c>
      <c r="N823" s="6" t="s">
        <v>6583</v>
      </c>
      <c r="O823" s="6">
        <v>82</v>
      </c>
      <c r="P823" s="6">
        <v>76</v>
      </c>
      <c r="Q823" s="6">
        <v>75</v>
      </c>
      <c r="R823" s="6">
        <v>77</v>
      </c>
      <c r="S823" s="6">
        <v>87</v>
      </c>
      <c r="T823" s="6">
        <v>72</v>
      </c>
      <c r="U823" s="6">
        <v>74</v>
      </c>
      <c r="V823" s="6">
        <v>70</v>
      </c>
      <c r="W823" s="6">
        <v>86</v>
      </c>
      <c r="X823" s="6">
        <v>81</v>
      </c>
      <c r="Y823" s="6">
        <v>73</v>
      </c>
      <c r="Z823" s="6">
        <v>87</v>
      </c>
      <c r="AA823" s="6">
        <v>66</v>
      </c>
      <c r="AB823" s="6">
        <v>66</v>
      </c>
      <c r="AC823" s="6">
        <v>62</v>
      </c>
      <c r="AD823" s="6">
        <v>66</v>
      </c>
      <c r="AE823" s="6">
        <v>72</v>
      </c>
      <c r="AF823" s="6">
        <v>64</v>
      </c>
      <c r="AG823" s="6" t="s">
        <v>7753</v>
      </c>
      <c r="AH823" s="6" t="s">
        <v>7149</v>
      </c>
    </row>
    <row r="824" spans="1:34" x14ac:dyDescent="0.2">
      <c r="A824" t="s">
        <v>4076</v>
      </c>
      <c r="B824" t="s">
        <v>2340</v>
      </c>
      <c r="C824" t="s">
        <v>53</v>
      </c>
      <c r="D824" s="7" t="s">
        <v>25</v>
      </c>
      <c r="E824" t="s">
        <v>38</v>
      </c>
      <c r="F824">
        <v>28</v>
      </c>
      <c r="G824">
        <v>83</v>
      </c>
      <c r="H824">
        <v>74</v>
      </c>
      <c r="I824" t="s">
        <v>6385</v>
      </c>
      <c r="J824">
        <v>75</v>
      </c>
      <c r="K824">
        <v>231</v>
      </c>
      <c r="L824" t="s">
        <v>5770</v>
      </c>
      <c r="M824" s="6" t="s">
        <v>6558</v>
      </c>
      <c r="N824" s="6" t="s">
        <v>6562</v>
      </c>
      <c r="O824" s="6">
        <v>83</v>
      </c>
      <c r="P824" s="6">
        <v>87</v>
      </c>
      <c r="Q824" s="6">
        <v>69</v>
      </c>
      <c r="R824" s="6">
        <v>98</v>
      </c>
      <c r="S824" s="6">
        <v>86</v>
      </c>
      <c r="T824" s="6">
        <v>76</v>
      </c>
      <c r="U824" s="6">
        <v>79</v>
      </c>
      <c r="V824" s="6">
        <v>86</v>
      </c>
      <c r="W824" s="6">
        <v>84</v>
      </c>
      <c r="X824" s="6">
        <v>86</v>
      </c>
      <c r="Y824" s="6">
        <v>82</v>
      </c>
      <c r="Z824" s="6">
        <v>86</v>
      </c>
      <c r="AA824" s="6">
        <v>79</v>
      </c>
      <c r="AB824" s="6">
        <v>76</v>
      </c>
      <c r="AC824" s="6">
        <v>76</v>
      </c>
      <c r="AD824" s="6">
        <v>81</v>
      </c>
      <c r="AE824" s="6">
        <v>79</v>
      </c>
      <c r="AF824" s="6">
        <v>80</v>
      </c>
      <c r="AG824" s="6" t="s">
        <v>7807</v>
      </c>
      <c r="AH824" s="6" t="s">
        <v>6936</v>
      </c>
    </row>
    <row r="825" spans="1:34" x14ac:dyDescent="0.2">
      <c r="A825" t="s">
        <v>4110</v>
      </c>
      <c r="B825" t="s">
        <v>2374</v>
      </c>
      <c r="C825" t="s">
        <v>2880</v>
      </c>
      <c r="D825" s="7" t="s">
        <v>25</v>
      </c>
      <c r="E825" t="s">
        <v>58</v>
      </c>
      <c r="F825">
        <v>23</v>
      </c>
      <c r="G825">
        <v>77</v>
      </c>
      <c r="H825">
        <v>74</v>
      </c>
      <c r="I825" t="s">
        <v>6309</v>
      </c>
      <c r="J825">
        <v>77</v>
      </c>
      <c r="K825">
        <v>253</v>
      </c>
      <c r="L825" t="s">
        <v>5804</v>
      </c>
      <c r="M825" s="6" t="s">
        <v>6558</v>
      </c>
      <c r="N825" s="6" t="s">
        <v>6583</v>
      </c>
      <c r="O825" s="6">
        <v>75</v>
      </c>
      <c r="P825" s="6">
        <v>76</v>
      </c>
      <c r="Q825" s="6">
        <v>64</v>
      </c>
      <c r="R825" s="6">
        <v>77</v>
      </c>
      <c r="S825" s="6">
        <v>69</v>
      </c>
      <c r="T825" s="6">
        <v>70</v>
      </c>
      <c r="U825" s="6">
        <v>76</v>
      </c>
      <c r="V825" s="6">
        <v>72</v>
      </c>
      <c r="W825" s="6">
        <v>76</v>
      </c>
      <c r="X825" s="6">
        <v>64</v>
      </c>
      <c r="Y825" s="6">
        <v>77</v>
      </c>
      <c r="Z825" s="6">
        <v>66</v>
      </c>
      <c r="AA825" s="6">
        <v>66</v>
      </c>
      <c r="AB825" s="6">
        <v>76</v>
      </c>
      <c r="AC825" s="6">
        <v>72</v>
      </c>
      <c r="AD825" s="6">
        <v>72</v>
      </c>
      <c r="AE825" s="6">
        <v>68</v>
      </c>
      <c r="AF825" s="6">
        <v>71</v>
      </c>
      <c r="AG825" s="6" t="s">
        <v>7842</v>
      </c>
      <c r="AH825" s="6" t="s">
        <v>6623</v>
      </c>
    </row>
    <row r="826" spans="1:34" x14ac:dyDescent="0.2">
      <c r="A826" t="s">
        <v>4125</v>
      </c>
      <c r="B826" t="s">
        <v>2389</v>
      </c>
      <c r="C826" t="s">
        <v>2891</v>
      </c>
      <c r="D826" s="7" t="s">
        <v>25</v>
      </c>
      <c r="E826" t="s">
        <v>38</v>
      </c>
      <c r="F826">
        <v>28</v>
      </c>
      <c r="G826">
        <v>73</v>
      </c>
      <c r="H826">
        <v>74</v>
      </c>
      <c r="I826" t="s">
        <v>6395</v>
      </c>
      <c r="J826">
        <v>75</v>
      </c>
      <c r="K826">
        <v>225</v>
      </c>
      <c r="L826" t="s">
        <v>5819</v>
      </c>
      <c r="M826" s="6" t="s">
        <v>6558</v>
      </c>
      <c r="N826" s="6" t="s">
        <v>6567</v>
      </c>
      <c r="O826" s="6">
        <v>73</v>
      </c>
      <c r="P826" s="6">
        <v>74</v>
      </c>
      <c r="Q826" s="6">
        <v>70</v>
      </c>
      <c r="R826" s="6">
        <v>66</v>
      </c>
      <c r="S826" s="6">
        <v>84</v>
      </c>
      <c r="T826" s="6">
        <v>73</v>
      </c>
      <c r="U826" s="6">
        <v>82</v>
      </c>
      <c r="V826" s="6">
        <v>69</v>
      </c>
      <c r="W826" s="6">
        <v>67</v>
      </c>
      <c r="X826" s="6">
        <v>84</v>
      </c>
      <c r="Y826" s="6">
        <v>72</v>
      </c>
      <c r="Z826" s="6">
        <v>70</v>
      </c>
      <c r="AA826" s="6">
        <v>73</v>
      </c>
      <c r="AB826" s="6">
        <v>79</v>
      </c>
      <c r="AC826" s="6">
        <v>83</v>
      </c>
      <c r="AD826" s="6">
        <v>67</v>
      </c>
      <c r="AE826" s="6">
        <v>65</v>
      </c>
      <c r="AF826" s="6">
        <v>72</v>
      </c>
      <c r="AG826" s="6" t="s">
        <v>7857</v>
      </c>
      <c r="AH826" s="6" t="s">
        <v>6824</v>
      </c>
    </row>
    <row r="827" spans="1:34" x14ac:dyDescent="0.2">
      <c r="A827" t="s">
        <v>4142</v>
      </c>
      <c r="B827" t="s">
        <v>2406</v>
      </c>
      <c r="C827" t="s">
        <v>2872</v>
      </c>
      <c r="D827" s="7" t="s">
        <v>150</v>
      </c>
      <c r="E827" t="s">
        <v>38</v>
      </c>
      <c r="F827">
        <v>26</v>
      </c>
      <c r="G827">
        <v>83</v>
      </c>
      <c r="H827">
        <v>74</v>
      </c>
      <c r="I827" t="s">
        <v>6405</v>
      </c>
      <c r="J827">
        <v>76</v>
      </c>
      <c r="K827">
        <v>312</v>
      </c>
      <c r="L827" t="s">
        <v>5836</v>
      </c>
      <c r="M827" s="6" t="s">
        <v>6558</v>
      </c>
      <c r="N827" s="6" t="s">
        <v>6567</v>
      </c>
      <c r="O827" s="6">
        <v>77</v>
      </c>
      <c r="P827" s="6">
        <v>77</v>
      </c>
      <c r="Q827" s="6">
        <v>78</v>
      </c>
      <c r="R827" s="6">
        <v>69</v>
      </c>
      <c r="S827" s="6">
        <v>73</v>
      </c>
      <c r="T827" s="6">
        <v>64</v>
      </c>
      <c r="U827" s="6">
        <v>79</v>
      </c>
      <c r="V827" s="6">
        <v>74</v>
      </c>
      <c r="W827" s="6">
        <v>77</v>
      </c>
      <c r="X827" s="6">
        <v>82</v>
      </c>
      <c r="Y827" s="6">
        <v>83</v>
      </c>
      <c r="Z827" s="6">
        <v>75</v>
      </c>
      <c r="AA827" s="6">
        <v>71</v>
      </c>
      <c r="AB827" s="6">
        <v>76</v>
      </c>
      <c r="AC827" s="6">
        <v>71</v>
      </c>
      <c r="AD827" s="6">
        <v>75</v>
      </c>
      <c r="AE827" s="6">
        <v>73</v>
      </c>
      <c r="AF827" s="6">
        <v>70</v>
      </c>
      <c r="AG827" s="6" t="s">
        <v>7873</v>
      </c>
      <c r="AH827" s="6" t="s">
        <v>6593</v>
      </c>
    </row>
    <row r="828" spans="1:34" x14ac:dyDescent="0.2">
      <c r="A828" t="s">
        <v>4151</v>
      </c>
      <c r="B828" t="s">
        <v>2415</v>
      </c>
      <c r="C828" t="s">
        <v>2878</v>
      </c>
      <c r="D828" s="7" t="s">
        <v>150</v>
      </c>
      <c r="E828" t="s">
        <v>38</v>
      </c>
      <c r="F828">
        <v>25</v>
      </c>
      <c r="G828">
        <v>82</v>
      </c>
      <c r="H828">
        <v>74</v>
      </c>
      <c r="I828" t="s">
        <v>6472</v>
      </c>
      <c r="J828">
        <v>75</v>
      </c>
      <c r="K828">
        <v>274</v>
      </c>
      <c r="L828" t="s">
        <v>5845</v>
      </c>
      <c r="M828" s="6" t="s">
        <v>6558</v>
      </c>
      <c r="N828" s="6" t="s">
        <v>6567</v>
      </c>
      <c r="O828" s="6">
        <v>80</v>
      </c>
      <c r="P828" s="6">
        <v>71</v>
      </c>
      <c r="Q828" s="6">
        <v>79</v>
      </c>
      <c r="R828" s="6">
        <v>63</v>
      </c>
      <c r="S828" s="6">
        <v>84</v>
      </c>
      <c r="T828" s="6">
        <v>72</v>
      </c>
      <c r="U828" s="6">
        <v>81</v>
      </c>
      <c r="V828" s="6">
        <v>72</v>
      </c>
      <c r="W828" s="6">
        <v>85</v>
      </c>
      <c r="X828" s="6">
        <v>83</v>
      </c>
      <c r="Y828" s="6">
        <v>69</v>
      </c>
      <c r="Z828" s="6">
        <v>80</v>
      </c>
      <c r="AA828" s="6">
        <v>77</v>
      </c>
      <c r="AB828" s="6">
        <v>78</v>
      </c>
      <c r="AC828" s="6">
        <v>75</v>
      </c>
      <c r="AD828" s="6">
        <v>71</v>
      </c>
      <c r="AE828" s="6">
        <v>77</v>
      </c>
      <c r="AF828" s="6">
        <v>77</v>
      </c>
      <c r="AG828" s="6" t="s">
        <v>7882</v>
      </c>
      <c r="AH828" s="6" t="s">
        <v>6797</v>
      </c>
    </row>
    <row r="829" spans="1:34" x14ac:dyDescent="0.2">
      <c r="A829" t="s">
        <v>4189</v>
      </c>
      <c r="B829" t="s">
        <v>2453</v>
      </c>
      <c r="C829" t="s">
        <v>57</v>
      </c>
      <c r="D829" s="7" t="s">
        <v>151</v>
      </c>
      <c r="E829" t="s">
        <v>38</v>
      </c>
      <c r="F829">
        <v>29</v>
      </c>
      <c r="G829">
        <v>72</v>
      </c>
      <c r="H829">
        <v>74</v>
      </c>
      <c r="I829" t="s">
        <v>6360</v>
      </c>
      <c r="J829">
        <v>70</v>
      </c>
      <c r="K829">
        <v>202</v>
      </c>
      <c r="L829" t="s">
        <v>5883</v>
      </c>
      <c r="M829" s="6" t="s">
        <v>6558</v>
      </c>
      <c r="N829" s="6" t="s">
        <v>6583</v>
      </c>
      <c r="O829" s="6">
        <v>75</v>
      </c>
      <c r="P829" s="6">
        <v>70</v>
      </c>
      <c r="Q829" s="6">
        <v>76</v>
      </c>
      <c r="R829" s="6">
        <v>77</v>
      </c>
      <c r="S829" s="6">
        <v>74</v>
      </c>
      <c r="T829" s="6">
        <v>66</v>
      </c>
      <c r="U829" s="6">
        <v>69</v>
      </c>
      <c r="V829" s="6">
        <v>71</v>
      </c>
      <c r="W829" s="6">
        <v>73</v>
      </c>
      <c r="X829" s="6">
        <v>74</v>
      </c>
      <c r="Y829" s="6">
        <v>64</v>
      </c>
      <c r="Z829" s="6">
        <v>86</v>
      </c>
      <c r="AA829" s="6">
        <v>73</v>
      </c>
      <c r="AB829" s="6">
        <v>72</v>
      </c>
      <c r="AC829" s="6">
        <v>69</v>
      </c>
      <c r="AD829" s="6">
        <v>66</v>
      </c>
      <c r="AE829" s="6">
        <v>68</v>
      </c>
      <c r="AF829" s="6">
        <v>71</v>
      </c>
      <c r="AG829" s="6" t="s">
        <v>7920</v>
      </c>
      <c r="AH829" s="6" t="s">
        <v>6782</v>
      </c>
    </row>
    <row r="830" spans="1:34" x14ac:dyDescent="0.2">
      <c r="A830" t="s">
        <v>2945</v>
      </c>
      <c r="B830" t="s">
        <v>1209</v>
      </c>
      <c r="C830" t="s">
        <v>2879</v>
      </c>
      <c r="D830" s="7" t="s">
        <v>129</v>
      </c>
      <c r="E830" t="s">
        <v>58</v>
      </c>
      <c r="F830">
        <v>31</v>
      </c>
      <c r="G830">
        <v>72</v>
      </c>
      <c r="H830">
        <v>73</v>
      </c>
      <c r="I830" t="s">
        <v>6332</v>
      </c>
      <c r="J830">
        <v>76</v>
      </c>
      <c r="K830">
        <v>323</v>
      </c>
      <c r="L830" t="s">
        <v>4639</v>
      </c>
      <c r="M830" s="6" t="s">
        <v>6558</v>
      </c>
      <c r="N830" s="6" t="s">
        <v>6614</v>
      </c>
      <c r="O830" s="6">
        <v>75</v>
      </c>
      <c r="P830" s="6">
        <v>73</v>
      </c>
      <c r="Q830" s="6">
        <v>73</v>
      </c>
      <c r="R830" s="6">
        <v>62</v>
      </c>
      <c r="S830" s="6">
        <v>81</v>
      </c>
      <c r="T830" s="6">
        <v>71</v>
      </c>
      <c r="U830" s="6">
        <v>85</v>
      </c>
      <c r="V830" s="6">
        <v>74</v>
      </c>
      <c r="W830" s="6">
        <v>71</v>
      </c>
      <c r="X830" s="6">
        <v>73</v>
      </c>
      <c r="Y830" s="6">
        <v>71</v>
      </c>
      <c r="Z830" s="6">
        <v>88</v>
      </c>
      <c r="AA830" s="6">
        <v>70</v>
      </c>
      <c r="AB830" s="6">
        <v>70</v>
      </c>
      <c r="AC830" s="6">
        <v>65</v>
      </c>
      <c r="AD830" s="6">
        <v>66</v>
      </c>
      <c r="AE830" s="6">
        <v>69</v>
      </c>
      <c r="AF830" s="6">
        <v>72</v>
      </c>
      <c r="AG830" s="6" t="s">
        <v>6620</v>
      </c>
      <c r="AH830" s="6" t="s">
        <v>6619</v>
      </c>
    </row>
    <row r="831" spans="1:34" x14ac:dyDescent="0.2">
      <c r="A831" t="s">
        <v>2962</v>
      </c>
      <c r="B831" t="s">
        <v>1226</v>
      </c>
      <c r="C831" t="s">
        <v>2885</v>
      </c>
      <c r="D831" s="7" t="s">
        <v>129</v>
      </c>
      <c r="E831" t="s">
        <v>38</v>
      </c>
      <c r="F831">
        <v>22</v>
      </c>
      <c r="G831">
        <v>84</v>
      </c>
      <c r="H831">
        <v>73</v>
      </c>
      <c r="I831" t="s">
        <v>6302</v>
      </c>
      <c r="J831">
        <v>74</v>
      </c>
      <c r="K831">
        <v>251</v>
      </c>
      <c r="L831" t="s">
        <v>4656</v>
      </c>
      <c r="M831" s="6" t="s">
        <v>6646</v>
      </c>
      <c r="N831" s="6" t="s">
        <v>6565</v>
      </c>
      <c r="O831" s="6">
        <v>65</v>
      </c>
      <c r="P831" s="6">
        <v>73</v>
      </c>
      <c r="Q831" s="6">
        <v>68</v>
      </c>
      <c r="R831" s="6">
        <v>73</v>
      </c>
      <c r="S831" s="6">
        <v>63</v>
      </c>
      <c r="T831" s="6">
        <v>71</v>
      </c>
      <c r="U831" s="6">
        <v>57</v>
      </c>
      <c r="V831" s="6">
        <v>78</v>
      </c>
      <c r="W831" s="6">
        <v>68</v>
      </c>
      <c r="X831" s="6">
        <v>75</v>
      </c>
      <c r="Y831" s="6">
        <v>72</v>
      </c>
      <c r="Z831" s="6">
        <v>59</v>
      </c>
      <c r="AA831" s="6">
        <v>67</v>
      </c>
      <c r="AB831" s="6">
        <v>73</v>
      </c>
      <c r="AC831" s="6">
        <v>62</v>
      </c>
      <c r="AD831" s="6">
        <v>67</v>
      </c>
      <c r="AE831" s="6">
        <v>65</v>
      </c>
      <c r="AF831" s="6">
        <v>73</v>
      </c>
      <c r="AG831" s="6" t="s">
        <v>6647</v>
      </c>
      <c r="AH831" s="6" t="s">
        <v>6628</v>
      </c>
    </row>
    <row r="832" spans="1:34" x14ac:dyDescent="0.2">
      <c r="A832" t="s">
        <v>3009</v>
      </c>
      <c r="B832" t="s">
        <v>1273</v>
      </c>
      <c r="C832" t="s">
        <v>2885</v>
      </c>
      <c r="D832" s="7" t="s">
        <v>146</v>
      </c>
      <c r="E832" t="s">
        <v>58</v>
      </c>
      <c r="F832">
        <v>33</v>
      </c>
      <c r="G832">
        <v>61</v>
      </c>
      <c r="H832">
        <v>73</v>
      </c>
      <c r="I832" t="s">
        <v>6346</v>
      </c>
      <c r="J832">
        <v>74</v>
      </c>
      <c r="K832">
        <v>239</v>
      </c>
      <c r="L832" t="s">
        <v>4703</v>
      </c>
      <c r="M832" s="6" t="s">
        <v>6558</v>
      </c>
      <c r="N832" s="6" t="s">
        <v>6567</v>
      </c>
      <c r="O832" s="6">
        <v>69</v>
      </c>
      <c r="P832" s="6">
        <v>63</v>
      </c>
      <c r="Q832" s="6">
        <v>70</v>
      </c>
      <c r="R832" s="6">
        <v>69</v>
      </c>
      <c r="S832" s="6">
        <v>81</v>
      </c>
      <c r="T832" s="6">
        <v>66</v>
      </c>
      <c r="U832" s="6">
        <v>75</v>
      </c>
      <c r="V832" s="6">
        <v>80</v>
      </c>
      <c r="W832" s="6">
        <v>78</v>
      </c>
      <c r="X832" s="6">
        <v>73</v>
      </c>
      <c r="Y832" s="6">
        <v>76</v>
      </c>
      <c r="Z832" s="6">
        <v>72</v>
      </c>
      <c r="AA832" s="6">
        <v>58</v>
      </c>
      <c r="AB832" s="6">
        <v>63</v>
      </c>
      <c r="AC832" s="6">
        <v>60</v>
      </c>
      <c r="AD832" s="6">
        <v>68</v>
      </c>
      <c r="AE832" s="6">
        <v>59</v>
      </c>
      <c r="AF832" s="6">
        <v>66</v>
      </c>
      <c r="AG832" s="6" t="s">
        <v>6713</v>
      </c>
      <c r="AH832" s="6" t="s">
        <v>6711</v>
      </c>
    </row>
    <row r="833" spans="1:34" x14ac:dyDescent="0.2">
      <c r="A833" t="s">
        <v>3046</v>
      </c>
      <c r="B833" t="s">
        <v>1310</v>
      </c>
      <c r="C833" t="s">
        <v>2882</v>
      </c>
      <c r="D833" s="7" t="s">
        <v>131</v>
      </c>
      <c r="E833" t="s">
        <v>38</v>
      </c>
      <c r="F833">
        <v>27</v>
      </c>
      <c r="G833">
        <v>74</v>
      </c>
      <c r="H833">
        <v>73</v>
      </c>
      <c r="I833" t="s">
        <v>6333</v>
      </c>
      <c r="J833">
        <v>71</v>
      </c>
      <c r="K833">
        <v>208</v>
      </c>
      <c r="L833" t="s">
        <v>4740</v>
      </c>
      <c r="M833" s="6" t="s">
        <v>6558</v>
      </c>
      <c r="N833" s="6" t="s">
        <v>6567</v>
      </c>
      <c r="O833" s="6">
        <v>66</v>
      </c>
      <c r="P833" s="6">
        <v>77</v>
      </c>
      <c r="Q833" s="6">
        <v>66</v>
      </c>
      <c r="R833" s="6">
        <v>66</v>
      </c>
      <c r="S833" s="6">
        <v>76</v>
      </c>
      <c r="T833" s="6">
        <v>71</v>
      </c>
      <c r="U833" s="6">
        <v>80</v>
      </c>
      <c r="V833" s="6">
        <v>77</v>
      </c>
      <c r="W833" s="6">
        <v>80</v>
      </c>
      <c r="X833" s="6">
        <v>72</v>
      </c>
      <c r="Y833" s="6">
        <v>78</v>
      </c>
      <c r="Z833" s="6">
        <v>73</v>
      </c>
      <c r="AA833" s="6">
        <v>70</v>
      </c>
      <c r="AB833" s="6">
        <v>75</v>
      </c>
      <c r="AC833" s="6">
        <v>74</v>
      </c>
      <c r="AD833" s="6">
        <v>77</v>
      </c>
      <c r="AE833" s="6">
        <v>66</v>
      </c>
      <c r="AF833" s="6">
        <v>71</v>
      </c>
      <c r="AG833" s="6" t="s">
        <v>6759</v>
      </c>
      <c r="AH833" s="6" t="s">
        <v>6636</v>
      </c>
    </row>
    <row r="834" spans="1:34" x14ac:dyDescent="0.2">
      <c r="A834" t="s">
        <v>3118</v>
      </c>
      <c r="B834" t="s">
        <v>1382</v>
      </c>
      <c r="C834" t="s">
        <v>2872</v>
      </c>
      <c r="D834" s="7" t="s">
        <v>133</v>
      </c>
      <c r="E834" t="s">
        <v>38</v>
      </c>
      <c r="F834">
        <v>26</v>
      </c>
      <c r="G834">
        <v>78</v>
      </c>
      <c r="H834">
        <v>73</v>
      </c>
      <c r="I834" t="s">
        <v>6302</v>
      </c>
      <c r="J834">
        <v>77</v>
      </c>
      <c r="K834">
        <v>322</v>
      </c>
      <c r="L834" t="s">
        <v>4812</v>
      </c>
      <c r="M834" s="6" t="s">
        <v>6558</v>
      </c>
      <c r="N834" s="6" t="s">
        <v>6567</v>
      </c>
      <c r="O834" s="6">
        <v>83</v>
      </c>
      <c r="P834" s="6">
        <v>76</v>
      </c>
      <c r="Q834" s="6">
        <v>68</v>
      </c>
      <c r="R834" s="6">
        <v>67</v>
      </c>
      <c r="S834" s="6">
        <v>78</v>
      </c>
      <c r="T834" s="6">
        <v>71</v>
      </c>
      <c r="U834" s="6">
        <v>67</v>
      </c>
      <c r="V834" s="6">
        <v>69</v>
      </c>
      <c r="W834" s="6">
        <v>83</v>
      </c>
      <c r="X834" s="6">
        <v>76</v>
      </c>
      <c r="Y834" s="6">
        <v>81</v>
      </c>
      <c r="Z834" s="6">
        <v>84</v>
      </c>
      <c r="AA834" s="6">
        <v>70</v>
      </c>
      <c r="AB834" s="6">
        <v>70</v>
      </c>
      <c r="AC834" s="6">
        <v>70</v>
      </c>
      <c r="AD834" s="6">
        <v>77</v>
      </c>
      <c r="AE834" s="6">
        <v>66</v>
      </c>
      <c r="AF834" s="6">
        <v>78</v>
      </c>
      <c r="AG834" s="6" t="s">
        <v>6840</v>
      </c>
      <c r="AH834" s="6" t="s">
        <v>6593</v>
      </c>
    </row>
    <row r="835" spans="1:34" x14ac:dyDescent="0.2">
      <c r="A835" t="s">
        <v>3168</v>
      </c>
      <c r="B835" t="s">
        <v>1432</v>
      </c>
      <c r="C835" t="s">
        <v>2871</v>
      </c>
      <c r="D835" s="7" t="s">
        <v>134</v>
      </c>
      <c r="E835" t="s">
        <v>38</v>
      </c>
      <c r="F835">
        <v>27</v>
      </c>
      <c r="G835">
        <v>73</v>
      </c>
      <c r="H835">
        <v>73</v>
      </c>
      <c r="I835" t="s">
        <v>6359</v>
      </c>
      <c r="J835">
        <v>77</v>
      </c>
      <c r="K835">
        <v>270</v>
      </c>
      <c r="L835" t="s">
        <v>4862</v>
      </c>
      <c r="M835" s="6" t="s">
        <v>6558</v>
      </c>
      <c r="N835" s="6" t="s">
        <v>6583</v>
      </c>
      <c r="O835" s="6">
        <v>72</v>
      </c>
      <c r="P835" s="6">
        <v>70</v>
      </c>
      <c r="Q835" s="6">
        <v>82</v>
      </c>
      <c r="R835" s="6">
        <v>77</v>
      </c>
      <c r="S835" s="6">
        <v>69</v>
      </c>
      <c r="T835" s="6">
        <v>83</v>
      </c>
      <c r="U835" s="6">
        <v>81</v>
      </c>
      <c r="V835" s="6">
        <v>73</v>
      </c>
      <c r="W835" s="6">
        <v>71</v>
      </c>
      <c r="X835" s="6">
        <v>76</v>
      </c>
      <c r="Y835" s="6">
        <v>74</v>
      </c>
      <c r="Z835" s="6">
        <v>84</v>
      </c>
      <c r="AA835" s="6">
        <v>69</v>
      </c>
      <c r="AB835" s="6">
        <v>65</v>
      </c>
      <c r="AC835" s="6">
        <v>71</v>
      </c>
      <c r="AD835" s="6">
        <v>73</v>
      </c>
      <c r="AE835" s="6">
        <v>76</v>
      </c>
      <c r="AF835" s="6">
        <v>72</v>
      </c>
      <c r="AG835" s="6" t="s">
        <v>6895</v>
      </c>
      <c r="AH835" s="6" t="s">
        <v>6585</v>
      </c>
    </row>
    <row r="836" spans="1:34" x14ac:dyDescent="0.2">
      <c r="A836" t="s">
        <v>3221</v>
      </c>
      <c r="B836" t="s">
        <v>1485</v>
      </c>
      <c r="C836" t="s">
        <v>2871</v>
      </c>
      <c r="D836" s="7" t="s">
        <v>132</v>
      </c>
      <c r="E836" t="s">
        <v>58</v>
      </c>
      <c r="F836">
        <v>33</v>
      </c>
      <c r="G836">
        <v>70</v>
      </c>
      <c r="H836">
        <v>73</v>
      </c>
      <c r="I836" t="s">
        <v>6411</v>
      </c>
      <c r="J836">
        <v>78</v>
      </c>
      <c r="K836">
        <v>260</v>
      </c>
      <c r="L836" t="s">
        <v>4915</v>
      </c>
      <c r="M836" s="6" t="s">
        <v>6558</v>
      </c>
      <c r="N836" s="6" t="s">
        <v>6565</v>
      </c>
      <c r="O836" s="6">
        <v>94</v>
      </c>
      <c r="P836" s="6">
        <v>68</v>
      </c>
      <c r="Q836" s="6">
        <v>77</v>
      </c>
      <c r="R836" s="6">
        <v>72</v>
      </c>
      <c r="S836" s="6">
        <v>78</v>
      </c>
      <c r="T836" s="6">
        <v>69</v>
      </c>
      <c r="U836" s="6">
        <v>78</v>
      </c>
      <c r="V836" s="6">
        <v>76</v>
      </c>
      <c r="W836" s="6">
        <v>72</v>
      </c>
      <c r="X836" s="6">
        <v>73</v>
      </c>
      <c r="Y836" s="6">
        <v>68</v>
      </c>
      <c r="Z836" s="6">
        <v>72</v>
      </c>
      <c r="AA836" s="6">
        <v>66</v>
      </c>
      <c r="AB836" s="6">
        <v>61</v>
      </c>
      <c r="AC836" s="6">
        <v>63</v>
      </c>
      <c r="AD836" s="6">
        <v>70</v>
      </c>
      <c r="AE836" s="6">
        <v>60</v>
      </c>
      <c r="AF836" s="6">
        <v>63</v>
      </c>
      <c r="AG836" s="6" t="s">
        <v>6948</v>
      </c>
      <c r="AH836" s="6" t="s">
        <v>6587</v>
      </c>
    </row>
    <row r="837" spans="1:34" x14ac:dyDescent="0.2">
      <c r="A837" t="s">
        <v>3237</v>
      </c>
      <c r="B837" t="s">
        <v>1501</v>
      </c>
      <c r="C837" t="s">
        <v>2879</v>
      </c>
      <c r="D837" s="7" t="s">
        <v>132</v>
      </c>
      <c r="E837" t="s">
        <v>38</v>
      </c>
      <c r="F837">
        <v>30</v>
      </c>
      <c r="G837">
        <v>83</v>
      </c>
      <c r="H837">
        <v>73</v>
      </c>
      <c r="I837" t="s">
        <v>6426</v>
      </c>
      <c r="J837">
        <v>76</v>
      </c>
      <c r="K837">
        <v>311</v>
      </c>
      <c r="L837" t="s">
        <v>4931</v>
      </c>
      <c r="M837" s="6" t="s">
        <v>6558</v>
      </c>
      <c r="N837" s="6" t="s">
        <v>6583</v>
      </c>
      <c r="O837" s="6">
        <v>83</v>
      </c>
      <c r="P837" s="6">
        <v>69</v>
      </c>
      <c r="Q837" s="6">
        <v>78</v>
      </c>
      <c r="R837" s="6">
        <v>78</v>
      </c>
      <c r="S837" s="6">
        <v>80</v>
      </c>
      <c r="T837" s="6">
        <v>87</v>
      </c>
      <c r="U837" s="6">
        <v>81</v>
      </c>
      <c r="V837" s="6">
        <v>84</v>
      </c>
      <c r="W837" s="6">
        <v>80</v>
      </c>
      <c r="X837" s="6">
        <v>73</v>
      </c>
      <c r="Y837" s="6">
        <v>69</v>
      </c>
      <c r="Z837" s="6">
        <v>86</v>
      </c>
      <c r="AA837" s="6">
        <v>67</v>
      </c>
      <c r="AB837" s="6">
        <v>71</v>
      </c>
      <c r="AC837" s="6">
        <v>81</v>
      </c>
      <c r="AD837" s="6">
        <v>75</v>
      </c>
      <c r="AE837" s="6">
        <v>73</v>
      </c>
      <c r="AF837" s="6">
        <v>76</v>
      </c>
      <c r="AG837" s="6" t="s">
        <v>6965</v>
      </c>
      <c r="AH837" s="6" t="s">
        <v>6861</v>
      </c>
    </row>
    <row r="838" spans="1:34" x14ac:dyDescent="0.2">
      <c r="A838" t="s">
        <v>3253</v>
      </c>
      <c r="B838" t="s">
        <v>1517</v>
      </c>
      <c r="C838" t="s">
        <v>2885</v>
      </c>
      <c r="D838" s="7" t="s">
        <v>132</v>
      </c>
      <c r="E838" t="s">
        <v>58</v>
      </c>
      <c r="F838">
        <v>31</v>
      </c>
      <c r="G838">
        <v>77</v>
      </c>
      <c r="H838">
        <v>73</v>
      </c>
      <c r="I838" t="s">
        <v>6442</v>
      </c>
      <c r="J838">
        <v>74</v>
      </c>
      <c r="K838">
        <v>255</v>
      </c>
      <c r="L838" t="s">
        <v>4947</v>
      </c>
      <c r="M838" s="6" t="s">
        <v>6558</v>
      </c>
      <c r="N838" s="6" t="s">
        <v>6565</v>
      </c>
      <c r="O838" s="6">
        <v>83</v>
      </c>
      <c r="P838" s="6">
        <v>82</v>
      </c>
      <c r="Q838" s="6">
        <v>76</v>
      </c>
      <c r="R838" s="6">
        <v>73</v>
      </c>
      <c r="S838" s="6">
        <v>71</v>
      </c>
      <c r="T838" s="6">
        <v>66</v>
      </c>
      <c r="U838" s="6">
        <v>84</v>
      </c>
      <c r="V838" s="6">
        <v>78</v>
      </c>
      <c r="W838" s="6">
        <v>62</v>
      </c>
      <c r="X838" s="6">
        <v>80</v>
      </c>
      <c r="Y838" s="6">
        <v>76</v>
      </c>
      <c r="Z838" s="6">
        <v>78</v>
      </c>
      <c r="AA838" s="6">
        <v>60</v>
      </c>
      <c r="AB838" s="6">
        <v>71</v>
      </c>
      <c r="AC838" s="6">
        <v>62</v>
      </c>
      <c r="AD838" s="6">
        <v>67</v>
      </c>
      <c r="AE838" s="6">
        <v>62</v>
      </c>
      <c r="AF838" s="6">
        <v>70</v>
      </c>
      <c r="AG838" s="6" t="s">
        <v>6982</v>
      </c>
      <c r="AH838" s="6" t="s">
        <v>6711</v>
      </c>
    </row>
    <row r="839" spans="1:34" x14ac:dyDescent="0.2">
      <c r="A839" t="s">
        <v>3282</v>
      </c>
      <c r="B839" t="s">
        <v>1546</v>
      </c>
      <c r="C839" t="s">
        <v>2875</v>
      </c>
      <c r="D839" s="7" t="s">
        <v>136</v>
      </c>
      <c r="E839" t="s">
        <v>38</v>
      </c>
      <c r="F839">
        <v>25</v>
      </c>
      <c r="G839">
        <v>75</v>
      </c>
      <c r="H839">
        <v>73</v>
      </c>
      <c r="I839" t="s">
        <v>6471</v>
      </c>
      <c r="J839">
        <v>74</v>
      </c>
      <c r="K839">
        <v>296</v>
      </c>
      <c r="L839" t="s">
        <v>4976</v>
      </c>
      <c r="M839" s="6" t="s">
        <v>6558</v>
      </c>
      <c r="N839" s="6" t="s">
        <v>6567</v>
      </c>
      <c r="O839" s="6">
        <v>76</v>
      </c>
      <c r="P839" s="6">
        <v>72</v>
      </c>
      <c r="Q839" s="6">
        <v>71</v>
      </c>
      <c r="R839" s="6">
        <v>65</v>
      </c>
      <c r="S839" s="6">
        <v>69</v>
      </c>
      <c r="T839" s="6">
        <v>65</v>
      </c>
      <c r="U839" s="6">
        <v>72</v>
      </c>
      <c r="V839" s="6">
        <v>79</v>
      </c>
      <c r="W839" s="6">
        <v>74</v>
      </c>
      <c r="X839" s="6">
        <v>81</v>
      </c>
      <c r="Y839" s="6">
        <v>76</v>
      </c>
      <c r="Z839" s="6">
        <v>70</v>
      </c>
      <c r="AA839" s="6">
        <v>77</v>
      </c>
      <c r="AB839" s="6">
        <v>80</v>
      </c>
      <c r="AC839" s="6">
        <v>67</v>
      </c>
      <c r="AD839" s="6">
        <v>75</v>
      </c>
      <c r="AE839" s="6">
        <v>73</v>
      </c>
      <c r="AF839" s="6">
        <v>77</v>
      </c>
      <c r="AG839" s="6" t="s">
        <v>7013</v>
      </c>
      <c r="AH839" s="6" t="s">
        <v>6606</v>
      </c>
    </row>
    <row r="840" spans="1:34" x14ac:dyDescent="0.2">
      <c r="A840" t="s">
        <v>3297</v>
      </c>
      <c r="B840" t="s">
        <v>1561</v>
      </c>
      <c r="C840" t="s">
        <v>2882</v>
      </c>
      <c r="D840" s="7" t="s">
        <v>136</v>
      </c>
      <c r="E840" t="s">
        <v>38</v>
      </c>
      <c r="F840">
        <v>24</v>
      </c>
      <c r="G840">
        <v>75</v>
      </c>
      <c r="H840">
        <v>73</v>
      </c>
      <c r="I840" t="s">
        <v>6319</v>
      </c>
      <c r="J840">
        <v>73</v>
      </c>
      <c r="K840">
        <v>215</v>
      </c>
      <c r="L840" t="s">
        <v>4991</v>
      </c>
      <c r="M840" s="6" t="s">
        <v>6558</v>
      </c>
      <c r="N840" s="6" t="s">
        <v>6567</v>
      </c>
      <c r="O840" s="6">
        <v>71</v>
      </c>
      <c r="P840" s="6">
        <v>78</v>
      </c>
      <c r="Q840" s="6">
        <v>66</v>
      </c>
      <c r="R840" s="6">
        <v>68</v>
      </c>
      <c r="S840" s="6">
        <v>68</v>
      </c>
      <c r="T840" s="6">
        <v>62</v>
      </c>
      <c r="U840" s="6">
        <v>68</v>
      </c>
      <c r="V840" s="6">
        <v>78</v>
      </c>
      <c r="W840" s="6">
        <v>75</v>
      </c>
      <c r="X840" s="6">
        <v>69</v>
      </c>
      <c r="Y840" s="6">
        <v>85</v>
      </c>
      <c r="Z840" s="6">
        <v>79</v>
      </c>
      <c r="AA840" s="6">
        <v>72</v>
      </c>
      <c r="AB840" s="6">
        <v>71</v>
      </c>
      <c r="AC840" s="6">
        <v>73</v>
      </c>
      <c r="AD840" s="6">
        <v>77</v>
      </c>
      <c r="AE840" s="6">
        <v>71</v>
      </c>
      <c r="AF840" s="6">
        <v>69</v>
      </c>
      <c r="AG840" s="6" t="s">
        <v>7028</v>
      </c>
      <c r="AH840" s="6" t="s">
        <v>6636</v>
      </c>
    </row>
    <row r="841" spans="1:34" x14ac:dyDescent="0.2">
      <c r="A841" t="s">
        <v>3327</v>
      </c>
      <c r="B841" t="s">
        <v>1591</v>
      </c>
      <c r="C841" t="s">
        <v>2874</v>
      </c>
      <c r="D841" s="7" t="s">
        <v>137</v>
      </c>
      <c r="E841" t="s">
        <v>58</v>
      </c>
      <c r="F841">
        <v>25</v>
      </c>
      <c r="G841">
        <v>63</v>
      </c>
      <c r="H841">
        <v>73</v>
      </c>
      <c r="I841" t="s">
        <v>6336</v>
      </c>
      <c r="J841">
        <v>76</v>
      </c>
      <c r="K841">
        <v>310</v>
      </c>
      <c r="L841" t="s">
        <v>5021</v>
      </c>
      <c r="M841" s="6" t="s">
        <v>6558</v>
      </c>
      <c r="N841" s="6" t="s">
        <v>6614</v>
      </c>
      <c r="O841" s="6">
        <v>66</v>
      </c>
      <c r="P841" s="6">
        <v>66</v>
      </c>
      <c r="Q841" s="6">
        <v>66</v>
      </c>
      <c r="R841" s="6">
        <v>56</v>
      </c>
      <c r="S841" s="6">
        <v>65</v>
      </c>
      <c r="T841" s="6">
        <v>67</v>
      </c>
      <c r="U841" s="6">
        <v>59</v>
      </c>
      <c r="V841" s="6">
        <v>68</v>
      </c>
      <c r="W841" s="6">
        <v>68</v>
      </c>
      <c r="X841" s="6">
        <v>65</v>
      </c>
      <c r="Y841" s="6">
        <v>72</v>
      </c>
      <c r="Z841" s="6">
        <v>67</v>
      </c>
      <c r="AA841" s="6">
        <v>72</v>
      </c>
      <c r="AB841" s="6">
        <v>76</v>
      </c>
      <c r="AC841" s="6">
        <v>68</v>
      </c>
      <c r="AD841" s="6">
        <v>72</v>
      </c>
      <c r="AE841" s="6">
        <v>72</v>
      </c>
      <c r="AF841" s="6">
        <v>60</v>
      </c>
      <c r="AG841" s="6" t="s">
        <v>7060</v>
      </c>
      <c r="AH841" s="6" t="s">
        <v>6598</v>
      </c>
    </row>
    <row r="842" spans="1:34" x14ac:dyDescent="0.2">
      <c r="A842" t="s">
        <v>3351</v>
      </c>
      <c r="B842" t="s">
        <v>1615</v>
      </c>
      <c r="C842" t="s">
        <v>2883</v>
      </c>
      <c r="D842" s="7" t="s">
        <v>137</v>
      </c>
      <c r="E842" t="s">
        <v>58</v>
      </c>
      <c r="F842">
        <v>30</v>
      </c>
      <c r="G842">
        <v>71</v>
      </c>
      <c r="H842">
        <v>73</v>
      </c>
      <c r="I842" t="s">
        <v>6359</v>
      </c>
      <c r="J842">
        <v>73</v>
      </c>
      <c r="K842">
        <v>216</v>
      </c>
      <c r="L842" t="s">
        <v>5045</v>
      </c>
      <c r="M842" s="6" t="s">
        <v>6558</v>
      </c>
      <c r="N842" s="6" t="s">
        <v>6583</v>
      </c>
      <c r="O842" s="6">
        <v>79</v>
      </c>
      <c r="P842" s="6">
        <v>82</v>
      </c>
      <c r="Q842" s="6">
        <v>71</v>
      </c>
      <c r="R842" s="6">
        <v>78</v>
      </c>
      <c r="S842" s="6">
        <v>66</v>
      </c>
      <c r="T842" s="6">
        <v>71</v>
      </c>
      <c r="U842" s="6">
        <v>77</v>
      </c>
      <c r="V842" s="6">
        <v>76</v>
      </c>
      <c r="W842" s="6">
        <v>71</v>
      </c>
      <c r="X842" s="6">
        <v>76</v>
      </c>
      <c r="Y842" s="6">
        <v>80</v>
      </c>
      <c r="Z842" s="6">
        <v>78</v>
      </c>
      <c r="AA842" s="6">
        <v>63</v>
      </c>
      <c r="AB842" s="6">
        <v>69</v>
      </c>
      <c r="AC842" s="6">
        <v>70</v>
      </c>
      <c r="AD842" s="6">
        <v>74</v>
      </c>
      <c r="AE842" s="6">
        <v>71</v>
      </c>
      <c r="AF842" s="6">
        <v>78</v>
      </c>
      <c r="AG842" s="6" t="s">
        <v>7085</v>
      </c>
      <c r="AH842" s="6" t="s">
        <v>6640</v>
      </c>
    </row>
    <row r="843" spans="1:34" x14ac:dyDescent="0.2">
      <c r="A843" t="s">
        <v>3352</v>
      </c>
      <c r="B843" t="s">
        <v>1616</v>
      </c>
      <c r="C843" t="s">
        <v>2883</v>
      </c>
      <c r="D843" s="7" t="s">
        <v>137</v>
      </c>
      <c r="E843" t="s">
        <v>38</v>
      </c>
      <c r="F843">
        <v>27</v>
      </c>
      <c r="G843">
        <v>61</v>
      </c>
      <c r="H843">
        <v>73</v>
      </c>
      <c r="I843" t="s">
        <v>6360</v>
      </c>
      <c r="J843">
        <v>74</v>
      </c>
      <c r="K843">
        <v>205</v>
      </c>
      <c r="L843" t="s">
        <v>5046</v>
      </c>
      <c r="M843" s="6" t="s">
        <v>6558</v>
      </c>
      <c r="N843" s="6" t="s">
        <v>6567</v>
      </c>
      <c r="O843" s="6">
        <v>69</v>
      </c>
      <c r="P843" s="6">
        <v>62</v>
      </c>
      <c r="Q843" s="6">
        <v>66</v>
      </c>
      <c r="R843" s="6">
        <v>67</v>
      </c>
      <c r="S843" s="6">
        <v>73</v>
      </c>
      <c r="T843" s="6">
        <v>63</v>
      </c>
      <c r="U843" s="6">
        <v>67</v>
      </c>
      <c r="V843" s="6">
        <v>71</v>
      </c>
      <c r="W843" s="6">
        <v>70</v>
      </c>
      <c r="X843" s="6">
        <v>68</v>
      </c>
      <c r="Y843" s="6">
        <v>70</v>
      </c>
      <c r="Z843" s="6">
        <v>74</v>
      </c>
      <c r="AA843" s="6">
        <v>66</v>
      </c>
      <c r="AB843" s="6">
        <v>68</v>
      </c>
      <c r="AC843" s="6">
        <v>68</v>
      </c>
      <c r="AD843" s="6">
        <v>59</v>
      </c>
      <c r="AE843" s="6">
        <v>61</v>
      </c>
      <c r="AF843" s="6">
        <v>67</v>
      </c>
      <c r="AG843" s="6" t="s">
        <v>7086</v>
      </c>
      <c r="AH843" s="6" t="s">
        <v>6640</v>
      </c>
    </row>
    <row r="844" spans="1:34" x14ac:dyDescent="0.2">
      <c r="A844" t="s">
        <v>3355</v>
      </c>
      <c r="B844" t="s">
        <v>1619</v>
      </c>
      <c r="C844" t="s">
        <v>2889</v>
      </c>
      <c r="D844" s="7" t="s">
        <v>137</v>
      </c>
      <c r="E844" t="s">
        <v>38</v>
      </c>
      <c r="F844">
        <v>22</v>
      </c>
      <c r="G844">
        <v>72</v>
      </c>
      <c r="H844">
        <v>73</v>
      </c>
      <c r="I844" t="s">
        <v>6333</v>
      </c>
      <c r="J844">
        <v>75</v>
      </c>
      <c r="K844">
        <v>265</v>
      </c>
      <c r="L844" t="s">
        <v>5049</v>
      </c>
      <c r="M844" s="6" t="s">
        <v>6558</v>
      </c>
      <c r="N844" s="6" t="s">
        <v>6583</v>
      </c>
      <c r="O844" s="6">
        <v>75</v>
      </c>
      <c r="P844" s="6">
        <v>75</v>
      </c>
      <c r="Q844" s="6">
        <v>72</v>
      </c>
      <c r="R844" s="6">
        <v>80</v>
      </c>
      <c r="S844" s="6">
        <v>72</v>
      </c>
      <c r="T844" s="6">
        <v>66</v>
      </c>
      <c r="U844" s="6">
        <v>75</v>
      </c>
      <c r="V844" s="6">
        <v>66</v>
      </c>
      <c r="W844" s="6">
        <v>66</v>
      </c>
      <c r="X844" s="6">
        <v>61</v>
      </c>
      <c r="Y844" s="6">
        <v>67</v>
      </c>
      <c r="Z844" s="6">
        <v>77</v>
      </c>
      <c r="AA844" s="6">
        <v>68</v>
      </c>
      <c r="AB844" s="6">
        <v>63</v>
      </c>
      <c r="AC844" s="6">
        <v>67</v>
      </c>
      <c r="AD844" s="6">
        <v>73</v>
      </c>
      <c r="AE844" s="6">
        <v>71</v>
      </c>
      <c r="AF844" s="6">
        <v>74</v>
      </c>
      <c r="AG844" s="6" t="s">
        <v>7089</v>
      </c>
      <c r="AH844" s="6" t="s">
        <v>6709</v>
      </c>
    </row>
    <row r="845" spans="1:34" x14ac:dyDescent="0.2">
      <c r="A845" t="s">
        <v>3358</v>
      </c>
      <c r="B845" t="s">
        <v>1622</v>
      </c>
      <c r="C845" t="s">
        <v>2891</v>
      </c>
      <c r="D845" s="7" t="s">
        <v>137</v>
      </c>
      <c r="E845" t="s">
        <v>38</v>
      </c>
      <c r="F845">
        <v>23</v>
      </c>
      <c r="G845">
        <v>67</v>
      </c>
      <c r="H845">
        <v>73</v>
      </c>
      <c r="I845" t="s">
        <v>6365</v>
      </c>
      <c r="J845">
        <v>74</v>
      </c>
      <c r="K845">
        <v>250</v>
      </c>
      <c r="L845" t="s">
        <v>5052</v>
      </c>
      <c r="M845" s="6" t="s">
        <v>6558</v>
      </c>
      <c r="N845" s="6" t="s">
        <v>6583</v>
      </c>
      <c r="O845" s="6">
        <v>79</v>
      </c>
      <c r="P845" s="6">
        <v>67</v>
      </c>
      <c r="Q845" s="6">
        <v>74</v>
      </c>
      <c r="R845" s="6">
        <v>77</v>
      </c>
      <c r="S845" s="6">
        <v>63</v>
      </c>
      <c r="T845" s="6">
        <v>64</v>
      </c>
      <c r="U845" s="6">
        <v>74</v>
      </c>
      <c r="V845" s="6">
        <v>72</v>
      </c>
      <c r="W845" s="6">
        <v>77</v>
      </c>
      <c r="X845" s="6">
        <v>75</v>
      </c>
      <c r="Y845" s="6">
        <v>64</v>
      </c>
      <c r="Z845" s="6">
        <v>65</v>
      </c>
      <c r="AA845" s="6">
        <v>70</v>
      </c>
      <c r="AB845" s="6">
        <v>75</v>
      </c>
      <c r="AC845" s="6">
        <v>58</v>
      </c>
      <c r="AD845" s="6">
        <v>65</v>
      </c>
      <c r="AE845" s="6">
        <v>64</v>
      </c>
      <c r="AF845" s="6">
        <v>73</v>
      </c>
      <c r="AG845" s="6" t="s">
        <v>7092</v>
      </c>
      <c r="AH845" s="6" t="s">
        <v>7093</v>
      </c>
    </row>
    <row r="846" spans="1:34" x14ac:dyDescent="0.2">
      <c r="A846" t="s">
        <v>3359</v>
      </c>
      <c r="B846" t="s">
        <v>1623</v>
      </c>
      <c r="C846" t="s">
        <v>2886</v>
      </c>
      <c r="D846" s="7" t="s">
        <v>137</v>
      </c>
      <c r="E846" t="s">
        <v>38</v>
      </c>
      <c r="F846">
        <v>23</v>
      </c>
      <c r="G846">
        <v>75</v>
      </c>
      <c r="H846">
        <v>73</v>
      </c>
      <c r="I846" t="s">
        <v>6366</v>
      </c>
      <c r="J846">
        <v>76</v>
      </c>
      <c r="K846">
        <v>230</v>
      </c>
      <c r="L846" t="s">
        <v>5053</v>
      </c>
      <c r="M846" s="6" t="s">
        <v>6558</v>
      </c>
      <c r="N846" s="6" t="s">
        <v>6583</v>
      </c>
      <c r="O846" s="6">
        <v>76</v>
      </c>
      <c r="P846" s="6">
        <v>70</v>
      </c>
      <c r="Q846" s="6">
        <v>70</v>
      </c>
      <c r="R846" s="6">
        <v>76</v>
      </c>
      <c r="S846" s="6">
        <v>78</v>
      </c>
      <c r="T846" s="6">
        <v>77</v>
      </c>
      <c r="U846" s="6">
        <v>80</v>
      </c>
      <c r="V846" s="6">
        <v>74</v>
      </c>
      <c r="W846" s="6">
        <v>74</v>
      </c>
      <c r="X846" s="6">
        <v>73</v>
      </c>
      <c r="Y846" s="6">
        <v>77</v>
      </c>
      <c r="Z846" s="6">
        <v>70</v>
      </c>
      <c r="AA846" s="6">
        <v>77</v>
      </c>
      <c r="AB846" s="6">
        <v>74</v>
      </c>
      <c r="AC846" s="6">
        <v>64</v>
      </c>
      <c r="AD846" s="6">
        <v>82</v>
      </c>
      <c r="AE846" s="6">
        <v>74</v>
      </c>
      <c r="AF846" s="6">
        <v>80</v>
      </c>
      <c r="AG846" s="6" t="s">
        <v>7094</v>
      </c>
      <c r="AH846" s="6" t="s">
        <v>6649</v>
      </c>
    </row>
    <row r="847" spans="1:34" x14ac:dyDescent="0.2">
      <c r="A847" t="s">
        <v>3369</v>
      </c>
      <c r="B847" t="s">
        <v>1633</v>
      </c>
      <c r="C847" t="s">
        <v>57</v>
      </c>
      <c r="D847" s="7" t="s">
        <v>138</v>
      </c>
      <c r="E847" t="s">
        <v>38</v>
      </c>
      <c r="F847">
        <v>22</v>
      </c>
      <c r="G847">
        <v>72</v>
      </c>
      <c r="H847">
        <v>73</v>
      </c>
      <c r="I847" t="s">
        <v>6376</v>
      </c>
      <c r="J847">
        <v>72</v>
      </c>
      <c r="K847">
        <v>194</v>
      </c>
      <c r="L847" t="s">
        <v>5063</v>
      </c>
      <c r="M847" s="6" t="s">
        <v>6558</v>
      </c>
      <c r="N847" s="6" t="s">
        <v>6565</v>
      </c>
      <c r="O847" s="6">
        <v>67</v>
      </c>
      <c r="P847" s="6">
        <v>78</v>
      </c>
      <c r="Q847" s="6">
        <v>84</v>
      </c>
      <c r="R847" s="6">
        <v>70</v>
      </c>
      <c r="S847" s="6">
        <v>76</v>
      </c>
      <c r="T847" s="6">
        <v>59</v>
      </c>
      <c r="U847" s="6">
        <v>64</v>
      </c>
      <c r="V847" s="6">
        <v>74</v>
      </c>
      <c r="W847" s="6">
        <v>72</v>
      </c>
      <c r="X847" s="6">
        <v>66</v>
      </c>
      <c r="Y847" s="6">
        <v>70</v>
      </c>
      <c r="Z847" s="6">
        <v>79</v>
      </c>
      <c r="AA847" s="6">
        <v>69</v>
      </c>
      <c r="AB847" s="6">
        <v>65</v>
      </c>
      <c r="AC847" s="6">
        <v>66</v>
      </c>
      <c r="AD847" s="6">
        <v>75</v>
      </c>
      <c r="AE847" s="6">
        <v>70</v>
      </c>
      <c r="AF847" s="6">
        <v>76</v>
      </c>
      <c r="AG847" s="6" t="s">
        <v>7104</v>
      </c>
      <c r="AH847" s="6" t="s">
        <v>6661</v>
      </c>
    </row>
    <row r="848" spans="1:34" x14ac:dyDescent="0.2">
      <c r="A848" t="s">
        <v>3377</v>
      </c>
      <c r="B848" t="s">
        <v>1641</v>
      </c>
      <c r="C848" t="s">
        <v>2873</v>
      </c>
      <c r="D848" s="7" t="s">
        <v>138</v>
      </c>
      <c r="E848" t="s">
        <v>38</v>
      </c>
      <c r="F848">
        <v>30</v>
      </c>
      <c r="G848">
        <v>72</v>
      </c>
      <c r="H848">
        <v>73</v>
      </c>
      <c r="I848" t="s">
        <v>6384</v>
      </c>
      <c r="J848">
        <v>76</v>
      </c>
      <c r="K848">
        <v>320</v>
      </c>
      <c r="L848" t="s">
        <v>5071</v>
      </c>
      <c r="M848" s="6" t="s">
        <v>6558</v>
      </c>
      <c r="N848" s="6" t="s">
        <v>6565</v>
      </c>
      <c r="O848" s="6">
        <v>79</v>
      </c>
      <c r="P848" s="6">
        <v>74</v>
      </c>
      <c r="Q848" s="6">
        <v>73</v>
      </c>
      <c r="R848" s="6">
        <v>75</v>
      </c>
      <c r="S848" s="6">
        <v>75</v>
      </c>
      <c r="T848" s="6">
        <v>74</v>
      </c>
      <c r="U848" s="6">
        <v>74</v>
      </c>
      <c r="V848" s="6">
        <v>79</v>
      </c>
      <c r="W848" s="6">
        <v>76</v>
      </c>
      <c r="X848" s="6">
        <v>81</v>
      </c>
      <c r="Y848" s="6">
        <v>78</v>
      </c>
      <c r="Z848" s="6">
        <v>81</v>
      </c>
      <c r="AA848" s="6">
        <v>68</v>
      </c>
      <c r="AB848" s="6">
        <v>65</v>
      </c>
      <c r="AC848" s="6">
        <v>69</v>
      </c>
      <c r="AD848" s="6">
        <v>69</v>
      </c>
      <c r="AE848" s="6">
        <v>77</v>
      </c>
      <c r="AF848" s="6">
        <v>73</v>
      </c>
      <c r="AG848" s="6" t="s">
        <v>7112</v>
      </c>
      <c r="AH848" s="6" t="s">
        <v>6596</v>
      </c>
    </row>
    <row r="849" spans="1:34" x14ac:dyDescent="0.2">
      <c r="A849" t="s">
        <v>3389</v>
      </c>
      <c r="B849" t="s">
        <v>1653</v>
      </c>
      <c r="C849" t="s">
        <v>2879</v>
      </c>
      <c r="D849" s="7" t="s">
        <v>138</v>
      </c>
      <c r="E849" t="s">
        <v>38</v>
      </c>
      <c r="F849">
        <v>27</v>
      </c>
      <c r="G849">
        <v>85</v>
      </c>
      <c r="H849">
        <v>73</v>
      </c>
      <c r="I849" t="s">
        <v>6396</v>
      </c>
      <c r="J849">
        <v>76</v>
      </c>
      <c r="K849">
        <v>302</v>
      </c>
      <c r="L849" t="s">
        <v>5083</v>
      </c>
      <c r="M849" s="6" t="s">
        <v>6558</v>
      </c>
      <c r="N849" s="6" t="s">
        <v>6565</v>
      </c>
      <c r="O849" s="6">
        <v>80</v>
      </c>
      <c r="P849" s="6">
        <v>80</v>
      </c>
      <c r="Q849" s="6">
        <v>77</v>
      </c>
      <c r="R849" s="6">
        <v>75</v>
      </c>
      <c r="S849" s="6">
        <v>98</v>
      </c>
      <c r="T849" s="6">
        <v>70</v>
      </c>
      <c r="U849" s="6">
        <v>82</v>
      </c>
      <c r="V849" s="6">
        <v>85</v>
      </c>
      <c r="W849" s="6">
        <v>77</v>
      </c>
      <c r="X849" s="6">
        <v>76</v>
      </c>
      <c r="Y849" s="6">
        <v>82</v>
      </c>
      <c r="Z849" s="6">
        <v>81</v>
      </c>
      <c r="AA849" s="6">
        <v>75</v>
      </c>
      <c r="AB849" s="6">
        <v>77</v>
      </c>
      <c r="AC849" s="6">
        <v>69</v>
      </c>
      <c r="AD849" s="6">
        <v>80</v>
      </c>
      <c r="AE849" s="6">
        <v>74</v>
      </c>
      <c r="AF849" s="6">
        <v>72</v>
      </c>
      <c r="AG849" s="6" t="s">
        <v>7124</v>
      </c>
      <c r="AH849" s="6" t="s">
        <v>6617</v>
      </c>
    </row>
    <row r="850" spans="1:34" x14ac:dyDescent="0.2">
      <c r="A850" t="s">
        <v>3400</v>
      </c>
      <c r="B850" t="s">
        <v>1664</v>
      </c>
      <c r="C850" t="s">
        <v>2883</v>
      </c>
      <c r="D850" s="7" t="s">
        <v>138</v>
      </c>
      <c r="E850" t="s">
        <v>38</v>
      </c>
      <c r="F850">
        <v>22</v>
      </c>
      <c r="G850">
        <v>72</v>
      </c>
      <c r="H850">
        <v>73</v>
      </c>
      <c r="I850" t="s">
        <v>6407</v>
      </c>
      <c r="J850">
        <v>72</v>
      </c>
      <c r="K850">
        <v>209</v>
      </c>
      <c r="L850" t="s">
        <v>5094</v>
      </c>
      <c r="M850" s="6" t="s">
        <v>6558</v>
      </c>
      <c r="N850" s="6" t="s">
        <v>6565</v>
      </c>
      <c r="O850" s="6">
        <v>64</v>
      </c>
      <c r="P850" s="6">
        <v>71</v>
      </c>
      <c r="Q850" s="6">
        <v>71</v>
      </c>
      <c r="R850" s="6">
        <v>72</v>
      </c>
      <c r="S850" s="6">
        <v>65</v>
      </c>
      <c r="T850" s="6">
        <v>68</v>
      </c>
      <c r="U850" s="6">
        <v>76</v>
      </c>
      <c r="V850" s="6">
        <v>67</v>
      </c>
      <c r="W850" s="6">
        <v>69</v>
      </c>
      <c r="X850" s="6">
        <v>69</v>
      </c>
      <c r="Y850" s="6">
        <v>60</v>
      </c>
      <c r="Z850" s="6">
        <v>68</v>
      </c>
      <c r="AA850" s="6">
        <v>70</v>
      </c>
      <c r="AB850" s="6">
        <v>68</v>
      </c>
      <c r="AC850" s="6">
        <v>69</v>
      </c>
      <c r="AD850" s="6">
        <v>63</v>
      </c>
      <c r="AE850" s="6">
        <v>69</v>
      </c>
      <c r="AF850" s="6">
        <v>78</v>
      </c>
      <c r="AG850" s="6" t="s">
        <v>7134</v>
      </c>
      <c r="AH850" s="6" t="s">
        <v>6640</v>
      </c>
    </row>
    <row r="851" spans="1:34" x14ac:dyDescent="0.2">
      <c r="A851" t="s">
        <v>3407</v>
      </c>
      <c r="B851" t="s">
        <v>1671</v>
      </c>
      <c r="C851" t="s">
        <v>2885</v>
      </c>
      <c r="D851" s="7" t="s">
        <v>138</v>
      </c>
      <c r="E851" t="s">
        <v>58</v>
      </c>
      <c r="F851">
        <v>30</v>
      </c>
      <c r="G851">
        <v>73</v>
      </c>
      <c r="H851">
        <v>73</v>
      </c>
      <c r="I851" t="s">
        <v>6414</v>
      </c>
      <c r="J851">
        <v>73</v>
      </c>
      <c r="K851">
        <v>255</v>
      </c>
      <c r="L851" t="s">
        <v>5101</v>
      </c>
      <c r="M851" s="6" t="s">
        <v>6558</v>
      </c>
      <c r="N851" s="6" t="s">
        <v>6565</v>
      </c>
      <c r="O851" s="6">
        <v>80</v>
      </c>
      <c r="P851" s="6">
        <v>73</v>
      </c>
      <c r="Q851" s="6">
        <v>85</v>
      </c>
      <c r="R851" s="6">
        <v>73</v>
      </c>
      <c r="S851" s="6">
        <v>74</v>
      </c>
      <c r="T851" s="6">
        <v>74</v>
      </c>
      <c r="U851" s="6">
        <v>71</v>
      </c>
      <c r="V851" s="6">
        <v>75</v>
      </c>
      <c r="W851" s="6">
        <v>83</v>
      </c>
      <c r="X851" s="6">
        <v>75</v>
      </c>
      <c r="Y851" s="6">
        <v>75</v>
      </c>
      <c r="Z851" s="6">
        <v>66</v>
      </c>
      <c r="AA851" s="6">
        <v>67</v>
      </c>
      <c r="AB851" s="6">
        <v>67</v>
      </c>
      <c r="AC851" s="6">
        <v>61</v>
      </c>
      <c r="AD851" s="6">
        <v>73</v>
      </c>
      <c r="AE851" s="6">
        <v>65</v>
      </c>
      <c r="AF851" s="6">
        <v>68</v>
      </c>
      <c r="AG851" s="6" t="s">
        <v>7141</v>
      </c>
      <c r="AH851" s="6" t="s">
        <v>6711</v>
      </c>
    </row>
    <row r="852" spans="1:34" x14ac:dyDescent="0.2">
      <c r="A852" t="s">
        <v>3410</v>
      </c>
      <c r="B852" t="s">
        <v>1674</v>
      </c>
      <c r="C852" t="s">
        <v>2890</v>
      </c>
      <c r="D852" s="7" t="s">
        <v>138</v>
      </c>
      <c r="E852" t="s">
        <v>38</v>
      </c>
      <c r="F852">
        <v>27</v>
      </c>
      <c r="G852">
        <v>67</v>
      </c>
      <c r="H852">
        <v>73</v>
      </c>
      <c r="I852" t="s">
        <v>6418</v>
      </c>
      <c r="J852">
        <v>72</v>
      </c>
      <c r="K852">
        <v>180</v>
      </c>
      <c r="L852" t="s">
        <v>5104</v>
      </c>
      <c r="M852" s="6" t="s">
        <v>6733</v>
      </c>
      <c r="N852" s="6" t="s">
        <v>6567</v>
      </c>
      <c r="O852" s="6">
        <v>66</v>
      </c>
      <c r="P852" s="6">
        <v>65</v>
      </c>
      <c r="Q852" s="6">
        <v>66</v>
      </c>
      <c r="R852" s="6">
        <v>66</v>
      </c>
      <c r="S852" s="6">
        <v>75</v>
      </c>
      <c r="T852" s="6">
        <v>75</v>
      </c>
      <c r="U852" s="6">
        <v>66</v>
      </c>
      <c r="V852" s="6">
        <v>69</v>
      </c>
      <c r="W852" s="6">
        <v>70</v>
      </c>
      <c r="X852" s="6">
        <v>67</v>
      </c>
      <c r="Y852" s="6">
        <v>67</v>
      </c>
      <c r="Z852" s="6">
        <v>54</v>
      </c>
      <c r="AA852" s="6">
        <v>70</v>
      </c>
      <c r="AB852" s="6">
        <v>73</v>
      </c>
      <c r="AC852" s="6">
        <v>71</v>
      </c>
      <c r="AD852" s="6">
        <v>69</v>
      </c>
      <c r="AE852" s="6">
        <v>64</v>
      </c>
      <c r="AF852" s="6">
        <v>75</v>
      </c>
      <c r="AG852" s="6" t="s">
        <v>7144</v>
      </c>
      <c r="AH852" s="6" t="s">
        <v>6630</v>
      </c>
    </row>
    <row r="853" spans="1:34" x14ac:dyDescent="0.2">
      <c r="A853" t="s">
        <v>3411</v>
      </c>
      <c r="B853" t="s">
        <v>1675</v>
      </c>
      <c r="C853" t="s">
        <v>2891</v>
      </c>
      <c r="D853" s="7" t="s">
        <v>138</v>
      </c>
      <c r="E853" t="s">
        <v>38</v>
      </c>
      <c r="F853">
        <v>25</v>
      </c>
      <c r="G853">
        <v>73</v>
      </c>
      <c r="H853">
        <v>73</v>
      </c>
      <c r="I853" t="s">
        <v>6419</v>
      </c>
      <c r="J853">
        <v>73</v>
      </c>
      <c r="K853">
        <v>225</v>
      </c>
      <c r="L853" t="s">
        <v>5105</v>
      </c>
      <c r="M853" s="6" t="s">
        <v>6558</v>
      </c>
      <c r="N853" s="6" t="s">
        <v>6565</v>
      </c>
      <c r="O853" s="6">
        <v>75</v>
      </c>
      <c r="P853" s="6">
        <v>77</v>
      </c>
      <c r="Q853" s="6">
        <v>60</v>
      </c>
      <c r="R853" s="6">
        <v>71</v>
      </c>
      <c r="S853" s="6">
        <v>64</v>
      </c>
      <c r="T853" s="6">
        <v>74</v>
      </c>
      <c r="U853" s="6">
        <v>74</v>
      </c>
      <c r="V853" s="6">
        <v>71</v>
      </c>
      <c r="W853" s="6">
        <v>68</v>
      </c>
      <c r="X853" s="6">
        <v>73</v>
      </c>
      <c r="Y853" s="6">
        <v>72</v>
      </c>
      <c r="Z853" s="6">
        <v>72</v>
      </c>
      <c r="AA853" s="6">
        <v>73</v>
      </c>
      <c r="AB853" s="6">
        <v>76</v>
      </c>
      <c r="AC853" s="6">
        <v>70</v>
      </c>
      <c r="AD853" s="6">
        <v>78</v>
      </c>
      <c r="AE853" s="6">
        <v>64</v>
      </c>
      <c r="AF853" s="6">
        <v>77</v>
      </c>
      <c r="AG853" s="6" t="s">
        <v>7145</v>
      </c>
      <c r="AH853" s="6" t="s">
        <v>6824</v>
      </c>
    </row>
    <row r="854" spans="1:34" x14ac:dyDescent="0.2">
      <c r="A854" t="s">
        <v>3413</v>
      </c>
      <c r="B854" t="s">
        <v>1677</v>
      </c>
      <c r="C854" t="s">
        <v>2886</v>
      </c>
      <c r="D854" s="7" t="s">
        <v>138</v>
      </c>
      <c r="E854" t="s">
        <v>38</v>
      </c>
      <c r="F854">
        <v>26</v>
      </c>
      <c r="G854">
        <v>73</v>
      </c>
      <c r="H854">
        <v>73</v>
      </c>
      <c r="I854" t="s">
        <v>6421</v>
      </c>
      <c r="J854">
        <v>73</v>
      </c>
      <c r="K854">
        <v>240</v>
      </c>
      <c r="L854" t="s">
        <v>5107</v>
      </c>
      <c r="M854" s="6" t="s">
        <v>6558</v>
      </c>
      <c r="N854" s="6" t="s">
        <v>6583</v>
      </c>
      <c r="O854" s="6">
        <v>76</v>
      </c>
      <c r="P854" s="6">
        <v>78</v>
      </c>
      <c r="Q854" s="6">
        <v>76</v>
      </c>
      <c r="R854" s="6">
        <v>76</v>
      </c>
      <c r="S854" s="6">
        <v>76</v>
      </c>
      <c r="T854" s="6">
        <v>69</v>
      </c>
      <c r="U854" s="6">
        <v>72</v>
      </c>
      <c r="V854" s="6">
        <v>78</v>
      </c>
      <c r="W854" s="6">
        <v>77</v>
      </c>
      <c r="X854" s="6">
        <v>74</v>
      </c>
      <c r="Y854" s="6">
        <v>80</v>
      </c>
      <c r="Z854" s="6">
        <v>80</v>
      </c>
      <c r="AA854" s="6">
        <v>76</v>
      </c>
      <c r="AB854" s="6">
        <v>69</v>
      </c>
      <c r="AC854" s="6">
        <v>71</v>
      </c>
      <c r="AD854" s="6">
        <v>75</v>
      </c>
      <c r="AE854" s="6">
        <v>67</v>
      </c>
      <c r="AF854" s="6">
        <v>76</v>
      </c>
      <c r="AG854" s="6" t="s">
        <v>7147</v>
      </c>
      <c r="AH854" s="6" t="s">
        <v>6649</v>
      </c>
    </row>
    <row r="855" spans="1:34" x14ac:dyDescent="0.2">
      <c r="A855" t="s">
        <v>3426</v>
      </c>
      <c r="B855" t="s">
        <v>1690</v>
      </c>
      <c r="C855" t="s">
        <v>57</v>
      </c>
      <c r="D855" s="7" t="s">
        <v>139</v>
      </c>
      <c r="E855" t="s">
        <v>58</v>
      </c>
      <c r="F855">
        <v>24</v>
      </c>
      <c r="G855">
        <v>64</v>
      </c>
      <c r="H855">
        <v>73</v>
      </c>
      <c r="I855" t="s">
        <v>6438</v>
      </c>
      <c r="J855">
        <v>69</v>
      </c>
      <c r="K855">
        <v>213</v>
      </c>
      <c r="L855" t="s">
        <v>5120</v>
      </c>
      <c r="M855" s="6" t="s">
        <v>6558</v>
      </c>
      <c r="N855" s="6" t="s">
        <v>6614</v>
      </c>
      <c r="O855" s="6">
        <v>67</v>
      </c>
      <c r="P855" s="6">
        <v>66</v>
      </c>
      <c r="Q855" s="6">
        <v>65</v>
      </c>
      <c r="R855" s="6">
        <v>59</v>
      </c>
      <c r="S855" s="6">
        <v>68</v>
      </c>
      <c r="T855" s="6">
        <v>65</v>
      </c>
      <c r="U855" s="6">
        <v>88</v>
      </c>
      <c r="V855" s="6">
        <v>69</v>
      </c>
      <c r="W855" s="6">
        <v>78</v>
      </c>
      <c r="X855" s="6">
        <v>65</v>
      </c>
      <c r="Y855" s="6">
        <v>75</v>
      </c>
      <c r="Z855" s="6">
        <v>74</v>
      </c>
      <c r="AA855" s="6">
        <v>59</v>
      </c>
      <c r="AB855" s="6">
        <v>68</v>
      </c>
      <c r="AC855" s="6">
        <v>67</v>
      </c>
      <c r="AD855" s="6">
        <v>70</v>
      </c>
      <c r="AE855" s="6">
        <v>67</v>
      </c>
      <c r="AF855" s="6">
        <v>60</v>
      </c>
      <c r="AG855" s="6" t="s">
        <v>7161</v>
      </c>
      <c r="AH855" s="6" t="s">
        <v>6661</v>
      </c>
    </row>
    <row r="856" spans="1:34" x14ac:dyDescent="0.2">
      <c r="A856" t="s">
        <v>3430</v>
      </c>
      <c r="B856" t="s">
        <v>1694</v>
      </c>
      <c r="C856" t="s">
        <v>2871</v>
      </c>
      <c r="D856" s="7" t="s">
        <v>139</v>
      </c>
      <c r="E856" t="s">
        <v>58</v>
      </c>
      <c r="F856">
        <v>31</v>
      </c>
      <c r="G856">
        <v>68</v>
      </c>
      <c r="H856">
        <v>73</v>
      </c>
      <c r="I856" t="s">
        <v>6443</v>
      </c>
      <c r="J856">
        <v>78</v>
      </c>
      <c r="K856">
        <v>252</v>
      </c>
      <c r="L856" t="s">
        <v>5124</v>
      </c>
      <c r="M856" s="6" t="s">
        <v>6558</v>
      </c>
      <c r="N856" s="6" t="s">
        <v>6565</v>
      </c>
      <c r="O856" s="6">
        <v>80</v>
      </c>
      <c r="P856" s="6">
        <v>76</v>
      </c>
      <c r="Q856" s="6">
        <v>79</v>
      </c>
      <c r="R856" s="6">
        <v>75</v>
      </c>
      <c r="S856" s="6">
        <v>74</v>
      </c>
      <c r="T856" s="6">
        <v>72</v>
      </c>
      <c r="U856" s="6">
        <v>78</v>
      </c>
      <c r="V856" s="6">
        <v>78</v>
      </c>
      <c r="W856" s="6">
        <v>81</v>
      </c>
      <c r="X856" s="6">
        <v>77</v>
      </c>
      <c r="Y856" s="6">
        <v>83</v>
      </c>
      <c r="Z856" s="6">
        <v>80</v>
      </c>
      <c r="AA856" s="6">
        <v>69</v>
      </c>
      <c r="AB856" s="6">
        <v>63</v>
      </c>
      <c r="AC856" s="6">
        <v>64</v>
      </c>
      <c r="AD856" s="6">
        <v>63</v>
      </c>
      <c r="AE856" s="6">
        <v>70</v>
      </c>
      <c r="AF856" s="6">
        <v>72</v>
      </c>
      <c r="AG856" s="6" t="s">
        <v>7165</v>
      </c>
      <c r="AH856" s="6" t="s">
        <v>6838</v>
      </c>
    </row>
    <row r="857" spans="1:34" x14ac:dyDescent="0.2">
      <c r="A857" t="s">
        <v>3443</v>
      </c>
      <c r="B857" t="s">
        <v>1707</v>
      </c>
      <c r="C857" t="s">
        <v>2878</v>
      </c>
      <c r="D857" s="7" t="s">
        <v>139</v>
      </c>
      <c r="E857" t="s">
        <v>38</v>
      </c>
      <c r="F857">
        <v>26</v>
      </c>
      <c r="G857">
        <v>86</v>
      </c>
      <c r="H857">
        <v>73</v>
      </c>
      <c r="I857" t="s">
        <v>6464</v>
      </c>
      <c r="J857">
        <v>74</v>
      </c>
      <c r="K857">
        <v>277</v>
      </c>
      <c r="L857" t="s">
        <v>5137</v>
      </c>
      <c r="M857" s="6" t="s">
        <v>6558</v>
      </c>
      <c r="N857" s="6" t="s">
        <v>6565</v>
      </c>
      <c r="O857" s="6">
        <v>67</v>
      </c>
      <c r="P857" s="6">
        <v>77</v>
      </c>
      <c r="Q857" s="6">
        <v>78</v>
      </c>
      <c r="R857" s="6">
        <v>71</v>
      </c>
      <c r="S857" s="6">
        <v>80</v>
      </c>
      <c r="T857" s="6">
        <v>82</v>
      </c>
      <c r="U857" s="6">
        <v>73</v>
      </c>
      <c r="V857" s="6">
        <v>78</v>
      </c>
      <c r="W857" s="6">
        <v>87</v>
      </c>
      <c r="X857" s="6">
        <v>82</v>
      </c>
      <c r="Y857" s="6">
        <v>75</v>
      </c>
      <c r="Z857" s="6">
        <v>67</v>
      </c>
      <c r="AA857" s="6">
        <v>69</v>
      </c>
      <c r="AB857" s="6">
        <v>87</v>
      </c>
      <c r="AC857" s="6">
        <v>69</v>
      </c>
      <c r="AD857" s="6">
        <v>71</v>
      </c>
      <c r="AE857" s="6">
        <v>72</v>
      </c>
      <c r="AF857" s="6">
        <v>73</v>
      </c>
      <c r="AG857" s="6" t="s">
        <v>7178</v>
      </c>
      <c r="AH857" s="6" t="s">
        <v>6686</v>
      </c>
    </row>
    <row r="858" spans="1:34" x14ac:dyDescent="0.2">
      <c r="A858" t="s">
        <v>3518</v>
      </c>
      <c r="B858" t="s">
        <v>1782</v>
      </c>
      <c r="C858" t="s">
        <v>2889</v>
      </c>
      <c r="D858" s="7" t="s">
        <v>140</v>
      </c>
      <c r="E858" t="s">
        <v>58</v>
      </c>
      <c r="F858">
        <v>35</v>
      </c>
      <c r="G858">
        <v>63</v>
      </c>
      <c r="H858">
        <v>73</v>
      </c>
      <c r="I858" t="s">
        <v>6350</v>
      </c>
      <c r="J858">
        <v>77</v>
      </c>
      <c r="K858">
        <v>265</v>
      </c>
      <c r="L858" t="s">
        <v>5212</v>
      </c>
      <c r="M858" s="6" t="s">
        <v>6558</v>
      </c>
      <c r="N858" s="6" t="s">
        <v>6562</v>
      </c>
      <c r="O858" s="6">
        <v>86</v>
      </c>
      <c r="P858" s="6">
        <v>70</v>
      </c>
      <c r="Q858" s="6">
        <v>72</v>
      </c>
      <c r="R858" s="6">
        <v>85</v>
      </c>
      <c r="S858" s="6">
        <v>79</v>
      </c>
      <c r="T858" s="6">
        <v>73</v>
      </c>
      <c r="U858" s="6">
        <v>80</v>
      </c>
      <c r="V858" s="6">
        <v>77</v>
      </c>
      <c r="W858" s="6">
        <v>75</v>
      </c>
      <c r="X858" s="6">
        <v>68</v>
      </c>
      <c r="Y858" s="6">
        <v>71</v>
      </c>
      <c r="Z858" s="6">
        <v>77</v>
      </c>
      <c r="AA858" s="6">
        <v>57</v>
      </c>
      <c r="AB858" s="6">
        <v>73</v>
      </c>
      <c r="AC858" s="6">
        <v>72</v>
      </c>
      <c r="AD858" s="6">
        <v>55</v>
      </c>
      <c r="AE858" s="6">
        <v>60</v>
      </c>
      <c r="AF858" s="6">
        <v>63</v>
      </c>
      <c r="AG858" s="6" t="s">
        <v>7255</v>
      </c>
      <c r="AH858" s="6" t="s">
        <v>6709</v>
      </c>
    </row>
    <row r="859" spans="1:34" x14ac:dyDescent="0.2">
      <c r="A859" t="s">
        <v>3534</v>
      </c>
      <c r="B859" t="s">
        <v>1798</v>
      </c>
      <c r="C859" t="s">
        <v>57</v>
      </c>
      <c r="D859" s="7" t="s">
        <v>141</v>
      </c>
      <c r="E859" t="s">
        <v>58</v>
      </c>
      <c r="F859">
        <v>26</v>
      </c>
      <c r="G859">
        <v>75</v>
      </c>
      <c r="H859">
        <v>73</v>
      </c>
      <c r="I859" t="s">
        <v>6361</v>
      </c>
      <c r="J859">
        <v>75</v>
      </c>
      <c r="K859">
        <v>207</v>
      </c>
      <c r="L859" t="s">
        <v>5228</v>
      </c>
      <c r="M859" s="6" t="s">
        <v>6558</v>
      </c>
      <c r="N859" s="6" t="s">
        <v>6565</v>
      </c>
      <c r="O859" s="6">
        <v>79</v>
      </c>
      <c r="P859" s="6">
        <v>76</v>
      </c>
      <c r="Q859" s="6">
        <v>74</v>
      </c>
      <c r="R859" s="6">
        <v>71</v>
      </c>
      <c r="S859" s="6">
        <v>80</v>
      </c>
      <c r="T859" s="6">
        <v>69</v>
      </c>
      <c r="U859" s="6">
        <v>84</v>
      </c>
      <c r="V859" s="6">
        <v>78</v>
      </c>
      <c r="W859" s="6">
        <v>93</v>
      </c>
      <c r="X859" s="6">
        <v>78</v>
      </c>
      <c r="Y859" s="6">
        <v>81</v>
      </c>
      <c r="Z859" s="6">
        <v>79</v>
      </c>
      <c r="AA859" s="6">
        <v>76</v>
      </c>
      <c r="AB859" s="6">
        <v>74</v>
      </c>
      <c r="AC859" s="6">
        <v>70</v>
      </c>
      <c r="AD859" s="6">
        <v>79</v>
      </c>
      <c r="AE859" s="6">
        <v>74</v>
      </c>
      <c r="AF859" s="6">
        <v>78</v>
      </c>
      <c r="AG859" s="6" t="s">
        <v>7271</v>
      </c>
      <c r="AH859" s="6" t="s">
        <v>6664</v>
      </c>
    </row>
    <row r="860" spans="1:34" x14ac:dyDescent="0.2">
      <c r="A860" t="s">
        <v>3574</v>
      </c>
      <c r="B860" t="s">
        <v>1838</v>
      </c>
      <c r="C860" t="s">
        <v>2885</v>
      </c>
      <c r="D860" s="7" t="s">
        <v>141</v>
      </c>
      <c r="E860" t="s">
        <v>38</v>
      </c>
      <c r="F860">
        <v>25</v>
      </c>
      <c r="G860">
        <v>83</v>
      </c>
      <c r="H860">
        <v>73</v>
      </c>
      <c r="I860" t="s">
        <v>6440</v>
      </c>
      <c r="J860">
        <v>73</v>
      </c>
      <c r="K860">
        <v>238</v>
      </c>
      <c r="L860" t="s">
        <v>5268</v>
      </c>
      <c r="M860" s="6" t="s">
        <v>6558</v>
      </c>
      <c r="N860" s="6" t="s">
        <v>6565</v>
      </c>
      <c r="O860" s="6">
        <v>76</v>
      </c>
      <c r="P860" s="6">
        <v>69</v>
      </c>
      <c r="Q860" s="6">
        <v>69</v>
      </c>
      <c r="R860" s="6">
        <v>73</v>
      </c>
      <c r="S860" s="6">
        <v>70</v>
      </c>
      <c r="T860" s="6">
        <v>66</v>
      </c>
      <c r="U860" s="6">
        <v>83</v>
      </c>
      <c r="V860" s="6">
        <v>76</v>
      </c>
      <c r="W860" s="6">
        <v>67</v>
      </c>
      <c r="X860" s="6">
        <v>75</v>
      </c>
      <c r="Y860" s="6">
        <v>72</v>
      </c>
      <c r="Z860" s="6">
        <v>74</v>
      </c>
      <c r="AA860" s="6">
        <v>71</v>
      </c>
      <c r="AB860" s="6">
        <v>69</v>
      </c>
      <c r="AC860" s="6">
        <v>73</v>
      </c>
      <c r="AD860" s="6">
        <v>78</v>
      </c>
      <c r="AE860" s="6">
        <v>71</v>
      </c>
      <c r="AF860" s="6">
        <v>71</v>
      </c>
      <c r="AG860" s="6" t="s">
        <v>7311</v>
      </c>
      <c r="AH860" s="6" t="s">
        <v>6711</v>
      </c>
    </row>
    <row r="861" spans="1:34" x14ac:dyDescent="0.2">
      <c r="A861" t="s">
        <v>3595</v>
      </c>
      <c r="B861" t="s">
        <v>1859</v>
      </c>
      <c r="C861" t="s">
        <v>2873</v>
      </c>
      <c r="D861" s="7" t="s">
        <v>142</v>
      </c>
      <c r="E861" t="s">
        <v>38</v>
      </c>
      <c r="F861">
        <v>28</v>
      </c>
      <c r="G861">
        <v>81</v>
      </c>
      <c r="H861">
        <v>73</v>
      </c>
      <c r="I861" t="s">
        <v>6432</v>
      </c>
      <c r="J861">
        <v>77</v>
      </c>
      <c r="K861">
        <v>318</v>
      </c>
      <c r="L861" t="s">
        <v>5289</v>
      </c>
      <c r="M861" s="6" t="s">
        <v>6558</v>
      </c>
      <c r="N861" s="6" t="s">
        <v>6565</v>
      </c>
      <c r="O861" s="6">
        <v>78</v>
      </c>
      <c r="P861" s="6">
        <v>70</v>
      </c>
      <c r="Q861" s="6">
        <v>71</v>
      </c>
      <c r="R861" s="6">
        <v>71</v>
      </c>
      <c r="S861" s="6">
        <v>75</v>
      </c>
      <c r="T861" s="6">
        <v>79</v>
      </c>
      <c r="U861" s="6">
        <v>84</v>
      </c>
      <c r="V861" s="6">
        <v>82</v>
      </c>
      <c r="W861" s="6">
        <v>74</v>
      </c>
      <c r="X861" s="6">
        <v>78</v>
      </c>
      <c r="Y861" s="6">
        <v>85</v>
      </c>
      <c r="Z861" s="6">
        <v>78</v>
      </c>
      <c r="AA861" s="6">
        <v>79</v>
      </c>
      <c r="AB861" s="6">
        <v>75</v>
      </c>
      <c r="AC861" s="6">
        <v>67</v>
      </c>
      <c r="AD861" s="6">
        <v>81</v>
      </c>
      <c r="AE861" s="6">
        <v>76</v>
      </c>
      <c r="AF861" s="6">
        <v>77</v>
      </c>
      <c r="AG861" s="6" t="s">
        <v>7331</v>
      </c>
      <c r="AH861" s="6" t="s">
        <v>6610</v>
      </c>
    </row>
    <row r="862" spans="1:34" x14ac:dyDescent="0.2">
      <c r="A862" t="s">
        <v>3609</v>
      </c>
      <c r="B862" t="s">
        <v>1873</v>
      </c>
      <c r="C862" t="s">
        <v>2879</v>
      </c>
      <c r="D862" s="7" t="s">
        <v>142</v>
      </c>
      <c r="E862" t="s">
        <v>38</v>
      </c>
      <c r="F862">
        <v>23</v>
      </c>
      <c r="G862">
        <v>74</v>
      </c>
      <c r="H862">
        <v>73</v>
      </c>
      <c r="I862" t="s">
        <v>6384</v>
      </c>
      <c r="J862">
        <v>74</v>
      </c>
      <c r="K862">
        <v>312</v>
      </c>
      <c r="L862" t="s">
        <v>5303</v>
      </c>
      <c r="M862" s="6" t="s">
        <v>6558</v>
      </c>
      <c r="N862" s="6" t="s">
        <v>6567</v>
      </c>
      <c r="O862" s="6">
        <v>75</v>
      </c>
      <c r="P862" s="6">
        <v>68</v>
      </c>
      <c r="Q862" s="6">
        <v>70</v>
      </c>
      <c r="R862" s="6">
        <v>69</v>
      </c>
      <c r="S862" s="6">
        <v>72</v>
      </c>
      <c r="T862" s="6">
        <v>69</v>
      </c>
      <c r="U862" s="6">
        <v>75</v>
      </c>
      <c r="V862" s="6">
        <v>64</v>
      </c>
      <c r="W862" s="6">
        <v>72</v>
      </c>
      <c r="X862" s="6">
        <v>73</v>
      </c>
      <c r="Y862" s="6">
        <v>70</v>
      </c>
      <c r="Z862" s="6">
        <v>79</v>
      </c>
      <c r="AA862" s="6">
        <v>71</v>
      </c>
      <c r="AB862" s="6">
        <v>73</v>
      </c>
      <c r="AC862" s="6">
        <v>71</v>
      </c>
      <c r="AD862" s="6">
        <v>72</v>
      </c>
      <c r="AE862" s="6">
        <v>63</v>
      </c>
      <c r="AF862" s="6">
        <v>67</v>
      </c>
      <c r="AG862" s="6" t="s">
        <v>7344</v>
      </c>
      <c r="AH862" s="6" t="s">
        <v>6617</v>
      </c>
    </row>
    <row r="863" spans="1:34" x14ac:dyDescent="0.2">
      <c r="A863" t="s">
        <v>3663</v>
      </c>
      <c r="B863" t="s">
        <v>1927</v>
      </c>
      <c r="C863" t="s">
        <v>2878</v>
      </c>
      <c r="D863" s="7" t="s">
        <v>143</v>
      </c>
      <c r="E863" t="s">
        <v>58</v>
      </c>
      <c r="F863">
        <v>32</v>
      </c>
      <c r="G863">
        <v>73</v>
      </c>
      <c r="H863">
        <v>73</v>
      </c>
      <c r="I863" t="s">
        <v>6424</v>
      </c>
      <c r="J863">
        <v>76</v>
      </c>
      <c r="K863">
        <v>275</v>
      </c>
      <c r="L863" t="s">
        <v>5357</v>
      </c>
      <c r="M863" s="6" t="s">
        <v>6558</v>
      </c>
      <c r="N863" s="6" t="s">
        <v>6614</v>
      </c>
      <c r="O863" s="6">
        <v>74</v>
      </c>
      <c r="P863" s="6">
        <v>85</v>
      </c>
      <c r="Q863" s="6">
        <v>72</v>
      </c>
      <c r="R863" s="6">
        <v>61</v>
      </c>
      <c r="S863" s="6">
        <v>87</v>
      </c>
      <c r="T863" s="6">
        <v>84</v>
      </c>
      <c r="U863" s="6">
        <v>87</v>
      </c>
      <c r="V863" s="6">
        <v>80</v>
      </c>
      <c r="W863" s="6">
        <v>81</v>
      </c>
      <c r="X863" s="6">
        <v>70</v>
      </c>
      <c r="Y863" s="6">
        <v>88</v>
      </c>
      <c r="Z863" s="6">
        <v>80</v>
      </c>
      <c r="AA863" s="6">
        <v>69</v>
      </c>
      <c r="AB863" s="6">
        <v>68</v>
      </c>
      <c r="AC863" s="6">
        <v>65</v>
      </c>
      <c r="AD863" s="6">
        <v>69</v>
      </c>
      <c r="AE863" s="6">
        <v>63</v>
      </c>
      <c r="AF863" s="6">
        <v>69</v>
      </c>
      <c r="AG863" s="6" t="s">
        <v>7398</v>
      </c>
      <c r="AH863" s="6" t="s">
        <v>6682</v>
      </c>
    </row>
    <row r="864" spans="1:34" x14ac:dyDescent="0.2">
      <c r="A864" t="s">
        <v>3688</v>
      </c>
      <c r="B864" t="s">
        <v>1952</v>
      </c>
      <c r="C864" t="s">
        <v>2890</v>
      </c>
      <c r="D864" s="7" t="s">
        <v>143</v>
      </c>
      <c r="E864" t="s">
        <v>58</v>
      </c>
      <c r="F864">
        <v>31</v>
      </c>
      <c r="G864">
        <v>63</v>
      </c>
      <c r="H864">
        <v>73</v>
      </c>
      <c r="I864" t="s">
        <v>6372</v>
      </c>
      <c r="J864">
        <v>70</v>
      </c>
      <c r="K864">
        <v>185</v>
      </c>
      <c r="L864" t="s">
        <v>5382</v>
      </c>
      <c r="M864" s="6" t="s">
        <v>6558</v>
      </c>
      <c r="N864" s="6" t="s">
        <v>6567</v>
      </c>
      <c r="O864" s="6">
        <v>72</v>
      </c>
      <c r="P864" s="6">
        <v>68</v>
      </c>
      <c r="Q864" s="6">
        <v>72</v>
      </c>
      <c r="R864" s="6">
        <v>68</v>
      </c>
      <c r="S864" s="6">
        <v>71</v>
      </c>
      <c r="T864" s="6">
        <v>69</v>
      </c>
      <c r="U864" s="6">
        <v>76</v>
      </c>
      <c r="V864" s="6">
        <v>75</v>
      </c>
      <c r="W864" s="6">
        <v>64</v>
      </c>
      <c r="X864" s="6">
        <v>63</v>
      </c>
      <c r="Y864" s="6">
        <v>75</v>
      </c>
      <c r="Z864" s="6">
        <v>68</v>
      </c>
      <c r="AA864" s="6">
        <v>67</v>
      </c>
      <c r="AB864" s="6">
        <v>53</v>
      </c>
      <c r="AC864" s="6">
        <v>60</v>
      </c>
      <c r="AD864" s="6">
        <v>72</v>
      </c>
      <c r="AE864" s="6">
        <v>60</v>
      </c>
      <c r="AF864" s="6">
        <v>70</v>
      </c>
      <c r="AG864" s="6" t="s">
        <v>7425</v>
      </c>
      <c r="AH864" s="6" t="s">
        <v>6630</v>
      </c>
    </row>
    <row r="865" spans="1:34" x14ac:dyDescent="0.2">
      <c r="A865" t="s">
        <v>3694</v>
      </c>
      <c r="B865" t="s">
        <v>1958</v>
      </c>
      <c r="C865" t="s">
        <v>53</v>
      </c>
      <c r="D865" s="7" t="s">
        <v>154</v>
      </c>
      <c r="E865" t="s">
        <v>58</v>
      </c>
      <c r="F865">
        <v>25</v>
      </c>
      <c r="G865">
        <v>61</v>
      </c>
      <c r="H865">
        <v>73</v>
      </c>
      <c r="I865" t="s">
        <v>6368</v>
      </c>
      <c r="J865">
        <v>76</v>
      </c>
      <c r="K865">
        <v>236</v>
      </c>
      <c r="L865" t="s">
        <v>5388</v>
      </c>
      <c r="M865" s="6" t="s">
        <v>6558</v>
      </c>
      <c r="N865" s="6" t="s">
        <v>6567</v>
      </c>
      <c r="O865" s="6">
        <v>56</v>
      </c>
      <c r="P865" s="6">
        <v>67</v>
      </c>
      <c r="Q865" s="6">
        <v>63</v>
      </c>
      <c r="R865" s="6">
        <v>67</v>
      </c>
      <c r="S865" s="6">
        <v>77</v>
      </c>
      <c r="T865" s="6">
        <v>70</v>
      </c>
      <c r="U865" s="6">
        <v>71</v>
      </c>
      <c r="V865" s="6">
        <v>70</v>
      </c>
      <c r="W865" s="6">
        <v>71</v>
      </c>
      <c r="X865" s="6">
        <v>67</v>
      </c>
      <c r="Y865" s="6">
        <v>67</v>
      </c>
      <c r="Z865" s="6">
        <v>72</v>
      </c>
      <c r="AA865" s="6">
        <v>70</v>
      </c>
      <c r="AB865" s="6">
        <v>70</v>
      </c>
      <c r="AC865" s="6">
        <v>60</v>
      </c>
      <c r="AD865" s="6">
        <v>63</v>
      </c>
      <c r="AE865" s="6">
        <v>65</v>
      </c>
      <c r="AF865" s="6">
        <v>66</v>
      </c>
      <c r="AG865" s="6" t="s">
        <v>6987</v>
      </c>
      <c r="AH865" s="6" t="s">
        <v>6651</v>
      </c>
    </row>
    <row r="866" spans="1:34" x14ac:dyDescent="0.2">
      <c r="A866" t="s">
        <v>3703</v>
      </c>
      <c r="B866" t="s">
        <v>1967</v>
      </c>
      <c r="C866" t="s">
        <v>57</v>
      </c>
      <c r="D866" s="7" t="s">
        <v>154</v>
      </c>
      <c r="E866" t="s">
        <v>38</v>
      </c>
      <c r="F866">
        <v>23</v>
      </c>
      <c r="G866">
        <v>66</v>
      </c>
      <c r="H866">
        <v>73</v>
      </c>
      <c r="I866" t="s">
        <v>6397</v>
      </c>
      <c r="J866">
        <v>72</v>
      </c>
      <c r="K866">
        <v>199</v>
      </c>
      <c r="L866" t="s">
        <v>5397</v>
      </c>
      <c r="M866" s="6" t="s">
        <v>6733</v>
      </c>
      <c r="N866" s="6" t="s">
        <v>6567</v>
      </c>
      <c r="O866" s="6">
        <v>71</v>
      </c>
      <c r="P866" s="6">
        <v>62</v>
      </c>
      <c r="Q866" s="6">
        <v>61</v>
      </c>
      <c r="R866" s="6">
        <v>67</v>
      </c>
      <c r="S866" s="6">
        <v>74</v>
      </c>
      <c r="T866" s="6">
        <v>75</v>
      </c>
      <c r="U866" s="6">
        <v>65</v>
      </c>
      <c r="V866" s="6">
        <v>70</v>
      </c>
      <c r="W866" s="6">
        <v>70</v>
      </c>
      <c r="X866" s="6">
        <v>65</v>
      </c>
      <c r="Y866" s="6">
        <v>65</v>
      </c>
      <c r="Z866" s="6">
        <v>50</v>
      </c>
      <c r="AA866" s="6">
        <v>70</v>
      </c>
      <c r="AB866" s="6">
        <v>67</v>
      </c>
      <c r="AC866" s="6">
        <v>74</v>
      </c>
      <c r="AD866" s="6">
        <v>70</v>
      </c>
      <c r="AE866" s="6">
        <v>65</v>
      </c>
      <c r="AF866" s="6">
        <v>58</v>
      </c>
      <c r="AG866" s="6" t="s">
        <v>7439</v>
      </c>
      <c r="AH866" s="6" t="s">
        <v>6574</v>
      </c>
    </row>
    <row r="867" spans="1:34" x14ac:dyDescent="0.2">
      <c r="A867" t="s">
        <v>3721</v>
      </c>
      <c r="B867" t="s">
        <v>1985</v>
      </c>
      <c r="C867" t="s">
        <v>2878</v>
      </c>
      <c r="D867" s="7" t="s">
        <v>154</v>
      </c>
      <c r="E867" t="s">
        <v>38</v>
      </c>
      <c r="F867">
        <v>31</v>
      </c>
      <c r="G867">
        <v>83</v>
      </c>
      <c r="H867">
        <v>73</v>
      </c>
      <c r="I867" t="s">
        <v>6303</v>
      </c>
      <c r="J867">
        <v>78</v>
      </c>
      <c r="K867">
        <v>257</v>
      </c>
      <c r="L867" t="s">
        <v>5415</v>
      </c>
      <c r="M867" s="6" t="s">
        <v>6558</v>
      </c>
      <c r="N867" s="6" t="s">
        <v>6567</v>
      </c>
      <c r="O867" s="6">
        <v>76</v>
      </c>
      <c r="P867" s="6">
        <v>89</v>
      </c>
      <c r="Q867" s="6">
        <v>73</v>
      </c>
      <c r="R867" s="6">
        <v>68</v>
      </c>
      <c r="S867" s="6">
        <v>96</v>
      </c>
      <c r="T867" s="6">
        <v>82</v>
      </c>
      <c r="U867" s="6">
        <v>72</v>
      </c>
      <c r="V867" s="6">
        <v>89</v>
      </c>
      <c r="W867" s="6">
        <v>90</v>
      </c>
      <c r="X867" s="6">
        <v>82</v>
      </c>
      <c r="Y867" s="6">
        <v>82</v>
      </c>
      <c r="Z867" s="6">
        <v>81</v>
      </c>
      <c r="AA867" s="6">
        <v>72</v>
      </c>
      <c r="AB867" s="6">
        <v>79</v>
      </c>
      <c r="AC867" s="6">
        <v>76</v>
      </c>
      <c r="AD867" s="6">
        <v>76</v>
      </c>
      <c r="AE867" s="6">
        <v>73</v>
      </c>
      <c r="AF867" s="6">
        <v>78</v>
      </c>
      <c r="AG867" s="6" t="s">
        <v>7457</v>
      </c>
      <c r="AH867" s="6" t="s">
        <v>6963</v>
      </c>
    </row>
    <row r="868" spans="1:34" x14ac:dyDescent="0.2">
      <c r="A868" t="s">
        <v>3791</v>
      </c>
      <c r="B868" t="s">
        <v>2055</v>
      </c>
      <c r="C868" t="s">
        <v>2882</v>
      </c>
      <c r="D868" s="7" t="s">
        <v>155</v>
      </c>
      <c r="E868" t="s">
        <v>38</v>
      </c>
      <c r="F868">
        <v>26</v>
      </c>
      <c r="G868">
        <v>68</v>
      </c>
      <c r="H868">
        <v>73</v>
      </c>
      <c r="I868" t="s">
        <v>6386</v>
      </c>
      <c r="J868">
        <v>71</v>
      </c>
      <c r="K868">
        <v>205</v>
      </c>
      <c r="L868" t="s">
        <v>5485</v>
      </c>
      <c r="M868" s="6" t="s">
        <v>6558</v>
      </c>
      <c r="N868" s="6" t="s">
        <v>6567</v>
      </c>
      <c r="O868" s="6">
        <v>82</v>
      </c>
      <c r="P868" s="6">
        <v>81</v>
      </c>
      <c r="Q868" s="6">
        <v>71</v>
      </c>
      <c r="R868" s="6">
        <v>69</v>
      </c>
      <c r="S868" s="6">
        <v>74</v>
      </c>
      <c r="T868" s="6">
        <v>67</v>
      </c>
      <c r="U868" s="6">
        <v>69</v>
      </c>
      <c r="V868" s="6">
        <v>69</v>
      </c>
      <c r="W868" s="6">
        <v>79</v>
      </c>
      <c r="X868" s="6">
        <v>67</v>
      </c>
      <c r="Y868" s="6">
        <v>74</v>
      </c>
      <c r="Z868" s="6">
        <v>73</v>
      </c>
      <c r="AA868" s="6">
        <v>71</v>
      </c>
      <c r="AB868" s="6">
        <v>69</v>
      </c>
      <c r="AC868" s="6">
        <v>68</v>
      </c>
      <c r="AD868" s="6">
        <v>68</v>
      </c>
      <c r="AE868" s="6">
        <v>77</v>
      </c>
      <c r="AF868" s="6">
        <v>74</v>
      </c>
      <c r="AG868" s="6" t="s">
        <v>7527</v>
      </c>
      <c r="AH868" s="6" t="s">
        <v>6636</v>
      </c>
    </row>
    <row r="869" spans="1:34" x14ac:dyDescent="0.2">
      <c r="A869" t="s">
        <v>3801</v>
      </c>
      <c r="B869" t="s">
        <v>2065</v>
      </c>
      <c r="C869" t="s">
        <v>2891</v>
      </c>
      <c r="D869" s="7" t="s">
        <v>155</v>
      </c>
      <c r="E869" t="s">
        <v>38</v>
      </c>
      <c r="F869">
        <v>27</v>
      </c>
      <c r="G869">
        <v>82</v>
      </c>
      <c r="H869">
        <v>73</v>
      </c>
      <c r="I869" t="s">
        <v>6394</v>
      </c>
      <c r="J869">
        <v>74</v>
      </c>
      <c r="K869">
        <v>228</v>
      </c>
      <c r="L869" t="s">
        <v>5495</v>
      </c>
      <c r="M869" s="6" t="s">
        <v>6558</v>
      </c>
      <c r="N869" s="6" t="s">
        <v>6565</v>
      </c>
      <c r="O869" s="6">
        <v>86</v>
      </c>
      <c r="P869" s="6">
        <v>71</v>
      </c>
      <c r="Q869" s="6">
        <v>79</v>
      </c>
      <c r="R869" s="6">
        <v>71</v>
      </c>
      <c r="S869" s="6">
        <v>77</v>
      </c>
      <c r="T869" s="6">
        <v>66</v>
      </c>
      <c r="U869" s="6">
        <v>74</v>
      </c>
      <c r="V869" s="6">
        <v>75</v>
      </c>
      <c r="W869" s="6">
        <v>80</v>
      </c>
      <c r="X869" s="6">
        <v>83</v>
      </c>
      <c r="Y869" s="6">
        <v>71</v>
      </c>
      <c r="Z869" s="6">
        <v>74</v>
      </c>
      <c r="AA869" s="6">
        <v>76</v>
      </c>
      <c r="AB869" s="6">
        <v>68</v>
      </c>
      <c r="AC869" s="6">
        <v>72</v>
      </c>
      <c r="AD869" s="6">
        <v>69</v>
      </c>
      <c r="AE869" s="6">
        <v>70</v>
      </c>
      <c r="AF869" s="6">
        <v>75</v>
      </c>
      <c r="AG869" s="6" t="s">
        <v>7537</v>
      </c>
      <c r="AH869" s="6" t="s">
        <v>6824</v>
      </c>
    </row>
    <row r="870" spans="1:34" x14ac:dyDescent="0.2">
      <c r="A870" t="s">
        <v>3854</v>
      </c>
      <c r="B870" t="s">
        <v>2118</v>
      </c>
      <c r="C870" t="s">
        <v>2870</v>
      </c>
      <c r="D870" s="7" t="s">
        <v>147</v>
      </c>
      <c r="E870" t="s">
        <v>38</v>
      </c>
      <c r="F870">
        <v>23</v>
      </c>
      <c r="G870">
        <v>78</v>
      </c>
      <c r="H870">
        <v>73</v>
      </c>
      <c r="I870" t="s">
        <v>6524</v>
      </c>
      <c r="J870">
        <v>69</v>
      </c>
      <c r="K870">
        <v>230</v>
      </c>
      <c r="L870" t="s">
        <v>5548</v>
      </c>
      <c r="M870" s="6" t="s">
        <v>6558</v>
      </c>
      <c r="N870" s="6" t="s">
        <v>6567</v>
      </c>
      <c r="O870" s="6">
        <v>85</v>
      </c>
      <c r="P870" s="6">
        <v>69</v>
      </c>
      <c r="Q870" s="6">
        <v>77</v>
      </c>
      <c r="R870" s="6">
        <v>67</v>
      </c>
      <c r="S870" s="6">
        <v>77</v>
      </c>
      <c r="T870" s="6">
        <v>86</v>
      </c>
      <c r="U870" s="6">
        <v>84</v>
      </c>
      <c r="V870" s="6">
        <v>74</v>
      </c>
      <c r="W870" s="6">
        <v>82</v>
      </c>
      <c r="X870" s="6">
        <v>78</v>
      </c>
      <c r="Y870" s="6">
        <v>76</v>
      </c>
      <c r="Z870" s="6">
        <v>72</v>
      </c>
      <c r="AA870" s="6">
        <v>82</v>
      </c>
      <c r="AB870" s="6">
        <v>81</v>
      </c>
      <c r="AC870" s="6">
        <v>74</v>
      </c>
      <c r="AD870" s="6">
        <v>68</v>
      </c>
      <c r="AE870" s="6">
        <v>76</v>
      </c>
      <c r="AF870" s="6">
        <v>80</v>
      </c>
      <c r="AG870" s="6" t="s">
        <v>7590</v>
      </c>
      <c r="AH870" s="6" t="s">
        <v>6994</v>
      </c>
    </row>
    <row r="871" spans="1:34" x14ac:dyDescent="0.2">
      <c r="A871" t="s">
        <v>3881</v>
      </c>
      <c r="B871" t="s">
        <v>2145</v>
      </c>
      <c r="C871" t="s">
        <v>2879</v>
      </c>
      <c r="D871" s="7" t="s">
        <v>147</v>
      </c>
      <c r="E871" t="s">
        <v>38</v>
      </c>
      <c r="F871">
        <v>32</v>
      </c>
      <c r="G871">
        <v>63</v>
      </c>
      <c r="H871">
        <v>73</v>
      </c>
      <c r="I871" t="s">
        <v>6462</v>
      </c>
      <c r="J871">
        <v>74</v>
      </c>
      <c r="K871">
        <v>309</v>
      </c>
      <c r="L871" t="s">
        <v>5575</v>
      </c>
      <c r="M871" s="6" t="s">
        <v>6558</v>
      </c>
      <c r="N871" s="6" t="s">
        <v>6583</v>
      </c>
      <c r="O871" s="6">
        <v>61</v>
      </c>
      <c r="P871" s="6">
        <v>71</v>
      </c>
      <c r="Q871" s="6">
        <v>78</v>
      </c>
      <c r="R871" s="6">
        <v>78</v>
      </c>
      <c r="S871" s="6">
        <v>81</v>
      </c>
      <c r="T871" s="6">
        <v>71</v>
      </c>
      <c r="U871" s="6">
        <v>60</v>
      </c>
      <c r="V871" s="6">
        <v>70</v>
      </c>
      <c r="W871" s="6">
        <v>60</v>
      </c>
      <c r="X871" s="6">
        <v>62</v>
      </c>
      <c r="Y871" s="6">
        <v>73</v>
      </c>
      <c r="Z871" s="6">
        <v>70</v>
      </c>
      <c r="AA871" s="6">
        <v>62</v>
      </c>
      <c r="AB871" s="6">
        <v>66</v>
      </c>
      <c r="AC871" s="6">
        <v>66</v>
      </c>
      <c r="AD871" s="6">
        <v>58</v>
      </c>
      <c r="AE871" s="6">
        <v>65</v>
      </c>
      <c r="AF871" s="6">
        <v>69</v>
      </c>
      <c r="AG871" s="6" t="s">
        <v>7616</v>
      </c>
      <c r="AH871" s="6" t="s">
        <v>6617</v>
      </c>
    </row>
    <row r="872" spans="1:34" x14ac:dyDescent="0.2">
      <c r="A872" t="s">
        <v>3914</v>
      </c>
      <c r="B872" t="s">
        <v>2178</v>
      </c>
      <c r="C872" t="s">
        <v>57</v>
      </c>
      <c r="D872" s="7" t="s">
        <v>144</v>
      </c>
      <c r="E872" t="s">
        <v>38</v>
      </c>
      <c r="F872">
        <v>26</v>
      </c>
      <c r="G872">
        <v>67</v>
      </c>
      <c r="H872">
        <v>73</v>
      </c>
      <c r="I872" t="s">
        <v>6315</v>
      </c>
      <c r="J872">
        <v>76</v>
      </c>
      <c r="K872">
        <v>190</v>
      </c>
      <c r="L872" t="s">
        <v>5608</v>
      </c>
      <c r="M872" s="6" t="s">
        <v>6558</v>
      </c>
      <c r="N872" s="6" t="s">
        <v>6565</v>
      </c>
      <c r="O872" s="6">
        <v>82</v>
      </c>
      <c r="P872" s="6">
        <v>70</v>
      </c>
      <c r="Q872" s="6">
        <v>82</v>
      </c>
      <c r="R872" s="6">
        <v>73</v>
      </c>
      <c r="S872" s="6">
        <v>74</v>
      </c>
      <c r="T872" s="6">
        <v>77</v>
      </c>
      <c r="U872" s="6">
        <v>79</v>
      </c>
      <c r="V872" s="6">
        <v>65</v>
      </c>
      <c r="W872" s="6">
        <v>73</v>
      </c>
      <c r="X872" s="6">
        <v>71</v>
      </c>
      <c r="Y872" s="6">
        <v>79</v>
      </c>
      <c r="Z872" s="6">
        <v>74</v>
      </c>
      <c r="AA872" s="6">
        <v>67</v>
      </c>
      <c r="AB872" s="6">
        <v>72</v>
      </c>
      <c r="AC872" s="6">
        <v>75</v>
      </c>
      <c r="AD872" s="6">
        <v>72</v>
      </c>
      <c r="AE872" s="6">
        <v>74</v>
      </c>
      <c r="AF872" s="6">
        <v>75</v>
      </c>
      <c r="AG872" s="6" t="s">
        <v>7648</v>
      </c>
      <c r="AH872" s="6" t="s">
        <v>6664</v>
      </c>
    </row>
    <row r="873" spans="1:34" x14ac:dyDescent="0.2">
      <c r="A873" t="s">
        <v>3949</v>
      </c>
      <c r="B873" t="s">
        <v>2213</v>
      </c>
      <c r="C873" t="s">
        <v>2888</v>
      </c>
      <c r="D873" s="7" t="s">
        <v>144</v>
      </c>
      <c r="E873" t="s">
        <v>58</v>
      </c>
      <c r="F873">
        <v>34</v>
      </c>
      <c r="G873">
        <v>59</v>
      </c>
      <c r="H873">
        <v>73</v>
      </c>
      <c r="I873" t="s">
        <v>6409</v>
      </c>
      <c r="J873">
        <v>73</v>
      </c>
      <c r="K873">
        <v>197</v>
      </c>
      <c r="L873" t="s">
        <v>5643</v>
      </c>
      <c r="M873" s="6" t="s">
        <v>6558</v>
      </c>
      <c r="N873" s="6" t="s">
        <v>6565</v>
      </c>
      <c r="O873" s="6">
        <v>75</v>
      </c>
      <c r="P873" s="6">
        <v>78</v>
      </c>
      <c r="Q873" s="6">
        <v>80</v>
      </c>
      <c r="R873" s="6">
        <v>73</v>
      </c>
      <c r="S873" s="6">
        <v>69</v>
      </c>
      <c r="T873" s="6">
        <v>75</v>
      </c>
      <c r="U873" s="6">
        <v>77</v>
      </c>
      <c r="V873" s="6">
        <v>74</v>
      </c>
      <c r="W873" s="6">
        <v>94</v>
      </c>
      <c r="X873" s="6">
        <v>78</v>
      </c>
      <c r="Y873" s="6">
        <v>75</v>
      </c>
      <c r="Z873" s="6">
        <v>79</v>
      </c>
      <c r="AA873" s="6">
        <v>67</v>
      </c>
      <c r="AB873" s="6">
        <v>69</v>
      </c>
      <c r="AC873" s="6">
        <v>64</v>
      </c>
      <c r="AD873" s="6">
        <v>62</v>
      </c>
      <c r="AE873" s="6">
        <v>64</v>
      </c>
      <c r="AF873" s="6">
        <v>61</v>
      </c>
      <c r="AG873" s="6" t="s">
        <v>7683</v>
      </c>
      <c r="AH873" s="6" t="s">
        <v>6980</v>
      </c>
    </row>
    <row r="874" spans="1:34" x14ac:dyDescent="0.2">
      <c r="A874" t="s">
        <v>3953</v>
      </c>
      <c r="B874" t="s">
        <v>2217</v>
      </c>
      <c r="C874" t="s">
        <v>2885</v>
      </c>
      <c r="D874" s="7" t="s">
        <v>144</v>
      </c>
      <c r="E874" t="s">
        <v>58</v>
      </c>
      <c r="F874">
        <v>30</v>
      </c>
      <c r="G874">
        <v>79</v>
      </c>
      <c r="H874">
        <v>73</v>
      </c>
      <c r="I874" t="s">
        <v>6331</v>
      </c>
      <c r="J874">
        <v>73</v>
      </c>
      <c r="K874">
        <v>230</v>
      </c>
      <c r="L874" t="s">
        <v>5647</v>
      </c>
      <c r="M874" s="6" t="s">
        <v>6558</v>
      </c>
      <c r="N874" s="6" t="s">
        <v>6567</v>
      </c>
      <c r="O874" s="6">
        <v>84</v>
      </c>
      <c r="P874" s="6">
        <v>70</v>
      </c>
      <c r="Q874" s="6">
        <v>78</v>
      </c>
      <c r="R874" s="6">
        <v>66</v>
      </c>
      <c r="S874" s="6">
        <v>75</v>
      </c>
      <c r="T874" s="6">
        <v>77</v>
      </c>
      <c r="U874" s="6">
        <v>77</v>
      </c>
      <c r="V874" s="6">
        <v>76</v>
      </c>
      <c r="W874" s="6">
        <v>75</v>
      </c>
      <c r="X874" s="6">
        <v>78</v>
      </c>
      <c r="Y874" s="6">
        <v>81</v>
      </c>
      <c r="Z874" s="6">
        <v>72</v>
      </c>
      <c r="AA874" s="6">
        <v>71</v>
      </c>
      <c r="AB874" s="6">
        <v>61</v>
      </c>
      <c r="AC874" s="6">
        <v>68</v>
      </c>
      <c r="AD874" s="6">
        <v>60</v>
      </c>
      <c r="AE874" s="6">
        <v>74</v>
      </c>
      <c r="AF874" s="6">
        <v>73</v>
      </c>
      <c r="AG874" s="6" t="s">
        <v>7686</v>
      </c>
      <c r="AH874" s="6" t="s">
        <v>6711</v>
      </c>
    </row>
    <row r="875" spans="1:34" x14ac:dyDescent="0.2">
      <c r="A875" t="s">
        <v>3957</v>
      </c>
      <c r="B875" t="s">
        <v>2221</v>
      </c>
      <c r="C875" t="s">
        <v>2891</v>
      </c>
      <c r="D875" s="7" t="s">
        <v>144</v>
      </c>
      <c r="E875" t="s">
        <v>38</v>
      </c>
      <c r="F875">
        <v>23</v>
      </c>
      <c r="G875">
        <v>71</v>
      </c>
      <c r="H875">
        <v>73</v>
      </c>
      <c r="I875" t="s">
        <v>6314</v>
      </c>
      <c r="J875">
        <v>73</v>
      </c>
      <c r="K875">
        <v>250</v>
      </c>
      <c r="L875" t="s">
        <v>5651</v>
      </c>
      <c r="M875" s="6" t="s">
        <v>6558</v>
      </c>
      <c r="N875" s="6" t="s">
        <v>6567</v>
      </c>
      <c r="O875" s="6">
        <v>66</v>
      </c>
      <c r="P875" s="6">
        <v>64</v>
      </c>
      <c r="Q875" s="6">
        <v>66</v>
      </c>
      <c r="R875" s="6">
        <v>64</v>
      </c>
      <c r="S875" s="6">
        <v>67</v>
      </c>
      <c r="T875" s="6">
        <v>71</v>
      </c>
      <c r="U875" s="6">
        <v>80</v>
      </c>
      <c r="V875" s="6">
        <v>72</v>
      </c>
      <c r="W875" s="6">
        <v>82</v>
      </c>
      <c r="X875" s="6">
        <v>69</v>
      </c>
      <c r="Y875" s="6">
        <v>81</v>
      </c>
      <c r="Z875" s="6">
        <v>74</v>
      </c>
      <c r="AA875" s="6">
        <v>74</v>
      </c>
      <c r="AB875" s="6">
        <v>79</v>
      </c>
      <c r="AC875" s="6">
        <v>68</v>
      </c>
      <c r="AD875" s="6">
        <v>71</v>
      </c>
      <c r="AE875" s="6">
        <v>69</v>
      </c>
      <c r="AF875" s="6">
        <v>78</v>
      </c>
      <c r="AG875" s="6" t="s">
        <v>7690</v>
      </c>
      <c r="AH875" s="6" t="s">
        <v>6824</v>
      </c>
    </row>
    <row r="876" spans="1:34" x14ac:dyDescent="0.2">
      <c r="A876" t="s">
        <v>3990</v>
      </c>
      <c r="B876" t="s">
        <v>2254</v>
      </c>
      <c r="C876" t="s">
        <v>2877</v>
      </c>
      <c r="D876" s="7" t="s">
        <v>149</v>
      </c>
      <c r="E876" t="s">
        <v>38</v>
      </c>
      <c r="F876">
        <v>31</v>
      </c>
      <c r="G876">
        <v>72</v>
      </c>
      <c r="H876">
        <v>73</v>
      </c>
      <c r="I876" t="s">
        <v>6461</v>
      </c>
      <c r="J876">
        <v>78</v>
      </c>
      <c r="K876">
        <v>303</v>
      </c>
      <c r="L876" t="s">
        <v>5684</v>
      </c>
      <c r="M876" s="6" t="s">
        <v>6558</v>
      </c>
      <c r="N876" s="6" t="s">
        <v>6567</v>
      </c>
      <c r="O876" s="6">
        <v>82</v>
      </c>
      <c r="P876" s="6">
        <v>74</v>
      </c>
      <c r="Q876" s="6">
        <v>77</v>
      </c>
      <c r="R876" s="6">
        <v>69</v>
      </c>
      <c r="S876" s="6">
        <v>77</v>
      </c>
      <c r="T876" s="6">
        <v>68</v>
      </c>
      <c r="U876" s="6">
        <v>68</v>
      </c>
      <c r="V876" s="6">
        <v>77</v>
      </c>
      <c r="W876" s="6">
        <v>84</v>
      </c>
      <c r="X876" s="6">
        <v>76</v>
      </c>
      <c r="Y876" s="6">
        <v>89</v>
      </c>
      <c r="Z876" s="6">
        <v>77</v>
      </c>
      <c r="AA876" s="6">
        <v>69</v>
      </c>
      <c r="AB876" s="6">
        <v>69</v>
      </c>
      <c r="AC876" s="6">
        <v>72</v>
      </c>
      <c r="AD876" s="6">
        <v>69</v>
      </c>
      <c r="AE876" s="6">
        <v>69</v>
      </c>
      <c r="AF876" s="6">
        <v>73</v>
      </c>
      <c r="AG876" s="6" t="s">
        <v>7723</v>
      </c>
      <c r="AH876" s="6" t="s">
        <v>6596</v>
      </c>
    </row>
    <row r="877" spans="1:34" x14ac:dyDescent="0.2">
      <c r="A877" t="s">
        <v>4016</v>
      </c>
      <c r="B877" t="s">
        <v>2280</v>
      </c>
      <c r="C877" t="s">
        <v>2885</v>
      </c>
      <c r="D877" s="7" t="s">
        <v>149</v>
      </c>
      <c r="E877" t="s">
        <v>58</v>
      </c>
      <c r="F877">
        <v>31</v>
      </c>
      <c r="G877">
        <v>71</v>
      </c>
      <c r="H877">
        <v>73</v>
      </c>
      <c r="I877" t="s">
        <v>8334</v>
      </c>
      <c r="J877">
        <v>72</v>
      </c>
      <c r="K877">
        <v>247</v>
      </c>
      <c r="L877" t="s">
        <v>5710</v>
      </c>
      <c r="M877" s="6" t="s">
        <v>6558</v>
      </c>
      <c r="N877" s="6" t="s">
        <v>6565</v>
      </c>
      <c r="O877" s="6">
        <v>80</v>
      </c>
      <c r="P877" s="6">
        <v>64</v>
      </c>
      <c r="Q877" s="6">
        <v>76</v>
      </c>
      <c r="R877" s="6">
        <v>73</v>
      </c>
      <c r="S877" s="6">
        <v>82</v>
      </c>
      <c r="T877" s="6">
        <v>71</v>
      </c>
      <c r="U877" s="6">
        <v>78</v>
      </c>
      <c r="V877" s="6">
        <v>79</v>
      </c>
      <c r="W877" s="6">
        <v>65</v>
      </c>
      <c r="X877" s="6">
        <v>67</v>
      </c>
      <c r="Y877" s="6">
        <v>87</v>
      </c>
      <c r="Z877" s="6">
        <v>71</v>
      </c>
      <c r="AA877" s="6">
        <v>67</v>
      </c>
      <c r="AB877" s="6">
        <v>68</v>
      </c>
      <c r="AC877" s="6">
        <v>69</v>
      </c>
      <c r="AD877" s="6">
        <v>62</v>
      </c>
      <c r="AE877" s="6">
        <v>67</v>
      </c>
      <c r="AF877" s="6">
        <v>69</v>
      </c>
      <c r="AG877" s="6" t="s">
        <v>7748</v>
      </c>
      <c r="AH877" s="6" t="s">
        <v>6628</v>
      </c>
    </row>
    <row r="878" spans="1:34" x14ac:dyDescent="0.2">
      <c r="A878" t="s">
        <v>4029</v>
      </c>
      <c r="B878" t="s">
        <v>2293</v>
      </c>
      <c r="C878" t="s">
        <v>57</v>
      </c>
      <c r="D878" s="7" t="s">
        <v>22</v>
      </c>
      <c r="E878" t="s">
        <v>38</v>
      </c>
      <c r="F878">
        <v>24</v>
      </c>
      <c r="G878">
        <v>71</v>
      </c>
      <c r="H878">
        <v>73</v>
      </c>
      <c r="I878" t="s">
        <v>6359</v>
      </c>
      <c r="J878">
        <v>73</v>
      </c>
      <c r="K878">
        <v>217</v>
      </c>
      <c r="L878" t="s">
        <v>5723</v>
      </c>
      <c r="M878" s="6" t="s">
        <v>6558</v>
      </c>
      <c r="N878" s="6" t="s">
        <v>6567</v>
      </c>
      <c r="O878" s="6">
        <v>77</v>
      </c>
      <c r="P878" s="6">
        <v>66</v>
      </c>
      <c r="Q878" s="6">
        <v>73</v>
      </c>
      <c r="R878" s="6">
        <v>69</v>
      </c>
      <c r="S878" s="6">
        <v>66</v>
      </c>
      <c r="T878" s="6">
        <v>76</v>
      </c>
      <c r="U878" s="6">
        <v>76</v>
      </c>
      <c r="V878" s="6">
        <v>70</v>
      </c>
      <c r="W878" s="6">
        <v>77</v>
      </c>
      <c r="X878" s="6">
        <v>73</v>
      </c>
      <c r="Y878" s="6">
        <v>73</v>
      </c>
      <c r="Z878" s="6">
        <v>71</v>
      </c>
      <c r="AA878" s="6">
        <v>69</v>
      </c>
      <c r="AB878" s="6">
        <v>72</v>
      </c>
      <c r="AC878" s="6">
        <v>66</v>
      </c>
      <c r="AD878" s="6">
        <v>69</v>
      </c>
      <c r="AE878" s="6">
        <v>72</v>
      </c>
      <c r="AF878" s="6">
        <v>77</v>
      </c>
      <c r="AG878" s="6" t="s">
        <v>7761</v>
      </c>
      <c r="AH878" s="6" t="s">
        <v>6664</v>
      </c>
    </row>
    <row r="879" spans="1:34" x14ac:dyDescent="0.2">
      <c r="A879" t="s">
        <v>4049</v>
      </c>
      <c r="B879" t="s">
        <v>2313</v>
      </c>
      <c r="C879" t="s">
        <v>2879</v>
      </c>
      <c r="D879" s="7" t="s">
        <v>22</v>
      </c>
      <c r="E879" t="s">
        <v>38</v>
      </c>
      <c r="F879">
        <v>31</v>
      </c>
      <c r="G879">
        <v>85</v>
      </c>
      <c r="H879">
        <v>73</v>
      </c>
      <c r="I879" t="s">
        <v>6411</v>
      </c>
      <c r="J879">
        <v>73</v>
      </c>
      <c r="K879">
        <v>311</v>
      </c>
      <c r="L879" t="s">
        <v>5743</v>
      </c>
      <c r="M879" s="6" t="s">
        <v>6558</v>
      </c>
      <c r="N879" s="6" t="s">
        <v>6583</v>
      </c>
      <c r="O879" s="6">
        <v>73</v>
      </c>
      <c r="P879" s="6">
        <v>71</v>
      </c>
      <c r="Q879" s="6">
        <v>84</v>
      </c>
      <c r="R879" s="6">
        <v>80</v>
      </c>
      <c r="S879" s="6">
        <v>83</v>
      </c>
      <c r="T879" s="6">
        <v>81</v>
      </c>
      <c r="U879" s="6">
        <v>74</v>
      </c>
      <c r="V879" s="6">
        <v>76</v>
      </c>
      <c r="W879" s="6">
        <v>83</v>
      </c>
      <c r="X879" s="6">
        <v>70</v>
      </c>
      <c r="Y879" s="6">
        <v>80</v>
      </c>
      <c r="Z879" s="6">
        <v>77</v>
      </c>
      <c r="AA879" s="6">
        <v>67</v>
      </c>
      <c r="AB879" s="6">
        <v>64</v>
      </c>
      <c r="AC879" s="6">
        <v>64</v>
      </c>
      <c r="AD879" s="6">
        <v>60</v>
      </c>
      <c r="AE879" s="6">
        <v>68</v>
      </c>
      <c r="AF879" s="6">
        <v>75</v>
      </c>
      <c r="AG879" s="6" t="s">
        <v>7781</v>
      </c>
      <c r="AH879" s="6" t="s">
        <v>6855</v>
      </c>
    </row>
    <row r="880" spans="1:34" x14ac:dyDescent="0.2">
      <c r="A880" t="s">
        <v>4056</v>
      </c>
      <c r="B880" t="s">
        <v>2320</v>
      </c>
      <c r="C880" t="s">
        <v>2881</v>
      </c>
      <c r="D880" s="7" t="s">
        <v>22</v>
      </c>
      <c r="E880" t="s">
        <v>38</v>
      </c>
      <c r="F880">
        <v>26</v>
      </c>
      <c r="G880">
        <v>68</v>
      </c>
      <c r="H880">
        <v>73</v>
      </c>
      <c r="I880" t="s">
        <v>6492</v>
      </c>
      <c r="J880">
        <v>74</v>
      </c>
      <c r="K880">
        <v>251</v>
      </c>
      <c r="L880" t="s">
        <v>5750</v>
      </c>
      <c r="M880" s="6" t="s">
        <v>6558</v>
      </c>
      <c r="N880" s="6" t="s">
        <v>6565</v>
      </c>
      <c r="O880" s="6">
        <v>63</v>
      </c>
      <c r="P880" s="6">
        <v>73</v>
      </c>
      <c r="Q880" s="6">
        <v>71</v>
      </c>
      <c r="R880" s="6">
        <v>73</v>
      </c>
      <c r="S880" s="6">
        <v>70</v>
      </c>
      <c r="T880" s="6">
        <v>76</v>
      </c>
      <c r="U880" s="6">
        <v>73</v>
      </c>
      <c r="V880" s="6">
        <v>72</v>
      </c>
      <c r="W880" s="6">
        <v>83</v>
      </c>
      <c r="X880" s="6">
        <v>76</v>
      </c>
      <c r="Y880" s="6">
        <v>65</v>
      </c>
      <c r="Z880" s="6">
        <v>73</v>
      </c>
      <c r="AA880" s="6">
        <v>71</v>
      </c>
      <c r="AB880" s="6">
        <v>66</v>
      </c>
      <c r="AC880" s="6">
        <v>69</v>
      </c>
      <c r="AD880" s="6">
        <v>69</v>
      </c>
      <c r="AE880" s="6">
        <v>73</v>
      </c>
      <c r="AF880" s="6">
        <v>73</v>
      </c>
      <c r="AG880" s="6" t="s">
        <v>7788</v>
      </c>
      <c r="AH880" s="6" t="s">
        <v>6628</v>
      </c>
    </row>
    <row r="881" spans="1:34" x14ac:dyDescent="0.2">
      <c r="A881" t="s">
        <v>4069</v>
      </c>
      <c r="B881" t="s">
        <v>2333</v>
      </c>
      <c r="C881" t="s">
        <v>2885</v>
      </c>
      <c r="D881" s="7" t="s">
        <v>22</v>
      </c>
      <c r="E881" t="s">
        <v>38</v>
      </c>
      <c r="F881">
        <v>28</v>
      </c>
      <c r="G881">
        <v>82</v>
      </c>
      <c r="H881">
        <v>73</v>
      </c>
      <c r="I881" t="s">
        <v>6366</v>
      </c>
      <c r="J881">
        <v>72</v>
      </c>
      <c r="K881">
        <v>245</v>
      </c>
      <c r="L881" t="s">
        <v>5763</v>
      </c>
      <c r="M881" s="6" t="s">
        <v>6558</v>
      </c>
      <c r="N881" s="6" t="s">
        <v>6614</v>
      </c>
      <c r="O881" s="6">
        <v>68</v>
      </c>
      <c r="P881" s="6">
        <v>72</v>
      </c>
      <c r="Q881" s="6">
        <v>72</v>
      </c>
      <c r="R881" s="6">
        <v>58</v>
      </c>
      <c r="S881" s="6">
        <v>88</v>
      </c>
      <c r="T881" s="6">
        <v>71</v>
      </c>
      <c r="U881" s="6">
        <v>81</v>
      </c>
      <c r="V881" s="6">
        <v>80</v>
      </c>
      <c r="W881" s="6">
        <v>79</v>
      </c>
      <c r="X881" s="6">
        <v>70</v>
      </c>
      <c r="Y881" s="6">
        <v>78</v>
      </c>
      <c r="Z881" s="6">
        <v>77</v>
      </c>
      <c r="AA881" s="6">
        <v>70</v>
      </c>
      <c r="AB881" s="6">
        <v>72</v>
      </c>
      <c r="AC881" s="6">
        <v>75</v>
      </c>
      <c r="AD881" s="6">
        <v>68</v>
      </c>
      <c r="AE881" s="6">
        <v>67</v>
      </c>
      <c r="AF881" s="6">
        <v>78</v>
      </c>
      <c r="AG881" s="6" t="s">
        <v>7800</v>
      </c>
      <c r="AH881" s="6" t="s">
        <v>6628</v>
      </c>
    </row>
    <row r="882" spans="1:34" x14ac:dyDescent="0.2">
      <c r="A882" t="s">
        <v>4072</v>
      </c>
      <c r="B882" t="s">
        <v>2336</v>
      </c>
      <c r="C882" t="s">
        <v>2890</v>
      </c>
      <c r="D882" s="7" t="s">
        <v>22</v>
      </c>
      <c r="E882" t="s">
        <v>58</v>
      </c>
      <c r="F882">
        <v>31</v>
      </c>
      <c r="G882">
        <v>83</v>
      </c>
      <c r="H882">
        <v>73</v>
      </c>
      <c r="I882" t="s">
        <v>6418</v>
      </c>
      <c r="J882">
        <v>70</v>
      </c>
      <c r="K882">
        <v>181</v>
      </c>
      <c r="L882" t="s">
        <v>5766</v>
      </c>
      <c r="M882" s="6" t="s">
        <v>6558</v>
      </c>
      <c r="N882" s="6" t="s">
        <v>6567</v>
      </c>
      <c r="O882" s="6">
        <v>79</v>
      </c>
      <c r="P882" s="6">
        <v>71</v>
      </c>
      <c r="Q882" s="6">
        <v>75</v>
      </c>
      <c r="R882" s="6">
        <v>69</v>
      </c>
      <c r="S882" s="6">
        <v>78</v>
      </c>
      <c r="T882" s="6">
        <v>64</v>
      </c>
      <c r="U882" s="6">
        <v>74</v>
      </c>
      <c r="V882" s="6">
        <v>81</v>
      </c>
      <c r="W882" s="6">
        <v>85</v>
      </c>
      <c r="X882" s="6">
        <v>75</v>
      </c>
      <c r="Y882" s="6">
        <v>86</v>
      </c>
      <c r="Z882" s="6">
        <v>78</v>
      </c>
      <c r="AA882" s="6">
        <v>69</v>
      </c>
      <c r="AB882" s="6">
        <v>72</v>
      </c>
      <c r="AC882" s="6">
        <v>63</v>
      </c>
      <c r="AD882" s="6">
        <v>67</v>
      </c>
      <c r="AE882" s="6">
        <v>69</v>
      </c>
      <c r="AF882" s="6">
        <v>66</v>
      </c>
      <c r="AG882" s="6" t="s">
        <v>7803</v>
      </c>
      <c r="AH882" s="6" t="s">
        <v>6630</v>
      </c>
    </row>
    <row r="883" spans="1:34" x14ac:dyDescent="0.2">
      <c r="A883" t="s">
        <v>4107</v>
      </c>
      <c r="B883" t="s">
        <v>2371</v>
      </c>
      <c r="C883" t="s">
        <v>2879</v>
      </c>
      <c r="D883" s="7" t="s">
        <v>25</v>
      </c>
      <c r="E883" t="s">
        <v>38</v>
      </c>
      <c r="F883">
        <v>33</v>
      </c>
      <c r="G883">
        <v>71</v>
      </c>
      <c r="H883">
        <v>73</v>
      </c>
      <c r="I883" t="s">
        <v>6395</v>
      </c>
      <c r="J883">
        <v>77</v>
      </c>
      <c r="K883">
        <v>310</v>
      </c>
      <c r="L883" t="s">
        <v>5801</v>
      </c>
      <c r="M883" s="6" t="s">
        <v>6558</v>
      </c>
      <c r="N883" s="6" t="s">
        <v>6567</v>
      </c>
      <c r="O883" s="6">
        <v>82</v>
      </c>
      <c r="P883" s="6">
        <v>76</v>
      </c>
      <c r="Q883" s="6">
        <v>74</v>
      </c>
      <c r="R883" s="6">
        <v>69</v>
      </c>
      <c r="S883" s="6">
        <v>78</v>
      </c>
      <c r="T883" s="6">
        <v>71</v>
      </c>
      <c r="U883" s="6">
        <v>77</v>
      </c>
      <c r="V883" s="6">
        <v>79</v>
      </c>
      <c r="W883" s="6">
        <v>83</v>
      </c>
      <c r="X883" s="6">
        <v>82</v>
      </c>
      <c r="Y883" s="6">
        <v>76</v>
      </c>
      <c r="Z883" s="6">
        <v>71</v>
      </c>
      <c r="AA883" s="6">
        <v>66</v>
      </c>
      <c r="AB883" s="6">
        <v>67</v>
      </c>
      <c r="AC883" s="6">
        <v>61</v>
      </c>
      <c r="AD883" s="6">
        <v>64</v>
      </c>
      <c r="AE883" s="6">
        <v>59</v>
      </c>
      <c r="AF883" s="6">
        <v>71</v>
      </c>
      <c r="AG883" s="6" t="s">
        <v>7838</v>
      </c>
      <c r="AH883" s="6" t="s">
        <v>6617</v>
      </c>
    </row>
    <row r="884" spans="1:34" x14ac:dyDescent="0.2">
      <c r="A884" t="s">
        <v>4114</v>
      </c>
      <c r="B884" t="s">
        <v>2378</v>
      </c>
      <c r="C884" t="s">
        <v>61</v>
      </c>
      <c r="D884" s="7" t="s">
        <v>25</v>
      </c>
      <c r="E884" t="s">
        <v>38</v>
      </c>
      <c r="F884">
        <v>30</v>
      </c>
      <c r="G884">
        <v>72</v>
      </c>
      <c r="H884">
        <v>73</v>
      </c>
      <c r="I884" t="s">
        <v>6346</v>
      </c>
      <c r="J884">
        <v>70</v>
      </c>
      <c r="K884">
        <v>207</v>
      </c>
      <c r="L884" t="s">
        <v>5808</v>
      </c>
      <c r="M884" s="6" t="s">
        <v>6558</v>
      </c>
      <c r="N884" s="6" t="s">
        <v>6567</v>
      </c>
      <c r="O884" s="6">
        <v>74</v>
      </c>
      <c r="P884" s="6">
        <v>80</v>
      </c>
      <c r="Q884" s="6">
        <v>76</v>
      </c>
      <c r="R884" s="6">
        <v>67</v>
      </c>
      <c r="S884" s="6">
        <v>81</v>
      </c>
      <c r="T884" s="6">
        <v>74</v>
      </c>
      <c r="U884" s="6">
        <v>67</v>
      </c>
      <c r="V884" s="6">
        <v>80</v>
      </c>
      <c r="W884" s="6">
        <v>77</v>
      </c>
      <c r="X884" s="6">
        <v>74</v>
      </c>
      <c r="Y884" s="6">
        <v>84</v>
      </c>
      <c r="Z884" s="6">
        <v>87</v>
      </c>
      <c r="AA884" s="6">
        <v>76</v>
      </c>
      <c r="AB884" s="6">
        <v>73</v>
      </c>
      <c r="AC884" s="6">
        <v>66</v>
      </c>
      <c r="AD884" s="6">
        <v>65</v>
      </c>
      <c r="AE884" s="6">
        <v>67</v>
      </c>
      <c r="AF884" s="6">
        <v>72</v>
      </c>
      <c r="AG884" s="6" t="s">
        <v>7846</v>
      </c>
      <c r="AH884" s="6" t="s">
        <v>6632</v>
      </c>
    </row>
    <row r="885" spans="1:34" x14ac:dyDescent="0.2">
      <c r="A885" t="s">
        <v>4117</v>
      </c>
      <c r="B885" t="s">
        <v>2381</v>
      </c>
      <c r="C885" t="s">
        <v>2882</v>
      </c>
      <c r="D885" s="7" t="s">
        <v>25</v>
      </c>
      <c r="E885" t="s">
        <v>58</v>
      </c>
      <c r="F885">
        <v>28</v>
      </c>
      <c r="G885">
        <v>58</v>
      </c>
      <c r="H885">
        <v>73</v>
      </c>
      <c r="I885" t="s">
        <v>6404</v>
      </c>
      <c r="J885">
        <v>72</v>
      </c>
      <c r="K885">
        <v>194</v>
      </c>
      <c r="L885" t="s">
        <v>5811</v>
      </c>
      <c r="M885" s="6" t="s">
        <v>6558</v>
      </c>
      <c r="N885" s="6" t="s">
        <v>6565</v>
      </c>
      <c r="O885" s="6">
        <v>71</v>
      </c>
      <c r="P885" s="6">
        <v>72</v>
      </c>
      <c r="Q885" s="6">
        <v>70</v>
      </c>
      <c r="R885" s="6">
        <v>71</v>
      </c>
      <c r="S885" s="6">
        <v>67</v>
      </c>
      <c r="T885" s="6">
        <v>74</v>
      </c>
      <c r="U885" s="6">
        <v>76</v>
      </c>
      <c r="V885" s="6">
        <v>71</v>
      </c>
      <c r="W885" s="6">
        <v>77</v>
      </c>
      <c r="X885" s="6">
        <v>75</v>
      </c>
      <c r="Y885" s="6">
        <v>73</v>
      </c>
      <c r="Z885" s="6">
        <v>69</v>
      </c>
      <c r="AA885" s="6">
        <v>67</v>
      </c>
      <c r="AB885" s="6">
        <v>67</v>
      </c>
      <c r="AC885" s="6">
        <v>66</v>
      </c>
      <c r="AD885" s="6">
        <v>66</v>
      </c>
      <c r="AE885" s="6">
        <v>67</v>
      </c>
      <c r="AF885" s="6">
        <v>66</v>
      </c>
      <c r="AG885" s="6" t="s">
        <v>7849</v>
      </c>
      <c r="AH885" s="6" t="s">
        <v>6636</v>
      </c>
    </row>
    <row r="886" spans="1:34" x14ac:dyDescent="0.2">
      <c r="A886" t="s">
        <v>4119</v>
      </c>
      <c r="B886" t="s">
        <v>2383</v>
      </c>
      <c r="C886" t="s">
        <v>2883</v>
      </c>
      <c r="D886" s="7" t="s">
        <v>25</v>
      </c>
      <c r="E886" t="s">
        <v>38</v>
      </c>
      <c r="F886">
        <v>22</v>
      </c>
      <c r="G886">
        <v>73</v>
      </c>
      <c r="H886">
        <v>73</v>
      </c>
      <c r="I886" t="s">
        <v>6419</v>
      </c>
      <c r="J886">
        <v>75</v>
      </c>
      <c r="K886">
        <v>205</v>
      </c>
      <c r="L886" t="s">
        <v>5813</v>
      </c>
      <c r="M886" s="6" t="s">
        <v>6558</v>
      </c>
      <c r="N886" s="6" t="s">
        <v>6565</v>
      </c>
      <c r="O886" s="6">
        <v>76</v>
      </c>
      <c r="P886" s="6">
        <v>67</v>
      </c>
      <c r="Q886" s="6">
        <v>57</v>
      </c>
      <c r="R886" s="6">
        <v>72</v>
      </c>
      <c r="S886" s="6">
        <v>67</v>
      </c>
      <c r="T886" s="6">
        <v>59</v>
      </c>
      <c r="U886" s="6">
        <v>76</v>
      </c>
      <c r="V886" s="6">
        <v>75</v>
      </c>
      <c r="W886" s="6">
        <v>71</v>
      </c>
      <c r="X886" s="6">
        <v>64</v>
      </c>
      <c r="Y886" s="6">
        <v>59</v>
      </c>
      <c r="Z886" s="6">
        <v>74</v>
      </c>
      <c r="AA886" s="6">
        <v>67</v>
      </c>
      <c r="AB886" s="6">
        <v>76</v>
      </c>
      <c r="AC886" s="6">
        <v>69</v>
      </c>
      <c r="AD886" s="6">
        <v>72</v>
      </c>
      <c r="AE886" s="6">
        <v>68</v>
      </c>
      <c r="AF886" s="6">
        <v>76</v>
      </c>
      <c r="AG886" s="6" t="s">
        <v>7851</v>
      </c>
      <c r="AH886" s="6" t="s">
        <v>6640</v>
      </c>
    </row>
    <row r="887" spans="1:34" x14ac:dyDescent="0.2">
      <c r="A887" t="s">
        <v>4123</v>
      </c>
      <c r="B887" t="s">
        <v>2387</v>
      </c>
      <c r="C887" t="s">
        <v>2890</v>
      </c>
      <c r="D887" s="7" t="s">
        <v>25</v>
      </c>
      <c r="E887" t="s">
        <v>38</v>
      </c>
      <c r="F887">
        <v>24</v>
      </c>
      <c r="G887">
        <v>75</v>
      </c>
      <c r="H887">
        <v>73</v>
      </c>
      <c r="I887" t="s">
        <v>6428</v>
      </c>
      <c r="J887">
        <v>72</v>
      </c>
      <c r="K887">
        <v>202</v>
      </c>
      <c r="L887" t="s">
        <v>5817</v>
      </c>
      <c r="M887" s="6" t="s">
        <v>6558</v>
      </c>
      <c r="N887" s="6" t="s">
        <v>6567</v>
      </c>
      <c r="O887" s="6">
        <v>64</v>
      </c>
      <c r="P887" s="6">
        <v>74</v>
      </c>
      <c r="Q887" s="6">
        <v>62</v>
      </c>
      <c r="R887" s="6">
        <v>64</v>
      </c>
      <c r="S887" s="6">
        <v>62</v>
      </c>
      <c r="T887" s="6">
        <v>75</v>
      </c>
      <c r="U887" s="6">
        <v>70</v>
      </c>
      <c r="V887" s="6">
        <v>73</v>
      </c>
      <c r="W887" s="6">
        <v>68</v>
      </c>
      <c r="X887" s="6">
        <v>69</v>
      </c>
      <c r="Y887" s="6">
        <v>83</v>
      </c>
      <c r="Z887" s="6">
        <v>71</v>
      </c>
      <c r="AA887" s="6">
        <v>68</v>
      </c>
      <c r="AB887" s="6">
        <v>78</v>
      </c>
      <c r="AC887" s="6">
        <v>66</v>
      </c>
      <c r="AD887" s="6">
        <v>59</v>
      </c>
      <c r="AE887" s="6">
        <v>64</v>
      </c>
      <c r="AF887" s="6">
        <v>79</v>
      </c>
      <c r="AG887" s="6" t="s">
        <v>7855</v>
      </c>
      <c r="AH887" s="6" t="s">
        <v>6630</v>
      </c>
    </row>
    <row r="888" spans="1:34" x14ac:dyDescent="0.2">
      <c r="A888" t="s">
        <v>4137</v>
      </c>
      <c r="B888" t="s">
        <v>2401</v>
      </c>
      <c r="C888" t="s">
        <v>57</v>
      </c>
      <c r="D888" s="7" t="s">
        <v>150</v>
      </c>
      <c r="E888" t="s">
        <v>38</v>
      </c>
      <c r="F888">
        <v>26</v>
      </c>
      <c r="G888">
        <v>67</v>
      </c>
      <c r="H888">
        <v>73</v>
      </c>
      <c r="I888" t="s">
        <v>6314</v>
      </c>
      <c r="J888">
        <v>72</v>
      </c>
      <c r="K888">
        <v>195</v>
      </c>
      <c r="L888" t="s">
        <v>5831</v>
      </c>
      <c r="M888" s="6" t="s">
        <v>6558</v>
      </c>
      <c r="N888" s="6" t="s">
        <v>6614</v>
      </c>
      <c r="O888" s="6">
        <v>78</v>
      </c>
      <c r="P888" s="6">
        <v>67</v>
      </c>
      <c r="Q888" s="6">
        <v>67</v>
      </c>
      <c r="R888" s="6">
        <v>56</v>
      </c>
      <c r="S888" s="6">
        <v>76</v>
      </c>
      <c r="T888" s="6">
        <v>74</v>
      </c>
      <c r="U888" s="6">
        <v>76</v>
      </c>
      <c r="V888" s="6">
        <v>73</v>
      </c>
      <c r="W888" s="6">
        <v>78</v>
      </c>
      <c r="X888" s="6">
        <v>76</v>
      </c>
      <c r="Y888" s="6">
        <v>73</v>
      </c>
      <c r="Z888" s="6">
        <v>70</v>
      </c>
      <c r="AA888" s="6">
        <v>67</v>
      </c>
      <c r="AB888" s="6">
        <v>71</v>
      </c>
      <c r="AC888" s="6">
        <v>69</v>
      </c>
      <c r="AD888" s="6">
        <v>77</v>
      </c>
      <c r="AE888" s="6">
        <v>69</v>
      </c>
      <c r="AF888" s="6">
        <v>71</v>
      </c>
      <c r="AG888" s="6" t="s">
        <v>7868</v>
      </c>
      <c r="AH888" s="6" t="s">
        <v>6574</v>
      </c>
    </row>
    <row r="889" spans="1:34" x14ac:dyDescent="0.2">
      <c r="A889" t="s">
        <v>4158</v>
      </c>
      <c r="B889" t="s">
        <v>2422</v>
      </c>
      <c r="C889" t="s">
        <v>2879</v>
      </c>
      <c r="D889" s="7" t="s">
        <v>150</v>
      </c>
      <c r="E889" t="s">
        <v>38</v>
      </c>
      <c r="F889">
        <v>30</v>
      </c>
      <c r="G889">
        <v>84</v>
      </c>
      <c r="H889">
        <v>73</v>
      </c>
      <c r="I889" t="s">
        <v>8337</v>
      </c>
      <c r="J889">
        <v>72</v>
      </c>
      <c r="K889">
        <v>290</v>
      </c>
      <c r="L889" t="s">
        <v>5852</v>
      </c>
      <c r="M889" s="6" t="s">
        <v>6558</v>
      </c>
      <c r="N889" s="6" t="s">
        <v>6559</v>
      </c>
      <c r="O889" s="6">
        <v>80</v>
      </c>
      <c r="P889" s="6">
        <v>76</v>
      </c>
      <c r="Q889" s="6">
        <v>87</v>
      </c>
      <c r="R889" s="6">
        <v>82</v>
      </c>
      <c r="S889" s="6">
        <v>87</v>
      </c>
      <c r="T889" s="6">
        <v>82</v>
      </c>
      <c r="U889" s="6">
        <v>73</v>
      </c>
      <c r="V889" s="6">
        <v>88</v>
      </c>
      <c r="W889" s="6">
        <v>82</v>
      </c>
      <c r="X889" s="6">
        <v>82</v>
      </c>
      <c r="Y889" s="6">
        <v>79</v>
      </c>
      <c r="Z889" s="6">
        <v>83</v>
      </c>
      <c r="AA889" s="6">
        <v>76</v>
      </c>
      <c r="AB889" s="6">
        <v>70</v>
      </c>
      <c r="AC889" s="6">
        <v>81</v>
      </c>
      <c r="AD889" s="6">
        <v>74</v>
      </c>
      <c r="AE889" s="6">
        <v>75</v>
      </c>
      <c r="AF889" s="6">
        <v>69</v>
      </c>
      <c r="AG889" s="6" t="s">
        <v>7889</v>
      </c>
      <c r="AH889" s="6" t="s">
        <v>6617</v>
      </c>
    </row>
    <row r="890" spans="1:34" x14ac:dyDescent="0.2">
      <c r="A890" t="s">
        <v>4159</v>
      </c>
      <c r="B890" t="s">
        <v>2423</v>
      </c>
      <c r="C890" t="s">
        <v>2879</v>
      </c>
      <c r="D890" s="7" t="s">
        <v>150</v>
      </c>
      <c r="E890" t="s">
        <v>38</v>
      </c>
      <c r="F890">
        <v>28</v>
      </c>
      <c r="G890">
        <v>70</v>
      </c>
      <c r="H890">
        <v>73</v>
      </c>
      <c r="I890" t="s">
        <v>6379</v>
      </c>
      <c r="J890">
        <v>75</v>
      </c>
      <c r="K890">
        <v>301</v>
      </c>
      <c r="L890" t="s">
        <v>5853</v>
      </c>
      <c r="M890" s="6" t="s">
        <v>6558</v>
      </c>
      <c r="N890" s="6" t="s">
        <v>6565</v>
      </c>
      <c r="O890" s="6">
        <v>79</v>
      </c>
      <c r="P890" s="6">
        <v>76</v>
      </c>
      <c r="Q890" s="6">
        <v>67</v>
      </c>
      <c r="R890" s="6">
        <v>72</v>
      </c>
      <c r="S890" s="6">
        <v>75</v>
      </c>
      <c r="T890" s="6">
        <v>67</v>
      </c>
      <c r="U890" s="6">
        <v>77</v>
      </c>
      <c r="V890" s="6">
        <v>78</v>
      </c>
      <c r="W890" s="6">
        <v>66</v>
      </c>
      <c r="X890" s="6">
        <v>62</v>
      </c>
      <c r="Y890" s="6">
        <v>65</v>
      </c>
      <c r="Z890" s="6">
        <v>70</v>
      </c>
      <c r="AA890" s="6">
        <v>68</v>
      </c>
      <c r="AB890" s="6">
        <v>71</v>
      </c>
      <c r="AC890" s="6">
        <v>67</v>
      </c>
      <c r="AD890" s="6">
        <v>68</v>
      </c>
      <c r="AE890" s="6">
        <v>71</v>
      </c>
      <c r="AF890" s="6">
        <v>67</v>
      </c>
      <c r="AG890" s="6" t="s">
        <v>7890</v>
      </c>
      <c r="AH890" s="6" t="s">
        <v>6617</v>
      </c>
    </row>
    <row r="891" spans="1:34" x14ac:dyDescent="0.2">
      <c r="A891" t="s">
        <v>4163</v>
      </c>
      <c r="B891" t="s">
        <v>2427</v>
      </c>
      <c r="C891" t="s">
        <v>61</v>
      </c>
      <c r="D891" s="7" t="s">
        <v>150</v>
      </c>
      <c r="E891" t="s">
        <v>38</v>
      </c>
      <c r="F891">
        <v>29</v>
      </c>
      <c r="G891">
        <v>75</v>
      </c>
      <c r="H891">
        <v>73</v>
      </c>
      <c r="I891" t="s">
        <v>6365</v>
      </c>
      <c r="J891">
        <v>69</v>
      </c>
      <c r="K891">
        <v>199</v>
      </c>
      <c r="L891" t="s">
        <v>5857</v>
      </c>
      <c r="M891" s="6" t="s">
        <v>6558</v>
      </c>
      <c r="N891" s="6" t="s">
        <v>6567</v>
      </c>
      <c r="O891" s="6">
        <v>75</v>
      </c>
      <c r="P891" s="6">
        <v>73</v>
      </c>
      <c r="Q891" s="6">
        <v>76</v>
      </c>
      <c r="R891" s="6">
        <v>63</v>
      </c>
      <c r="S891" s="6">
        <v>84</v>
      </c>
      <c r="T891" s="6">
        <v>78</v>
      </c>
      <c r="U891" s="6">
        <v>70</v>
      </c>
      <c r="V891" s="6">
        <v>81</v>
      </c>
      <c r="W891" s="6">
        <v>76</v>
      </c>
      <c r="X891" s="6">
        <v>86</v>
      </c>
      <c r="Y891" s="6">
        <v>84</v>
      </c>
      <c r="Z891" s="6">
        <v>80</v>
      </c>
      <c r="AA891" s="6">
        <v>68</v>
      </c>
      <c r="AB891" s="6">
        <v>71</v>
      </c>
      <c r="AC891" s="6">
        <v>66</v>
      </c>
      <c r="AD891" s="6">
        <v>70</v>
      </c>
      <c r="AE891" s="6">
        <v>69</v>
      </c>
      <c r="AF891" s="6">
        <v>67</v>
      </c>
      <c r="AG891" s="6" t="s">
        <v>7894</v>
      </c>
      <c r="AH891" s="6" t="s">
        <v>6694</v>
      </c>
    </row>
    <row r="892" spans="1:34" x14ac:dyDescent="0.2">
      <c r="A892" t="s">
        <v>4176</v>
      </c>
      <c r="B892" t="s">
        <v>2440</v>
      </c>
      <c r="C892" t="s">
        <v>2890</v>
      </c>
      <c r="D892" s="7" t="s">
        <v>150</v>
      </c>
      <c r="E892" t="s">
        <v>38</v>
      </c>
      <c r="F892">
        <v>23</v>
      </c>
      <c r="G892">
        <v>85</v>
      </c>
      <c r="H892">
        <v>73</v>
      </c>
      <c r="I892" t="s">
        <v>6322</v>
      </c>
      <c r="J892">
        <v>68</v>
      </c>
      <c r="K892">
        <v>198</v>
      </c>
      <c r="L892" t="s">
        <v>5870</v>
      </c>
      <c r="M892" s="6" t="s">
        <v>6558</v>
      </c>
      <c r="N892" s="6" t="s">
        <v>6567</v>
      </c>
      <c r="O892" s="6">
        <v>63</v>
      </c>
      <c r="P892" s="6">
        <v>74</v>
      </c>
      <c r="Q892" s="6">
        <v>71</v>
      </c>
      <c r="R892" s="6">
        <v>67</v>
      </c>
      <c r="S892" s="6">
        <v>62</v>
      </c>
      <c r="T892" s="6">
        <v>70</v>
      </c>
      <c r="U892" s="6">
        <v>65</v>
      </c>
      <c r="V892" s="6">
        <v>68</v>
      </c>
      <c r="W892" s="6">
        <v>62</v>
      </c>
      <c r="X892" s="6">
        <v>73</v>
      </c>
      <c r="Y892" s="6">
        <v>67</v>
      </c>
      <c r="Z892" s="6">
        <v>73</v>
      </c>
      <c r="AA892" s="6">
        <v>70</v>
      </c>
      <c r="AB892" s="6">
        <v>72</v>
      </c>
      <c r="AC892" s="6">
        <v>72</v>
      </c>
      <c r="AD892" s="6">
        <v>79</v>
      </c>
      <c r="AE892" s="6">
        <v>75</v>
      </c>
      <c r="AF892" s="6">
        <v>71</v>
      </c>
      <c r="AG892" s="6" t="s">
        <v>7907</v>
      </c>
      <c r="AH892" s="6" t="s">
        <v>6630</v>
      </c>
    </row>
    <row r="893" spans="1:34" x14ac:dyDescent="0.2">
      <c r="A893" t="s">
        <v>4185</v>
      </c>
      <c r="B893" t="s">
        <v>2449</v>
      </c>
      <c r="C893" t="s">
        <v>2870</v>
      </c>
      <c r="D893" s="7" t="s">
        <v>151</v>
      </c>
      <c r="E893" t="s">
        <v>38</v>
      </c>
      <c r="F893">
        <v>26</v>
      </c>
      <c r="G893">
        <v>66</v>
      </c>
      <c r="H893">
        <v>73</v>
      </c>
      <c r="I893" t="s">
        <v>6420</v>
      </c>
      <c r="J893">
        <v>71</v>
      </c>
      <c r="K893">
        <v>227</v>
      </c>
      <c r="L893" t="s">
        <v>5879</v>
      </c>
      <c r="M893" s="6" t="s">
        <v>6558</v>
      </c>
      <c r="N893" s="6" t="s">
        <v>6565</v>
      </c>
      <c r="O893" s="6">
        <v>67</v>
      </c>
      <c r="P893" s="6">
        <v>64</v>
      </c>
      <c r="Q893" s="6">
        <v>79</v>
      </c>
      <c r="R893" s="6">
        <v>70</v>
      </c>
      <c r="S893" s="6">
        <v>67</v>
      </c>
      <c r="T893" s="6">
        <v>74</v>
      </c>
      <c r="U893" s="6">
        <v>65</v>
      </c>
      <c r="V893" s="6">
        <v>66</v>
      </c>
      <c r="W893" s="6">
        <v>59</v>
      </c>
      <c r="X893" s="6">
        <v>68</v>
      </c>
      <c r="Y893" s="6">
        <v>78</v>
      </c>
      <c r="Z893" s="6">
        <v>71</v>
      </c>
      <c r="AA893" s="6">
        <v>70</v>
      </c>
      <c r="AB893" s="6">
        <v>63</v>
      </c>
      <c r="AC893" s="6">
        <v>73</v>
      </c>
      <c r="AD893" s="6">
        <v>71</v>
      </c>
      <c r="AE893" s="6">
        <v>68</v>
      </c>
      <c r="AF893" s="6">
        <v>67</v>
      </c>
      <c r="AG893" s="6" t="s">
        <v>7916</v>
      </c>
      <c r="AH893" s="6" t="s">
        <v>6656</v>
      </c>
    </row>
    <row r="894" spans="1:34" x14ac:dyDescent="0.2">
      <c r="A894" t="s">
        <v>4208</v>
      </c>
      <c r="B894" t="s">
        <v>2472</v>
      </c>
      <c r="C894" t="s">
        <v>2878</v>
      </c>
      <c r="D894" s="7" t="s">
        <v>151</v>
      </c>
      <c r="E894" t="s">
        <v>38</v>
      </c>
      <c r="F894">
        <v>23</v>
      </c>
      <c r="G894">
        <v>63</v>
      </c>
      <c r="H894">
        <v>73</v>
      </c>
      <c r="I894" t="s">
        <v>6362</v>
      </c>
      <c r="J894">
        <v>74</v>
      </c>
      <c r="K894">
        <v>262</v>
      </c>
      <c r="L894" t="s">
        <v>5902</v>
      </c>
      <c r="M894" s="6" t="s">
        <v>6558</v>
      </c>
      <c r="N894" s="6" t="s">
        <v>6614</v>
      </c>
      <c r="O894" s="6">
        <v>62</v>
      </c>
      <c r="P894" s="6">
        <v>61</v>
      </c>
      <c r="Q894" s="6">
        <v>67</v>
      </c>
      <c r="R894" s="6">
        <v>52</v>
      </c>
      <c r="S894" s="6">
        <v>55</v>
      </c>
      <c r="T894" s="6">
        <v>67</v>
      </c>
      <c r="U894" s="6">
        <v>65</v>
      </c>
      <c r="V894" s="6">
        <v>65</v>
      </c>
      <c r="W894" s="6">
        <v>64</v>
      </c>
      <c r="X894" s="6">
        <v>70</v>
      </c>
      <c r="Y894" s="6">
        <v>70</v>
      </c>
      <c r="Z894" s="6">
        <v>67</v>
      </c>
      <c r="AA894" s="6">
        <v>63</v>
      </c>
      <c r="AB894" s="6">
        <v>71</v>
      </c>
      <c r="AC894" s="6">
        <v>64</v>
      </c>
      <c r="AD894" s="6">
        <v>65</v>
      </c>
      <c r="AE894" s="6">
        <v>70</v>
      </c>
      <c r="AF894" s="6">
        <v>63</v>
      </c>
      <c r="AG894" s="6" t="s">
        <v>7940</v>
      </c>
      <c r="AH894" s="6" t="s">
        <v>6686</v>
      </c>
    </row>
    <row r="895" spans="1:34" x14ac:dyDescent="0.2">
      <c r="A895" t="s">
        <v>4209</v>
      </c>
      <c r="B895" t="s">
        <v>2473</v>
      </c>
      <c r="C895" t="s">
        <v>2879</v>
      </c>
      <c r="D895" s="7" t="s">
        <v>151</v>
      </c>
      <c r="E895" t="s">
        <v>38</v>
      </c>
      <c r="F895">
        <v>27</v>
      </c>
      <c r="G895">
        <v>83</v>
      </c>
      <c r="H895">
        <v>73</v>
      </c>
      <c r="I895" t="s">
        <v>6351</v>
      </c>
      <c r="J895">
        <v>74</v>
      </c>
      <c r="K895">
        <v>290</v>
      </c>
      <c r="L895" t="s">
        <v>5903</v>
      </c>
      <c r="M895" s="6" t="s">
        <v>6558</v>
      </c>
      <c r="N895" s="6" t="s">
        <v>6567</v>
      </c>
      <c r="O895" s="6">
        <v>85</v>
      </c>
      <c r="P895" s="6">
        <v>83</v>
      </c>
      <c r="Q895" s="6">
        <v>85</v>
      </c>
      <c r="R895" s="6">
        <v>66</v>
      </c>
      <c r="S895" s="6">
        <v>78</v>
      </c>
      <c r="T895" s="6">
        <v>83</v>
      </c>
      <c r="U895" s="6">
        <v>91</v>
      </c>
      <c r="V895" s="6">
        <v>79</v>
      </c>
      <c r="W895" s="6">
        <v>87</v>
      </c>
      <c r="X895" s="6">
        <v>77</v>
      </c>
      <c r="Y895" s="6">
        <v>88</v>
      </c>
      <c r="Z895" s="6">
        <v>80</v>
      </c>
      <c r="AA895" s="6">
        <v>78</v>
      </c>
      <c r="AB895" s="6">
        <v>78</v>
      </c>
      <c r="AC895" s="6">
        <v>80</v>
      </c>
      <c r="AD895" s="6">
        <v>77</v>
      </c>
      <c r="AE895" s="6">
        <v>77</v>
      </c>
      <c r="AF895" s="6">
        <v>82</v>
      </c>
      <c r="AG895" s="6" t="s">
        <v>7941</v>
      </c>
      <c r="AH895" s="6" t="s">
        <v>6617</v>
      </c>
    </row>
    <row r="896" spans="1:34" x14ac:dyDescent="0.2">
      <c r="A896" t="s">
        <v>4212</v>
      </c>
      <c r="B896" t="s">
        <v>2476</v>
      </c>
      <c r="C896" t="s">
        <v>2879</v>
      </c>
      <c r="D896" s="7" t="s">
        <v>151</v>
      </c>
      <c r="E896" t="s">
        <v>38</v>
      </c>
      <c r="F896">
        <v>23</v>
      </c>
      <c r="G896">
        <v>74</v>
      </c>
      <c r="H896">
        <v>73</v>
      </c>
      <c r="I896" t="s">
        <v>6413</v>
      </c>
      <c r="J896">
        <v>73</v>
      </c>
      <c r="K896">
        <v>301</v>
      </c>
      <c r="L896" t="s">
        <v>5906</v>
      </c>
      <c r="M896" s="6" t="s">
        <v>6558</v>
      </c>
      <c r="N896" s="6" t="s">
        <v>6567</v>
      </c>
      <c r="O896" s="6">
        <v>71</v>
      </c>
      <c r="P896" s="6">
        <v>70</v>
      </c>
      <c r="Q896" s="6">
        <v>69</v>
      </c>
      <c r="R896" s="6">
        <v>68</v>
      </c>
      <c r="S896" s="6">
        <v>68</v>
      </c>
      <c r="T896" s="6">
        <v>70</v>
      </c>
      <c r="U896" s="6">
        <v>79</v>
      </c>
      <c r="V896" s="6">
        <v>74</v>
      </c>
      <c r="W896" s="6">
        <v>82</v>
      </c>
      <c r="X896" s="6">
        <v>84</v>
      </c>
      <c r="Y896" s="6">
        <v>71</v>
      </c>
      <c r="Z896" s="6">
        <v>70</v>
      </c>
      <c r="AA896" s="6">
        <v>73</v>
      </c>
      <c r="AB896" s="6">
        <v>64</v>
      </c>
      <c r="AC896" s="6">
        <v>70</v>
      </c>
      <c r="AD896" s="6">
        <v>70</v>
      </c>
      <c r="AE896" s="6">
        <v>71</v>
      </c>
      <c r="AF896" s="6">
        <v>75</v>
      </c>
      <c r="AG896" s="6" t="s">
        <v>7944</v>
      </c>
      <c r="AH896" s="6" t="s">
        <v>6617</v>
      </c>
    </row>
    <row r="897" spans="1:34" x14ac:dyDescent="0.2">
      <c r="A897" t="s">
        <v>4218</v>
      </c>
      <c r="B897" t="s">
        <v>2482</v>
      </c>
      <c r="C897" t="s">
        <v>61</v>
      </c>
      <c r="D897" s="7" t="s">
        <v>151</v>
      </c>
      <c r="E897" t="s">
        <v>38</v>
      </c>
      <c r="F897">
        <v>30</v>
      </c>
      <c r="G897">
        <v>86</v>
      </c>
      <c r="H897">
        <v>73</v>
      </c>
      <c r="I897" t="s">
        <v>8330</v>
      </c>
      <c r="J897">
        <v>70</v>
      </c>
      <c r="K897">
        <v>189</v>
      </c>
      <c r="L897" t="s">
        <v>5912</v>
      </c>
      <c r="M897" s="6" t="s">
        <v>6558</v>
      </c>
      <c r="N897" s="6" t="s">
        <v>6567</v>
      </c>
      <c r="O897" s="6">
        <v>82</v>
      </c>
      <c r="P897" s="6">
        <v>81</v>
      </c>
      <c r="Q897" s="6">
        <v>79</v>
      </c>
      <c r="R897" s="6">
        <v>63</v>
      </c>
      <c r="S897" s="6">
        <v>92</v>
      </c>
      <c r="T897" s="6">
        <v>79</v>
      </c>
      <c r="U897" s="6">
        <v>78</v>
      </c>
      <c r="V897" s="6">
        <v>85</v>
      </c>
      <c r="W897" s="6">
        <v>81</v>
      </c>
      <c r="X897" s="6">
        <v>77</v>
      </c>
      <c r="Y897" s="6">
        <v>90</v>
      </c>
      <c r="Z897" s="6">
        <v>81</v>
      </c>
      <c r="AA897" s="6">
        <v>70</v>
      </c>
      <c r="AB897" s="6">
        <v>74</v>
      </c>
      <c r="AC897" s="6">
        <v>74</v>
      </c>
      <c r="AD897" s="6">
        <v>78</v>
      </c>
      <c r="AE897" s="6">
        <v>73</v>
      </c>
      <c r="AF897" s="6">
        <v>76</v>
      </c>
      <c r="AG897" s="6" t="s">
        <v>7950</v>
      </c>
      <c r="AH897" s="6" t="s">
        <v>7408</v>
      </c>
    </row>
    <row r="898" spans="1:34" x14ac:dyDescent="0.2">
      <c r="A898" t="s">
        <v>4225</v>
      </c>
      <c r="B898" t="s">
        <v>2489</v>
      </c>
      <c r="C898" t="s">
        <v>2883</v>
      </c>
      <c r="D898" s="7" t="s">
        <v>151</v>
      </c>
      <c r="E898" t="s">
        <v>38</v>
      </c>
      <c r="F898">
        <v>23</v>
      </c>
      <c r="G898">
        <v>72</v>
      </c>
      <c r="H898">
        <v>73</v>
      </c>
      <c r="I898" t="s">
        <v>6464</v>
      </c>
      <c r="J898">
        <v>72</v>
      </c>
      <c r="K898">
        <v>200</v>
      </c>
      <c r="L898" t="s">
        <v>5919</v>
      </c>
      <c r="M898" s="6" t="s">
        <v>6558</v>
      </c>
      <c r="N898" s="6" t="s">
        <v>6565</v>
      </c>
      <c r="O898" s="6">
        <v>81</v>
      </c>
      <c r="P898" s="6">
        <v>70</v>
      </c>
      <c r="Q898" s="6">
        <v>79</v>
      </c>
      <c r="R898" s="6">
        <v>71</v>
      </c>
      <c r="S898" s="6">
        <v>83</v>
      </c>
      <c r="T898" s="6">
        <v>69</v>
      </c>
      <c r="U898" s="6">
        <v>75</v>
      </c>
      <c r="V898" s="6">
        <v>80</v>
      </c>
      <c r="W898" s="6">
        <v>66</v>
      </c>
      <c r="X898" s="6">
        <v>70</v>
      </c>
      <c r="Y898" s="6">
        <v>75</v>
      </c>
      <c r="Z898" s="6">
        <v>69</v>
      </c>
      <c r="AA898" s="6">
        <v>77</v>
      </c>
      <c r="AB898" s="6">
        <v>75</v>
      </c>
      <c r="AC898" s="6">
        <v>75</v>
      </c>
      <c r="AD898" s="6">
        <v>71</v>
      </c>
      <c r="AE898" s="6">
        <v>75</v>
      </c>
      <c r="AF898" s="6">
        <v>65</v>
      </c>
      <c r="AG898" s="6" t="s">
        <v>7957</v>
      </c>
      <c r="AH898" s="6" t="s">
        <v>6640</v>
      </c>
    </row>
    <row r="899" spans="1:34" x14ac:dyDescent="0.2">
      <c r="A899" t="s">
        <v>4237</v>
      </c>
      <c r="B899" t="s">
        <v>2501</v>
      </c>
      <c r="C899" t="s">
        <v>53</v>
      </c>
      <c r="D899" s="7" t="s">
        <v>152</v>
      </c>
      <c r="E899" t="s">
        <v>38</v>
      </c>
      <c r="F899">
        <v>23</v>
      </c>
      <c r="G899">
        <v>69</v>
      </c>
      <c r="H899">
        <v>73</v>
      </c>
      <c r="I899" t="s">
        <v>6344</v>
      </c>
      <c r="J899">
        <v>76</v>
      </c>
      <c r="K899">
        <v>213</v>
      </c>
      <c r="L899" t="s">
        <v>5931</v>
      </c>
      <c r="M899" s="6" t="s">
        <v>6558</v>
      </c>
      <c r="N899" s="6" t="s">
        <v>6565</v>
      </c>
      <c r="O899" s="6">
        <v>73</v>
      </c>
      <c r="P899" s="6">
        <v>75</v>
      </c>
      <c r="Q899" s="6">
        <v>61</v>
      </c>
      <c r="R899" s="6">
        <v>75</v>
      </c>
      <c r="S899" s="6">
        <v>65</v>
      </c>
      <c r="T899" s="6">
        <v>62</v>
      </c>
      <c r="U899" s="6">
        <v>59</v>
      </c>
      <c r="V899" s="6">
        <v>69</v>
      </c>
      <c r="W899" s="6">
        <v>68</v>
      </c>
      <c r="X899" s="6">
        <v>65</v>
      </c>
      <c r="Y899" s="6">
        <v>71</v>
      </c>
      <c r="Z899" s="6">
        <v>67</v>
      </c>
      <c r="AA899" s="6">
        <v>69</v>
      </c>
      <c r="AB899" s="6">
        <v>65</v>
      </c>
      <c r="AC899" s="6">
        <v>62</v>
      </c>
      <c r="AD899" s="6">
        <v>61</v>
      </c>
      <c r="AE899" s="6">
        <v>69</v>
      </c>
      <c r="AF899" s="6">
        <v>65</v>
      </c>
      <c r="AG899" s="6" t="s">
        <v>7969</v>
      </c>
      <c r="AH899" s="6" t="s">
        <v>6882</v>
      </c>
    </row>
    <row r="900" spans="1:34" x14ac:dyDescent="0.2">
      <c r="A900" t="s">
        <v>4245</v>
      </c>
      <c r="B900" t="s">
        <v>2509</v>
      </c>
      <c r="C900" t="s">
        <v>57</v>
      </c>
      <c r="D900" s="7" t="s">
        <v>152</v>
      </c>
      <c r="E900" t="s">
        <v>38</v>
      </c>
      <c r="F900">
        <v>23</v>
      </c>
      <c r="G900">
        <v>67</v>
      </c>
      <c r="H900">
        <v>73</v>
      </c>
      <c r="I900" t="s">
        <v>6385</v>
      </c>
      <c r="J900">
        <v>74</v>
      </c>
      <c r="K900">
        <v>197</v>
      </c>
      <c r="L900" t="s">
        <v>5939</v>
      </c>
      <c r="M900" s="6" t="s">
        <v>6558</v>
      </c>
      <c r="N900" s="6" t="s">
        <v>6614</v>
      </c>
      <c r="O900" s="6">
        <v>63</v>
      </c>
      <c r="P900" s="6">
        <v>61</v>
      </c>
      <c r="Q900" s="6">
        <v>68</v>
      </c>
      <c r="R900" s="6">
        <v>60</v>
      </c>
      <c r="S900" s="6">
        <v>67</v>
      </c>
      <c r="T900" s="6">
        <v>66</v>
      </c>
      <c r="U900" s="6">
        <v>58</v>
      </c>
      <c r="V900" s="6">
        <v>65</v>
      </c>
      <c r="W900" s="6">
        <v>74</v>
      </c>
      <c r="X900" s="6">
        <v>73</v>
      </c>
      <c r="Y900" s="6">
        <v>59</v>
      </c>
      <c r="Z900" s="6">
        <v>65</v>
      </c>
      <c r="AA900" s="6">
        <v>63</v>
      </c>
      <c r="AB900" s="6">
        <v>70</v>
      </c>
      <c r="AC900" s="6">
        <v>65</v>
      </c>
      <c r="AD900" s="6">
        <v>74</v>
      </c>
      <c r="AE900" s="6">
        <v>61</v>
      </c>
      <c r="AF900" s="6">
        <v>74</v>
      </c>
      <c r="AG900" s="6" t="s">
        <v>7976</v>
      </c>
      <c r="AH900" s="6" t="s">
        <v>6578</v>
      </c>
    </row>
    <row r="901" spans="1:34" x14ac:dyDescent="0.2">
      <c r="A901" t="s">
        <v>4253</v>
      </c>
      <c r="B901" t="s">
        <v>2517</v>
      </c>
      <c r="C901" t="s">
        <v>2873</v>
      </c>
      <c r="D901" s="7" t="s">
        <v>152</v>
      </c>
      <c r="E901" t="s">
        <v>38</v>
      </c>
      <c r="F901">
        <v>29</v>
      </c>
      <c r="G901">
        <v>74</v>
      </c>
      <c r="H901">
        <v>73</v>
      </c>
      <c r="I901" t="s">
        <v>6429</v>
      </c>
      <c r="J901">
        <v>77</v>
      </c>
      <c r="K901">
        <v>309</v>
      </c>
      <c r="L901" t="s">
        <v>5947</v>
      </c>
      <c r="M901" s="6" t="s">
        <v>6558</v>
      </c>
      <c r="N901" s="6" t="s">
        <v>6583</v>
      </c>
      <c r="O901" s="6">
        <v>90</v>
      </c>
      <c r="P901" s="6">
        <v>75</v>
      </c>
      <c r="Q901" s="6">
        <v>63</v>
      </c>
      <c r="R901" s="6">
        <v>78</v>
      </c>
      <c r="S901" s="6">
        <v>72</v>
      </c>
      <c r="T901" s="6">
        <v>77</v>
      </c>
      <c r="U901" s="6">
        <v>78</v>
      </c>
      <c r="V901" s="6">
        <v>74</v>
      </c>
      <c r="W901" s="6">
        <v>88</v>
      </c>
      <c r="X901" s="6">
        <v>75</v>
      </c>
      <c r="Y901" s="6">
        <v>87</v>
      </c>
      <c r="Z901" s="6">
        <v>84</v>
      </c>
      <c r="AA901" s="6">
        <v>73</v>
      </c>
      <c r="AB901" s="6">
        <v>72</v>
      </c>
      <c r="AC901" s="6">
        <v>74</v>
      </c>
      <c r="AD901" s="6">
        <v>71</v>
      </c>
      <c r="AE901" s="6">
        <v>65</v>
      </c>
      <c r="AF901" s="6">
        <v>79</v>
      </c>
      <c r="AG901" s="6" t="s">
        <v>7983</v>
      </c>
      <c r="AH901" s="6" t="s">
        <v>6596</v>
      </c>
    </row>
    <row r="902" spans="1:34" x14ac:dyDescent="0.2">
      <c r="A902" t="s">
        <v>4262</v>
      </c>
      <c r="B902" t="s">
        <v>2526</v>
      </c>
      <c r="C902" t="s">
        <v>2878</v>
      </c>
      <c r="D902" s="7" t="s">
        <v>152</v>
      </c>
      <c r="E902" t="s">
        <v>38</v>
      </c>
      <c r="F902">
        <v>22</v>
      </c>
      <c r="G902">
        <v>66</v>
      </c>
      <c r="H902">
        <v>73</v>
      </c>
      <c r="I902" t="s">
        <v>8328</v>
      </c>
      <c r="J902">
        <v>77</v>
      </c>
      <c r="K902">
        <v>288</v>
      </c>
      <c r="L902" t="s">
        <v>5956</v>
      </c>
      <c r="M902" s="6" t="s">
        <v>6646</v>
      </c>
      <c r="N902" s="6" t="s">
        <v>6614</v>
      </c>
      <c r="O902" s="6">
        <v>59</v>
      </c>
      <c r="P902" s="6">
        <v>69</v>
      </c>
      <c r="Q902" s="6">
        <v>74</v>
      </c>
      <c r="R902" s="6">
        <v>50</v>
      </c>
      <c r="S902" s="6">
        <v>66</v>
      </c>
      <c r="T902" s="6">
        <v>60</v>
      </c>
      <c r="U902" s="6">
        <v>53</v>
      </c>
      <c r="V902" s="6">
        <v>72</v>
      </c>
      <c r="W902" s="6">
        <v>62</v>
      </c>
      <c r="X902" s="6">
        <v>72</v>
      </c>
      <c r="Y902" s="6">
        <v>61</v>
      </c>
      <c r="Z902" s="6">
        <v>58</v>
      </c>
      <c r="AA902" s="6">
        <v>69</v>
      </c>
      <c r="AB902" s="6">
        <v>77</v>
      </c>
      <c r="AC902" s="6">
        <v>66</v>
      </c>
      <c r="AD902" s="6">
        <v>84</v>
      </c>
      <c r="AE902" s="6">
        <v>72</v>
      </c>
      <c r="AF902" s="6">
        <v>68</v>
      </c>
      <c r="AG902" s="6" t="s">
        <v>7992</v>
      </c>
      <c r="AH902" s="6" t="s">
        <v>6686</v>
      </c>
    </row>
    <row r="903" spans="1:34" x14ac:dyDescent="0.2">
      <c r="A903" t="s">
        <v>4264</v>
      </c>
      <c r="B903" t="s">
        <v>2528</v>
      </c>
      <c r="C903" t="s">
        <v>2879</v>
      </c>
      <c r="D903" s="7" t="s">
        <v>152</v>
      </c>
      <c r="E903" t="s">
        <v>38</v>
      </c>
      <c r="F903">
        <v>23</v>
      </c>
      <c r="G903">
        <v>80</v>
      </c>
      <c r="H903">
        <v>73</v>
      </c>
      <c r="I903" t="s">
        <v>6389</v>
      </c>
      <c r="J903">
        <v>73</v>
      </c>
      <c r="K903">
        <v>328</v>
      </c>
      <c r="L903" t="s">
        <v>5958</v>
      </c>
      <c r="M903" s="6" t="s">
        <v>6558</v>
      </c>
      <c r="N903" s="6" t="s">
        <v>6567</v>
      </c>
      <c r="O903" s="6">
        <v>75</v>
      </c>
      <c r="P903" s="6">
        <v>74</v>
      </c>
      <c r="Q903" s="6">
        <v>70</v>
      </c>
      <c r="R903" s="6">
        <v>66</v>
      </c>
      <c r="S903" s="6">
        <v>68</v>
      </c>
      <c r="T903" s="6">
        <v>76</v>
      </c>
      <c r="U903" s="6">
        <v>80</v>
      </c>
      <c r="V903" s="6">
        <v>74</v>
      </c>
      <c r="W903" s="6">
        <v>72</v>
      </c>
      <c r="X903" s="6">
        <v>70</v>
      </c>
      <c r="Y903" s="6">
        <v>70</v>
      </c>
      <c r="Z903" s="6">
        <v>63</v>
      </c>
      <c r="AA903" s="6">
        <v>72</v>
      </c>
      <c r="AB903" s="6">
        <v>75</v>
      </c>
      <c r="AC903" s="6">
        <v>77</v>
      </c>
      <c r="AD903" s="6">
        <v>77</v>
      </c>
      <c r="AE903" s="6">
        <v>69</v>
      </c>
      <c r="AF903" s="6">
        <v>79</v>
      </c>
      <c r="AG903" s="6" t="s">
        <v>7994</v>
      </c>
      <c r="AH903" s="6" t="s">
        <v>6806</v>
      </c>
    </row>
    <row r="904" spans="1:34" x14ac:dyDescent="0.2">
      <c r="A904" t="s">
        <v>4270</v>
      </c>
      <c r="B904" t="s">
        <v>2534</v>
      </c>
      <c r="C904" t="s">
        <v>2880</v>
      </c>
      <c r="D904" s="7" t="s">
        <v>152</v>
      </c>
      <c r="E904" t="s">
        <v>58</v>
      </c>
      <c r="F904">
        <v>27</v>
      </c>
      <c r="G904">
        <v>67</v>
      </c>
      <c r="H904">
        <v>73</v>
      </c>
      <c r="I904" t="s">
        <v>6315</v>
      </c>
      <c r="J904">
        <v>75</v>
      </c>
      <c r="K904">
        <v>261</v>
      </c>
      <c r="L904" t="s">
        <v>5964</v>
      </c>
      <c r="M904" s="6" t="s">
        <v>6558</v>
      </c>
      <c r="N904" s="6" t="s">
        <v>6567</v>
      </c>
      <c r="O904" s="6">
        <v>66</v>
      </c>
      <c r="P904" s="6">
        <v>70</v>
      </c>
      <c r="Q904" s="6">
        <v>70</v>
      </c>
      <c r="R904" s="6">
        <v>68</v>
      </c>
      <c r="S904" s="6">
        <v>77</v>
      </c>
      <c r="T904" s="6">
        <v>62</v>
      </c>
      <c r="U904" s="6">
        <v>65</v>
      </c>
      <c r="V904" s="6">
        <v>71</v>
      </c>
      <c r="W904" s="6">
        <v>71</v>
      </c>
      <c r="X904" s="6">
        <v>68</v>
      </c>
      <c r="Y904" s="6">
        <v>65</v>
      </c>
      <c r="Z904" s="6">
        <v>75</v>
      </c>
      <c r="AA904" s="6">
        <v>68</v>
      </c>
      <c r="AB904" s="6">
        <v>70</v>
      </c>
      <c r="AC904" s="6">
        <v>69</v>
      </c>
      <c r="AD904" s="6">
        <v>70</v>
      </c>
      <c r="AE904" s="6">
        <v>66</v>
      </c>
      <c r="AF904" s="6">
        <v>67</v>
      </c>
      <c r="AG904" s="6" t="s">
        <v>8000</v>
      </c>
      <c r="AH904" s="6" t="s">
        <v>6623</v>
      </c>
    </row>
    <row r="905" spans="1:34" x14ac:dyDescent="0.2">
      <c r="A905" t="s">
        <v>4275</v>
      </c>
      <c r="B905" t="s">
        <v>2538</v>
      </c>
      <c r="C905" t="s">
        <v>61</v>
      </c>
      <c r="D905" s="7" t="s">
        <v>152</v>
      </c>
      <c r="E905" t="s">
        <v>38</v>
      </c>
      <c r="F905">
        <v>25</v>
      </c>
      <c r="G905">
        <v>70</v>
      </c>
      <c r="H905">
        <v>73</v>
      </c>
      <c r="I905" t="s">
        <v>6386</v>
      </c>
      <c r="J905">
        <v>70</v>
      </c>
      <c r="K905">
        <v>193</v>
      </c>
      <c r="L905" t="s">
        <v>5969</v>
      </c>
      <c r="M905" s="6" t="s">
        <v>6558</v>
      </c>
      <c r="N905" s="6" t="s">
        <v>6614</v>
      </c>
      <c r="O905" s="6">
        <v>71</v>
      </c>
      <c r="P905" s="6">
        <v>76</v>
      </c>
      <c r="Q905" s="6">
        <v>70</v>
      </c>
      <c r="R905" s="6">
        <v>62</v>
      </c>
      <c r="S905" s="6">
        <v>73</v>
      </c>
      <c r="T905" s="6">
        <v>70</v>
      </c>
      <c r="U905" s="6">
        <v>60</v>
      </c>
      <c r="V905" s="6">
        <v>64</v>
      </c>
      <c r="W905" s="6">
        <v>67</v>
      </c>
      <c r="X905" s="6">
        <v>72</v>
      </c>
      <c r="Y905" s="6">
        <v>75</v>
      </c>
      <c r="Z905" s="6">
        <v>72</v>
      </c>
      <c r="AA905" s="6">
        <v>70</v>
      </c>
      <c r="AB905" s="6">
        <v>69</v>
      </c>
      <c r="AC905" s="6">
        <v>74</v>
      </c>
      <c r="AD905" s="6">
        <v>69</v>
      </c>
      <c r="AE905" s="6">
        <v>75</v>
      </c>
      <c r="AF905" s="6">
        <v>69</v>
      </c>
      <c r="AG905" s="6" t="s">
        <v>8005</v>
      </c>
      <c r="AH905" s="6" t="s">
        <v>6632</v>
      </c>
    </row>
    <row r="906" spans="1:34" x14ac:dyDescent="0.2">
      <c r="A906" t="s">
        <v>4276</v>
      </c>
      <c r="B906" t="s">
        <v>2539</v>
      </c>
      <c r="C906" t="s">
        <v>2883</v>
      </c>
      <c r="D906" s="7" t="s">
        <v>152</v>
      </c>
      <c r="E906" t="s">
        <v>38</v>
      </c>
      <c r="F906">
        <v>24</v>
      </c>
      <c r="G906">
        <v>69</v>
      </c>
      <c r="H906">
        <v>73</v>
      </c>
      <c r="I906" t="s">
        <v>6387</v>
      </c>
      <c r="J906">
        <v>72</v>
      </c>
      <c r="K906">
        <v>200</v>
      </c>
      <c r="L906" t="s">
        <v>5970</v>
      </c>
      <c r="M906" s="6" t="s">
        <v>6558</v>
      </c>
      <c r="N906" s="6" t="s">
        <v>6565</v>
      </c>
      <c r="O906" s="6">
        <v>70</v>
      </c>
      <c r="P906" s="6">
        <v>65</v>
      </c>
      <c r="Q906" s="6">
        <v>67</v>
      </c>
      <c r="R906" s="6">
        <v>70</v>
      </c>
      <c r="S906" s="6">
        <v>79</v>
      </c>
      <c r="T906" s="6">
        <v>67</v>
      </c>
      <c r="U906" s="6">
        <v>60</v>
      </c>
      <c r="V906" s="6">
        <v>80</v>
      </c>
      <c r="W906" s="6">
        <v>58</v>
      </c>
      <c r="X906" s="6">
        <v>69</v>
      </c>
      <c r="Y906" s="6">
        <v>77</v>
      </c>
      <c r="Z906" s="6">
        <v>80</v>
      </c>
      <c r="AA906" s="6">
        <v>66</v>
      </c>
      <c r="AB906" s="6">
        <v>69</v>
      </c>
      <c r="AC906" s="6">
        <v>76</v>
      </c>
      <c r="AD906" s="6">
        <v>76</v>
      </c>
      <c r="AE906" s="6">
        <v>68</v>
      </c>
      <c r="AF906" s="6">
        <v>76</v>
      </c>
      <c r="AG906" s="6" t="s">
        <v>8006</v>
      </c>
      <c r="AH906" s="6" t="s">
        <v>6640</v>
      </c>
    </row>
    <row r="907" spans="1:34" x14ac:dyDescent="0.2">
      <c r="A907" t="s">
        <v>4278</v>
      </c>
      <c r="B907" t="s">
        <v>2541</v>
      </c>
      <c r="C907" t="s">
        <v>2888</v>
      </c>
      <c r="D907" s="7" t="s">
        <v>152</v>
      </c>
      <c r="E907" t="s">
        <v>38</v>
      </c>
      <c r="F907">
        <v>30</v>
      </c>
      <c r="G907">
        <v>82</v>
      </c>
      <c r="H907">
        <v>73</v>
      </c>
      <c r="I907" t="s">
        <v>6413</v>
      </c>
      <c r="J907">
        <v>68</v>
      </c>
      <c r="K907">
        <v>181</v>
      </c>
      <c r="L907" t="s">
        <v>5972</v>
      </c>
      <c r="M907" s="6" t="s">
        <v>6558</v>
      </c>
      <c r="N907" s="6" t="s">
        <v>6583</v>
      </c>
      <c r="O907" s="6">
        <v>79</v>
      </c>
      <c r="P907" s="6">
        <v>77</v>
      </c>
      <c r="Q907" s="6">
        <v>86</v>
      </c>
      <c r="R907" s="6">
        <v>77</v>
      </c>
      <c r="S907" s="6">
        <v>94</v>
      </c>
      <c r="T907" s="6">
        <v>81</v>
      </c>
      <c r="U907" s="6">
        <v>85</v>
      </c>
      <c r="V907" s="6">
        <v>81</v>
      </c>
      <c r="W907" s="6">
        <v>89</v>
      </c>
      <c r="X907" s="6">
        <v>73</v>
      </c>
      <c r="Y907" s="6">
        <v>71</v>
      </c>
      <c r="Z907" s="6">
        <v>67</v>
      </c>
      <c r="AA907" s="6">
        <v>71</v>
      </c>
      <c r="AB907" s="6">
        <v>76</v>
      </c>
      <c r="AC907" s="6">
        <v>73</v>
      </c>
      <c r="AD907" s="6">
        <v>74</v>
      </c>
      <c r="AE907" s="6">
        <v>76</v>
      </c>
      <c r="AF907" s="6">
        <v>74</v>
      </c>
      <c r="AG907" s="6" t="s">
        <v>8008</v>
      </c>
      <c r="AH907" s="6" t="s">
        <v>6762</v>
      </c>
    </row>
    <row r="908" spans="1:34" x14ac:dyDescent="0.2">
      <c r="A908" t="s">
        <v>4293</v>
      </c>
      <c r="B908" t="s">
        <v>2556</v>
      </c>
      <c r="C908" t="s">
        <v>2870</v>
      </c>
      <c r="D908" s="7" t="s">
        <v>153</v>
      </c>
      <c r="E908" t="s">
        <v>58</v>
      </c>
      <c r="F908">
        <v>28</v>
      </c>
      <c r="G908">
        <v>77</v>
      </c>
      <c r="H908">
        <v>73</v>
      </c>
      <c r="I908" t="s">
        <v>6400</v>
      </c>
      <c r="J908">
        <v>71</v>
      </c>
      <c r="K908">
        <v>199</v>
      </c>
      <c r="L908" t="s">
        <v>5987</v>
      </c>
      <c r="M908" s="6" t="s">
        <v>6558</v>
      </c>
      <c r="N908" s="6" t="s">
        <v>6565</v>
      </c>
      <c r="O908" s="6">
        <v>75</v>
      </c>
      <c r="P908" s="6">
        <v>76</v>
      </c>
      <c r="Q908" s="6">
        <v>81</v>
      </c>
      <c r="R908" s="6">
        <v>71</v>
      </c>
      <c r="S908" s="6">
        <v>73</v>
      </c>
      <c r="T908" s="6">
        <v>79</v>
      </c>
      <c r="U908" s="6">
        <v>74</v>
      </c>
      <c r="V908" s="6">
        <v>68</v>
      </c>
      <c r="W908" s="6">
        <v>73</v>
      </c>
      <c r="X908" s="6">
        <v>76</v>
      </c>
      <c r="Y908" s="6">
        <v>81</v>
      </c>
      <c r="Z908" s="6">
        <v>86</v>
      </c>
      <c r="AA908" s="6">
        <v>74</v>
      </c>
      <c r="AB908" s="6">
        <v>71</v>
      </c>
      <c r="AC908" s="6">
        <v>73</v>
      </c>
      <c r="AD908" s="6">
        <v>70</v>
      </c>
      <c r="AE908" s="6">
        <v>73</v>
      </c>
      <c r="AF908" s="6">
        <v>77</v>
      </c>
      <c r="AG908" s="6" t="s">
        <v>8022</v>
      </c>
      <c r="AH908" s="6" t="s">
        <v>6885</v>
      </c>
    </row>
    <row r="909" spans="1:34" x14ac:dyDescent="0.2">
      <c r="A909" t="s">
        <v>4298</v>
      </c>
      <c r="B909" t="s">
        <v>2561</v>
      </c>
      <c r="C909" t="s">
        <v>57</v>
      </c>
      <c r="D909" s="7" t="s">
        <v>153</v>
      </c>
      <c r="E909" t="s">
        <v>38</v>
      </c>
      <c r="F909">
        <v>25</v>
      </c>
      <c r="G909">
        <v>85</v>
      </c>
      <c r="H909">
        <v>73</v>
      </c>
      <c r="I909" t="s">
        <v>6375</v>
      </c>
      <c r="J909">
        <v>73</v>
      </c>
      <c r="K909">
        <v>193</v>
      </c>
      <c r="L909" t="s">
        <v>5992</v>
      </c>
      <c r="M909" s="6" t="s">
        <v>6558</v>
      </c>
      <c r="N909" s="6" t="s">
        <v>6583</v>
      </c>
      <c r="O909" s="6">
        <v>80</v>
      </c>
      <c r="P909" s="6">
        <v>72</v>
      </c>
      <c r="Q909" s="6">
        <v>84</v>
      </c>
      <c r="R909" s="6">
        <v>78</v>
      </c>
      <c r="S909" s="6">
        <v>80</v>
      </c>
      <c r="T909" s="6">
        <v>78</v>
      </c>
      <c r="U909" s="6">
        <v>64</v>
      </c>
      <c r="V909" s="6">
        <v>81</v>
      </c>
      <c r="W909" s="6">
        <v>77</v>
      </c>
      <c r="X909" s="6">
        <v>78</v>
      </c>
      <c r="Y909" s="6">
        <v>81</v>
      </c>
      <c r="Z909" s="6">
        <v>76</v>
      </c>
      <c r="AA909" s="6">
        <v>74</v>
      </c>
      <c r="AB909" s="6">
        <v>83</v>
      </c>
      <c r="AC909" s="6">
        <v>71</v>
      </c>
      <c r="AD909" s="6">
        <v>77</v>
      </c>
      <c r="AE909" s="6">
        <v>80</v>
      </c>
      <c r="AF909" s="6">
        <v>80</v>
      </c>
      <c r="AG909" s="6" t="s">
        <v>8027</v>
      </c>
      <c r="AH909" s="6" t="s">
        <v>6574</v>
      </c>
    </row>
    <row r="910" spans="1:34" x14ac:dyDescent="0.2">
      <c r="A910" t="s">
        <v>4336</v>
      </c>
      <c r="B910" t="s">
        <v>2599</v>
      </c>
      <c r="C910" t="s">
        <v>2885</v>
      </c>
      <c r="D910" s="7" t="s">
        <v>153</v>
      </c>
      <c r="E910" t="s">
        <v>38</v>
      </c>
      <c r="F910">
        <v>26</v>
      </c>
      <c r="G910">
        <v>73</v>
      </c>
      <c r="H910">
        <v>73</v>
      </c>
      <c r="I910" t="s">
        <v>6328</v>
      </c>
      <c r="J910">
        <v>72</v>
      </c>
      <c r="K910">
        <v>230</v>
      </c>
      <c r="L910" t="s">
        <v>6030</v>
      </c>
      <c r="M910" s="6" t="s">
        <v>6558</v>
      </c>
      <c r="N910" s="6" t="s">
        <v>6583</v>
      </c>
      <c r="O910" s="6">
        <v>78</v>
      </c>
      <c r="P910" s="6">
        <v>73</v>
      </c>
      <c r="Q910" s="6">
        <v>68</v>
      </c>
      <c r="R910" s="6">
        <v>76</v>
      </c>
      <c r="S910" s="6">
        <v>75</v>
      </c>
      <c r="T910" s="6">
        <v>70</v>
      </c>
      <c r="U910" s="6">
        <v>71</v>
      </c>
      <c r="V910" s="6">
        <v>78</v>
      </c>
      <c r="W910" s="6">
        <v>75</v>
      </c>
      <c r="X910" s="6">
        <v>75</v>
      </c>
      <c r="Y910" s="6">
        <v>73</v>
      </c>
      <c r="Z910" s="6">
        <v>79</v>
      </c>
      <c r="AA910" s="6">
        <v>73</v>
      </c>
      <c r="AB910" s="6">
        <v>71</v>
      </c>
      <c r="AC910" s="6">
        <v>76</v>
      </c>
      <c r="AD910" s="6">
        <v>74</v>
      </c>
      <c r="AE910" s="6">
        <v>66</v>
      </c>
      <c r="AF910" s="6">
        <v>72</v>
      </c>
      <c r="AG910" s="6" t="s">
        <v>7535</v>
      </c>
      <c r="AH910" s="6" t="s">
        <v>6628</v>
      </c>
    </row>
    <row r="911" spans="1:34" x14ac:dyDescent="0.2">
      <c r="A911" t="s">
        <v>4363</v>
      </c>
      <c r="B911" t="s">
        <v>2626</v>
      </c>
      <c r="C911" t="s">
        <v>2878</v>
      </c>
      <c r="D911" s="7" t="s">
        <v>156</v>
      </c>
      <c r="E911" t="s">
        <v>38</v>
      </c>
      <c r="F911">
        <v>28</v>
      </c>
      <c r="G911">
        <v>75</v>
      </c>
      <c r="H911">
        <v>73</v>
      </c>
      <c r="I911" t="s">
        <v>6361</v>
      </c>
      <c r="J911">
        <v>79</v>
      </c>
      <c r="K911">
        <v>270</v>
      </c>
      <c r="L911" t="s">
        <v>6057</v>
      </c>
      <c r="M911" s="6" t="s">
        <v>6558</v>
      </c>
      <c r="N911" s="6" t="s">
        <v>6565</v>
      </c>
      <c r="O911" s="6">
        <v>73</v>
      </c>
      <c r="P911" s="6">
        <v>73</v>
      </c>
      <c r="Q911" s="6">
        <v>70</v>
      </c>
      <c r="R911" s="6">
        <v>75</v>
      </c>
      <c r="S911" s="6">
        <v>76</v>
      </c>
      <c r="T911" s="6">
        <v>73</v>
      </c>
      <c r="U911" s="6">
        <v>68</v>
      </c>
      <c r="V911" s="6">
        <v>74</v>
      </c>
      <c r="W911" s="6">
        <v>81</v>
      </c>
      <c r="X911" s="6">
        <v>76</v>
      </c>
      <c r="Y911" s="6">
        <v>73</v>
      </c>
      <c r="Z911" s="6">
        <v>83</v>
      </c>
      <c r="AA911" s="6">
        <v>69</v>
      </c>
      <c r="AB911" s="6">
        <v>68</v>
      </c>
      <c r="AC911" s="6">
        <v>71</v>
      </c>
      <c r="AD911" s="6">
        <v>68</v>
      </c>
      <c r="AE911" s="6">
        <v>72</v>
      </c>
      <c r="AF911" s="6">
        <v>82</v>
      </c>
      <c r="AG911" s="6" t="s">
        <v>8090</v>
      </c>
      <c r="AH911" s="6" t="s">
        <v>6684</v>
      </c>
    </row>
    <row r="912" spans="1:34" x14ac:dyDescent="0.2">
      <c r="A912" t="s">
        <v>2925</v>
      </c>
      <c r="B912" t="s">
        <v>1189</v>
      </c>
      <c r="C912" t="s">
        <v>2871</v>
      </c>
      <c r="D912" s="7" t="s">
        <v>129</v>
      </c>
      <c r="E912" t="s">
        <v>58</v>
      </c>
      <c r="F912">
        <v>32</v>
      </c>
      <c r="G912">
        <v>72</v>
      </c>
      <c r="H912">
        <v>72</v>
      </c>
      <c r="I912" t="s">
        <v>6313</v>
      </c>
      <c r="J912">
        <v>79</v>
      </c>
      <c r="K912">
        <v>250</v>
      </c>
      <c r="L912" t="s">
        <v>4619</v>
      </c>
      <c r="M912" s="6" t="s">
        <v>6558</v>
      </c>
      <c r="N912" s="6" t="s">
        <v>6583</v>
      </c>
      <c r="O912" s="6">
        <v>77</v>
      </c>
      <c r="P912" s="6">
        <v>74</v>
      </c>
      <c r="Q912" s="6">
        <v>81</v>
      </c>
      <c r="R912" s="6">
        <v>81</v>
      </c>
      <c r="S912" s="6">
        <v>80</v>
      </c>
      <c r="T912" s="6">
        <v>80</v>
      </c>
      <c r="U912" s="6">
        <v>70</v>
      </c>
      <c r="V912" s="6">
        <v>83</v>
      </c>
      <c r="W912" s="6">
        <v>76</v>
      </c>
      <c r="X912" s="6">
        <v>79</v>
      </c>
      <c r="Y912" s="6">
        <v>75</v>
      </c>
      <c r="Z912" s="6">
        <v>75</v>
      </c>
      <c r="AA912" s="6">
        <v>71</v>
      </c>
      <c r="AB912" s="6">
        <v>65</v>
      </c>
      <c r="AC912" s="6">
        <v>71</v>
      </c>
      <c r="AD912" s="6">
        <v>74</v>
      </c>
      <c r="AE912" s="6">
        <v>76</v>
      </c>
      <c r="AF912" s="6">
        <v>68</v>
      </c>
      <c r="AG912" s="6" t="s">
        <v>6588</v>
      </c>
      <c r="AH912" s="6" t="s">
        <v>6587</v>
      </c>
    </row>
    <row r="913" spans="1:34" x14ac:dyDescent="0.2">
      <c r="A913" t="s">
        <v>2927</v>
      </c>
      <c r="B913" t="s">
        <v>1191</v>
      </c>
      <c r="C913" t="s">
        <v>2871</v>
      </c>
      <c r="D913" s="7" t="s">
        <v>129</v>
      </c>
      <c r="E913" t="s">
        <v>38</v>
      </c>
      <c r="F913">
        <v>24</v>
      </c>
      <c r="G913">
        <v>60</v>
      </c>
      <c r="H913">
        <v>72</v>
      </c>
      <c r="I913" t="s">
        <v>6315</v>
      </c>
      <c r="J913">
        <v>76</v>
      </c>
      <c r="K913">
        <v>252</v>
      </c>
      <c r="L913" t="s">
        <v>4621</v>
      </c>
      <c r="M913" s="6" t="s">
        <v>6558</v>
      </c>
      <c r="N913" s="6" t="s">
        <v>6565</v>
      </c>
      <c r="O913" s="6">
        <v>71</v>
      </c>
      <c r="P913" s="6">
        <v>71</v>
      </c>
      <c r="Q913" s="6">
        <v>65</v>
      </c>
      <c r="R913" s="6">
        <v>72</v>
      </c>
      <c r="S913" s="6">
        <v>72</v>
      </c>
      <c r="T913" s="6">
        <v>65</v>
      </c>
      <c r="U913" s="6">
        <v>63</v>
      </c>
      <c r="V913" s="6">
        <v>65</v>
      </c>
      <c r="W913" s="6">
        <v>66</v>
      </c>
      <c r="X913" s="6">
        <v>60</v>
      </c>
      <c r="Y913" s="6">
        <v>71</v>
      </c>
      <c r="Z913" s="6">
        <v>63</v>
      </c>
      <c r="AA913" s="6">
        <v>62</v>
      </c>
      <c r="AB913" s="6">
        <v>71</v>
      </c>
      <c r="AC913" s="6">
        <v>65</v>
      </c>
      <c r="AD913" s="6">
        <v>71</v>
      </c>
      <c r="AE913" s="6">
        <v>67</v>
      </c>
      <c r="AF913" s="6">
        <v>68</v>
      </c>
      <c r="AG913" s="6" t="s">
        <v>6590</v>
      </c>
      <c r="AH913" s="6" t="s">
        <v>6591</v>
      </c>
    </row>
    <row r="914" spans="1:34" x14ac:dyDescent="0.2">
      <c r="A914" t="s">
        <v>2946</v>
      </c>
      <c r="B914" t="s">
        <v>1210</v>
      </c>
      <c r="C914" t="s">
        <v>2879</v>
      </c>
      <c r="D914" s="7" t="s">
        <v>129</v>
      </c>
      <c r="E914" t="s">
        <v>38</v>
      </c>
      <c r="F914">
        <v>29</v>
      </c>
      <c r="G914">
        <v>69</v>
      </c>
      <c r="H914">
        <v>72</v>
      </c>
      <c r="I914" t="s">
        <v>6333</v>
      </c>
      <c r="J914">
        <v>72</v>
      </c>
      <c r="K914">
        <v>292</v>
      </c>
      <c r="L914" t="s">
        <v>4640</v>
      </c>
      <c r="M914" s="6" t="s">
        <v>6558</v>
      </c>
      <c r="N914" s="6" t="s">
        <v>6565</v>
      </c>
      <c r="O914" s="6">
        <v>74</v>
      </c>
      <c r="P914" s="6">
        <v>80</v>
      </c>
      <c r="Q914" s="6">
        <v>75</v>
      </c>
      <c r="R914" s="6">
        <v>75</v>
      </c>
      <c r="S914" s="6">
        <v>84</v>
      </c>
      <c r="T914" s="6">
        <v>69</v>
      </c>
      <c r="U914" s="6">
        <v>72</v>
      </c>
      <c r="V914" s="6">
        <v>75</v>
      </c>
      <c r="W914" s="6">
        <v>76</v>
      </c>
      <c r="X914" s="6">
        <v>76</v>
      </c>
      <c r="Y914" s="6">
        <v>78</v>
      </c>
      <c r="Z914" s="6">
        <v>79</v>
      </c>
      <c r="AA914" s="6">
        <v>69</v>
      </c>
      <c r="AB914" s="6">
        <v>76</v>
      </c>
      <c r="AC914" s="6">
        <v>69</v>
      </c>
      <c r="AD914" s="6">
        <v>70</v>
      </c>
      <c r="AE914" s="6">
        <v>67</v>
      </c>
      <c r="AF914" s="6">
        <v>62</v>
      </c>
      <c r="AG914" s="6" t="s">
        <v>6621</v>
      </c>
      <c r="AH914" s="6" t="s">
        <v>6617</v>
      </c>
    </row>
    <row r="915" spans="1:34" x14ac:dyDescent="0.2">
      <c r="A915" t="s">
        <v>3023</v>
      </c>
      <c r="B915" t="s">
        <v>1287</v>
      </c>
      <c r="C915" t="s">
        <v>57</v>
      </c>
      <c r="D915" s="7" t="s">
        <v>131</v>
      </c>
      <c r="E915" t="s">
        <v>58</v>
      </c>
      <c r="F915">
        <v>30</v>
      </c>
      <c r="G915">
        <v>71</v>
      </c>
      <c r="H915">
        <v>72</v>
      </c>
      <c r="I915" t="s">
        <v>6311</v>
      </c>
      <c r="J915">
        <v>73</v>
      </c>
      <c r="K915">
        <v>203</v>
      </c>
      <c r="L915" t="s">
        <v>4717</v>
      </c>
      <c r="M915" s="6" t="s">
        <v>6558</v>
      </c>
      <c r="N915" s="6" t="s">
        <v>6583</v>
      </c>
      <c r="O915" s="6">
        <v>70</v>
      </c>
      <c r="P915" s="6">
        <v>77</v>
      </c>
      <c r="Q915" s="6">
        <v>76</v>
      </c>
      <c r="R915" s="6">
        <v>77</v>
      </c>
      <c r="S915" s="6">
        <v>79</v>
      </c>
      <c r="T915" s="6">
        <v>72</v>
      </c>
      <c r="U915" s="6">
        <v>74</v>
      </c>
      <c r="V915" s="6">
        <v>77</v>
      </c>
      <c r="W915" s="6">
        <v>66</v>
      </c>
      <c r="X915" s="6">
        <v>78</v>
      </c>
      <c r="Y915" s="6">
        <v>82</v>
      </c>
      <c r="Z915" s="6">
        <v>80</v>
      </c>
      <c r="AA915" s="6">
        <v>70</v>
      </c>
      <c r="AB915" s="6">
        <v>77</v>
      </c>
      <c r="AC915" s="6">
        <v>63</v>
      </c>
      <c r="AD915" s="6">
        <v>67</v>
      </c>
      <c r="AE915" s="6">
        <v>73</v>
      </c>
      <c r="AF915" s="6">
        <v>75</v>
      </c>
      <c r="AG915" s="6" t="s">
        <v>6732</v>
      </c>
      <c r="AH915" s="6" t="s">
        <v>6574</v>
      </c>
    </row>
    <row r="916" spans="1:34" x14ac:dyDescent="0.2">
      <c r="A916" t="s">
        <v>3044</v>
      </c>
      <c r="B916" t="s">
        <v>1308</v>
      </c>
      <c r="C916" t="s">
        <v>61</v>
      </c>
      <c r="D916" s="7" t="s">
        <v>131</v>
      </c>
      <c r="E916" t="s">
        <v>58</v>
      </c>
      <c r="F916">
        <v>32</v>
      </c>
      <c r="G916">
        <v>66</v>
      </c>
      <c r="H916">
        <v>72</v>
      </c>
      <c r="I916" t="s">
        <v>6331</v>
      </c>
      <c r="J916">
        <v>69</v>
      </c>
      <c r="K916">
        <v>180</v>
      </c>
      <c r="L916" t="s">
        <v>4738</v>
      </c>
      <c r="M916" s="6" t="s">
        <v>6558</v>
      </c>
      <c r="N916" s="6" t="s">
        <v>6567</v>
      </c>
      <c r="O916" s="6">
        <v>84</v>
      </c>
      <c r="P916" s="6">
        <v>78</v>
      </c>
      <c r="Q916" s="6">
        <v>80</v>
      </c>
      <c r="R916" s="6">
        <v>68</v>
      </c>
      <c r="S916" s="6">
        <v>97</v>
      </c>
      <c r="T916" s="6">
        <v>73</v>
      </c>
      <c r="U916" s="6">
        <v>91</v>
      </c>
      <c r="V916" s="6">
        <v>78</v>
      </c>
      <c r="W916" s="6">
        <v>76</v>
      </c>
      <c r="X916" s="6">
        <v>70</v>
      </c>
      <c r="Y916" s="6">
        <v>79</v>
      </c>
      <c r="Z916" s="6">
        <v>76</v>
      </c>
      <c r="AA916" s="6">
        <v>67</v>
      </c>
      <c r="AB916" s="6">
        <v>74</v>
      </c>
      <c r="AC916" s="6">
        <v>69</v>
      </c>
      <c r="AD916" s="6">
        <v>65</v>
      </c>
      <c r="AE916" s="6">
        <v>63</v>
      </c>
      <c r="AF916" s="6">
        <v>67</v>
      </c>
      <c r="AG916" s="6" t="s">
        <v>6757</v>
      </c>
      <c r="AH916" s="6" t="s">
        <v>6630</v>
      </c>
    </row>
    <row r="917" spans="1:34" x14ac:dyDescent="0.2">
      <c r="A917" t="s">
        <v>3062</v>
      </c>
      <c r="B917" t="s">
        <v>1326</v>
      </c>
      <c r="C917" t="s">
        <v>57</v>
      </c>
      <c r="D917" s="7" t="s">
        <v>130</v>
      </c>
      <c r="E917" t="s">
        <v>38</v>
      </c>
      <c r="F917">
        <v>30</v>
      </c>
      <c r="G917">
        <v>82</v>
      </c>
      <c r="H917">
        <v>72</v>
      </c>
      <c r="I917" t="s">
        <v>6302</v>
      </c>
      <c r="J917">
        <v>74</v>
      </c>
      <c r="K917">
        <v>206</v>
      </c>
      <c r="L917" t="s">
        <v>4756</v>
      </c>
      <c r="M917" s="6" t="s">
        <v>6558</v>
      </c>
      <c r="N917" s="6" t="s">
        <v>6565</v>
      </c>
      <c r="O917" s="6">
        <v>82</v>
      </c>
      <c r="P917" s="6">
        <v>85</v>
      </c>
      <c r="Q917" s="6">
        <v>85</v>
      </c>
      <c r="R917" s="6">
        <v>74</v>
      </c>
      <c r="S917" s="6">
        <v>84</v>
      </c>
      <c r="T917" s="6">
        <v>80</v>
      </c>
      <c r="U917" s="6">
        <v>79</v>
      </c>
      <c r="V917" s="6">
        <v>76</v>
      </c>
      <c r="W917" s="6">
        <v>90</v>
      </c>
      <c r="X917" s="6">
        <v>78</v>
      </c>
      <c r="Y917" s="6">
        <v>86</v>
      </c>
      <c r="Z917" s="6">
        <v>89</v>
      </c>
      <c r="AA917" s="6">
        <v>73</v>
      </c>
      <c r="AB917" s="6">
        <v>79</v>
      </c>
      <c r="AC917" s="6">
        <v>68</v>
      </c>
      <c r="AD917" s="6">
        <v>82</v>
      </c>
      <c r="AE917" s="6">
        <v>80</v>
      </c>
      <c r="AF917" s="6">
        <v>81</v>
      </c>
      <c r="AG917" s="6" t="s">
        <v>6777</v>
      </c>
      <c r="AH917" s="6" t="s">
        <v>6661</v>
      </c>
    </row>
    <row r="918" spans="1:34" x14ac:dyDescent="0.2">
      <c r="A918" t="s">
        <v>3068</v>
      </c>
      <c r="B918" t="s">
        <v>1332</v>
      </c>
      <c r="C918" t="s">
        <v>2871</v>
      </c>
      <c r="D918" s="7" t="s">
        <v>130</v>
      </c>
      <c r="E918" t="s">
        <v>58</v>
      </c>
      <c r="F918">
        <v>28</v>
      </c>
      <c r="G918">
        <v>60</v>
      </c>
      <c r="H918">
        <v>72</v>
      </c>
      <c r="I918" t="s">
        <v>54</v>
      </c>
      <c r="J918">
        <v>75</v>
      </c>
      <c r="K918">
        <v>265</v>
      </c>
      <c r="L918" t="s">
        <v>4762</v>
      </c>
      <c r="M918" s="6" t="s">
        <v>6558</v>
      </c>
      <c r="N918" s="6" t="s">
        <v>6565</v>
      </c>
      <c r="O918" s="6">
        <v>80</v>
      </c>
      <c r="P918" s="6">
        <v>68</v>
      </c>
      <c r="Q918" s="6">
        <v>73</v>
      </c>
      <c r="R918" s="6">
        <v>73</v>
      </c>
      <c r="S918" s="6">
        <v>70</v>
      </c>
      <c r="T918" s="6">
        <v>78</v>
      </c>
      <c r="U918" s="6">
        <v>78</v>
      </c>
      <c r="V918" s="6">
        <v>69</v>
      </c>
      <c r="W918" s="6">
        <v>71</v>
      </c>
      <c r="X918" s="6">
        <v>70</v>
      </c>
      <c r="Y918" s="6">
        <v>88</v>
      </c>
      <c r="Z918" s="6">
        <v>82</v>
      </c>
      <c r="AA918" s="6">
        <v>71</v>
      </c>
      <c r="AB918" s="6">
        <v>68</v>
      </c>
      <c r="AC918" s="6">
        <v>59</v>
      </c>
      <c r="AD918" s="6">
        <v>63</v>
      </c>
      <c r="AE918" s="6">
        <v>65</v>
      </c>
      <c r="AF918" s="6">
        <v>67</v>
      </c>
      <c r="AG918" s="6" t="s">
        <v>6784</v>
      </c>
      <c r="AH918" s="6" t="s">
        <v>6591</v>
      </c>
    </row>
    <row r="919" spans="1:34" x14ac:dyDescent="0.2">
      <c r="A919" t="s">
        <v>3094</v>
      </c>
      <c r="B919" t="s">
        <v>1358</v>
      </c>
      <c r="C919" t="s">
        <v>61</v>
      </c>
      <c r="D919" s="7" t="s">
        <v>130</v>
      </c>
      <c r="E919" t="s">
        <v>38</v>
      </c>
      <c r="F919">
        <v>26</v>
      </c>
      <c r="G919">
        <v>71</v>
      </c>
      <c r="H919">
        <v>72</v>
      </c>
      <c r="I919" t="s">
        <v>6331</v>
      </c>
      <c r="J919">
        <v>70</v>
      </c>
      <c r="K919">
        <v>201</v>
      </c>
      <c r="L919" t="s">
        <v>4788</v>
      </c>
      <c r="M919" s="6" t="s">
        <v>6558</v>
      </c>
      <c r="N919" s="6" t="s">
        <v>6565</v>
      </c>
      <c r="O919" s="6">
        <v>85</v>
      </c>
      <c r="P919" s="6">
        <v>73</v>
      </c>
      <c r="Q919" s="6">
        <v>72</v>
      </c>
      <c r="R919" s="6">
        <v>70</v>
      </c>
      <c r="S919" s="6">
        <v>76</v>
      </c>
      <c r="T919" s="6">
        <v>74</v>
      </c>
      <c r="U919" s="6">
        <v>71</v>
      </c>
      <c r="V919" s="6">
        <v>65</v>
      </c>
      <c r="W919" s="6">
        <v>64</v>
      </c>
      <c r="X919" s="6">
        <v>80</v>
      </c>
      <c r="Y919" s="6">
        <v>70</v>
      </c>
      <c r="Z919" s="6">
        <v>82</v>
      </c>
      <c r="AA919" s="6">
        <v>70</v>
      </c>
      <c r="AB919" s="6">
        <v>81</v>
      </c>
      <c r="AC919" s="6">
        <v>72</v>
      </c>
      <c r="AD919" s="6">
        <v>78</v>
      </c>
      <c r="AE919" s="6">
        <v>75</v>
      </c>
      <c r="AF919" s="6">
        <v>70</v>
      </c>
      <c r="AG919" s="6" t="s">
        <v>6813</v>
      </c>
      <c r="AH919" s="6" t="s">
        <v>6630</v>
      </c>
    </row>
    <row r="920" spans="1:34" x14ac:dyDescent="0.2">
      <c r="A920" t="s">
        <v>3097</v>
      </c>
      <c r="B920" t="s">
        <v>1361</v>
      </c>
      <c r="C920" t="s">
        <v>2888</v>
      </c>
      <c r="D920" s="7" t="s">
        <v>130</v>
      </c>
      <c r="E920" t="s">
        <v>58</v>
      </c>
      <c r="F920">
        <v>32</v>
      </c>
      <c r="G920">
        <v>65</v>
      </c>
      <c r="H920">
        <v>72</v>
      </c>
      <c r="I920" t="s">
        <v>6334</v>
      </c>
      <c r="J920">
        <v>73</v>
      </c>
      <c r="K920">
        <v>179</v>
      </c>
      <c r="L920" t="s">
        <v>4791</v>
      </c>
      <c r="M920" s="6" t="s">
        <v>6558</v>
      </c>
      <c r="N920" s="6" t="s">
        <v>6567</v>
      </c>
      <c r="O920" s="6">
        <v>81</v>
      </c>
      <c r="P920" s="6">
        <v>81</v>
      </c>
      <c r="Q920" s="6">
        <v>78</v>
      </c>
      <c r="R920" s="6">
        <v>66</v>
      </c>
      <c r="S920" s="6">
        <v>84</v>
      </c>
      <c r="T920" s="6">
        <v>75</v>
      </c>
      <c r="U920" s="6">
        <v>85</v>
      </c>
      <c r="V920" s="6">
        <v>83</v>
      </c>
      <c r="W920" s="6">
        <v>85</v>
      </c>
      <c r="X920" s="6">
        <v>81</v>
      </c>
      <c r="Y920" s="6">
        <v>78</v>
      </c>
      <c r="Z920" s="6">
        <v>80</v>
      </c>
      <c r="AA920" s="6">
        <v>69</v>
      </c>
      <c r="AB920" s="6">
        <v>73</v>
      </c>
      <c r="AC920" s="6">
        <v>69</v>
      </c>
      <c r="AD920" s="6">
        <v>75</v>
      </c>
      <c r="AE920" s="6">
        <v>69</v>
      </c>
      <c r="AF920" s="6">
        <v>71</v>
      </c>
      <c r="AG920" s="6" t="s">
        <v>6816</v>
      </c>
      <c r="AH920" s="6" t="s">
        <v>6707</v>
      </c>
    </row>
    <row r="921" spans="1:34" x14ac:dyDescent="0.2">
      <c r="A921" t="s">
        <v>3155</v>
      </c>
      <c r="B921" t="s">
        <v>1419</v>
      </c>
      <c r="C921" t="s">
        <v>53</v>
      </c>
      <c r="D921" s="7" t="s">
        <v>134</v>
      </c>
      <c r="E921" t="s">
        <v>38</v>
      </c>
      <c r="F921">
        <v>31</v>
      </c>
      <c r="G921">
        <v>79</v>
      </c>
      <c r="H921">
        <v>72</v>
      </c>
      <c r="I921" t="s">
        <v>6348</v>
      </c>
      <c r="J921">
        <v>74</v>
      </c>
      <c r="K921">
        <v>214</v>
      </c>
      <c r="L921" t="s">
        <v>4849</v>
      </c>
      <c r="M921" s="6" t="s">
        <v>6558</v>
      </c>
      <c r="N921" s="6" t="s">
        <v>6562</v>
      </c>
      <c r="O921" s="6">
        <v>83</v>
      </c>
      <c r="P921" s="6">
        <v>81</v>
      </c>
      <c r="Q921" s="6">
        <v>74</v>
      </c>
      <c r="R921" s="6">
        <v>88</v>
      </c>
      <c r="S921" s="6">
        <v>85</v>
      </c>
      <c r="T921" s="6">
        <v>82</v>
      </c>
      <c r="U921" s="6">
        <v>74</v>
      </c>
      <c r="V921" s="6">
        <v>80</v>
      </c>
      <c r="W921" s="6">
        <v>76</v>
      </c>
      <c r="X921" s="6">
        <v>76</v>
      </c>
      <c r="Y921" s="6">
        <v>81</v>
      </c>
      <c r="Z921" s="6">
        <v>87</v>
      </c>
      <c r="AA921" s="6">
        <v>74</v>
      </c>
      <c r="AB921" s="6">
        <v>78</v>
      </c>
      <c r="AC921" s="6">
        <v>69</v>
      </c>
      <c r="AD921" s="6">
        <v>74</v>
      </c>
      <c r="AE921" s="6">
        <v>65</v>
      </c>
      <c r="AF921" s="6">
        <v>74</v>
      </c>
      <c r="AG921" s="6" t="s">
        <v>6879</v>
      </c>
      <c r="AH921" s="6" t="s">
        <v>6564</v>
      </c>
    </row>
    <row r="922" spans="1:34" x14ac:dyDescent="0.2">
      <c r="A922" t="s">
        <v>3156</v>
      </c>
      <c r="B922" t="s">
        <v>1420</v>
      </c>
      <c r="C922" t="s">
        <v>53</v>
      </c>
      <c r="D922" s="7" t="s">
        <v>134</v>
      </c>
      <c r="E922" t="s">
        <v>38</v>
      </c>
      <c r="F922">
        <v>22</v>
      </c>
      <c r="G922">
        <v>63</v>
      </c>
      <c r="H922">
        <v>72</v>
      </c>
      <c r="I922" t="s">
        <v>6349</v>
      </c>
      <c r="J922">
        <v>73</v>
      </c>
      <c r="K922">
        <v>223</v>
      </c>
      <c r="L922" t="s">
        <v>4850</v>
      </c>
      <c r="M922" s="6" t="s">
        <v>6558</v>
      </c>
      <c r="N922" s="6" t="s">
        <v>6567</v>
      </c>
      <c r="O922" s="6">
        <v>73</v>
      </c>
      <c r="P922" s="6">
        <v>66</v>
      </c>
      <c r="Q922" s="6">
        <v>63</v>
      </c>
      <c r="R922" s="6">
        <v>68</v>
      </c>
      <c r="S922" s="6">
        <v>72</v>
      </c>
      <c r="T922" s="6">
        <v>52</v>
      </c>
      <c r="U922" s="6">
        <v>60</v>
      </c>
      <c r="V922" s="6">
        <v>72</v>
      </c>
      <c r="W922" s="6">
        <v>75</v>
      </c>
      <c r="X922" s="6">
        <v>59</v>
      </c>
      <c r="Y922" s="6">
        <v>66</v>
      </c>
      <c r="Z922" s="6">
        <v>66</v>
      </c>
      <c r="AA922" s="6">
        <v>65</v>
      </c>
      <c r="AB922" s="6">
        <v>64</v>
      </c>
      <c r="AC922" s="6">
        <v>61</v>
      </c>
      <c r="AD922" s="6">
        <v>64</v>
      </c>
      <c r="AE922" s="6">
        <v>60</v>
      </c>
      <c r="AF922" s="6">
        <v>74</v>
      </c>
      <c r="AG922" s="6" t="s">
        <v>6880</v>
      </c>
      <c r="AH922" s="6" t="s">
        <v>6570</v>
      </c>
    </row>
    <row r="923" spans="1:34" x14ac:dyDescent="0.2">
      <c r="A923" t="s">
        <v>3166</v>
      </c>
      <c r="B923" t="s">
        <v>1430</v>
      </c>
      <c r="C923" t="s">
        <v>57</v>
      </c>
      <c r="D923" s="7" t="s">
        <v>134</v>
      </c>
      <c r="E923" t="s">
        <v>38</v>
      </c>
      <c r="F923">
        <v>26</v>
      </c>
      <c r="G923">
        <v>73</v>
      </c>
      <c r="H923">
        <v>72</v>
      </c>
      <c r="I923" t="s">
        <v>6357</v>
      </c>
      <c r="J923">
        <v>71</v>
      </c>
      <c r="K923">
        <v>201</v>
      </c>
      <c r="L923" t="s">
        <v>4860</v>
      </c>
      <c r="M923" s="6" t="s">
        <v>6558</v>
      </c>
      <c r="N923" s="6" t="s">
        <v>6567</v>
      </c>
      <c r="O923" s="6">
        <v>81</v>
      </c>
      <c r="P923" s="6">
        <v>76</v>
      </c>
      <c r="Q923" s="6">
        <v>74</v>
      </c>
      <c r="R923" s="6">
        <v>69</v>
      </c>
      <c r="S923" s="6">
        <v>75</v>
      </c>
      <c r="T923" s="6">
        <v>74</v>
      </c>
      <c r="U923" s="6">
        <v>70</v>
      </c>
      <c r="V923" s="6">
        <v>76</v>
      </c>
      <c r="W923" s="6">
        <v>77</v>
      </c>
      <c r="X923" s="6">
        <v>84</v>
      </c>
      <c r="Y923" s="6">
        <v>68</v>
      </c>
      <c r="Z923" s="6">
        <v>81</v>
      </c>
      <c r="AA923" s="6">
        <v>73</v>
      </c>
      <c r="AB923" s="6">
        <v>65</v>
      </c>
      <c r="AC923" s="6">
        <v>77</v>
      </c>
      <c r="AD923" s="6">
        <v>74</v>
      </c>
      <c r="AE923" s="6">
        <v>67</v>
      </c>
      <c r="AF923" s="6">
        <v>66</v>
      </c>
      <c r="AG923" s="6" t="s">
        <v>6893</v>
      </c>
      <c r="AH923" s="6" t="s">
        <v>6782</v>
      </c>
    </row>
    <row r="924" spans="1:34" x14ac:dyDescent="0.2">
      <c r="A924" t="s">
        <v>3172</v>
      </c>
      <c r="B924" t="s">
        <v>1436</v>
      </c>
      <c r="C924" t="s">
        <v>2887</v>
      </c>
      <c r="D924" s="7" t="s">
        <v>134</v>
      </c>
      <c r="E924" t="s">
        <v>38</v>
      </c>
      <c r="F924">
        <v>26</v>
      </c>
      <c r="G924">
        <v>73</v>
      </c>
      <c r="H924">
        <v>72</v>
      </c>
      <c r="I924" t="s">
        <v>6333</v>
      </c>
      <c r="J924">
        <v>76</v>
      </c>
      <c r="K924">
        <v>310</v>
      </c>
      <c r="L924" t="s">
        <v>4866</v>
      </c>
      <c r="M924" s="6" t="s">
        <v>6558</v>
      </c>
      <c r="N924" s="6" t="s">
        <v>6583</v>
      </c>
      <c r="O924" s="6">
        <v>85</v>
      </c>
      <c r="P924" s="6">
        <v>75</v>
      </c>
      <c r="Q924" s="6">
        <v>74</v>
      </c>
      <c r="R924" s="6">
        <v>76</v>
      </c>
      <c r="S924" s="6">
        <v>84</v>
      </c>
      <c r="T924" s="6">
        <v>72</v>
      </c>
      <c r="U924" s="6">
        <v>66</v>
      </c>
      <c r="V924" s="6">
        <v>77</v>
      </c>
      <c r="W924" s="6">
        <v>75</v>
      </c>
      <c r="X924" s="6">
        <v>69</v>
      </c>
      <c r="Y924" s="6">
        <v>73</v>
      </c>
      <c r="Z924" s="6">
        <v>76</v>
      </c>
      <c r="AA924" s="6">
        <v>72</v>
      </c>
      <c r="AB924" s="6">
        <v>71</v>
      </c>
      <c r="AC924" s="6">
        <v>66</v>
      </c>
      <c r="AD924" s="6">
        <v>77</v>
      </c>
      <c r="AE924" s="6">
        <v>70</v>
      </c>
      <c r="AF924" s="6">
        <v>67</v>
      </c>
      <c r="AG924" s="6" t="s">
        <v>6898</v>
      </c>
      <c r="AH924" s="6" t="s">
        <v>6598</v>
      </c>
    </row>
    <row r="925" spans="1:34" x14ac:dyDescent="0.2">
      <c r="A925" t="s">
        <v>3180</v>
      </c>
      <c r="B925" t="s">
        <v>1444</v>
      </c>
      <c r="C925" t="s">
        <v>2878</v>
      </c>
      <c r="D925" s="7" t="s">
        <v>134</v>
      </c>
      <c r="E925" t="s">
        <v>38</v>
      </c>
      <c r="F925">
        <v>26</v>
      </c>
      <c r="G925">
        <v>72</v>
      </c>
      <c r="H925">
        <v>72</v>
      </c>
      <c r="I925" t="s">
        <v>6370</v>
      </c>
      <c r="J925">
        <v>76</v>
      </c>
      <c r="K925">
        <v>272</v>
      </c>
      <c r="L925" t="s">
        <v>4874</v>
      </c>
      <c r="M925" s="6" t="s">
        <v>6558</v>
      </c>
      <c r="N925" s="6" t="s">
        <v>6565</v>
      </c>
      <c r="O925" s="6">
        <v>66</v>
      </c>
      <c r="P925" s="6">
        <v>69</v>
      </c>
      <c r="Q925" s="6">
        <v>73</v>
      </c>
      <c r="R925" s="6">
        <v>75</v>
      </c>
      <c r="S925" s="6">
        <v>80</v>
      </c>
      <c r="T925" s="6">
        <v>74</v>
      </c>
      <c r="U925" s="6">
        <v>87</v>
      </c>
      <c r="V925" s="6">
        <v>74</v>
      </c>
      <c r="W925" s="6">
        <v>75</v>
      </c>
      <c r="X925" s="6">
        <v>69</v>
      </c>
      <c r="Y925" s="6">
        <v>81</v>
      </c>
      <c r="Z925" s="6">
        <v>78</v>
      </c>
      <c r="AA925" s="6">
        <v>75</v>
      </c>
      <c r="AB925" s="6">
        <v>79</v>
      </c>
      <c r="AC925" s="6">
        <v>71</v>
      </c>
      <c r="AD925" s="6">
        <v>75</v>
      </c>
      <c r="AE925" s="6">
        <v>68</v>
      </c>
      <c r="AF925" s="6">
        <v>76</v>
      </c>
      <c r="AG925" s="6" t="s">
        <v>6906</v>
      </c>
      <c r="AH925" s="6" t="s">
        <v>6686</v>
      </c>
    </row>
    <row r="926" spans="1:34" x14ac:dyDescent="0.2">
      <c r="A926" t="s">
        <v>3193</v>
      </c>
      <c r="B926" t="s">
        <v>1457</v>
      </c>
      <c r="C926" t="s">
        <v>61</v>
      </c>
      <c r="D926" s="7" t="s">
        <v>134</v>
      </c>
      <c r="E926" t="s">
        <v>38</v>
      </c>
      <c r="F926">
        <v>29</v>
      </c>
      <c r="G926">
        <v>68</v>
      </c>
      <c r="H926">
        <v>72</v>
      </c>
      <c r="I926" t="s">
        <v>6383</v>
      </c>
      <c r="J926">
        <v>72</v>
      </c>
      <c r="K926">
        <v>191</v>
      </c>
      <c r="L926" t="s">
        <v>4887</v>
      </c>
      <c r="M926" s="6" t="s">
        <v>6558</v>
      </c>
      <c r="N926" s="6" t="s">
        <v>6567</v>
      </c>
      <c r="O926" s="6">
        <v>81</v>
      </c>
      <c r="P926" s="6">
        <v>64</v>
      </c>
      <c r="Q926" s="6">
        <v>82</v>
      </c>
      <c r="R926" s="6">
        <v>66</v>
      </c>
      <c r="S926" s="6">
        <v>79</v>
      </c>
      <c r="T926" s="6">
        <v>64</v>
      </c>
      <c r="U926" s="6">
        <v>84</v>
      </c>
      <c r="V926" s="6">
        <v>80</v>
      </c>
      <c r="W926" s="6">
        <v>81</v>
      </c>
      <c r="X926" s="6">
        <v>74</v>
      </c>
      <c r="Y926" s="6">
        <v>76</v>
      </c>
      <c r="Z926" s="6">
        <v>81</v>
      </c>
      <c r="AA926" s="6">
        <v>71</v>
      </c>
      <c r="AB926" s="6">
        <v>67</v>
      </c>
      <c r="AC926" s="6">
        <v>71</v>
      </c>
      <c r="AD926" s="6">
        <v>65</v>
      </c>
      <c r="AE926" s="6">
        <v>59</v>
      </c>
      <c r="AF926" s="6">
        <v>70</v>
      </c>
      <c r="AG926" s="6" t="s">
        <v>6919</v>
      </c>
      <c r="AH926" s="6" t="s">
        <v>6696</v>
      </c>
    </row>
    <row r="927" spans="1:34" x14ac:dyDescent="0.2">
      <c r="A927" t="s">
        <v>3215</v>
      </c>
      <c r="B927" t="s">
        <v>1479</v>
      </c>
      <c r="C927" t="s">
        <v>2870</v>
      </c>
      <c r="D927" s="7" t="s">
        <v>132</v>
      </c>
      <c r="E927" t="s">
        <v>58</v>
      </c>
      <c r="F927">
        <v>23</v>
      </c>
      <c r="G927">
        <v>61</v>
      </c>
      <c r="H927">
        <v>72</v>
      </c>
      <c r="I927" t="s">
        <v>6405</v>
      </c>
      <c r="J927">
        <v>70</v>
      </c>
      <c r="K927">
        <v>205</v>
      </c>
      <c r="L927" t="s">
        <v>4909</v>
      </c>
      <c r="M927" s="6" t="s">
        <v>6558</v>
      </c>
      <c r="N927" s="6" t="s">
        <v>6614</v>
      </c>
      <c r="O927" s="6">
        <v>79</v>
      </c>
      <c r="P927" s="6">
        <v>72</v>
      </c>
      <c r="Q927" s="6">
        <v>72</v>
      </c>
      <c r="R927" s="6">
        <v>59</v>
      </c>
      <c r="S927" s="6">
        <v>61</v>
      </c>
      <c r="T927" s="6">
        <v>62</v>
      </c>
      <c r="U927" s="6">
        <v>61</v>
      </c>
      <c r="V927" s="6">
        <v>71</v>
      </c>
      <c r="W927" s="6">
        <v>67</v>
      </c>
      <c r="X927" s="6">
        <v>59</v>
      </c>
      <c r="Y927" s="6">
        <v>70</v>
      </c>
      <c r="Z927" s="6">
        <v>70</v>
      </c>
      <c r="AA927" s="6">
        <v>69</v>
      </c>
      <c r="AB927" s="6">
        <v>71</v>
      </c>
      <c r="AC927" s="6">
        <v>61</v>
      </c>
      <c r="AD927" s="6">
        <v>61</v>
      </c>
      <c r="AE927" s="6">
        <v>64</v>
      </c>
      <c r="AF927" s="6">
        <v>73</v>
      </c>
      <c r="AG927" s="6" t="s">
        <v>6942</v>
      </c>
      <c r="AH927" s="6" t="s">
        <v>6887</v>
      </c>
    </row>
    <row r="928" spans="1:34" x14ac:dyDescent="0.2">
      <c r="A928" t="s">
        <v>3220</v>
      </c>
      <c r="B928" t="s">
        <v>1484</v>
      </c>
      <c r="C928" t="s">
        <v>57</v>
      </c>
      <c r="D928" s="7" t="s">
        <v>132</v>
      </c>
      <c r="E928" t="s">
        <v>58</v>
      </c>
      <c r="F928">
        <v>31</v>
      </c>
      <c r="G928">
        <v>73</v>
      </c>
      <c r="H928">
        <v>72</v>
      </c>
      <c r="I928" t="s">
        <v>6410</v>
      </c>
      <c r="J928">
        <v>70</v>
      </c>
      <c r="K928">
        <v>220</v>
      </c>
      <c r="L928" t="s">
        <v>4914</v>
      </c>
      <c r="M928" s="6" t="s">
        <v>6558</v>
      </c>
      <c r="N928" s="6" t="s">
        <v>6567</v>
      </c>
      <c r="O928" s="6">
        <v>72</v>
      </c>
      <c r="P928" s="6">
        <v>66</v>
      </c>
      <c r="Q928" s="6">
        <v>78</v>
      </c>
      <c r="R928" s="6">
        <v>68</v>
      </c>
      <c r="S928" s="6">
        <v>79</v>
      </c>
      <c r="T928" s="6">
        <v>75</v>
      </c>
      <c r="U928" s="6">
        <v>87</v>
      </c>
      <c r="V928" s="6">
        <v>75</v>
      </c>
      <c r="W928" s="6">
        <v>69</v>
      </c>
      <c r="X928" s="6">
        <v>72</v>
      </c>
      <c r="Y928" s="6">
        <v>72</v>
      </c>
      <c r="Z928" s="6">
        <v>72</v>
      </c>
      <c r="AA928" s="6">
        <v>61</v>
      </c>
      <c r="AB928" s="6">
        <v>72</v>
      </c>
      <c r="AC928" s="6">
        <v>71</v>
      </c>
      <c r="AD928" s="6">
        <v>75</v>
      </c>
      <c r="AE928" s="6">
        <v>65</v>
      </c>
      <c r="AF928" s="6">
        <v>70</v>
      </c>
      <c r="AG928" s="6" t="s">
        <v>6947</v>
      </c>
      <c r="AH928" s="6" t="s">
        <v>6661</v>
      </c>
    </row>
    <row r="929" spans="1:34" x14ac:dyDescent="0.2">
      <c r="A929" t="s">
        <v>3232</v>
      </c>
      <c r="B929" t="s">
        <v>1496</v>
      </c>
      <c r="C929" t="s">
        <v>2878</v>
      </c>
      <c r="D929" s="7" t="s">
        <v>132</v>
      </c>
      <c r="E929" t="s">
        <v>58</v>
      </c>
      <c r="F929">
        <v>32</v>
      </c>
      <c r="G929">
        <v>83</v>
      </c>
      <c r="H929">
        <v>72</v>
      </c>
      <c r="I929" t="s">
        <v>6421</v>
      </c>
      <c r="J929">
        <v>77</v>
      </c>
      <c r="K929">
        <v>263</v>
      </c>
      <c r="L929" t="s">
        <v>4926</v>
      </c>
      <c r="M929" s="6" t="s">
        <v>6558</v>
      </c>
      <c r="N929" s="6" t="s">
        <v>6565</v>
      </c>
      <c r="O929" s="6">
        <v>71</v>
      </c>
      <c r="P929" s="6">
        <v>74</v>
      </c>
      <c r="Q929" s="6">
        <v>79</v>
      </c>
      <c r="R929" s="6">
        <v>70</v>
      </c>
      <c r="S929" s="6">
        <v>78</v>
      </c>
      <c r="T929" s="6">
        <v>70</v>
      </c>
      <c r="U929" s="6">
        <v>73</v>
      </c>
      <c r="V929" s="6">
        <v>74</v>
      </c>
      <c r="W929" s="6">
        <v>84</v>
      </c>
      <c r="X929" s="6">
        <v>75</v>
      </c>
      <c r="Y929" s="6">
        <v>82</v>
      </c>
      <c r="Z929" s="6">
        <v>85</v>
      </c>
      <c r="AA929" s="6">
        <v>68</v>
      </c>
      <c r="AB929" s="6">
        <v>70</v>
      </c>
      <c r="AC929" s="6">
        <v>66</v>
      </c>
      <c r="AD929" s="6">
        <v>65</v>
      </c>
      <c r="AE929" s="6">
        <v>63</v>
      </c>
      <c r="AF929" s="6">
        <v>77</v>
      </c>
      <c r="AG929" s="6" t="s">
        <v>6959</v>
      </c>
      <c r="AH929" s="6" t="s">
        <v>6682</v>
      </c>
    </row>
    <row r="930" spans="1:34" x14ac:dyDescent="0.2">
      <c r="A930" t="s">
        <v>3251</v>
      </c>
      <c r="B930" t="s">
        <v>1515</v>
      </c>
      <c r="C930" t="s">
        <v>2888</v>
      </c>
      <c r="D930" s="7" t="s">
        <v>132</v>
      </c>
      <c r="E930" t="s">
        <v>58</v>
      </c>
      <c r="F930">
        <v>27</v>
      </c>
      <c r="G930">
        <v>65</v>
      </c>
      <c r="H930">
        <v>72</v>
      </c>
      <c r="I930" t="s">
        <v>6440</v>
      </c>
      <c r="J930">
        <v>75</v>
      </c>
      <c r="K930">
        <v>184</v>
      </c>
      <c r="L930" t="s">
        <v>4945</v>
      </c>
      <c r="M930" s="6" t="s">
        <v>6558</v>
      </c>
      <c r="N930" s="6" t="s">
        <v>6565</v>
      </c>
      <c r="O930" s="6">
        <v>76</v>
      </c>
      <c r="P930" s="6">
        <v>68</v>
      </c>
      <c r="Q930" s="6">
        <v>72</v>
      </c>
      <c r="R930" s="6">
        <v>73</v>
      </c>
      <c r="S930" s="6">
        <v>79</v>
      </c>
      <c r="T930" s="6">
        <v>76</v>
      </c>
      <c r="U930" s="6">
        <v>77</v>
      </c>
      <c r="V930" s="6">
        <v>75</v>
      </c>
      <c r="W930" s="6">
        <v>73</v>
      </c>
      <c r="X930" s="6">
        <v>64</v>
      </c>
      <c r="Y930" s="6">
        <v>79</v>
      </c>
      <c r="Z930" s="6">
        <v>83</v>
      </c>
      <c r="AA930" s="6">
        <v>70</v>
      </c>
      <c r="AB930" s="6">
        <v>76</v>
      </c>
      <c r="AC930" s="6">
        <v>72</v>
      </c>
      <c r="AD930" s="6">
        <v>77</v>
      </c>
      <c r="AE930" s="6">
        <v>78</v>
      </c>
      <c r="AF930" s="6">
        <v>75</v>
      </c>
      <c r="AG930" s="6" t="s">
        <v>6979</v>
      </c>
      <c r="AH930" s="6" t="s">
        <v>6980</v>
      </c>
    </row>
    <row r="931" spans="1:34" x14ac:dyDescent="0.2">
      <c r="A931" t="s">
        <v>3280</v>
      </c>
      <c r="B931" t="s">
        <v>1544</v>
      </c>
      <c r="C931" t="s">
        <v>2874</v>
      </c>
      <c r="D931" s="7" t="s">
        <v>136</v>
      </c>
      <c r="E931" t="s">
        <v>58</v>
      </c>
      <c r="F931">
        <v>32</v>
      </c>
      <c r="G931">
        <v>64</v>
      </c>
      <c r="H931">
        <v>72</v>
      </c>
      <c r="I931" t="s">
        <v>6469</v>
      </c>
      <c r="J931">
        <v>74</v>
      </c>
      <c r="K931">
        <v>312</v>
      </c>
      <c r="L931" t="s">
        <v>4974</v>
      </c>
      <c r="M931" s="6" t="s">
        <v>6558</v>
      </c>
      <c r="N931" s="6" t="s">
        <v>6567</v>
      </c>
      <c r="O931" s="6">
        <v>74</v>
      </c>
      <c r="P931" s="6">
        <v>69</v>
      </c>
      <c r="Q931" s="6">
        <v>66</v>
      </c>
      <c r="R931" s="6">
        <v>69</v>
      </c>
      <c r="S931" s="6">
        <v>75</v>
      </c>
      <c r="T931" s="6">
        <v>60</v>
      </c>
      <c r="U931" s="6">
        <v>76</v>
      </c>
      <c r="V931" s="6">
        <v>65</v>
      </c>
      <c r="W931" s="6">
        <v>65</v>
      </c>
      <c r="X931" s="6">
        <v>66</v>
      </c>
      <c r="Y931" s="6">
        <v>74</v>
      </c>
      <c r="Z931" s="6">
        <v>72</v>
      </c>
      <c r="AA931" s="6">
        <v>64</v>
      </c>
      <c r="AB931" s="6">
        <v>64</v>
      </c>
      <c r="AC931" s="6">
        <v>59</v>
      </c>
      <c r="AD931" s="6">
        <v>65</v>
      </c>
      <c r="AE931" s="6">
        <v>63</v>
      </c>
      <c r="AF931" s="6">
        <v>62</v>
      </c>
      <c r="AG931" s="6" t="s">
        <v>7011</v>
      </c>
      <c r="AH931" s="6" t="s">
        <v>6598</v>
      </c>
    </row>
    <row r="932" spans="1:34" x14ac:dyDescent="0.2">
      <c r="A932" t="s">
        <v>3284</v>
      </c>
      <c r="B932" t="s">
        <v>1548</v>
      </c>
      <c r="C932" t="s">
        <v>2878</v>
      </c>
      <c r="D932" s="7" t="s">
        <v>136</v>
      </c>
      <c r="E932" t="s">
        <v>38</v>
      </c>
      <c r="F932">
        <v>24</v>
      </c>
      <c r="G932">
        <v>83</v>
      </c>
      <c r="H932">
        <v>72</v>
      </c>
      <c r="I932" t="s">
        <v>6473</v>
      </c>
      <c r="J932">
        <v>79</v>
      </c>
      <c r="K932">
        <v>283</v>
      </c>
      <c r="L932" t="s">
        <v>4978</v>
      </c>
      <c r="M932" s="6" t="s">
        <v>6558</v>
      </c>
      <c r="N932" s="6" t="s">
        <v>6565</v>
      </c>
      <c r="O932" s="6">
        <v>75</v>
      </c>
      <c r="P932" s="6">
        <v>76</v>
      </c>
      <c r="Q932" s="6">
        <v>70</v>
      </c>
      <c r="R932" s="6">
        <v>73</v>
      </c>
      <c r="S932" s="6">
        <v>98</v>
      </c>
      <c r="T932" s="6">
        <v>71</v>
      </c>
      <c r="U932" s="6">
        <v>69</v>
      </c>
      <c r="V932" s="6">
        <v>72</v>
      </c>
      <c r="W932" s="6">
        <v>75</v>
      </c>
      <c r="X932" s="6">
        <v>78</v>
      </c>
      <c r="Y932" s="6">
        <v>88</v>
      </c>
      <c r="Z932" s="6">
        <v>77</v>
      </c>
      <c r="AA932" s="6">
        <v>74</v>
      </c>
      <c r="AB932" s="6">
        <v>72</v>
      </c>
      <c r="AC932" s="6">
        <v>70</v>
      </c>
      <c r="AD932" s="6">
        <v>77</v>
      </c>
      <c r="AE932" s="6">
        <v>77</v>
      </c>
      <c r="AF932" s="6">
        <v>76</v>
      </c>
      <c r="AG932" s="6" t="s">
        <v>7015</v>
      </c>
      <c r="AH932" s="6" t="s">
        <v>6684</v>
      </c>
    </row>
    <row r="933" spans="1:34" x14ac:dyDescent="0.2">
      <c r="A933" t="s">
        <v>3305</v>
      </c>
      <c r="B933" t="s">
        <v>1569</v>
      </c>
      <c r="C933" t="s">
        <v>2891</v>
      </c>
      <c r="D933" s="7" t="s">
        <v>136</v>
      </c>
      <c r="E933" t="s">
        <v>38</v>
      </c>
      <c r="F933">
        <v>23</v>
      </c>
      <c r="G933">
        <v>75</v>
      </c>
      <c r="H933">
        <v>72</v>
      </c>
      <c r="I933" t="s">
        <v>6325</v>
      </c>
      <c r="J933">
        <v>72</v>
      </c>
      <c r="K933">
        <v>240</v>
      </c>
      <c r="L933" t="s">
        <v>4999</v>
      </c>
      <c r="M933" s="6" t="s">
        <v>6558</v>
      </c>
      <c r="N933" s="6" t="s">
        <v>6565</v>
      </c>
      <c r="O933" s="6">
        <v>79</v>
      </c>
      <c r="P933" s="6">
        <v>75</v>
      </c>
      <c r="Q933" s="6">
        <v>77</v>
      </c>
      <c r="R933" s="6">
        <v>72</v>
      </c>
      <c r="S933" s="6">
        <v>63</v>
      </c>
      <c r="T933" s="6">
        <v>63</v>
      </c>
      <c r="U933" s="6">
        <v>67</v>
      </c>
      <c r="V933" s="6">
        <v>70</v>
      </c>
      <c r="W933" s="6">
        <v>62</v>
      </c>
      <c r="X933" s="6">
        <v>73</v>
      </c>
      <c r="Y933" s="6">
        <v>79</v>
      </c>
      <c r="Z933" s="6">
        <v>65</v>
      </c>
      <c r="AA933" s="6">
        <v>75</v>
      </c>
      <c r="AB933" s="6">
        <v>72</v>
      </c>
      <c r="AC933" s="6">
        <v>70</v>
      </c>
      <c r="AD933" s="6">
        <v>77</v>
      </c>
      <c r="AE933" s="6">
        <v>70</v>
      </c>
      <c r="AF933" s="6">
        <v>74</v>
      </c>
      <c r="AG933" s="6" t="s">
        <v>7037</v>
      </c>
      <c r="AH933" s="6" t="s">
        <v>6824</v>
      </c>
    </row>
    <row r="934" spans="1:34" x14ac:dyDescent="0.2">
      <c r="A934" t="s">
        <v>3315</v>
      </c>
      <c r="B934" t="s">
        <v>1579</v>
      </c>
      <c r="C934" t="s">
        <v>57</v>
      </c>
      <c r="D934" s="7" t="s">
        <v>137</v>
      </c>
      <c r="E934" t="s">
        <v>38</v>
      </c>
      <c r="F934">
        <v>26</v>
      </c>
      <c r="G934">
        <v>79</v>
      </c>
      <c r="H934">
        <v>72</v>
      </c>
      <c r="I934" t="s">
        <v>54</v>
      </c>
      <c r="J934">
        <v>73</v>
      </c>
      <c r="K934">
        <v>198</v>
      </c>
      <c r="L934" t="s">
        <v>5009</v>
      </c>
      <c r="M934" s="6" t="s">
        <v>6558</v>
      </c>
      <c r="N934" s="6" t="s">
        <v>6559</v>
      </c>
      <c r="O934" s="6">
        <v>72</v>
      </c>
      <c r="P934" s="6">
        <v>72</v>
      </c>
      <c r="Q934" s="6">
        <v>77</v>
      </c>
      <c r="R934" s="6">
        <v>84</v>
      </c>
      <c r="S934" s="6">
        <v>79</v>
      </c>
      <c r="T934" s="6">
        <v>78</v>
      </c>
      <c r="U934" s="6">
        <v>78</v>
      </c>
      <c r="V934" s="6">
        <v>81</v>
      </c>
      <c r="W934" s="6">
        <v>83</v>
      </c>
      <c r="X934" s="6">
        <v>80</v>
      </c>
      <c r="Y934" s="6">
        <v>75</v>
      </c>
      <c r="Z934" s="6">
        <v>77</v>
      </c>
      <c r="AA934" s="6">
        <v>71</v>
      </c>
      <c r="AB934" s="6">
        <v>75</v>
      </c>
      <c r="AC934" s="6">
        <v>73</v>
      </c>
      <c r="AD934" s="6">
        <v>75</v>
      </c>
      <c r="AE934" s="6">
        <v>70</v>
      </c>
      <c r="AF934" s="6">
        <v>70</v>
      </c>
      <c r="AG934" s="6" t="s">
        <v>7049</v>
      </c>
      <c r="AH934" s="6" t="s">
        <v>6576</v>
      </c>
    </row>
    <row r="935" spans="1:34" x14ac:dyDescent="0.2">
      <c r="A935" t="s">
        <v>3349</v>
      </c>
      <c r="B935" t="s">
        <v>1613</v>
      </c>
      <c r="C935" t="s">
        <v>2882</v>
      </c>
      <c r="D935" s="7" t="s">
        <v>137</v>
      </c>
      <c r="E935" t="s">
        <v>38</v>
      </c>
      <c r="F935">
        <v>29</v>
      </c>
      <c r="G935">
        <v>66</v>
      </c>
      <c r="H935">
        <v>72</v>
      </c>
      <c r="I935" t="s">
        <v>6357</v>
      </c>
      <c r="J935">
        <v>73</v>
      </c>
      <c r="K935">
        <v>198</v>
      </c>
      <c r="L935" t="s">
        <v>5043</v>
      </c>
      <c r="M935" s="6" t="s">
        <v>6558</v>
      </c>
      <c r="N935" s="6" t="s">
        <v>6565</v>
      </c>
      <c r="O935" s="6">
        <v>95</v>
      </c>
      <c r="P935" s="6">
        <v>66</v>
      </c>
      <c r="Q935" s="6">
        <v>71</v>
      </c>
      <c r="R935" s="6">
        <v>71</v>
      </c>
      <c r="S935" s="6">
        <v>77</v>
      </c>
      <c r="T935" s="6">
        <v>77</v>
      </c>
      <c r="U935" s="6">
        <v>79</v>
      </c>
      <c r="V935" s="6">
        <v>75</v>
      </c>
      <c r="W935" s="6">
        <v>61</v>
      </c>
      <c r="X935" s="6">
        <v>78</v>
      </c>
      <c r="Y935" s="6">
        <v>78</v>
      </c>
      <c r="Z935" s="6">
        <v>81</v>
      </c>
      <c r="AA935" s="6">
        <v>68</v>
      </c>
      <c r="AB935" s="6">
        <v>71</v>
      </c>
      <c r="AC935" s="6">
        <v>68</v>
      </c>
      <c r="AD935" s="6">
        <v>72</v>
      </c>
      <c r="AE935" s="6">
        <v>67</v>
      </c>
      <c r="AF935" s="6">
        <v>69</v>
      </c>
      <c r="AG935" s="6" t="s">
        <v>7083</v>
      </c>
      <c r="AH935" s="6" t="s">
        <v>7030</v>
      </c>
    </row>
    <row r="936" spans="1:34" x14ac:dyDescent="0.2">
      <c r="A936" t="s">
        <v>3356</v>
      </c>
      <c r="B936" t="s">
        <v>1620</v>
      </c>
      <c r="C936" t="s">
        <v>2885</v>
      </c>
      <c r="D936" s="7" t="s">
        <v>137</v>
      </c>
      <c r="E936" t="s">
        <v>38</v>
      </c>
      <c r="F936">
        <v>28</v>
      </c>
      <c r="G936">
        <v>75</v>
      </c>
      <c r="H936">
        <v>72</v>
      </c>
      <c r="I936" t="s">
        <v>6363</v>
      </c>
      <c r="J936">
        <v>74</v>
      </c>
      <c r="K936">
        <v>239</v>
      </c>
      <c r="L936" t="s">
        <v>5050</v>
      </c>
      <c r="M936" s="6" t="s">
        <v>6558</v>
      </c>
      <c r="N936" s="6" t="s">
        <v>6565</v>
      </c>
      <c r="O936" s="6">
        <v>73</v>
      </c>
      <c r="P936" s="6">
        <v>68</v>
      </c>
      <c r="Q936" s="6">
        <v>78</v>
      </c>
      <c r="R936" s="6">
        <v>72</v>
      </c>
      <c r="S936" s="6">
        <v>78</v>
      </c>
      <c r="T936" s="6">
        <v>76</v>
      </c>
      <c r="U936" s="6">
        <v>87</v>
      </c>
      <c r="V936" s="6">
        <v>80</v>
      </c>
      <c r="W936" s="6">
        <v>80</v>
      </c>
      <c r="X936" s="6">
        <v>66</v>
      </c>
      <c r="Y936" s="6">
        <v>74</v>
      </c>
      <c r="Z936" s="6">
        <v>79</v>
      </c>
      <c r="AA936" s="6">
        <v>69</v>
      </c>
      <c r="AB936" s="6">
        <v>67</v>
      </c>
      <c r="AC936" s="6">
        <v>77</v>
      </c>
      <c r="AD936" s="6">
        <v>75</v>
      </c>
      <c r="AE936" s="6">
        <v>71</v>
      </c>
      <c r="AF936" s="6">
        <v>73</v>
      </c>
      <c r="AG936" s="6" t="s">
        <v>7090</v>
      </c>
      <c r="AH936" s="6" t="s">
        <v>6628</v>
      </c>
    </row>
    <row r="937" spans="1:34" x14ac:dyDescent="0.2">
      <c r="A937" t="s">
        <v>3373</v>
      </c>
      <c r="B937" t="s">
        <v>1637</v>
      </c>
      <c r="C937" t="s">
        <v>2871</v>
      </c>
      <c r="D937" s="7" t="s">
        <v>138</v>
      </c>
      <c r="E937" t="s">
        <v>58</v>
      </c>
      <c r="F937">
        <v>31</v>
      </c>
      <c r="G937">
        <v>66</v>
      </c>
      <c r="H937">
        <v>72</v>
      </c>
      <c r="I937" t="s">
        <v>6380</v>
      </c>
      <c r="J937">
        <v>77</v>
      </c>
      <c r="K937">
        <v>252</v>
      </c>
      <c r="L937" t="s">
        <v>5067</v>
      </c>
      <c r="M937" s="6" t="s">
        <v>6558</v>
      </c>
      <c r="N937" s="6" t="s">
        <v>6567</v>
      </c>
      <c r="O937" s="6">
        <v>74</v>
      </c>
      <c r="P937" s="6">
        <v>74</v>
      </c>
      <c r="Q937" s="6">
        <v>74</v>
      </c>
      <c r="R937" s="6">
        <v>67</v>
      </c>
      <c r="S937" s="6">
        <v>78</v>
      </c>
      <c r="T937" s="6">
        <v>75</v>
      </c>
      <c r="U937" s="6">
        <v>73</v>
      </c>
      <c r="V937" s="6">
        <v>75</v>
      </c>
      <c r="W937" s="6">
        <v>72</v>
      </c>
      <c r="X937" s="6">
        <v>75</v>
      </c>
      <c r="Y937" s="6">
        <v>82</v>
      </c>
      <c r="Z937" s="6">
        <v>72</v>
      </c>
      <c r="AA937" s="6">
        <v>66</v>
      </c>
      <c r="AB937" s="6">
        <v>61</v>
      </c>
      <c r="AC937" s="6">
        <v>68</v>
      </c>
      <c r="AD937" s="6">
        <v>72</v>
      </c>
      <c r="AE937" s="6">
        <v>63</v>
      </c>
      <c r="AF937" s="6">
        <v>67</v>
      </c>
      <c r="AG937" s="6" t="s">
        <v>7108</v>
      </c>
      <c r="AH937" s="6" t="s">
        <v>6585</v>
      </c>
    </row>
    <row r="938" spans="1:34" x14ac:dyDescent="0.2">
      <c r="A938" t="s">
        <v>3397</v>
      </c>
      <c r="B938" t="s">
        <v>1661</v>
      </c>
      <c r="C938" t="s">
        <v>2882</v>
      </c>
      <c r="D938" s="7" t="s">
        <v>138</v>
      </c>
      <c r="E938" t="s">
        <v>38</v>
      </c>
      <c r="F938">
        <v>25</v>
      </c>
      <c r="G938">
        <v>75</v>
      </c>
      <c r="H938">
        <v>72</v>
      </c>
      <c r="I938" t="s">
        <v>6404</v>
      </c>
      <c r="J938">
        <v>73</v>
      </c>
      <c r="K938">
        <v>202</v>
      </c>
      <c r="L938" t="s">
        <v>5091</v>
      </c>
      <c r="M938" s="6" t="s">
        <v>6558</v>
      </c>
      <c r="N938" s="6" t="s">
        <v>6559</v>
      </c>
      <c r="O938" s="6">
        <v>80</v>
      </c>
      <c r="P938" s="6">
        <v>80</v>
      </c>
      <c r="Q938" s="6">
        <v>73</v>
      </c>
      <c r="R938" s="6">
        <v>83</v>
      </c>
      <c r="S938" s="6">
        <v>79</v>
      </c>
      <c r="T938" s="6">
        <v>64</v>
      </c>
      <c r="U938" s="6">
        <v>73</v>
      </c>
      <c r="V938" s="6">
        <v>74</v>
      </c>
      <c r="W938" s="6">
        <v>77</v>
      </c>
      <c r="X938" s="6">
        <v>70</v>
      </c>
      <c r="Y938" s="6">
        <v>66</v>
      </c>
      <c r="Z938" s="6">
        <v>80</v>
      </c>
      <c r="AA938" s="6">
        <v>71</v>
      </c>
      <c r="AB938" s="6">
        <v>62</v>
      </c>
      <c r="AC938" s="6">
        <v>69</v>
      </c>
      <c r="AD938" s="6">
        <v>76</v>
      </c>
      <c r="AE938" s="6">
        <v>70</v>
      </c>
      <c r="AF938" s="6">
        <v>73</v>
      </c>
      <c r="AG938" s="6" t="s">
        <v>6924</v>
      </c>
      <c r="AH938" s="6" t="s">
        <v>6636</v>
      </c>
    </row>
    <row r="939" spans="1:34" x14ac:dyDescent="0.2">
      <c r="A939" t="s">
        <v>3414</v>
      </c>
      <c r="B939" t="s">
        <v>1678</v>
      </c>
      <c r="C939" t="s">
        <v>53</v>
      </c>
      <c r="D939" s="7" t="s">
        <v>139</v>
      </c>
      <c r="E939" t="s">
        <v>38</v>
      </c>
      <c r="F939">
        <v>29</v>
      </c>
      <c r="G939">
        <v>78</v>
      </c>
      <c r="H939">
        <v>72</v>
      </c>
      <c r="I939" t="s">
        <v>6422</v>
      </c>
      <c r="J939">
        <v>73</v>
      </c>
      <c r="K939">
        <v>232</v>
      </c>
      <c r="L939" t="s">
        <v>5108</v>
      </c>
      <c r="M939" s="6" t="s">
        <v>6558</v>
      </c>
      <c r="N939" s="6" t="s">
        <v>6559</v>
      </c>
      <c r="O939" s="6">
        <v>79</v>
      </c>
      <c r="P939" s="6">
        <v>88</v>
      </c>
      <c r="Q939" s="6">
        <v>84</v>
      </c>
      <c r="R939" s="6">
        <v>83</v>
      </c>
      <c r="S939" s="6">
        <v>88</v>
      </c>
      <c r="T939" s="6">
        <v>82</v>
      </c>
      <c r="U939" s="6">
        <v>84</v>
      </c>
      <c r="V939" s="6">
        <v>88</v>
      </c>
      <c r="W939" s="6">
        <v>91</v>
      </c>
      <c r="X939" s="6">
        <v>83</v>
      </c>
      <c r="Y939" s="6">
        <v>77</v>
      </c>
      <c r="Z939" s="6">
        <v>83</v>
      </c>
      <c r="AA939" s="6">
        <v>73</v>
      </c>
      <c r="AB939" s="6">
        <v>75</v>
      </c>
      <c r="AC939" s="6">
        <v>71</v>
      </c>
      <c r="AD939" s="6">
        <v>74</v>
      </c>
      <c r="AE939" s="6">
        <v>74</v>
      </c>
      <c r="AF939" s="6">
        <v>73</v>
      </c>
      <c r="AG939" s="6" t="s">
        <v>7148</v>
      </c>
      <c r="AH939" s="6" t="s">
        <v>7149</v>
      </c>
    </row>
    <row r="940" spans="1:34" x14ac:dyDescent="0.2">
      <c r="A940" t="s">
        <v>3433</v>
      </c>
      <c r="B940" t="s">
        <v>1697</v>
      </c>
      <c r="C940" t="s">
        <v>2872</v>
      </c>
      <c r="D940" s="7" t="s">
        <v>139</v>
      </c>
      <c r="E940" t="s">
        <v>58</v>
      </c>
      <c r="F940">
        <v>26</v>
      </c>
      <c r="G940">
        <v>59</v>
      </c>
      <c r="H940">
        <v>72</v>
      </c>
      <c r="I940" t="s">
        <v>6449</v>
      </c>
      <c r="J940">
        <v>77</v>
      </c>
      <c r="K940">
        <v>324</v>
      </c>
      <c r="L940" t="s">
        <v>5127</v>
      </c>
      <c r="M940" s="6" t="s">
        <v>6558</v>
      </c>
      <c r="N940" s="6" t="s">
        <v>6567</v>
      </c>
      <c r="O940" s="6">
        <v>63</v>
      </c>
      <c r="P940" s="6">
        <v>62</v>
      </c>
      <c r="Q940" s="6">
        <v>78</v>
      </c>
      <c r="R940" s="6">
        <v>63</v>
      </c>
      <c r="S940" s="6">
        <v>73</v>
      </c>
      <c r="T940" s="6">
        <v>77</v>
      </c>
      <c r="U940" s="6">
        <v>66</v>
      </c>
      <c r="V940" s="6">
        <v>65</v>
      </c>
      <c r="W940" s="6">
        <v>70</v>
      </c>
      <c r="X940" s="6">
        <v>70</v>
      </c>
      <c r="Y940" s="6">
        <v>73</v>
      </c>
      <c r="Z940" s="6">
        <v>70</v>
      </c>
      <c r="AA940" s="6">
        <v>67</v>
      </c>
      <c r="AB940" s="6">
        <v>67</v>
      </c>
      <c r="AC940" s="6">
        <v>59</v>
      </c>
      <c r="AD940" s="6">
        <v>65</v>
      </c>
      <c r="AE940" s="6">
        <v>66</v>
      </c>
      <c r="AF940" s="6">
        <v>67</v>
      </c>
      <c r="AG940" s="6" t="s">
        <v>7168</v>
      </c>
      <c r="AH940" s="6" t="s">
        <v>6680</v>
      </c>
    </row>
    <row r="941" spans="1:34" x14ac:dyDescent="0.2">
      <c r="A941" t="s">
        <v>3436</v>
      </c>
      <c r="B941" t="s">
        <v>1700</v>
      </c>
      <c r="C941" t="s">
        <v>2874</v>
      </c>
      <c r="D941" s="7" t="s">
        <v>139</v>
      </c>
      <c r="E941" t="s">
        <v>58</v>
      </c>
      <c r="F941">
        <v>31</v>
      </c>
      <c r="G941">
        <v>70</v>
      </c>
      <c r="H941">
        <v>72</v>
      </c>
      <c r="I941" t="s">
        <v>6454</v>
      </c>
      <c r="J941">
        <v>76</v>
      </c>
      <c r="K941">
        <v>300</v>
      </c>
      <c r="L941" t="s">
        <v>5130</v>
      </c>
      <c r="M941" s="6" t="s">
        <v>6558</v>
      </c>
      <c r="N941" s="6" t="s">
        <v>6567</v>
      </c>
      <c r="O941" s="6">
        <v>83</v>
      </c>
      <c r="P941" s="6">
        <v>73</v>
      </c>
      <c r="Q941" s="6">
        <v>80</v>
      </c>
      <c r="R941" s="6">
        <v>65</v>
      </c>
      <c r="S941" s="6">
        <v>77</v>
      </c>
      <c r="T941" s="6">
        <v>70</v>
      </c>
      <c r="U941" s="6">
        <v>72</v>
      </c>
      <c r="V941" s="6">
        <v>71</v>
      </c>
      <c r="W941" s="6">
        <v>72</v>
      </c>
      <c r="X941" s="6">
        <v>72</v>
      </c>
      <c r="Y941" s="6">
        <v>78</v>
      </c>
      <c r="Z941" s="6">
        <v>69</v>
      </c>
      <c r="AA941" s="6">
        <v>67</v>
      </c>
      <c r="AB941" s="6">
        <v>65</v>
      </c>
      <c r="AC941" s="6">
        <v>59</v>
      </c>
      <c r="AD941" s="6">
        <v>68</v>
      </c>
      <c r="AE941" s="6">
        <v>62</v>
      </c>
      <c r="AF941" s="6">
        <v>66</v>
      </c>
      <c r="AG941" s="6" t="s">
        <v>7171</v>
      </c>
      <c r="AH941" s="6" t="s">
        <v>6674</v>
      </c>
    </row>
    <row r="942" spans="1:34" x14ac:dyDescent="0.2">
      <c r="A942" t="s">
        <v>3444</v>
      </c>
      <c r="B942" t="s">
        <v>1708</v>
      </c>
      <c r="C942" t="s">
        <v>2878</v>
      </c>
      <c r="D942" s="7" t="s">
        <v>139</v>
      </c>
      <c r="E942" t="s">
        <v>38</v>
      </c>
      <c r="F942">
        <v>30</v>
      </c>
      <c r="G942">
        <v>85</v>
      </c>
      <c r="H942">
        <v>72</v>
      </c>
      <c r="I942" t="s">
        <v>6466</v>
      </c>
      <c r="J942">
        <v>74</v>
      </c>
      <c r="K942">
        <v>260</v>
      </c>
      <c r="L942" t="s">
        <v>5138</v>
      </c>
      <c r="M942" s="6" t="s">
        <v>6558</v>
      </c>
      <c r="N942" s="6" t="s">
        <v>6583</v>
      </c>
      <c r="O942" s="6">
        <v>69</v>
      </c>
      <c r="P942" s="6">
        <v>78</v>
      </c>
      <c r="Q942" s="6">
        <v>73</v>
      </c>
      <c r="R942" s="6">
        <v>77</v>
      </c>
      <c r="S942" s="6">
        <v>92</v>
      </c>
      <c r="T942" s="6">
        <v>84</v>
      </c>
      <c r="U942" s="6">
        <v>89</v>
      </c>
      <c r="V942" s="6">
        <v>75</v>
      </c>
      <c r="W942" s="6">
        <v>75</v>
      </c>
      <c r="X942" s="6">
        <v>67</v>
      </c>
      <c r="Y942" s="6">
        <v>78</v>
      </c>
      <c r="Z942" s="6">
        <v>85</v>
      </c>
      <c r="AA942" s="6">
        <v>77</v>
      </c>
      <c r="AB942" s="6">
        <v>76</v>
      </c>
      <c r="AC942" s="6">
        <v>82</v>
      </c>
      <c r="AD942" s="6">
        <v>86</v>
      </c>
      <c r="AE942" s="6">
        <v>71</v>
      </c>
      <c r="AF942" s="6">
        <v>72</v>
      </c>
      <c r="AG942" s="6" t="s">
        <v>7179</v>
      </c>
      <c r="AH942" s="6" t="s">
        <v>6684</v>
      </c>
    </row>
    <row r="943" spans="1:34" x14ac:dyDescent="0.2">
      <c r="A943" t="s">
        <v>3450</v>
      </c>
      <c r="B943" t="s">
        <v>1714</v>
      </c>
      <c r="C943" t="s">
        <v>2879</v>
      </c>
      <c r="D943" s="7" t="s">
        <v>139</v>
      </c>
      <c r="E943" t="s">
        <v>38</v>
      </c>
      <c r="F943">
        <v>28</v>
      </c>
      <c r="G943">
        <v>73</v>
      </c>
      <c r="H943">
        <v>72</v>
      </c>
      <c r="I943" t="s">
        <v>6474</v>
      </c>
      <c r="J943">
        <v>74</v>
      </c>
      <c r="K943">
        <v>307</v>
      </c>
      <c r="L943" t="s">
        <v>5144</v>
      </c>
      <c r="M943" s="6" t="s">
        <v>6558</v>
      </c>
      <c r="N943" s="6" t="s">
        <v>6567</v>
      </c>
      <c r="O943" s="6">
        <v>77</v>
      </c>
      <c r="P943" s="6">
        <v>75</v>
      </c>
      <c r="Q943" s="6">
        <v>68</v>
      </c>
      <c r="R943" s="6">
        <v>68</v>
      </c>
      <c r="S943" s="6">
        <v>77</v>
      </c>
      <c r="T943" s="6">
        <v>72</v>
      </c>
      <c r="U943" s="6">
        <v>80</v>
      </c>
      <c r="V943" s="6">
        <v>73</v>
      </c>
      <c r="W943" s="6">
        <v>73</v>
      </c>
      <c r="X943" s="6">
        <v>67</v>
      </c>
      <c r="Y943" s="6">
        <v>83</v>
      </c>
      <c r="Z943" s="6">
        <v>76</v>
      </c>
      <c r="AA943" s="6">
        <v>65</v>
      </c>
      <c r="AB943" s="6">
        <v>80</v>
      </c>
      <c r="AC943" s="6">
        <v>64</v>
      </c>
      <c r="AD943" s="6">
        <v>75</v>
      </c>
      <c r="AE943" s="6">
        <v>65</v>
      </c>
      <c r="AF943" s="6">
        <v>75</v>
      </c>
      <c r="AG943" s="6" t="s">
        <v>7185</v>
      </c>
      <c r="AH943" s="6" t="s">
        <v>6617</v>
      </c>
    </row>
    <row r="944" spans="1:34" x14ac:dyDescent="0.2">
      <c r="A944" t="s">
        <v>3458</v>
      </c>
      <c r="B944" t="s">
        <v>1722</v>
      </c>
      <c r="C944" t="s">
        <v>61</v>
      </c>
      <c r="D944" s="7" t="s">
        <v>139</v>
      </c>
      <c r="E944" t="s">
        <v>38</v>
      </c>
      <c r="F944">
        <v>25</v>
      </c>
      <c r="G944">
        <v>69</v>
      </c>
      <c r="H944">
        <v>72</v>
      </c>
      <c r="I944" t="s">
        <v>6484</v>
      </c>
      <c r="J944">
        <v>69</v>
      </c>
      <c r="K944">
        <v>209</v>
      </c>
      <c r="L944" t="s">
        <v>5152</v>
      </c>
      <c r="M944" s="6" t="s">
        <v>6558</v>
      </c>
      <c r="N944" s="6" t="s">
        <v>6567</v>
      </c>
      <c r="O944" s="6">
        <v>75</v>
      </c>
      <c r="P944" s="6">
        <v>78</v>
      </c>
      <c r="Q944" s="6">
        <v>79</v>
      </c>
      <c r="R944" s="6">
        <v>69</v>
      </c>
      <c r="S944" s="6">
        <v>79</v>
      </c>
      <c r="T944" s="6">
        <v>66</v>
      </c>
      <c r="U944" s="6">
        <v>79</v>
      </c>
      <c r="V944" s="6">
        <v>82</v>
      </c>
      <c r="W944" s="6">
        <v>72</v>
      </c>
      <c r="X944" s="6">
        <v>75</v>
      </c>
      <c r="Y944" s="6">
        <v>84</v>
      </c>
      <c r="Z944" s="6">
        <v>68</v>
      </c>
      <c r="AA944" s="6">
        <v>72</v>
      </c>
      <c r="AB944" s="6">
        <v>80</v>
      </c>
      <c r="AC944" s="6">
        <v>70</v>
      </c>
      <c r="AD944" s="6">
        <v>80</v>
      </c>
      <c r="AE944" s="6">
        <v>78</v>
      </c>
      <c r="AF944" s="6">
        <v>78</v>
      </c>
      <c r="AG944" s="6" t="s">
        <v>7193</v>
      </c>
      <c r="AH944" s="6" t="s">
        <v>6630</v>
      </c>
    </row>
    <row r="945" spans="1:34" x14ac:dyDescent="0.2">
      <c r="A945" t="s">
        <v>3460</v>
      </c>
      <c r="B945" t="s">
        <v>1724</v>
      </c>
      <c r="C945" t="s">
        <v>2882</v>
      </c>
      <c r="D945" s="7" t="s">
        <v>139</v>
      </c>
      <c r="E945" t="s">
        <v>38</v>
      </c>
      <c r="F945">
        <v>29</v>
      </c>
      <c r="G945">
        <v>74</v>
      </c>
      <c r="H945">
        <v>72</v>
      </c>
      <c r="I945" t="s">
        <v>6486</v>
      </c>
      <c r="J945">
        <v>70</v>
      </c>
      <c r="K945">
        <v>215</v>
      </c>
      <c r="L945" t="s">
        <v>5154</v>
      </c>
      <c r="M945" s="6" t="s">
        <v>6558</v>
      </c>
      <c r="N945" s="6" t="s">
        <v>6565</v>
      </c>
      <c r="O945" s="6">
        <v>79</v>
      </c>
      <c r="P945" s="6">
        <v>82</v>
      </c>
      <c r="Q945" s="6">
        <v>67</v>
      </c>
      <c r="R945" s="6">
        <v>71</v>
      </c>
      <c r="S945" s="6">
        <v>75</v>
      </c>
      <c r="T945" s="6">
        <v>80</v>
      </c>
      <c r="U945" s="6">
        <v>77</v>
      </c>
      <c r="V945" s="6">
        <v>70</v>
      </c>
      <c r="W945" s="6">
        <v>81</v>
      </c>
      <c r="X945" s="6">
        <v>85</v>
      </c>
      <c r="Y945" s="6">
        <v>85</v>
      </c>
      <c r="Z945" s="6">
        <v>65</v>
      </c>
      <c r="AA945" s="6">
        <v>72</v>
      </c>
      <c r="AB945" s="6">
        <v>75</v>
      </c>
      <c r="AC945" s="6">
        <v>69</v>
      </c>
      <c r="AD945" s="6">
        <v>70</v>
      </c>
      <c r="AE945" s="6">
        <v>68</v>
      </c>
      <c r="AF945" s="6">
        <v>75</v>
      </c>
      <c r="AG945" s="6" t="s">
        <v>7195</v>
      </c>
      <c r="AH945" s="6" t="s">
        <v>6636</v>
      </c>
    </row>
    <row r="946" spans="1:34" x14ac:dyDescent="0.2">
      <c r="A946" t="s">
        <v>3463</v>
      </c>
      <c r="B946" t="s">
        <v>1727</v>
      </c>
      <c r="C946" t="s">
        <v>2883</v>
      </c>
      <c r="D946" s="7" t="s">
        <v>139</v>
      </c>
      <c r="E946" t="s">
        <v>38</v>
      </c>
      <c r="F946">
        <v>29</v>
      </c>
      <c r="G946">
        <v>78</v>
      </c>
      <c r="H946">
        <v>72</v>
      </c>
      <c r="I946" t="s">
        <v>6489</v>
      </c>
      <c r="J946">
        <v>71</v>
      </c>
      <c r="K946">
        <v>218</v>
      </c>
      <c r="L946" t="s">
        <v>5157</v>
      </c>
      <c r="M946" s="6" t="s">
        <v>6558</v>
      </c>
      <c r="N946" s="6" t="s">
        <v>6583</v>
      </c>
      <c r="O946" s="6">
        <v>89</v>
      </c>
      <c r="P946" s="6">
        <v>81</v>
      </c>
      <c r="Q946" s="6">
        <v>85</v>
      </c>
      <c r="R946" s="6">
        <v>80</v>
      </c>
      <c r="S946" s="6">
        <v>76</v>
      </c>
      <c r="T946" s="6">
        <v>72</v>
      </c>
      <c r="U946" s="6">
        <v>76</v>
      </c>
      <c r="V946" s="6">
        <v>77</v>
      </c>
      <c r="W946" s="6">
        <v>76</v>
      </c>
      <c r="X946" s="6">
        <v>87</v>
      </c>
      <c r="Y946" s="6">
        <v>77</v>
      </c>
      <c r="Z946" s="6">
        <v>79</v>
      </c>
      <c r="AA946" s="6">
        <v>69</v>
      </c>
      <c r="AB946" s="6">
        <v>77</v>
      </c>
      <c r="AC946" s="6">
        <v>72</v>
      </c>
      <c r="AD946" s="6">
        <v>70</v>
      </c>
      <c r="AE946" s="6">
        <v>71</v>
      </c>
      <c r="AF946" s="6">
        <v>74</v>
      </c>
      <c r="AG946" s="6" t="s">
        <v>7199</v>
      </c>
      <c r="AH946" s="6" t="s">
        <v>6640</v>
      </c>
    </row>
    <row r="947" spans="1:34" x14ac:dyDescent="0.2">
      <c r="A947" t="s">
        <v>3484</v>
      </c>
      <c r="B947" t="s">
        <v>1748</v>
      </c>
      <c r="C947" t="s">
        <v>2871</v>
      </c>
      <c r="D947" s="7" t="s">
        <v>140</v>
      </c>
      <c r="E947" t="s">
        <v>38</v>
      </c>
      <c r="F947">
        <v>26</v>
      </c>
      <c r="G947">
        <v>65</v>
      </c>
      <c r="H947">
        <v>72</v>
      </c>
      <c r="I947" t="s">
        <v>6347</v>
      </c>
      <c r="J947">
        <v>77</v>
      </c>
      <c r="K947">
        <v>249</v>
      </c>
      <c r="L947" t="s">
        <v>5178</v>
      </c>
      <c r="M947" s="6" t="s">
        <v>6558</v>
      </c>
      <c r="N947" s="6" t="s">
        <v>6583</v>
      </c>
      <c r="O947" s="6">
        <v>61</v>
      </c>
      <c r="P947" s="6">
        <v>74</v>
      </c>
      <c r="Q947" s="6">
        <v>66</v>
      </c>
      <c r="R947" s="6">
        <v>80</v>
      </c>
      <c r="S947" s="6">
        <v>71</v>
      </c>
      <c r="T947" s="6">
        <v>67</v>
      </c>
      <c r="U947" s="6">
        <v>74</v>
      </c>
      <c r="V947" s="6">
        <v>75</v>
      </c>
      <c r="W947" s="6">
        <v>78</v>
      </c>
      <c r="X947" s="6">
        <v>64</v>
      </c>
      <c r="Y947" s="6">
        <v>73</v>
      </c>
      <c r="Z947" s="6">
        <v>73</v>
      </c>
      <c r="AA947" s="6">
        <v>69</v>
      </c>
      <c r="AB947" s="6">
        <v>72</v>
      </c>
      <c r="AC947" s="6">
        <v>70</v>
      </c>
      <c r="AD947" s="6">
        <v>73</v>
      </c>
      <c r="AE947" s="6">
        <v>64</v>
      </c>
      <c r="AF947" s="6">
        <v>67</v>
      </c>
      <c r="AG947" s="6" t="s">
        <v>7220</v>
      </c>
      <c r="AH947" s="6" t="s">
        <v>6591</v>
      </c>
    </row>
    <row r="948" spans="1:34" x14ac:dyDescent="0.2">
      <c r="A948" t="s">
        <v>3502</v>
      </c>
      <c r="B948" t="s">
        <v>1766</v>
      </c>
      <c r="C948" t="s">
        <v>2879</v>
      </c>
      <c r="D948" s="7" t="s">
        <v>140</v>
      </c>
      <c r="E948" t="s">
        <v>38</v>
      </c>
      <c r="F948">
        <v>24</v>
      </c>
      <c r="G948">
        <v>76</v>
      </c>
      <c r="H948">
        <v>72</v>
      </c>
      <c r="I948" t="s">
        <v>6364</v>
      </c>
      <c r="J948">
        <v>75</v>
      </c>
      <c r="K948">
        <v>316</v>
      </c>
      <c r="L948" t="s">
        <v>5196</v>
      </c>
      <c r="M948" s="6" t="s">
        <v>6558</v>
      </c>
      <c r="N948" s="6" t="s">
        <v>6567</v>
      </c>
      <c r="O948" s="6">
        <v>61</v>
      </c>
      <c r="P948" s="6">
        <v>75</v>
      </c>
      <c r="Q948" s="6">
        <v>64</v>
      </c>
      <c r="R948" s="6">
        <v>68</v>
      </c>
      <c r="S948" s="6">
        <v>73</v>
      </c>
      <c r="T948" s="6">
        <v>73</v>
      </c>
      <c r="U948" s="6">
        <v>73</v>
      </c>
      <c r="V948" s="6">
        <v>73</v>
      </c>
      <c r="W948" s="6">
        <v>80</v>
      </c>
      <c r="X948" s="6">
        <v>74</v>
      </c>
      <c r="Y948" s="6">
        <v>73</v>
      </c>
      <c r="Z948" s="6">
        <v>77</v>
      </c>
      <c r="AA948" s="6">
        <v>72</v>
      </c>
      <c r="AB948" s="6">
        <v>74</v>
      </c>
      <c r="AC948" s="6">
        <v>70</v>
      </c>
      <c r="AD948" s="6">
        <v>71</v>
      </c>
      <c r="AE948" s="6">
        <v>73</v>
      </c>
      <c r="AF948" s="6">
        <v>70</v>
      </c>
      <c r="AG948" s="6" t="s">
        <v>7238</v>
      </c>
      <c r="AH948" s="6" t="s">
        <v>6617</v>
      </c>
    </row>
    <row r="949" spans="1:34" x14ac:dyDescent="0.2">
      <c r="A949" t="s">
        <v>3566</v>
      </c>
      <c r="B949" t="s">
        <v>1830</v>
      </c>
      <c r="C949" t="s">
        <v>61</v>
      </c>
      <c r="D949" s="7" t="s">
        <v>141</v>
      </c>
      <c r="E949" t="s">
        <v>38</v>
      </c>
      <c r="F949">
        <v>22</v>
      </c>
      <c r="G949">
        <v>73</v>
      </c>
      <c r="H949">
        <v>72</v>
      </c>
      <c r="I949" t="s">
        <v>6376</v>
      </c>
      <c r="J949">
        <v>68</v>
      </c>
      <c r="K949">
        <v>205</v>
      </c>
      <c r="L949" t="s">
        <v>5260</v>
      </c>
      <c r="M949" s="6" t="s">
        <v>6558</v>
      </c>
      <c r="N949" s="6" t="s">
        <v>6567</v>
      </c>
      <c r="O949" s="6">
        <v>70</v>
      </c>
      <c r="P949" s="6">
        <v>80</v>
      </c>
      <c r="Q949" s="6">
        <v>71</v>
      </c>
      <c r="R949" s="6">
        <v>69</v>
      </c>
      <c r="S949" s="6">
        <v>76</v>
      </c>
      <c r="T949" s="6">
        <v>69</v>
      </c>
      <c r="U949" s="6">
        <v>75</v>
      </c>
      <c r="V949" s="6">
        <v>70</v>
      </c>
      <c r="W949" s="6">
        <v>75</v>
      </c>
      <c r="X949" s="6">
        <v>69</v>
      </c>
      <c r="Y949" s="6">
        <v>79</v>
      </c>
      <c r="Z949" s="6">
        <v>75</v>
      </c>
      <c r="AA949" s="6">
        <v>71</v>
      </c>
      <c r="AB949" s="6">
        <v>69</v>
      </c>
      <c r="AC949" s="6">
        <v>69</v>
      </c>
      <c r="AD949" s="6">
        <v>70</v>
      </c>
      <c r="AE949" s="6">
        <v>68</v>
      </c>
      <c r="AF949" s="6">
        <v>74</v>
      </c>
      <c r="AG949" s="6" t="s">
        <v>7303</v>
      </c>
      <c r="AH949" s="6" t="s">
        <v>7082</v>
      </c>
    </row>
    <row r="950" spans="1:34" x14ac:dyDescent="0.2">
      <c r="A950" t="s">
        <v>3582</v>
      </c>
      <c r="B950" t="s">
        <v>1846</v>
      </c>
      <c r="C950" t="s">
        <v>53</v>
      </c>
      <c r="D950" s="7" t="s">
        <v>142</v>
      </c>
      <c r="E950" t="s">
        <v>38</v>
      </c>
      <c r="F950">
        <v>26</v>
      </c>
      <c r="G950">
        <v>65</v>
      </c>
      <c r="H950">
        <v>72</v>
      </c>
      <c r="I950" t="s">
        <v>6448</v>
      </c>
      <c r="J950">
        <v>77</v>
      </c>
      <c r="K950">
        <v>234</v>
      </c>
      <c r="L950" t="s">
        <v>5276</v>
      </c>
      <c r="M950" s="6" t="s">
        <v>6558</v>
      </c>
      <c r="N950" s="6" t="s">
        <v>6559</v>
      </c>
      <c r="O950" s="6">
        <v>78</v>
      </c>
      <c r="P950" s="6">
        <v>69</v>
      </c>
      <c r="Q950" s="6">
        <v>70</v>
      </c>
      <c r="R950" s="6">
        <v>83</v>
      </c>
      <c r="S950" s="6">
        <v>65</v>
      </c>
      <c r="T950" s="6">
        <v>67</v>
      </c>
      <c r="U950" s="6">
        <v>71</v>
      </c>
      <c r="V950" s="6">
        <v>66</v>
      </c>
      <c r="W950" s="6">
        <v>75</v>
      </c>
      <c r="X950" s="6">
        <v>72</v>
      </c>
      <c r="Y950" s="6">
        <v>72</v>
      </c>
      <c r="Z950" s="6">
        <v>67</v>
      </c>
      <c r="AA950" s="6">
        <v>65</v>
      </c>
      <c r="AB950" s="6">
        <v>69</v>
      </c>
      <c r="AC950" s="6">
        <v>63</v>
      </c>
      <c r="AD950" s="6">
        <v>74</v>
      </c>
      <c r="AE950" s="6">
        <v>68</v>
      </c>
      <c r="AF950" s="6">
        <v>70</v>
      </c>
      <c r="AG950" s="6" t="s">
        <v>6826</v>
      </c>
      <c r="AH950" s="6" t="s">
        <v>6564</v>
      </c>
    </row>
    <row r="951" spans="1:34" x14ac:dyDescent="0.2">
      <c r="A951" t="s">
        <v>3614</v>
      </c>
      <c r="B951" t="s">
        <v>1878</v>
      </c>
      <c r="C951" t="s">
        <v>61</v>
      </c>
      <c r="D951" s="7" t="s">
        <v>142</v>
      </c>
      <c r="E951" t="s">
        <v>38</v>
      </c>
      <c r="F951">
        <v>22</v>
      </c>
      <c r="G951">
        <v>84</v>
      </c>
      <c r="H951">
        <v>72</v>
      </c>
      <c r="I951" t="s">
        <v>6403</v>
      </c>
      <c r="J951">
        <v>72</v>
      </c>
      <c r="K951">
        <v>193</v>
      </c>
      <c r="L951" t="s">
        <v>5308</v>
      </c>
      <c r="M951" s="6" t="s">
        <v>6558</v>
      </c>
      <c r="N951" s="6" t="s">
        <v>6567</v>
      </c>
      <c r="O951" s="6">
        <v>71</v>
      </c>
      <c r="P951" s="6">
        <v>80</v>
      </c>
      <c r="Q951" s="6">
        <v>80</v>
      </c>
      <c r="R951" s="6">
        <v>67</v>
      </c>
      <c r="S951" s="6">
        <v>80</v>
      </c>
      <c r="T951" s="6">
        <v>76</v>
      </c>
      <c r="U951" s="6">
        <v>78</v>
      </c>
      <c r="V951" s="6">
        <v>81</v>
      </c>
      <c r="W951" s="6">
        <v>77</v>
      </c>
      <c r="X951" s="6">
        <v>52</v>
      </c>
      <c r="Y951" s="6">
        <v>88</v>
      </c>
      <c r="Z951" s="6">
        <v>73</v>
      </c>
      <c r="AA951" s="6">
        <v>72</v>
      </c>
      <c r="AB951" s="6">
        <v>77</v>
      </c>
      <c r="AC951" s="6">
        <v>69</v>
      </c>
      <c r="AD951" s="6">
        <v>78</v>
      </c>
      <c r="AE951" s="6">
        <v>78</v>
      </c>
      <c r="AF951" s="6">
        <v>76</v>
      </c>
      <c r="AG951" s="6" t="s">
        <v>7349</v>
      </c>
      <c r="AH951" s="6" t="s">
        <v>6811</v>
      </c>
    </row>
    <row r="952" spans="1:34" x14ac:dyDescent="0.2">
      <c r="A952" t="s">
        <v>3659</v>
      </c>
      <c r="B952" t="s">
        <v>1923</v>
      </c>
      <c r="C952" t="s">
        <v>2878</v>
      </c>
      <c r="D952" s="7" t="s">
        <v>143</v>
      </c>
      <c r="E952" t="s">
        <v>38</v>
      </c>
      <c r="F952">
        <v>27</v>
      </c>
      <c r="G952">
        <v>80</v>
      </c>
      <c r="H952">
        <v>72</v>
      </c>
      <c r="I952" t="s">
        <v>6423</v>
      </c>
      <c r="J952">
        <v>76</v>
      </c>
      <c r="K952">
        <v>277</v>
      </c>
      <c r="L952" t="s">
        <v>5353</v>
      </c>
      <c r="M952" s="6" t="s">
        <v>6558</v>
      </c>
      <c r="N952" s="6" t="s">
        <v>6567</v>
      </c>
      <c r="O952" s="6">
        <v>70</v>
      </c>
      <c r="P952" s="6">
        <v>71</v>
      </c>
      <c r="Q952" s="6">
        <v>67</v>
      </c>
      <c r="R952" s="6">
        <v>65</v>
      </c>
      <c r="S952" s="6">
        <v>85</v>
      </c>
      <c r="T952" s="6">
        <v>73</v>
      </c>
      <c r="U952" s="6">
        <v>86</v>
      </c>
      <c r="V952" s="6">
        <v>75</v>
      </c>
      <c r="W952" s="6">
        <v>67</v>
      </c>
      <c r="X952" s="6">
        <v>71</v>
      </c>
      <c r="Y952" s="6">
        <v>70</v>
      </c>
      <c r="Z952" s="6">
        <v>78</v>
      </c>
      <c r="AA952" s="6">
        <v>70</v>
      </c>
      <c r="AB952" s="6">
        <v>68</v>
      </c>
      <c r="AC952" s="6">
        <v>72</v>
      </c>
      <c r="AD952" s="6">
        <v>79</v>
      </c>
      <c r="AE952" s="6">
        <v>77</v>
      </c>
      <c r="AF952" s="6">
        <v>71</v>
      </c>
      <c r="AG952" s="6" t="s">
        <v>7394</v>
      </c>
      <c r="AH952" s="6" t="s">
        <v>6686</v>
      </c>
    </row>
    <row r="953" spans="1:34" x14ac:dyDescent="0.2">
      <c r="A953" t="s">
        <v>3671</v>
      </c>
      <c r="B953" t="s">
        <v>1935</v>
      </c>
      <c r="C953" t="s">
        <v>2881</v>
      </c>
      <c r="D953" s="7" t="s">
        <v>143</v>
      </c>
      <c r="E953" t="s">
        <v>38</v>
      </c>
      <c r="F953">
        <v>29</v>
      </c>
      <c r="G953">
        <v>80</v>
      </c>
      <c r="H953">
        <v>72</v>
      </c>
      <c r="I953" t="s">
        <v>6430</v>
      </c>
      <c r="J953">
        <v>72</v>
      </c>
      <c r="K953">
        <v>230</v>
      </c>
      <c r="L953" t="s">
        <v>5365</v>
      </c>
      <c r="M953" s="6" t="s">
        <v>6558</v>
      </c>
      <c r="N953" s="6" t="s">
        <v>6583</v>
      </c>
      <c r="O953" s="6">
        <v>96</v>
      </c>
      <c r="P953" s="6">
        <v>73</v>
      </c>
      <c r="Q953" s="6">
        <v>85</v>
      </c>
      <c r="R953" s="6">
        <v>81</v>
      </c>
      <c r="S953" s="6">
        <v>85</v>
      </c>
      <c r="T953" s="6">
        <v>80</v>
      </c>
      <c r="U953" s="6">
        <v>82</v>
      </c>
      <c r="V953" s="6">
        <v>88</v>
      </c>
      <c r="W953" s="6">
        <v>82</v>
      </c>
      <c r="X953" s="6">
        <v>78</v>
      </c>
      <c r="Y953" s="6">
        <v>85</v>
      </c>
      <c r="Z953" s="6">
        <v>78</v>
      </c>
      <c r="AA953" s="6">
        <v>78</v>
      </c>
      <c r="AB953" s="6">
        <v>81</v>
      </c>
      <c r="AC953" s="6">
        <v>70</v>
      </c>
      <c r="AD953" s="6">
        <v>76</v>
      </c>
      <c r="AE953" s="6">
        <v>69</v>
      </c>
      <c r="AF953" s="6">
        <v>70</v>
      </c>
      <c r="AG953" s="6" t="s">
        <v>7406</v>
      </c>
      <c r="AH953" s="6" t="s">
        <v>6692</v>
      </c>
    </row>
    <row r="954" spans="1:34" x14ac:dyDescent="0.2">
      <c r="A954" t="s">
        <v>3682</v>
      </c>
      <c r="B954" t="s">
        <v>1946</v>
      </c>
      <c r="C954" t="s">
        <v>2888</v>
      </c>
      <c r="D954" s="7" t="s">
        <v>143</v>
      </c>
      <c r="E954" t="s">
        <v>38</v>
      </c>
      <c r="F954">
        <v>30</v>
      </c>
      <c r="G954">
        <v>73</v>
      </c>
      <c r="H954">
        <v>72</v>
      </c>
      <c r="I954" t="s">
        <v>6432</v>
      </c>
      <c r="J954">
        <v>73</v>
      </c>
      <c r="K954">
        <v>193</v>
      </c>
      <c r="L954" t="s">
        <v>5376</v>
      </c>
      <c r="M954" s="6" t="s">
        <v>6558</v>
      </c>
      <c r="N954" s="6" t="s">
        <v>6559</v>
      </c>
      <c r="O954" s="6">
        <v>84</v>
      </c>
      <c r="P954" s="6">
        <v>84</v>
      </c>
      <c r="Q954" s="6">
        <v>70</v>
      </c>
      <c r="R954" s="6">
        <v>83</v>
      </c>
      <c r="S954" s="6">
        <v>79</v>
      </c>
      <c r="T954" s="6">
        <v>76</v>
      </c>
      <c r="U954" s="6">
        <v>73</v>
      </c>
      <c r="V954" s="6">
        <v>78</v>
      </c>
      <c r="W954" s="6">
        <v>78</v>
      </c>
      <c r="X954" s="6">
        <v>78</v>
      </c>
      <c r="Y954" s="6">
        <v>79</v>
      </c>
      <c r="Z954" s="6">
        <v>80</v>
      </c>
      <c r="AA954" s="6">
        <v>71</v>
      </c>
      <c r="AB954" s="6">
        <v>65</v>
      </c>
      <c r="AC954" s="6">
        <v>78</v>
      </c>
      <c r="AD954" s="6">
        <v>79</v>
      </c>
      <c r="AE954" s="6">
        <v>72</v>
      </c>
      <c r="AF954" s="6">
        <v>75</v>
      </c>
      <c r="AG954" s="6" t="s">
        <v>7419</v>
      </c>
      <c r="AH954" s="6" t="s">
        <v>6762</v>
      </c>
    </row>
    <row r="955" spans="1:34" x14ac:dyDescent="0.2">
      <c r="A955" t="s">
        <v>3685</v>
      </c>
      <c r="B955" t="s">
        <v>1949</v>
      </c>
      <c r="C955" t="s">
        <v>2889</v>
      </c>
      <c r="D955" s="7" t="s">
        <v>143</v>
      </c>
      <c r="E955" t="s">
        <v>58</v>
      </c>
      <c r="F955">
        <v>26</v>
      </c>
      <c r="G955">
        <v>68</v>
      </c>
      <c r="H955">
        <v>72</v>
      </c>
      <c r="I955" t="s">
        <v>6405</v>
      </c>
      <c r="J955">
        <v>73</v>
      </c>
      <c r="K955">
        <v>245</v>
      </c>
      <c r="L955" t="s">
        <v>5379</v>
      </c>
      <c r="M955" s="6" t="s">
        <v>6558</v>
      </c>
      <c r="N955" s="6" t="s">
        <v>6565</v>
      </c>
      <c r="O955" s="6">
        <v>79</v>
      </c>
      <c r="P955" s="6">
        <v>74</v>
      </c>
      <c r="Q955" s="6">
        <v>63</v>
      </c>
      <c r="R955" s="6">
        <v>74</v>
      </c>
      <c r="S955" s="6">
        <v>72</v>
      </c>
      <c r="T955" s="6">
        <v>77</v>
      </c>
      <c r="U955" s="6">
        <v>75</v>
      </c>
      <c r="V955" s="6">
        <v>66</v>
      </c>
      <c r="W955" s="6">
        <v>74</v>
      </c>
      <c r="X955" s="6">
        <v>73</v>
      </c>
      <c r="Y955" s="6">
        <v>79</v>
      </c>
      <c r="Z955" s="6">
        <v>70</v>
      </c>
      <c r="AA955" s="6">
        <v>68</v>
      </c>
      <c r="AB955" s="6">
        <v>66</v>
      </c>
      <c r="AC955" s="6">
        <v>62</v>
      </c>
      <c r="AD955" s="6">
        <v>71</v>
      </c>
      <c r="AE955" s="6">
        <v>64</v>
      </c>
      <c r="AF955" s="6">
        <v>67</v>
      </c>
      <c r="AG955" s="6" t="s">
        <v>7422</v>
      </c>
      <c r="AH955" s="6" t="s">
        <v>6709</v>
      </c>
    </row>
    <row r="956" spans="1:34" x14ac:dyDescent="0.2">
      <c r="A956" t="s">
        <v>3689</v>
      </c>
      <c r="B956" t="s">
        <v>1953</v>
      </c>
      <c r="C956" t="s">
        <v>2891</v>
      </c>
      <c r="D956" s="7" t="s">
        <v>143</v>
      </c>
      <c r="E956" t="s">
        <v>38</v>
      </c>
      <c r="F956">
        <v>23</v>
      </c>
      <c r="G956">
        <v>67</v>
      </c>
      <c r="H956">
        <v>72</v>
      </c>
      <c r="I956" t="s">
        <v>6373</v>
      </c>
      <c r="J956">
        <v>74</v>
      </c>
      <c r="K956">
        <v>243</v>
      </c>
      <c r="L956" t="s">
        <v>5383</v>
      </c>
      <c r="M956" s="6" t="s">
        <v>6558</v>
      </c>
      <c r="N956" s="6" t="s">
        <v>6565</v>
      </c>
      <c r="O956" s="6">
        <v>72</v>
      </c>
      <c r="P956" s="6">
        <v>67</v>
      </c>
      <c r="Q956" s="6">
        <v>64</v>
      </c>
      <c r="R956" s="6">
        <v>71</v>
      </c>
      <c r="S956" s="6">
        <v>79</v>
      </c>
      <c r="T956" s="6">
        <v>62</v>
      </c>
      <c r="U956" s="6">
        <v>73</v>
      </c>
      <c r="V956" s="6">
        <v>71</v>
      </c>
      <c r="W956" s="6">
        <v>68</v>
      </c>
      <c r="X956" s="6">
        <v>72</v>
      </c>
      <c r="Y956" s="6">
        <v>69</v>
      </c>
      <c r="Z956" s="6">
        <v>72</v>
      </c>
      <c r="AA956" s="6">
        <v>73</v>
      </c>
      <c r="AB956" s="6">
        <v>73</v>
      </c>
      <c r="AC956" s="6">
        <v>72</v>
      </c>
      <c r="AD956" s="6">
        <v>68</v>
      </c>
      <c r="AE956" s="6">
        <v>71</v>
      </c>
      <c r="AF956" s="6">
        <v>80</v>
      </c>
      <c r="AG956" s="6" t="s">
        <v>7426</v>
      </c>
      <c r="AH956" s="6" t="s">
        <v>7093</v>
      </c>
    </row>
    <row r="957" spans="1:34" x14ac:dyDescent="0.2">
      <c r="A957" t="s">
        <v>3704</v>
      </c>
      <c r="B957" t="s">
        <v>1968</v>
      </c>
      <c r="C957" t="s">
        <v>57</v>
      </c>
      <c r="D957" s="7" t="s">
        <v>154</v>
      </c>
      <c r="E957" t="s">
        <v>58</v>
      </c>
      <c r="F957">
        <v>21</v>
      </c>
      <c r="G957">
        <v>58</v>
      </c>
      <c r="H957">
        <v>72</v>
      </c>
      <c r="I957" t="s">
        <v>6396</v>
      </c>
      <c r="J957">
        <v>72</v>
      </c>
      <c r="K957">
        <v>195</v>
      </c>
      <c r="L957" t="s">
        <v>5398</v>
      </c>
      <c r="M957" s="6" t="s">
        <v>6558</v>
      </c>
      <c r="N957" s="6" t="s">
        <v>6614</v>
      </c>
      <c r="O957" s="6">
        <v>77</v>
      </c>
      <c r="P957" s="6">
        <v>62</v>
      </c>
      <c r="Q957" s="6">
        <v>67</v>
      </c>
      <c r="R957" s="6">
        <v>60</v>
      </c>
      <c r="S957" s="6">
        <v>68</v>
      </c>
      <c r="T957" s="6">
        <v>68</v>
      </c>
      <c r="U957" s="6">
        <v>64</v>
      </c>
      <c r="V957" s="6">
        <v>64</v>
      </c>
      <c r="W957" s="6">
        <v>65</v>
      </c>
      <c r="X957" s="6">
        <v>58</v>
      </c>
      <c r="Y957" s="6">
        <v>72</v>
      </c>
      <c r="Z957" s="6">
        <v>73</v>
      </c>
      <c r="AA957" s="6">
        <v>66</v>
      </c>
      <c r="AB957" s="6">
        <v>71</v>
      </c>
      <c r="AC957" s="6">
        <v>64</v>
      </c>
      <c r="AD957" s="6">
        <v>60</v>
      </c>
      <c r="AE957" s="6">
        <v>66</v>
      </c>
      <c r="AF957" s="6">
        <v>68</v>
      </c>
      <c r="AG957" s="6" t="s">
        <v>7440</v>
      </c>
      <c r="AH957" s="6" t="s">
        <v>6574</v>
      </c>
    </row>
    <row r="958" spans="1:34" x14ac:dyDescent="0.2">
      <c r="A958" t="s">
        <v>3720</v>
      </c>
      <c r="B958" t="s">
        <v>1984</v>
      </c>
      <c r="C958" t="s">
        <v>2878</v>
      </c>
      <c r="D958" s="7" t="s">
        <v>154</v>
      </c>
      <c r="E958" t="s">
        <v>38</v>
      </c>
      <c r="F958">
        <v>30</v>
      </c>
      <c r="G958">
        <v>85</v>
      </c>
      <c r="H958">
        <v>72</v>
      </c>
      <c r="I958" t="s">
        <v>6301</v>
      </c>
      <c r="J958">
        <v>77</v>
      </c>
      <c r="K958">
        <v>269</v>
      </c>
      <c r="L958" t="s">
        <v>5414</v>
      </c>
      <c r="M958" s="6" t="s">
        <v>6558</v>
      </c>
      <c r="N958" s="6" t="s">
        <v>6565</v>
      </c>
      <c r="O958" s="6">
        <v>77</v>
      </c>
      <c r="P958" s="6">
        <v>70</v>
      </c>
      <c r="Q958" s="6">
        <v>81</v>
      </c>
      <c r="R958" s="6">
        <v>73</v>
      </c>
      <c r="S958" s="6">
        <v>83</v>
      </c>
      <c r="T958" s="6">
        <v>78</v>
      </c>
      <c r="U958" s="6">
        <v>73</v>
      </c>
      <c r="V958" s="6">
        <v>80</v>
      </c>
      <c r="W958" s="6">
        <v>81</v>
      </c>
      <c r="X958" s="6">
        <v>80</v>
      </c>
      <c r="Y958" s="6">
        <v>80</v>
      </c>
      <c r="Z958" s="6">
        <v>85</v>
      </c>
      <c r="AA958" s="6">
        <v>70</v>
      </c>
      <c r="AB958" s="6">
        <v>77</v>
      </c>
      <c r="AC958" s="6">
        <v>81</v>
      </c>
      <c r="AD958" s="6">
        <v>66</v>
      </c>
      <c r="AE958" s="6">
        <v>76</v>
      </c>
      <c r="AF958" s="6">
        <v>73</v>
      </c>
      <c r="AG958" s="6" t="s">
        <v>7456</v>
      </c>
      <c r="AH958" s="6" t="s">
        <v>6797</v>
      </c>
    </row>
    <row r="959" spans="1:34" x14ac:dyDescent="0.2">
      <c r="A959" t="s">
        <v>3729</v>
      </c>
      <c r="B959" t="s">
        <v>1993</v>
      </c>
      <c r="C959" t="s">
        <v>2880</v>
      </c>
      <c r="D959" s="7" t="s">
        <v>154</v>
      </c>
      <c r="E959" t="s">
        <v>58</v>
      </c>
      <c r="F959">
        <v>32</v>
      </c>
      <c r="G959">
        <v>79</v>
      </c>
      <c r="H959">
        <v>72</v>
      </c>
      <c r="I959" t="s">
        <v>6330</v>
      </c>
      <c r="J959">
        <v>73</v>
      </c>
      <c r="K959">
        <v>261</v>
      </c>
      <c r="L959" t="s">
        <v>5423</v>
      </c>
      <c r="M959" s="6" t="s">
        <v>6558</v>
      </c>
      <c r="N959" s="6" t="s">
        <v>6559</v>
      </c>
      <c r="O959" s="6">
        <v>85</v>
      </c>
      <c r="P959" s="6">
        <v>81</v>
      </c>
      <c r="Q959" s="6">
        <v>85</v>
      </c>
      <c r="R959" s="6">
        <v>83</v>
      </c>
      <c r="S959" s="6">
        <v>84</v>
      </c>
      <c r="T959" s="6">
        <v>80</v>
      </c>
      <c r="U959" s="6">
        <v>78</v>
      </c>
      <c r="V959" s="6">
        <v>79</v>
      </c>
      <c r="W959" s="6">
        <v>66</v>
      </c>
      <c r="X959" s="6">
        <v>73</v>
      </c>
      <c r="Y959" s="6">
        <v>80</v>
      </c>
      <c r="Z959" s="6">
        <v>84</v>
      </c>
      <c r="AA959" s="6">
        <v>69</v>
      </c>
      <c r="AB959" s="6">
        <v>69</v>
      </c>
      <c r="AC959" s="6">
        <v>74</v>
      </c>
      <c r="AD959" s="6">
        <v>71</v>
      </c>
      <c r="AE959" s="6">
        <v>68</v>
      </c>
      <c r="AF959" s="6">
        <v>75</v>
      </c>
      <c r="AG959" s="6" t="s">
        <v>7465</v>
      </c>
      <c r="AH959" s="6" t="s">
        <v>6623</v>
      </c>
    </row>
    <row r="960" spans="1:34" x14ac:dyDescent="0.2">
      <c r="A960" t="s">
        <v>3734</v>
      </c>
      <c r="B960" t="s">
        <v>1998</v>
      </c>
      <c r="C960" t="s">
        <v>61</v>
      </c>
      <c r="D960" s="7" t="s">
        <v>154</v>
      </c>
      <c r="E960" t="s">
        <v>38</v>
      </c>
      <c r="F960">
        <v>25</v>
      </c>
      <c r="G960">
        <v>71</v>
      </c>
      <c r="H960">
        <v>72</v>
      </c>
      <c r="I960" t="s">
        <v>6322</v>
      </c>
      <c r="J960">
        <v>70</v>
      </c>
      <c r="K960">
        <v>199</v>
      </c>
      <c r="L960" t="s">
        <v>5428</v>
      </c>
      <c r="M960" s="6" t="s">
        <v>6558</v>
      </c>
      <c r="N960" s="6" t="s">
        <v>6614</v>
      </c>
      <c r="O960" s="6">
        <v>87</v>
      </c>
      <c r="P960" s="6">
        <v>77</v>
      </c>
      <c r="Q960" s="6">
        <v>67</v>
      </c>
      <c r="R960" s="6">
        <v>60</v>
      </c>
      <c r="S960" s="6">
        <v>82</v>
      </c>
      <c r="T960" s="6">
        <v>75</v>
      </c>
      <c r="U960" s="6">
        <v>72</v>
      </c>
      <c r="V960" s="6">
        <v>76</v>
      </c>
      <c r="W960" s="6">
        <v>71</v>
      </c>
      <c r="X960" s="6">
        <v>71</v>
      </c>
      <c r="Y960" s="6">
        <v>75</v>
      </c>
      <c r="Z960" s="6">
        <v>80</v>
      </c>
      <c r="AA960" s="6">
        <v>77</v>
      </c>
      <c r="AB960" s="6">
        <v>77</v>
      </c>
      <c r="AC960" s="6">
        <v>72</v>
      </c>
      <c r="AD960" s="6">
        <v>67</v>
      </c>
      <c r="AE960" s="6">
        <v>73</v>
      </c>
      <c r="AF960" s="6">
        <v>68</v>
      </c>
      <c r="AG960" s="6" t="s">
        <v>7470</v>
      </c>
      <c r="AH960" s="6" t="s">
        <v>6630</v>
      </c>
    </row>
    <row r="961" spans="1:34" x14ac:dyDescent="0.2">
      <c r="A961" t="s">
        <v>3735</v>
      </c>
      <c r="B961" t="s">
        <v>1999</v>
      </c>
      <c r="C961" t="s">
        <v>61</v>
      </c>
      <c r="D961" s="7" t="s">
        <v>154</v>
      </c>
      <c r="E961" t="s">
        <v>38</v>
      </c>
      <c r="F961">
        <v>26</v>
      </c>
      <c r="G961">
        <v>69</v>
      </c>
      <c r="H961">
        <v>72</v>
      </c>
      <c r="I961" t="s">
        <v>6353</v>
      </c>
      <c r="J961">
        <v>68</v>
      </c>
      <c r="K961">
        <v>207</v>
      </c>
      <c r="L961" t="s">
        <v>5429</v>
      </c>
      <c r="M961" s="6" t="s">
        <v>6558</v>
      </c>
      <c r="N961" s="6" t="s">
        <v>6565</v>
      </c>
      <c r="O961" s="6">
        <v>81</v>
      </c>
      <c r="P961" s="6">
        <v>81</v>
      </c>
      <c r="Q961" s="6">
        <v>75</v>
      </c>
      <c r="R961" s="6">
        <v>74</v>
      </c>
      <c r="S961" s="6">
        <v>78</v>
      </c>
      <c r="T961" s="6">
        <v>75</v>
      </c>
      <c r="U961" s="6">
        <v>78</v>
      </c>
      <c r="V961" s="6">
        <v>78</v>
      </c>
      <c r="W961" s="6">
        <v>74</v>
      </c>
      <c r="X961" s="6">
        <v>73</v>
      </c>
      <c r="Y961" s="6">
        <v>72</v>
      </c>
      <c r="Z961" s="6">
        <v>72</v>
      </c>
      <c r="AA961" s="6">
        <v>76</v>
      </c>
      <c r="AB961" s="6">
        <v>75</v>
      </c>
      <c r="AC961" s="6">
        <v>67</v>
      </c>
      <c r="AD961" s="6">
        <v>70</v>
      </c>
      <c r="AE961" s="6">
        <v>70</v>
      </c>
      <c r="AF961" s="6">
        <v>67</v>
      </c>
      <c r="AG961" s="6" t="s">
        <v>7471</v>
      </c>
      <c r="AH961" s="6" t="s">
        <v>6630</v>
      </c>
    </row>
    <row r="962" spans="1:34" x14ac:dyDescent="0.2">
      <c r="A962" t="s">
        <v>3741</v>
      </c>
      <c r="B962" t="s">
        <v>2005</v>
      </c>
      <c r="C962" t="s">
        <v>2885</v>
      </c>
      <c r="D962" s="7" t="s">
        <v>154</v>
      </c>
      <c r="E962" t="s">
        <v>38</v>
      </c>
      <c r="F962">
        <v>24</v>
      </c>
      <c r="G962">
        <v>69</v>
      </c>
      <c r="H962">
        <v>72</v>
      </c>
      <c r="I962" t="s">
        <v>6327</v>
      </c>
      <c r="J962">
        <v>73</v>
      </c>
      <c r="K962">
        <v>244</v>
      </c>
      <c r="L962" t="s">
        <v>5435</v>
      </c>
      <c r="M962" s="6" t="s">
        <v>6558</v>
      </c>
      <c r="N962" s="6" t="s">
        <v>6614</v>
      </c>
      <c r="O962" s="6">
        <v>62</v>
      </c>
      <c r="P962" s="6">
        <v>62</v>
      </c>
      <c r="Q962" s="6">
        <v>61</v>
      </c>
      <c r="R962" s="6">
        <v>59</v>
      </c>
      <c r="S962" s="6">
        <v>69</v>
      </c>
      <c r="T962" s="6">
        <v>70</v>
      </c>
      <c r="U962" s="6">
        <v>83</v>
      </c>
      <c r="V962" s="6">
        <v>65</v>
      </c>
      <c r="W962" s="6">
        <v>62</v>
      </c>
      <c r="X962" s="6">
        <v>64</v>
      </c>
      <c r="Y962" s="6">
        <v>66</v>
      </c>
      <c r="Z962" s="6">
        <v>63</v>
      </c>
      <c r="AA962" s="6">
        <v>70</v>
      </c>
      <c r="AB962" s="6">
        <v>68</v>
      </c>
      <c r="AC962" s="6">
        <v>64</v>
      </c>
      <c r="AD962" s="6">
        <v>63</v>
      </c>
      <c r="AE962" s="6">
        <v>64</v>
      </c>
      <c r="AF962" s="6">
        <v>67</v>
      </c>
      <c r="AG962" s="6" t="s">
        <v>7477</v>
      </c>
      <c r="AH962" s="6" t="s">
        <v>6628</v>
      </c>
    </row>
    <row r="963" spans="1:34" x14ac:dyDescent="0.2">
      <c r="A963" t="s">
        <v>3745</v>
      </c>
      <c r="B963" t="s">
        <v>2009</v>
      </c>
      <c r="C963" t="s">
        <v>53</v>
      </c>
      <c r="D963" s="7" t="s">
        <v>155</v>
      </c>
      <c r="E963" t="s">
        <v>38</v>
      </c>
      <c r="F963">
        <v>29</v>
      </c>
      <c r="G963">
        <v>75</v>
      </c>
      <c r="H963">
        <v>72</v>
      </c>
      <c r="I963" t="s">
        <v>6357</v>
      </c>
      <c r="J963">
        <v>77</v>
      </c>
      <c r="K963">
        <v>210</v>
      </c>
      <c r="L963" t="s">
        <v>5439</v>
      </c>
      <c r="M963" s="6" t="s">
        <v>6558</v>
      </c>
      <c r="N963" s="6" t="s">
        <v>6567</v>
      </c>
      <c r="O963" s="6">
        <v>94</v>
      </c>
      <c r="P963" s="6">
        <v>79</v>
      </c>
      <c r="Q963" s="6">
        <v>68</v>
      </c>
      <c r="R963" s="6">
        <v>66</v>
      </c>
      <c r="S963" s="6">
        <v>92</v>
      </c>
      <c r="T963" s="6">
        <v>84</v>
      </c>
      <c r="U963" s="6">
        <v>72</v>
      </c>
      <c r="V963" s="6">
        <v>82</v>
      </c>
      <c r="W963" s="6">
        <v>85</v>
      </c>
      <c r="X963" s="6">
        <v>77</v>
      </c>
      <c r="Y963" s="6">
        <v>73</v>
      </c>
      <c r="Z963" s="6">
        <v>72</v>
      </c>
      <c r="AA963" s="6">
        <v>74</v>
      </c>
      <c r="AB963" s="6">
        <v>78</v>
      </c>
      <c r="AC963" s="6">
        <v>77</v>
      </c>
      <c r="AD963" s="6">
        <v>87</v>
      </c>
      <c r="AE963" s="6">
        <v>73</v>
      </c>
      <c r="AF963" s="6">
        <v>78</v>
      </c>
      <c r="AG963" s="6" t="s">
        <v>7481</v>
      </c>
      <c r="AH963" s="6" t="s">
        <v>7149</v>
      </c>
    </row>
    <row r="964" spans="1:34" x14ac:dyDescent="0.2">
      <c r="A964" t="s">
        <v>3761</v>
      </c>
      <c r="B964" t="s">
        <v>2025</v>
      </c>
      <c r="C964" t="s">
        <v>2871</v>
      </c>
      <c r="D964" s="7" t="s">
        <v>155</v>
      </c>
      <c r="E964" t="s">
        <v>58</v>
      </c>
      <c r="F964">
        <v>23</v>
      </c>
      <c r="G964">
        <v>58</v>
      </c>
      <c r="H964">
        <v>72</v>
      </c>
      <c r="I964" t="s">
        <v>6319</v>
      </c>
      <c r="J964">
        <v>77</v>
      </c>
      <c r="K964">
        <v>259</v>
      </c>
      <c r="L964" t="s">
        <v>5455</v>
      </c>
      <c r="M964" s="6" t="s">
        <v>6558</v>
      </c>
      <c r="N964" s="6" t="s">
        <v>6567</v>
      </c>
      <c r="O964" s="6">
        <v>68</v>
      </c>
      <c r="P964" s="6">
        <v>64</v>
      </c>
      <c r="Q964" s="6">
        <v>61</v>
      </c>
      <c r="R964" s="6">
        <v>68</v>
      </c>
      <c r="S964" s="6">
        <v>69</v>
      </c>
      <c r="T964" s="6">
        <v>67</v>
      </c>
      <c r="U964" s="6">
        <v>72</v>
      </c>
      <c r="V964" s="6">
        <v>67</v>
      </c>
      <c r="W964" s="6">
        <v>59</v>
      </c>
      <c r="X964" s="6">
        <v>65</v>
      </c>
      <c r="Y964" s="6">
        <v>73</v>
      </c>
      <c r="Z964" s="6">
        <v>64</v>
      </c>
      <c r="AA964" s="6">
        <v>64</v>
      </c>
      <c r="AB964" s="6">
        <v>65</v>
      </c>
      <c r="AC964" s="6">
        <v>66</v>
      </c>
      <c r="AD964" s="6">
        <v>69</v>
      </c>
      <c r="AE964" s="6">
        <v>67</v>
      </c>
      <c r="AF964" s="6">
        <v>69</v>
      </c>
      <c r="AG964" s="6" t="s">
        <v>7497</v>
      </c>
      <c r="AH964" s="6" t="s">
        <v>6587</v>
      </c>
    </row>
    <row r="965" spans="1:34" x14ac:dyDescent="0.2">
      <c r="A965" t="s">
        <v>3799</v>
      </c>
      <c r="B965" t="s">
        <v>2063</v>
      </c>
      <c r="C965" t="s">
        <v>2885</v>
      </c>
      <c r="D965" s="7" t="s">
        <v>155</v>
      </c>
      <c r="E965" t="s">
        <v>38</v>
      </c>
      <c r="F965">
        <v>26</v>
      </c>
      <c r="G965">
        <v>72</v>
      </c>
      <c r="H965">
        <v>72</v>
      </c>
      <c r="I965" t="s">
        <v>6390</v>
      </c>
      <c r="J965">
        <v>73</v>
      </c>
      <c r="K965">
        <v>247</v>
      </c>
      <c r="L965" t="s">
        <v>5493</v>
      </c>
      <c r="M965" s="6" t="s">
        <v>6558</v>
      </c>
      <c r="N965" s="6" t="s">
        <v>6565</v>
      </c>
      <c r="O965" s="6">
        <v>71</v>
      </c>
      <c r="P965" s="6">
        <v>67</v>
      </c>
      <c r="Q965" s="6">
        <v>78</v>
      </c>
      <c r="R965" s="6">
        <v>75</v>
      </c>
      <c r="S965" s="6">
        <v>76</v>
      </c>
      <c r="T965" s="6">
        <v>70</v>
      </c>
      <c r="U965" s="6">
        <v>78</v>
      </c>
      <c r="V965" s="6">
        <v>77</v>
      </c>
      <c r="W965" s="6">
        <v>56</v>
      </c>
      <c r="X965" s="6">
        <v>63</v>
      </c>
      <c r="Y965" s="6">
        <v>72</v>
      </c>
      <c r="Z965" s="6">
        <v>82</v>
      </c>
      <c r="AA965" s="6">
        <v>69</v>
      </c>
      <c r="AB965" s="6">
        <v>64</v>
      </c>
      <c r="AC965" s="6">
        <v>60</v>
      </c>
      <c r="AD965" s="6">
        <v>76</v>
      </c>
      <c r="AE965" s="6">
        <v>63</v>
      </c>
      <c r="AF965" s="6">
        <v>65</v>
      </c>
      <c r="AG965" s="6" t="s">
        <v>7535</v>
      </c>
      <c r="AH965" s="6" t="s">
        <v>6628</v>
      </c>
    </row>
    <row r="966" spans="1:34" x14ac:dyDescent="0.2">
      <c r="A966" t="s">
        <v>3839</v>
      </c>
      <c r="B966" t="s">
        <v>2103</v>
      </c>
      <c r="C966" t="s">
        <v>2882</v>
      </c>
      <c r="D966" s="7" t="s">
        <v>148</v>
      </c>
      <c r="E966" t="s">
        <v>38</v>
      </c>
      <c r="F966">
        <v>28</v>
      </c>
      <c r="G966">
        <v>70</v>
      </c>
      <c r="H966">
        <v>72</v>
      </c>
      <c r="I966" t="s">
        <v>6440</v>
      </c>
      <c r="J966">
        <v>71</v>
      </c>
      <c r="K966">
        <v>195</v>
      </c>
      <c r="L966" t="s">
        <v>5533</v>
      </c>
      <c r="M966" s="6" t="s">
        <v>6558</v>
      </c>
      <c r="N966" s="6" t="s">
        <v>6567</v>
      </c>
      <c r="O966" s="6">
        <v>78</v>
      </c>
      <c r="P966" s="6">
        <v>72</v>
      </c>
      <c r="Q966" s="6">
        <v>77</v>
      </c>
      <c r="R966" s="6">
        <v>68</v>
      </c>
      <c r="S966" s="6">
        <v>77</v>
      </c>
      <c r="T966" s="6">
        <v>69</v>
      </c>
      <c r="U966" s="6">
        <v>70</v>
      </c>
      <c r="V966" s="6">
        <v>79</v>
      </c>
      <c r="W966" s="6">
        <v>73</v>
      </c>
      <c r="X966" s="6">
        <v>77</v>
      </c>
      <c r="Y966" s="6">
        <v>74</v>
      </c>
      <c r="Z966" s="6">
        <v>66</v>
      </c>
      <c r="AA966" s="6">
        <v>71</v>
      </c>
      <c r="AB966" s="6">
        <v>74</v>
      </c>
      <c r="AC966" s="6">
        <v>70</v>
      </c>
      <c r="AD966" s="6">
        <v>70</v>
      </c>
      <c r="AE966" s="6">
        <v>68</v>
      </c>
      <c r="AF966" s="6">
        <v>62</v>
      </c>
      <c r="AG966" s="6" t="s">
        <v>7575</v>
      </c>
      <c r="AH966" s="6" t="s">
        <v>6636</v>
      </c>
    </row>
    <row r="967" spans="1:34" x14ac:dyDescent="0.2">
      <c r="A967" t="s">
        <v>3846</v>
      </c>
      <c r="B967" t="s">
        <v>2110</v>
      </c>
      <c r="C967" t="s">
        <v>2885</v>
      </c>
      <c r="D967" s="7" t="s">
        <v>148</v>
      </c>
      <c r="E967" t="s">
        <v>38</v>
      </c>
      <c r="F967">
        <v>22</v>
      </c>
      <c r="G967">
        <v>75</v>
      </c>
      <c r="H967">
        <v>72</v>
      </c>
      <c r="I967" t="s">
        <v>6416</v>
      </c>
      <c r="J967">
        <v>74</v>
      </c>
      <c r="K967">
        <v>236</v>
      </c>
      <c r="L967" t="s">
        <v>5540</v>
      </c>
      <c r="M967" s="6" t="s">
        <v>6603</v>
      </c>
      <c r="N967" s="6" t="s">
        <v>6565</v>
      </c>
      <c r="O967" s="6">
        <v>69</v>
      </c>
      <c r="P967" s="6">
        <v>76</v>
      </c>
      <c r="Q967" s="6">
        <v>66</v>
      </c>
      <c r="R967" s="6">
        <v>72</v>
      </c>
      <c r="S967" s="6">
        <v>73</v>
      </c>
      <c r="T967" s="6">
        <v>63</v>
      </c>
      <c r="U967" s="6">
        <v>54</v>
      </c>
      <c r="V967" s="6">
        <v>64</v>
      </c>
      <c r="W967" s="6">
        <v>82</v>
      </c>
      <c r="X967" s="6">
        <v>60</v>
      </c>
      <c r="Y967" s="6">
        <v>75</v>
      </c>
      <c r="Z967" s="6">
        <v>77</v>
      </c>
      <c r="AA967" s="6">
        <v>67</v>
      </c>
      <c r="AB967" s="6">
        <v>61</v>
      </c>
      <c r="AC967" s="6">
        <v>71</v>
      </c>
      <c r="AD967" s="6">
        <v>75</v>
      </c>
      <c r="AE967" s="6">
        <v>65</v>
      </c>
      <c r="AF967" s="6">
        <v>72</v>
      </c>
      <c r="AG967" s="6" t="s">
        <v>7582</v>
      </c>
      <c r="AH967" s="6" t="s">
        <v>6628</v>
      </c>
    </row>
    <row r="968" spans="1:34" x14ac:dyDescent="0.2">
      <c r="A968" t="s">
        <v>3848</v>
      </c>
      <c r="B968" t="s">
        <v>2112</v>
      </c>
      <c r="C968" t="s">
        <v>2891</v>
      </c>
      <c r="D968" s="7" t="s">
        <v>148</v>
      </c>
      <c r="E968" t="s">
        <v>58</v>
      </c>
      <c r="F968">
        <v>25</v>
      </c>
      <c r="G968">
        <v>75</v>
      </c>
      <c r="H968">
        <v>72</v>
      </c>
      <c r="I968" t="s">
        <v>6518</v>
      </c>
      <c r="J968">
        <v>74</v>
      </c>
      <c r="K968">
        <v>227</v>
      </c>
      <c r="L968" t="s">
        <v>5542</v>
      </c>
      <c r="M968" s="6" t="s">
        <v>6558</v>
      </c>
      <c r="N968" s="6" t="s">
        <v>6583</v>
      </c>
      <c r="O968" s="6">
        <v>62</v>
      </c>
      <c r="P968" s="6">
        <v>71</v>
      </c>
      <c r="Q968" s="6">
        <v>76</v>
      </c>
      <c r="R968" s="6">
        <v>77</v>
      </c>
      <c r="S968" s="6">
        <v>71</v>
      </c>
      <c r="T968" s="6">
        <v>74</v>
      </c>
      <c r="U968" s="6">
        <v>73</v>
      </c>
      <c r="V968" s="6">
        <v>70</v>
      </c>
      <c r="W968" s="6">
        <v>60</v>
      </c>
      <c r="X968" s="6">
        <v>75</v>
      </c>
      <c r="Y968" s="6">
        <v>77</v>
      </c>
      <c r="Z968" s="6">
        <v>64</v>
      </c>
      <c r="AA968" s="6">
        <v>78</v>
      </c>
      <c r="AB968" s="6">
        <v>73</v>
      </c>
      <c r="AC968" s="6">
        <v>76</v>
      </c>
      <c r="AD968" s="6">
        <v>79</v>
      </c>
      <c r="AE968" s="6">
        <v>75</v>
      </c>
      <c r="AF968" s="6">
        <v>68</v>
      </c>
      <c r="AG968" s="6" t="s">
        <v>7584</v>
      </c>
      <c r="AH968" s="6" t="s">
        <v>6824</v>
      </c>
    </row>
    <row r="969" spans="1:34" x14ac:dyDescent="0.2">
      <c r="A969" t="s">
        <v>3859</v>
      </c>
      <c r="B969" t="s">
        <v>2123</v>
      </c>
      <c r="C969" t="s">
        <v>57</v>
      </c>
      <c r="D969" s="7" t="s">
        <v>147</v>
      </c>
      <c r="E969" t="s">
        <v>38</v>
      </c>
      <c r="F969">
        <v>26</v>
      </c>
      <c r="G969">
        <v>70</v>
      </c>
      <c r="H969">
        <v>72</v>
      </c>
      <c r="I969" t="s">
        <v>6428</v>
      </c>
      <c r="J969">
        <v>75</v>
      </c>
      <c r="K969">
        <v>203</v>
      </c>
      <c r="L969" t="s">
        <v>5553</v>
      </c>
      <c r="M969" s="6" t="s">
        <v>6558</v>
      </c>
      <c r="N969" s="6" t="s">
        <v>6565</v>
      </c>
      <c r="O969" s="6">
        <v>86</v>
      </c>
      <c r="P969" s="6">
        <v>65</v>
      </c>
      <c r="Q969" s="6">
        <v>74</v>
      </c>
      <c r="R969" s="6">
        <v>72</v>
      </c>
      <c r="S969" s="6">
        <v>77</v>
      </c>
      <c r="T969" s="6">
        <v>66</v>
      </c>
      <c r="U969" s="6">
        <v>65</v>
      </c>
      <c r="V969" s="6">
        <v>73</v>
      </c>
      <c r="W969" s="6">
        <v>75</v>
      </c>
      <c r="X969" s="6">
        <v>71</v>
      </c>
      <c r="Y969" s="6">
        <v>71</v>
      </c>
      <c r="Z969" s="6">
        <v>76</v>
      </c>
      <c r="AA969" s="6">
        <v>74</v>
      </c>
      <c r="AB969" s="6">
        <v>68</v>
      </c>
      <c r="AC969" s="6">
        <v>70</v>
      </c>
      <c r="AD969" s="6">
        <v>72</v>
      </c>
      <c r="AE969" s="6">
        <v>66</v>
      </c>
      <c r="AF969" s="6">
        <v>70</v>
      </c>
      <c r="AG969" s="6" t="s">
        <v>7595</v>
      </c>
      <c r="AH969" s="6" t="s">
        <v>6664</v>
      </c>
    </row>
    <row r="970" spans="1:34" x14ac:dyDescent="0.2">
      <c r="A970" t="s">
        <v>3864</v>
      </c>
      <c r="B970" t="s">
        <v>2128</v>
      </c>
      <c r="C970" t="s">
        <v>2871</v>
      </c>
      <c r="D970" s="7" t="s">
        <v>147</v>
      </c>
      <c r="E970" t="s">
        <v>38</v>
      </c>
      <c r="F970">
        <v>21</v>
      </c>
      <c r="G970">
        <v>70</v>
      </c>
      <c r="H970">
        <v>72</v>
      </c>
      <c r="I970" t="s">
        <v>6450</v>
      </c>
      <c r="J970">
        <v>77</v>
      </c>
      <c r="K970">
        <v>270</v>
      </c>
      <c r="L970" t="s">
        <v>5558</v>
      </c>
      <c r="M970" s="6" t="s">
        <v>6558</v>
      </c>
      <c r="N970" s="6" t="s">
        <v>6565</v>
      </c>
      <c r="O970" s="6">
        <v>79</v>
      </c>
      <c r="P970" s="6">
        <v>67</v>
      </c>
      <c r="Q970" s="6">
        <v>65</v>
      </c>
      <c r="R970" s="6">
        <v>75</v>
      </c>
      <c r="S970" s="6">
        <v>69</v>
      </c>
      <c r="T970" s="6">
        <v>64</v>
      </c>
      <c r="U970" s="6">
        <v>60</v>
      </c>
      <c r="V970" s="6">
        <v>67</v>
      </c>
      <c r="W970" s="6">
        <v>76</v>
      </c>
      <c r="X970" s="6">
        <v>74</v>
      </c>
      <c r="Y970" s="6">
        <v>73</v>
      </c>
      <c r="Z970" s="6">
        <v>76</v>
      </c>
      <c r="AA970" s="6">
        <v>70</v>
      </c>
      <c r="AB970" s="6">
        <v>70</v>
      </c>
      <c r="AC970" s="6">
        <v>74</v>
      </c>
      <c r="AD970" s="6">
        <v>68</v>
      </c>
      <c r="AE970" s="6">
        <v>76</v>
      </c>
      <c r="AF970" s="6">
        <v>69</v>
      </c>
      <c r="AG970" s="6" t="s">
        <v>7599</v>
      </c>
      <c r="AH970" s="6" t="s">
        <v>6585</v>
      </c>
    </row>
    <row r="971" spans="1:34" x14ac:dyDescent="0.2">
      <c r="A971" t="s">
        <v>3865</v>
      </c>
      <c r="B971" t="s">
        <v>2129</v>
      </c>
      <c r="C971" t="s">
        <v>2873</v>
      </c>
      <c r="D971" s="7" t="s">
        <v>147</v>
      </c>
      <c r="E971" t="s">
        <v>38</v>
      </c>
      <c r="F971">
        <v>29</v>
      </c>
      <c r="G971">
        <v>70</v>
      </c>
      <c r="H971">
        <v>72</v>
      </c>
      <c r="I971" t="s">
        <v>6451</v>
      </c>
      <c r="J971">
        <v>76</v>
      </c>
      <c r="K971">
        <v>317</v>
      </c>
      <c r="L971" t="s">
        <v>5559</v>
      </c>
      <c r="M971" s="6" t="s">
        <v>6558</v>
      </c>
      <c r="N971" s="6" t="s">
        <v>6565</v>
      </c>
      <c r="O971" s="6">
        <v>74</v>
      </c>
      <c r="P971" s="6">
        <v>77</v>
      </c>
      <c r="Q971" s="6">
        <v>76</v>
      </c>
      <c r="R971" s="6">
        <v>74</v>
      </c>
      <c r="S971" s="6">
        <v>77</v>
      </c>
      <c r="T971" s="6">
        <v>76</v>
      </c>
      <c r="U971" s="6">
        <v>77</v>
      </c>
      <c r="V971" s="6">
        <v>76</v>
      </c>
      <c r="W971" s="6">
        <v>80</v>
      </c>
      <c r="X971" s="6">
        <v>72</v>
      </c>
      <c r="Y971" s="6">
        <v>84</v>
      </c>
      <c r="Z971" s="6">
        <v>84</v>
      </c>
      <c r="AA971" s="6">
        <v>77</v>
      </c>
      <c r="AB971" s="6">
        <v>70</v>
      </c>
      <c r="AC971" s="6">
        <v>68</v>
      </c>
      <c r="AD971" s="6">
        <v>82</v>
      </c>
      <c r="AE971" s="6">
        <v>70</v>
      </c>
      <c r="AF971" s="6">
        <v>72</v>
      </c>
      <c r="AG971" s="6" t="s">
        <v>7600</v>
      </c>
      <c r="AH971" s="6" t="s">
        <v>6694</v>
      </c>
    </row>
    <row r="972" spans="1:34" x14ac:dyDescent="0.2">
      <c r="A972" t="s">
        <v>3882</v>
      </c>
      <c r="B972" t="s">
        <v>2146</v>
      </c>
      <c r="C972" t="s">
        <v>2879</v>
      </c>
      <c r="D972" s="7" t="s">
        <v>147</v>
      </c>
      <c r="E972" t="s">
        <v>58</v>
      </c>
      <c r="F972">
        <v>30</v>
      </c>
      <c r="G972">
        <v>59</v>
      </c>
      <c r="H972">
        <v>72</v>
      </c>
      <c r="I972" t="s">
        <v>6463</v>
      </c>
      <c r="J972">
        <v>72</v>
      </c>
      <c r="K972">
        <v>311</v>
      </c>
      <c r="L972" t="s">
        <v>5576</v>
      </c>
      <c r="M972" s="6" t="s">
        <v>6558</v>
      </c>
      <c r="N972" s="6" t="s">
        <v>6614</v>
      </c>
      <c r="O972" s="6">
        <v>74</v>
      </c>
      <c r="P972" s="6">
        <v>68</v>
      </c>
      <c r="Q972" s="6">
        <v>75</v>
      </c>
      <c r="R972" s="6">
        <v>62</v>
      </c>
      <c r="S972" s="6">
        <v>79</v>
      </c>
      <c r="T972" s="6">
        <v>76</v>
      </c>
      <c r="U972" s="6">
        <v>68</v>
      </c>
      <c r="V972" s="6">
        <v>67</v>
      </c>
      <c r="W972" s="6">
        <v>71</v>
      </c>
      <c r="X972" s="6">
        <v>74</v>
      </c>
      <c r="Y972" s="6">
        <v>74</v>
      </c>
      <c r="Z972" s="6">
        <v>74</v>
      </c>
      <c r="AA972" s="6">
        <v>63</v>
      </c>
      <c r="AB972" s="6">
        <v>72</v>
      </c>
      <c r="AC972" s="6">
        <v>58</v>
      </c>
      <c r="AD972" s="6">
        <v>58</v>
      </c>
      <c r="AE972" s="6">
        <v>74</v>
      </c>
      <c r="AF972" s="6">
        <v>72</v>
      </c>
      <c r="AG972" s="6" t="s">
        <v>7617</v>
      </c>
      <c r="AH972" s="6" t="s">
        <v>6617</v>
      </c>
    </row>
    <row r="973" spans="1:34" x14ac:dyDescent="0.2">
      <c r="A973" t="s">
        <v>3892</v>
      </c>
      <c r="B973" t="s">
        <v>2156</v>
      </c>
      <c r="C973" t="s">
        <v>2888</v>
      </c>
      <c r="D973" s="7" t="s">
        <v>147</v>
      </c>
      <c r="E973" t="s">
        <v>38</v>
      </c>
      <c r="F973">
        <v>35</v>
      </c>
      <c r="G973">
        <v>73</v>
      </c>
      <c r="H973">
        <v>72</v>
      </c>
      <c r="I973" t="s">
        <v>6496</v>
      </c>
      <c r="J973">
        <v>69</v>
      </c>
      <c r="K973">
        <v>180</v>
      </c>
      <c r="L973" t="s">
        <v>5586</v>
      </c>
      <c r="M973" s="6" t="s">
        <v>6558</v>
      </c>
      <c r="N973" s="6" t="s">
        <v>6559</v>
      </c>
      <c r="O973" s="6">
        <v>80</v>
      </c>
      <c r="P973" s="6">
        <v>76</v>
      </c>
      <c r="Q973" s="6">
        <v>85</v>
      </c>
      <c r="R973" s="6">
        <v>82</v>
      </c>
      <c r="S973" s="6">
        <v>87</v>
      </c>
      <c r="T973" s="6">
        <v>81</v>
      </c>
      <c r="U973" s="6">
        <v>72</v>
      </c>
      <c r="V973" s="6">
        <v>75</v>
      </c>
      <c r="W973" s="6">
        <v>80</v>
      </c>
      <c r="X973" s="6">
        <v>80</v>
      </c>
      <c r="Y973" s="6">
        <v>83</v>
      </c>
      <c r="Z973" s="6">
        <v>93</v>
      </c>
      <c r="AA973" s="6">
        <v>73</v>
      </c>
      <c r="AB973" s="6">
        <v>66</v>
      </c>
      <c r="AC973" s="6">
        <v>72</v>
      </c>
      <c r="AD973" s="6">
        <v>66</v>
      </c>
      <c r="AE973" s="6">
        <v>66</v>
      </c>
      <c r="AF973" s="6">
        <v>68</v>
      </c>
      <c r="AG973" s="6" t="s">
        <v>7627</v>
      </c>
      <c r="AH973" s="6" t="s">
        <v>6707</v>
      </c>
    </row>
    <row r="974" spans="1:34" x14ac:dyDescent="0.2">
      <c r="A974" t="s">
        <v>3944</v>
      </c>
      <c r="B974" t="s">
        <v>2208</v>
      </c>
      <c r="C974" t="s">
        <v>2882</v>
      </c>
      <c r="D974" s="7" t="s">
        <v>144</v>
      </c>
      <c r="E974" t="s">
        <v>38</v>
      </c>
      <c r="F974">
        <v>28</v>
      </c>
      <c r="G974">
        <v>78</v>
      </c>
      <c r="H974">
        <v>72</v>
      </c>
      <c r="I974" t="s">
        <v>6349</v>
      </c>
      <c r="J974">
        <v>73</v>
      </c>
      <c r="K974">
        <v>205</v>
      </c>
      <c r="L974" t="s">
        <v>5638</v>
      </c>
      <c r="M974" s="6" t="s">
        <v>6558</v>
      </c>
      <c r="N974" s="6" t="s">
        <v>6583</v>
      </c>
      <c r="O974" s="6">
        <v>90</v>
      </c>
      <c r="P974" s="6">
        <v>75</v>
      </c>
      <c r="Q974" s="6">
        <v>81</v>
      </c>
      <c r="R974" s="6">
        <v>81</v>
      </c>
      <c r="S974" s="6">
        <v>84</v>
      </c>
      <c r="T974" s="6">
        <v>79</v>
      </c>
      <c r="U974" s="6">
        <v>71</v>
      </c>
      <c r="V974" s="6">
        <v>72</v>
      </c>
      <c r="W974" s="6">
        <v>69</v>
      </c>
      <c r="X974" s="6">
        <v>76</v>
      </c>
      <c r="Y974" s="6">
        <v>69</v>
      </c>
      <c r="Z974" s="6">
        <v>69</v>
      </c>
      <c r="AA974" s="6">
        <v>73</v>
      </c>
      <c r="AB974" s="6">
        <v>70</v>
      </c>
      <c r="AC974" s="6">
        <v>81</v>
      </c>
      <c r="AD974" s="6">
        <v>80</v>
      </c>
      <c r="AE974" s="6">
        <v>72</v>
      </c>
      <c r="AF974" s="6">
        <v>71</v>
      </c>
      <c r="AG974" s="6" t="s">
        <v>7678</v>
      </c>
      <c r="AH974" s="6" t="s">
        <v>7030</v>
      </c>
    </row>
    <row r="975" spans="1:34" x14ac:dyDescent="0.2">
      <c r="A975" t="s">
        <v>3951</v>
      </c>
      <c r="B975" t="s">
        <v>2215</v>
      </c>
      <c r="C975" t="s">
        <v>2884</v>
      </c>
      <c r="D975" s="7" t="s">
        <v>144</v>
      </c>
      <c r="E975" t="s">
        <v>38</v>
      </c>
      <c r="F975">
        <v>28</v>
      </c>
      <c r="G975">
        <v>61</v>
      </c>
      <c r="H975">
        <v>72</v>
      </c>
      <c r="I975" t="s">
        <v>6430</v>
      </c>
      <c r="J975">
        <v>73</v>
      </c>
      <c r="K975">
        <v>180</v>
      </c>
      <c r="L975" t="s">
        <v>5645</v>
      </c>
      <c r="M975" s="6" t="s">
        <v>6558</v>
      </c>
      <c r="N975" s="6" t="s">
        <v>6565</v>
      </c>
      <c r="O975" s="6">
        <v>79</v>
      </c>
      <c r="P975" s="6">
        <v>69</v>
      </c>
      <c r="Q975" s="6">
        <v>70</v>
      </c>
      <c r="R975" s="6">
        <v>74</v>
      </c>
      <c r="S975" s="6">
        <v>76</v>
      </c>
      <c r="T975" s="6">
        <v>76</v>
      </c>
      <c r="U975" s="6">
        <v>71</v>
      </c>
      <c r="V975" s="6">
        <v>73</v>
      </c>
      <c r="W975" s="6">
        <v>89</v>
      </c>
      <c r="X975" s="6">
        <v>66</v>
      </c>
      <c r="Y975" s="6">
        <v>79</v>
      </c>
      <c r="Z975" s="6">
        <v>68</v>
      </c>
      <c r="AA975" s="6">
        <v>69</v>
      </c>
      <c r="AB975" s="6">
        <v>73</v>
      </c>
      <c r="AC975" s="6">
        <v>73</v>
      </c>
      <c r="AD975" s="6">
        <v>78</v>
      </c>
      <c r="AE975" s="6">
        <v>73</v>
      </c>
      <c r="AF975" s="6">
        <v>68</v>
      </c>
      <c r="AG975" s="6" t="s">
        <v>7685</v>
      </c>
      <c r="AH975" s="6" t="s">
        <v>6644</v>
      </c>
    </row>
    <row r="976" spans="1:34" x14ac:dyDescent="0.2">
      <c r="A976" t="s">
        <v>3955</v>
      </c>
      <c r="B976" t="s">
        <v>2219</v>
      </c>
      <c r="C976" t="s">
        <v>2890</v>
      </c>
      <c r="D976" s="7" t="s">
        <v>144</v>
      </c>
      <c r="E976" t="s">
        <v>58</v>
      </c>
      <c r="F976">
        <v>31</v>
      </c>
      <c r="G976">
        <v>72</v>
      </c>
      <c r="H976">
        <v>72</v>
      </c>
      <c r="I976" t="s">
        <v>6385</v>
      </c>
      <c r="J976">
        <v>70</v>
      </c>
      <c r="K976">
        <v>185</v>
      </c>
      <c r="L976" t="s">
        <v>5649</v>
      </c>
      <c r="M976" s="6" t="s">
        <v>6558</v>
      </c>
      <c r="N976" s="6" t="s">
        <v>6565</v>
      </c>
      <c r="O976" s="6">
        <v>77</v>
      </c>
      <c r="P976" s="6">
        <v>76</v>
      </c>
      <c r="Q976" s="6">
        <v>70</v>
      </c>
      <c r="R976" s="6">
        <v>70</v>
      </c>
      <c r="S976" s="6">
        <v>71</v>
      </c>
      <c r="T976" s="6">
        <v>63</v>
      </c>
      <c r="U976" s="6">
        <v>73</v>
      </c>
      <c r="V976" s="6">
        <v>78</v>
      </c>
      <c r="W976" s="6">
        <v>73</v>
      </c>
      <c r="X976" s="6">
        <v>76</v>
      </c>
      <c r="Y976" s="6">
        <v>74</v>
      </c>
      <c r="Z976" s="6">
        <v>67</v>
      </c>
      <c r="AA976" s="6">
        <v>61</v>
      </c>
      <c r="AB976" s="6">
        <v>66</v>
      </c>
      <c r="AC976" s="6">
        <v>71</v>
      </c>
      <c r="AD976" s="6">
        <v>65</v>
      </c>
      <c r="AE976" s="6">
        <v>64</v>
      </c>
      <c r="AF976" s="6">
        <v>70</v>
      </c>
      <c r="AG976" s="6" t="s">
        <v>7688</v>
      </c>
      <c r="AH976" s="6" t="s">
        <v>6630</v>
      </c>
    </row>
    <row r="977" spans="1:34" x14ac:dyDescent="0.2">
      <c r="A977" t="s">
        <v>3980</v>
      </c>
      <c r="B977" t="s">
        <v>2244</v>
      </c>
      <c r="C977" t="s">
        <v>2872</v>
      </c>
      <c r="D977" s="7" t="s">
        <v>149</v>
      </c>
      <c r="E977" t="s">
        <v>38</v>
      </c>
      <c r="F977">
        <v>23</v>
      </c>
      <c r="G977">
        <v>65</v>
      </c>
      <c r="H977">
        <v>72</v>
      </c>
      <c r="I977" t="s">
        <v>6409</v>
      </c>
      <c r="J977">
        <v>77</v>
      </c>
      <c r="K977">
        <v>329</v>
      </c>
      <c r="L977" t="s">
        <v>5674</v>
      </c>
      <c r="M977" s="6" t="s">
        <v>6558</v>
      </c>
      <c r="N977" s="6" t="s">
        <v>6614</v>
      </c>
      <c r="O977" s="6">
        <v>67</v>
      </c>
      <c r="P977" s="6">
        <v>63</v>
      </c>
      <c r="Q977" s="6">
        <v>66</v>
      </c>
      <c r="R977" s="6">
        <v>62</v>
      </c>
      <c r="S977" s="6">
        <v>66</v>
      </c>
      <c r="T977" s="6">
        <v>62</v>
      </c>
      <c r="U977" s="6">
        <v>63</v>
      </c>
      <c r="V977" s="6">
        <v>63</v>
      </c>
      <c r="W977" s="6">
        <v>65</v>
      </c>
      <c r="X977" s="6">
        <v>62</v>
      </c>
      <c r="Y977" s="6">
        <v>67</v>
      </c>
      <c r="Z977" s="6">
        <v>60</v>
      </c>
      <c r="AA977" s="6">
        <v>62</v>
      </c>
      <c r="AB977" s="6">
        <v>68</v>
      </c>
      <c r="AC977" s="6">
        <v>62</v>
      </c>
      <c r="AD977" s="6">
        <v>69</v>
      </c>
      <c r="AE977" s="6">
        <v>61</v>
      </c>
      <c r="AF977" s="6">
        <v>72</v>
      </c>
      <c r="AG977" s="6" t="s">
        <v>7713</v>
      </c>
      <c r="AH977" s="6" t="s">
        <v>6680</v>
      </c>
    </row>
    <row r="978" spans="1:34" x14ac:dyDescent="0.2">
      <c r="A978" t="s">
        <v>3987</v>
      </c>
      <c r="B978" t="s">
        <v>2251</v>
      </c>
      <c r="C978" t="s">
        <v>2875</v>
      </c>
      <c r="D978" s="7" t="s">
        <v>149</v>
      </c>
      <c r="E978" t="s">
        <v>38</v>
      </c>
      <c r="F978">
        <v>33</v>
      </c>
      <c r="G978">
        <v>81</v>
      </c>
      <c r="H978">
        <v>72</v>
      </c>
      <c r="I978" t="s">
        <v>6374</v>
      </c>
      <c r="J978">
        <v>73</v>
      </c>
      <c r="K978">
        <v>307</v>
      </c>
      <c r="L978" t="s">
        <v>5681</v>
      </c>
      <c r="M978" s="6" t="s">
        <v>6558</v>
      </c>
      <c r="N978" s="6" t="s">
        <v>6583</v>
      </c>
      <c r="O978" s="6">
        <v>91</v>
      </c>
      <c r="P978" s="6">
        <v>78</v>
      </c>
      <c r="Q978" s="6">
        <v>81</v>
      </c>
      <c r="R978" s="6">
        <v>76</v>
      </c>
      <c r="S978" s="6">
        <v>77</v>
      </c>
      <c r="T978" s="6">
        <v>86</v>
      </c>
      <c r="U978" s="6">
        <v>73</v>
      </c>
      <c r="V978" s="6">
        <v>83</v>
      </c>
      <c r="W978" s="6">
        <v>72</v>
      </c>
      <c r="X978" s="6">
        <v>74</v>
      </c>
      <c r="Y978" s="6">
        <v>83</v>
      </c>
      <c r="Z978" s="6">
        <v>81</v>
      </c>
      <c r="AA978" s="6">
        <v>71</v>
      </c>
      <c r="AB978" s="6">
        <v>75</v>
      </c>
      <c r="AC978" s="6">
        <v>74</v>
      </c>
      <c r="AD978" s="6">
        <v>73</v>
      </c>
      <c r="AE978" s="6">
        <v>68</v>
      </c>
      <c r="AF978" s="6">
        <v>68</v>
      </c>
      <c r="AG978" s="6" t="s">
        <v>7720</v>
      </c>
      <c r="AH978" s="6" t="s">
        <v>6743</v>
      </c>
    </row>
    <row r="979" spans="1:34" x14ac:dyDescent="0.2">
      <c r="A979" t="s">
        <v>4026</v>
      </c>
      <c r="B979" t="s">
        <v>2290</v>
      </c>
      <c r="C979" t="s">
        <v>2870</v>
      </c>
      <c r="D979" s="7" t="s">
        <v>22</v>
      </c>
      <c r="E979" t="s">
        <v>38</v>
      </c>
      <c r="F979">
        <v>25</v>
      </c>
      <c r="G979">
        <v>58</v>
      </c>
      <c r="H979">
        <v>72</v>
      </c>
      <c r="I979" t="s">
        <v>6305</v>
      </c>
      <c r="J979">
        <v>68</v>
      </c>
      <c r="K979">
        <v>206</v>
      </c>
      <c r="L979" t="s">
        <v>5720</v>
      </c>
      <c r="M979" s="6" t="s">
        <v>6558</v>
      </c>
      <c r="N979" s="6" t="s">
        <v>6567</v>
      </c>
      <c r="O979" s="6">
        <v>68</v>
      </c>
      <c r="P979" s="6">
        <v>60</v>
      </c>
      <c r="Q979" s="6">
        <v>72</v>
      </c>
      <c r="R979" s="6">
        <v>69</v>
      </c>
      <c r="S979" s="6">
        <v>66</v>
      </c>
      <c r="T979" s="6">
        <v>61</v>
      </c>
      <c r="U979" s="6">
        <v>70</v>
      </c>
      <c r="V979" s="6">
        <v>71</v>
      </c>
      <c r="W979" s="6">
        <v>62</v>
      </c>
      <c r="X979" s="6">
        <v>66</v>
      </c>
      <c r="Y979" s="6">
        <v>71</v>
      </c>
      <c r="Z979" s="6">
        <v>72</v>
      </c>
      <c r="AA979" s="6">
        <v>67</v>
      </c>
      <c r="AB979" s="6">
        <v>67</v>
      </c>
      <c r="AC979" s="6">
        <v>63</v>
      </c>
      <c r="AD979" s="6">
        <v>71</v>
      </c>
      <c r="AE979" s="6">
        <v>69</v>
      </c>
      <c r="AF979" s="6">
        <v>69</v>
      </c>
      <c r="AG979" s="6" t="s">
        <v>7758</v>
      </c>
      <c r="AH979" s="6" t="s">
        <v>6721</v>
      </c>
    </row>
    <row r="980" spans="1:34" x14ac:dyDescent="0.2">
      <c r="A980" t="s">
        <v>4034</v>
      </c>
      <c r="B980" t="s">
        <v>2298</v>
      </c>
      <c r="C980" t="s">
        <v>2871</v>
      </c>
      <c r="D980" s="7" t="s">
        <v>22</v>
      </c>
      <c r="E980" t="s">
        <v>58</v>
      </c>
      <c r="F980">
        <v>33</v>
      </c>
      <c r="G980">
        <v>66</v>
      </c>
      <c r="H980">
        <v>72</v>
      </c>
      <c r="I980" t="s">
        <v>6407</v>
      </c>
      <c r="J980">
        <v>75</v>
      </c>
      <c r="K980">
        <v>254</v>
      </c>
      <c r="L980" t="s">
        <v>5728</v>
      </c>
      <c r="M980" s="6" t="s">
        <v>6558</v>
      </c>
      <c r="N980" s="6" t="s">
        <v>6565</v>
      </c>
      <c r="O980" s="6">
        <v>63</v>
      </c>
      <c r="P980" s="6">
        <v>69</v>
      </c>
      <c r="Q980" s="6">
        <v>73</v>
      </c>
      <c r="R980" s="6">
        <v>72</v>
      </c>
      <c r="S980" s="6">
        <v>69</v>
      </c>
      <c r="T980" s="6">
        <v>73</v>
      </c>
      <c r="U980" s="6">
        <v>66</v>
      </c>
      <c r="V980" s="6">
        <v>71</v>
      </c>
      <c r="W980" s="6">
        <v>77</v>
      </c>
      <c r="X980" s="6">
        <v>68</v>
      </c>
      <c r="Y980" s="6">
        <v>74</v>
      </c>
      <c r="Z980" s="6">
        <v>72</v>
      </c>
      <c r="AA980" s="6">
        <v>64</v>
      </c>
      <c r="AB980" s="6">
        <v>65</v>
      </c>
      <c r="AC980" s="6">
        <v>63</v>
      </c>
      <c r="AD980" s="6">
        <v>63</v>
      </c>
      <c r="AE980" s="6">
        <v>59</v>
      </c>
      <c r="AF980" s="6">
        <v>62</v>
      </c>
      <c r="AG980" s="6" t="s">
        <v>7766</v>
      </c>
      <c r="AH980" s="6" t="s">
        <v>6587</v>
      </c>
    </row>
    <row r="981" spans="1:34" x14ac:dyDescent="0.2">
      <c r="A981" t="s">
        <v>4059</v>
      </c>
      <c r="B981" t="s">
        <v>2323</v>
      </c>
      <c r="C981" t="s">
        <v>61</v>
      </c>
      <c r="D981" s="7" t="s">
        <v>22</v>
      </c>
      <c r="E981" t="s">
        <v>38</v>
      </c>
      <c r="F981">
        <v>26</v>
      </c>
      <c r="G981">
        <v>82</v>
      </c>
      <c r="H981">
        <v>72</v>
      </c>
      <c r="I981" t="s">
        <v>6307</v>
      </c>
      <c r="J981">
        <v>70</v>
      </c>
      <c r="K981">
        <v>180</v>
      </c>
      <c r="L981" t="s">
        <v>5753</v>
      </c>
      <c r="M981" s="6" t="s">
        <v>6558</v>
      </c>
      <c r="N981" s="6" t="s">
        <v>6614</v>
      </c>
      <c r="O981" s="6">
        <v>86</v>
      </c>
      <c r="P981" s="6">
        <v>71</v>
      </c>
      <c r="Q981" s="6">
        <v>86</v>
      </c>
      <c r="R981" s="6">
        <v>61</v>
      </c>
      <c r="S981" s="6">
        <v>80</v>
      </c>
      <c r="T981" s="6">
        <v>75</v>
      </c>
      <c r="U981" s="6">
        <v>81</v>
      </c>
      <c r="V981" s="6">
        <v>78</v>
      </c>
      <c r="W981" s="6">
        <v>76</v>
      </c>
      <c r="X981" s="6">
        <v>65</v>
      </c>
      <c r="Y981" s="6">
        <v>82</v>
      </c>
      <c r="Z981" s="6">
        <v>81</v>
      </c>
      <c r="AA981" s="6">
        <v>74</v>
      </c>
      <c r="AB981" s="6">
        <v>73</v>
      </c>
      <c r="AC981" s="6">
        <v>76</v>
      </c>
      <c r="AD981" s="6">
        <v>78</v>
      </c>
      <c r="AE981" s="6">
        <v>76</v>
      </c>
      <c r="AF981" s="6">
        <v>73</v>
      </c>
      <c r="AG981" s="6" t="s">
        <v>7791</v>
      </c>
      <c r="AH981" s="6" t="s">
        <v>7082</v>
      </c>
    </row>
    <row r="982" spans="1:34" x14ac:dyDescent="0.2">
      <c r="A982" t="s">
        <v>4075</v>
      </c>
      <c r="B982" t="s">
        <v>2339</v>
      </c>
      <c r="C982" t="s">
        <v>2886</v>
      </c>
      <c r="D982" s="7" t="s">
        <v>22</v>
      </c>
      <c r="E982" t="s">
        <v>38</v>
      </c>
      <c r="F982">
        <v>28</v>
      </c>
      <c r="G982">
        <v>74</v>
      </c>
      <c r="H982">
        <v>72</v>
      </c>
      <c r="I982" t="s">
        <v>6345</v>
      </c>
      <c r="J982">
        <v>74</v>
      </c>
      <c r="K982">
        <v>241</v>
      </c>
      <c r="L982" t="s">
        <v>5769</v>
      </c>
      <c r="M982" s="6" t="s">
        <v>6558</v>
      </c>
      <c r="N982" s="6" t="s">
        <v>6565</v>
      </c>
      <c r="O982" s="6">
        <v>77</v>
      </c>
      <c r="P982" s="6">
        <v>82</v>
      </c>
      <c r="Q982" s="6">
        <v>68</v>
      </c>
      <c r="R982" s="6">
        <v>75</v>
      </c>
      <c r="S982" s="6">
        <v>72</v>
      </c>
      <c r="T982" s="6">
        <v>73</v>
      </c>
      <c r="U982" s="6">
        <v>86</v>
      </c>
      <c r="V982" s="6">
        <v>81</v>
      </c>
      <c r="W982" s="6">
        <v>80</v>
      </c>
      <c r="X982" s="6">
        <v>79</v>
      </c>
      <c r="Y982" s="6">
        <v>84</v>
      </c>
      <c r="Z982" s="6">
        <v>77</v>
      </c>
      <c r="AA982" s="6">
        <v>79</v>
      </c>
      <c r="AB982" s="6">
        <v>83</v>
      </c>
      <c r="AC982" s="6">
        <v>78</v>
      </c>
      <c r="AD982" s="6">
        <v>84</v>
      </c>
      <c r="AE982" s="6">
        <v>70</v>
      </c>
      <c r="AF982" s="6">
        <v>75</v>
      </c>
      <c r="AG982" s="6" t="s">
        <v>7806</v>
      </c>
      <c r="AH982" s="6" t="s">
        <v>6711</v>
      </c>
    </row>
    <row r="983" spans="1:34" x14ac:dyDescent="0.2">
      <c r="A983" t="s">
        <v>4085</v>
      </c>
      <c r="B983" t="s">
        <v>2349</v>
      </c>
      <c r="C983" t="s">
        <v>2870</v>
      </c>
      <c r="D983" s="7" t="s">
        <v>25</v>
      </c>
      <c r="E983" t="s">
        <v>38</v>
      </c>
      <c r="F983">
        <v>23</v>
      </c>
      <c r="G983">
        <v>64</v>
      </c>
      <c r="H983">
        <v>72</v>
      </c>
      <c r="I983" t="s">
        <v>6318</v>
      </c>
      <c r="J983">
        <v>73</v>
      </c>
      <c r="K983">
        <v>209</v>
      </c>
      <c r="L983" t="s">
        <v>5779</v>
      </c>
      <c r="M983" s="6" t="s">
        <v>6558</v>
      </c>
      <c r="N983" s="6" t="s">
        <v>6614</v>
      </c>
      <c r="O983" s="6">
        <v>64</v>
      </c>
      <c r="P983" s="6">
        <v>57</v>
      </c>
      <c r="Q983" s="6">
        <v>65</v>
      </c>
      <c r="R983" s="6">
        <v>61</v>
      </c>
      <c r="S983" s="6">
        <v>68</v>
      </c>
      <c r="T983" s="6">
        <v>73</v>
      </c>
      <c r="U983" s="6">
        <v>80</v>
      </c>
      <c r="V983" s="6">
        <v>66</v>
      </c>
      <c r="W983" s="6">
        <v>53</v>
      </c>
      <c r="X983" s="6">
        <v>63</v>
      </c>
      <c r="Y983" s="6">
        <v>72</v>
      </c>
      <c r="Z983" s="6">
        <v>64</v>
      </c>
      <c r="AA983" s="6">
        <v>71</v>
      </c>
      <c r="AB983" s="6">
        <v>67</v>
      </c>
      <c r="AC983" s="6">
        <v>73</v>
      </c>
      <c r="AD983" s="6">
        <v>71</v>
      </c>
      <c r="AE983" s="6">
        <v>70</v>
      </c>
      <c r="AF983" s="6">
        <v>69</v>
      </c>
      <c r="AG983" s="6" t="s">
        <v>7816</v>
      </c>
      <c r="AH983" s="6" t="s">
        <v>6721</v>
      </c>
    </row>
    <row r="984" spans="1:34" x14ac:dyDescent="0.2">
      <c r="A984" t="s">
        <v>4099</v>
      </c>
      <c r="B984" t="s">
        <v>2363</v>
      </c>
      <c r="C984" t="s">
        <v>2887</v>
      </c>
      <c r="D984" s="7" t="s">
        <v>25</v>
      </c>
      <c r="E984" t="s">
        <v>38</v>
      </c>
      <c r="F984">
        <v>24</v>
      </c>
      <c r="G984">
        <v>65</v>
      </c>
      <c r="H984">
        <v>72</v>
      </c>
      <c r="I984" t="s">
        <v>6341</v>
      </c>
      <c r="J984">
        <v>74</v>
      </c>
      <c r="K984">
        <v>330</v>
      </c>
      <c r="L984" t="s">
        <v>5793</v>
      </c>
      <c r="M984" s="6" t="s">
        <v>6558</v>
      </c>
      <c r="N984" s="6" t="s">
        <v>6565</v>
      </c>
      <c r="O984" s="6">
        <v>67</v>
      </c>
      <c r="P984" s="6">
        <v>75</v>
      </c>
      <c r="Q984" s="6">
        <v>72</v>
      </c>
      <c r="R984" s="6">
        <v>74</v>
      </c>
      <c r="S984" s="6">
        <v>71</v>
      </c>
      <c r="T984" s="6">
        <v>72</v>
      </c>
      <c r="U984" s="6">
        <v>81</v>
      </c>
      <c r="V984" s="6">
        <v>72</v>
      </c>
      <c r="W984" s="6">
        <v>79</v>
      </c>
      <c r="X984" s="6">
        <v>66</v>
      </c>
      <c r="Y984" s="6">
        <v>74</v>
      </c>
      <c r="Z984" s="6">
        <v>71</v>
      </c>
      <c r="AA984" s="6">
        <v>68</v>
      </c>
      <c r="AB984" s="6">
        <v>71</v>
      </c>
      <c r="AC984" s="6">
        <v>72</v>
      </c>
      <c r="AD984" s="6">
        <v>72</v>
      </c>
      <c r="AE984" s="6">
        <v>74</v>
      </c>
      <c r="AF984" s="6">
        <v>73</v>
      </c>
      <c r="AG984" s="6" t="s">
        <v>7830</v>
      </c>
      <c r="AH984" s="6" t="s">
        <v>6674</v>
      </c>
    </row>
    <row r="985" spans="1:34" x14ac:dyDescent="0.2">
      <c r="A985" t="s">
        <v>4102</v>
      </c>
      <c r="B985" t="s">
        <v>2366</v>
      </c>
      <c r="C985" t="s">
        <v>2878</v>
      </c>
      <c r="D985" s="7" t="s">
        <v>25</v>
      </c>
      <c r="E985" t="s">
        <v>58</v>
      </c>
      <c r="F985">
        <v>28</v>
      </c>
      <c r="G985">
        <v>82</v>
      </c>
      <c r="H985">
        <v>72</v>
      </c>
      <c r="I985" t="s">
        <v>6466</v>
      </c>
      <c r="J985">
        <v>76</v>
      </c>
      <c r="K985">
        <v>287</v>
      </c>
      <c r="L985" t="s">
        <v>5796</v>
      </c>
      <c r="M985" s="6" t="s">
        <v>6558</v>
      </c>
      <c r="N985" s="6" t="s">
        <v>6567</v>
      </c>
      <c r="O985" s="6">
        <v>76</v>
      </c>
      <c r="P985" s="6">
        <v>67</v>
      </c>
      <c r="Q985" s="6">
        <v>78</v>
      </c>
      <c r="R985" s="6">
        <v>68</v>
      </c>
      <c r="S985" s="6">
        <v>87</v>
      </c>
      <c r="T985" s="6">
        <v>76</v>
      </c>
      <c r="U985" s="6">
        <v>84</v>
      </c>
      <c r="V985" s="6">
        <v>71</v>
      </c>
      <c r="W985" s="6">
        <v>78</v>
      </c>
      <c r="X985" s="6">
        <v>79</v>
      </c>
      <c r="Y985" s="6">
        <v>78</v>
      </c>
      <c r="Z985" s="6">
        <v>76</v>
      </c>
      <c r="AA985" s="6">
        <v>70</v>
      </c>
      <c r="AB985" s="6">
        <v>72</v>
      </c>
      <c r="AC985" s="6">
        <v>76</v>
      </c>
      <c r="AD985" s="6">
        <v>76</v>
      </c>
      <c r="AE985" s="6">
        <v>74</v>
      </c>
      <c r="AF985" s="6">
        <v>76</v>
      </c>
      <c r="AG985" s="6" t="s">
        <v>7833</v>
      </c>
      <c r="AH985" s="6" t="s">
        <v>6612</v>
      </c>
    </row>
    <row r="986" spans="1:34" x14ac:dyDescent="0.2">
      <c r="A986" t="s">
        <v>4122</v>
      </c>
      <c r="B986" t="s">
        <v>2386</v>
      </c>
      <c r="C986" t="s">
        <v>2885</v>
      </c>
      <c r="D986" s="7" t="s">
        <v>25</v>
      </c>
      <c r="E986" t="s">
        <v>38</v>
      </c>
      <c r="F986">
        <v>23</v>
      </c>
      <c r="G986">
        <v>67</v>
      </c>
      <c r="H986">
        <v>72</v>
      </c>
      <c r="I986" t="s">
        <v>8335</v>
      </c>
      <c r="J986">
        <v>75</v>
      </c>
      <c r="K986">
        <v>255</v>
      </c>
      <c r="L986" t="s">
        <v>5816</v>
      </c>
      <c r="M986" s="6" t="s">
        <v>6733</v>
      </c>
      <c r="N986" s="6" t="s">
        <v>6565</v>
      </c>
      <c r="O986" s="6">
        <v>69</v>
      </c>
      <c r="P986" s="6">
        <v>67</v>
      </c>
      <c r="Q986" s="6">
        <v>72</v>
      </c>
      <c r="R986" s="6">
        <v>74</v>
      </c>
      <c r="S986" s="6">
        <v>75</v>
      </c>
      <c r="T986" s="6">
        <v>62</v>
      </c>
      <c r="U986" s="6">
        <v>59</v>
      </c>
      <c r="V986" s="6">
        <v>74</v>
      </c>
      <c r="W986" s="6">
        <v>69</v>
      </c>
      <c r="X986" s="6">
        <v>56</v>
      </c>
      <c r="Y986" s="6">
        <v>64</v>
      </c>
      <c r="Z986" s="6">
        <v>56</v>
      </c>
      <c r="AA986" s="6">
        <v>63</v>
      </c>
      <c r="AB986" s="6">
        <v>66</v>
      </c>
      <c r="AC986" s="6">
        <v>68</v>
      </c>
      <c r="AD986" s="6">
        <v>69</v>
      </c>
      <c r="AE986" s="6">
        <v>66</v>
      </c>
      <c r="AF986" s="6">
        <v>60</v>
      </c>
      <c r="AG986" s="6" t="s">
        <v>7854</v>
      </c>
      <c r="AH986" s="6" t="s">
        <v>6628</v>
      </c>
    </row>
    <row r="987" spans="1:34" x14ac:dyDescent="0.2">
      <c r="A987" t="s">
        <v>4160</v>
      </c>
      <c r="B987" t="s">
        <v>2424</v>
      </c>
      <c r="C987" t="s">
        <v>2881</v>
      </c>
      <c r="D987" s="7" t="s">
        <v>150</v>
      </c>
      <c r="E987" t="s">
        <v>38</v>
      </c>
      <c r="F987">
        <v>29</v>
      </c>
      <c r="G987">
        <v>78</v>
      </c>
      <c r="H987">
        <v>72</v>
      </c>
      <c r="I987" t="s">
        <v>6339</v>
      </c>
      <c r="J987">
        <v>75</v>
      </c>
      <c r="K987">
        <v>235</v>
      </c>
      <c r="L987" t="s">
        <v>5854</v>
      </c>
      <c r="M987" s="6" t="s">
        <v>6558</v>
      </c>
      <c r="N987" s="6" t="s">
        <v>6565</v>
      </c>
      <c r="O987" s="6">
        <v>85</v>
      </c>
      <c r="P987" s="6">
        <v>78</v>
      </c>
      <c r="Q987" s="6">
        <v>72</v>
      </c>
      <c r="R987" s="6">
        <v>73</v>
      </c>
      <c r="S987" s="6">
        <v>78</v>
      </c>
      <c r="T987" s="6">
        <v>79</v>
      </c>
      <c r="U987" s="6">
        <v>86</v>
      </c>
      <c r="V987" s="6">
        <v>74</v>
      </c>
      <c r="W987" s="6">
        <v>78</v>
      </c>
      <c r="X987" s="6">
        <v>81</v>
      </c>
      <c r="Y987" s="6">
        <v>75</v>
      </c>
      <c r="Z987" s="6">
        <v>77</v>
      </c>
      <c r="AA987" s="6">
        <v>69</v>
      </c>
      <c r="AB987" s="6">
        <v>72</v>
      </c>
      <c r="AC987" s="6">
        <v>73</v>
      </c>
      <c r="AD987" s="6">
        <v>66</v>
      </c>
      <c r="AE987" s="6">
        <v>65</v>
      </c>
      <c r="AF987" s="6">
        <v>70</v>
      </c>
      <c r="AG987" s="6" t="s">
        <v>7891</v>
      </c>
      <c r="AH987" s="6" t="s">
        <v>6628</v>
      </c>
    </row>
    <row r="988" spans="1:34" x14ac:dyDescent="0.2">
      <c r="A988" t="s">
        <v>4169</v>
      </c>
      <c r="B988" t="s">
        <v>2433</v>
      </c>
      <c r="C988" t="s">
        <v>2882</v>
      </c>
      <c r="D988" s="7" t="s">
        <v>150</v>
      </c>
      <c r="E988" t="s">
        <v>38</v>
      </c>
      <c r="F988">
        <v>24</v>
      </c>
      <c r="G988">
        <v>60</v>
      </c>
      <c r="H988">
        <v>72</v>
      </c>
      <c r="I988" t="s">
        <v>6383</v>
      </c>
      <c r="J988">
        <v>71</v>
      </c>
      <c r="K988">
        <v>203</v>
      </c>
      <c r="L988" t="s">
        <v>5863</v>
      </c>
      <c r="M988" s="6" t="s">
        <v>6558</v>
      </c>
      <c r="N988" s="6" t="s">
        <v>6567</v>
      </c>
      <c r="O988" s="6">
        <v>74</v>
      </c>
      <c r="P988" s="6">
        <v>80</v>
      </c>
      <c r="Q988" s="6">
        <v>70</v>
      </c>
      <c r="R988" s="6">
        <v>65</v>
      </c>
      <c r="S988" s="6">
        <v>82</v>
      </c>
      <c r="T988" s="6">
        <v>71</v>
      </c>
      <c r="U988" s="6">
        <v>75</v>
      </c>
      <c r="V988" s="6">
        <v>83</v>
      </c>
      <c r="W988" s="6">
        <v>67</v>
      </c>
      <c r="X988" s="6">
        <v>77</v>
      </c>
      <c r="Y988" s="6">
        <v>79</v>
      </c>
      <c r="Z988" s="6">
        <v>72</v>
      </c>
      <c r="AA988" s="6">
        <v>69</v>
      </c>
      <c r="AB988" s="6">
        <v>67</v>
      </c>
      <c r="AC988" s="6">
        <v>65</v>
      </c>
      <c r="AD988" s="6">
        <v>62</v>
      </c>
      <c r="AE988" s="6">
        <v>68</v>
      </c>
      <c r="AF988" s="6">
        <v>65</v>
      </c>
      <c r="AG988" s="6" t="s">
        <v>7900</v>
      </c>
      <c r="AH988" s="6" t="s">
        <v>6636</v>
      </c>
    </row>
    <row r="989" spans="1:34" x14ac:dyDescent="0.2">
      <c r="A989" t="s">
        <v>4175</v>
      </c>
      <c r="B989" t="s">
        <v>2439</v>
      </c>
      <c r="C989" t="s">
        <v>2885</v>
      </c>
      <c r="D989" s="7" t="s">
        <v>150</v>
      </c>
      <c r="E989" t="s">
        <v>58</v>
      </c>
      <c r="F989">
        <v>27</v>
      </c>
      <c r="G989">
        <v>68</v>
      </c>
      <c r="H989">
        <v>72</v>
      </c>
      <c r="I989" t="s">
        <v>6400</v>
      </c>
      <c r="J989">
        <v>75</v>
      </c>
      <c r="K989">
        <v>255</v>
      </c>
      <c r="L989" t="s">
        <v>5869</v>
      </c>
      <c r="M989" s="6" t="s">
        <v>6558</v>
      </c>
      <c r="N989" s="6" t="s">
        <v>6565</v>
      </c>
      <c r="O989" s="6">
        <v>72</v>
      </c>
      <c r="P989" s="6">
        <v>71</v>
      </c>
      <c r="Q989" s="6">
        <v>65</v>
      </c>
      <c r="R989" s="6">
        <v>75</v>
      </c>
      <c r="S989" s="6">
        <v>68</v>
      </c>
      <c r="T989" s="6">
        <v>67</v>
      </c>
      <c r="U989" s="6">
        <v>68</v>
      </c>
      <c r="V989" s="6">
        <v>63</v>
      </c>
      <c r="W989" s="6">
        <v>69</v>
      </c>
      <c r="X989" s="6">
        <v>63</v>
      </c>
      <c r="Y989" s="6">
        <v>59</v>
      </c>
      <c r="Z989" s="6">
        <v>73</v>
      </c>
      <c r="AA989" s="6">
        <v>72</v>
      </c>
      <c r="AB989" s="6">
        <v>60</v>
      </c>
      <c r="AC989" s="6">
        <v>66</v>
      </c>
      <c r="AD989" s="6">
        <v>66</v>
      </c>
      <c r="AE989" s="6">
        <v>65</v>
      </c>
      <c r="AF989" s="6">
        <v>72</v>
      </c>
      <c r="AG989" s="6" t="s">
        <v>7906</v>
      </c>
      <c r="AH989" s="6" t="s">
        <v>6628</v>
      </c>
    </row>
    <row r="990" spans="1:34" x14ac:dyDescent="0.2">
      <c r="A990" t="s">
        <v>4200</v>
      </c>
      <c r="B990" t="s">
        <v>2464</v>
      </c>
      <c r="C990" t="s">
        <v>2887</v>
      </c>
      <c r="D990" s="7" t="s">
        <v>151</v>
      </c>
      <c r="E990" t="s">
        <v>38</v>
      </c>
      <c r="F990">
        <v>30</v>
      </c>
      <c r="G990">
        <v>85</v>
      </c>
      <c r="H990">
        <v>72</v>
      </c>
      <c r="I990" t="s">
        <v>6366</v>
      </c>
      <c r="J990">
        <v>76</v>
      </c>
      <c r="K990">
        <v>318</v>
      </c>
      <c r="L990" t="s">
        <v>5894</v>
      </c>
      <c r="M990" s="6" t="s">
        <v>6558</v>
      </c>
      <c r="N990" s="6" t="s">
        <v>6583</v>
      </c>
      <c r="O990" s="6">
        <v>92</v>
      </c>
      <c r="P990" s="6">
        <v>80</v>
      </c>
      <c r="Q990" s="6">
        <v>82</v>
      </c>
      <c r="R990" s="6">
        <v>80</v>
      </c>
      <c r="S990" s="6">
        <v>77</v>
      </c>
      <c r="T990" s="6">
        <v>74</v>
      </c>
      <c r="U990" s="6">
        <v>76</v>
      </c>
      <c r="V990" s="6">
        <v>82</v>
      </c>
      <c r="W990" s="6">
        <v>73</v>
      </c>
      <c r="X990" s="6">
        <v>77</v>
      </c>
      <c r="Y990" s="6">
        <v>81</v>
      </c>
      <c r="Z990" s="6">
        <v>87</v>
      </c>
      <c r="AA990" s="6">
        <v>81</v>
      </c>
      <c r="AB990" s="6">
        <v>77</v>
      </c>
      <c r="AC990" s="6">
        <v>73</v>
      </c>
      <c r="AD990" s="6">
        <v>68</v>
      </c>
      <c r="AE990" s="6">
        <v>79</v>
      </c>
      <c r="AF990" s="6">
        <v>82</v>
      </c>
      <c r="AG990" s="6" t="s">
        <v>7932</v>
      </c>
      <c r="AH990" s="6" t="s">
        <v>6598</v>
      </c>
    </row>
    <row r="991" spans="1:34" x14ac:dyDescent="0.2">
      <c r="A991" t="s">
        <v>4232</v>
      </c>
      <c r="B991" t="s">
        <v>2496</v>
      </c>
      <c r="C991" t="s">
        <v>2890</v>
      </c>
      <c r="D991" s="7" t="s">
        <v>151</v>
      </c>
      <c r="E991" t="s">
        <v>38</v>
      </c>
      <c r="F991">
        <v>25</v>
      </c>
      <c r="G991">
        <v>74</v>
      </c>
      <c r="H991">
        <v>72</v>
      </c>
      <c r="I991" t="s">
        <v>6396</v>
      </c>
      <c r="J991">
        <v>72</v>
      </c>
      <c r="K991">
        <v>193</v>
      </c>
      <c r="L991" t="s">
        <v>5926</v>
      </c>
      <c r="M991" s="6" t="s">
        <v>6558</v>
      </c>
      <c r="N991" s="6" t="s">
        <v>6583</v>
      </c>
      <c r="O991" s="6">
        <v>69</v>
      </c>
      <c r="P991" s="6">
        <v>60</v>
      </c>
      <c r="Q991" s="6">
        <v>76</v>
      </c>
      <c r="R991" s="6">
        <v>76</v>
      </c>
      <c r="S991" s="6">
        <v>79</v>
      </c>
      <c r="T991" s="6">
        <v>70</v>
      </c>
      <c r="U991" s="6">
        <v>75</v>
      </c>
      <c r="V991" s="6">
        <v>68</v>
      </c>
      <c r="W991" s="6">
        <v>70</v>
      </c>
      <c r="X991" s="6">
        <v>61</v>
      </c>
      <c r="Y991" s="6">
        <v>69</v>
      </c>
      <c r="Z991" s="6">
        <v>77</v>
      </c>
      <c r="AA991" s="6">
        <v>72</v>
      </c>
      <c r="AB991" s="6">
        <v>73</v>
      </c>
      <c r="AC991" s="6">
        <v>71</v>
      </c>
      <c r="AD991" s="6">
        <v>71</v>
      </c>
      <c r="AE991" s="6">
        <v>69</v>
      </c>
      <c r="AF991" s="6">
        <v>72</v>
      </c>
      <c r="AG991" s="6" t="s">
        <v>7964</v>
      </c>
      <c r="AH991" s="6" t="s">
        <v>7408</v>
      </c>
    </row>
    <row r="992" spans="1:34" x14ac:dyDescent="0.2">
      <c r="A992" t="s">
        <v>4249</v>
      </c>
      <c r="B992" t="s">
        <v>2513</v>
      </c>
      <c r="C992" t="s">
        <v>2871</v>
      </c>
      <c r="D992" s="7" t="s">
        <v>152</v>
      </c>
      <c r="E992" t="s">
        <v>38</v>
      </c>
      <c r="F992">
        <v>28</v>
      </c>
      <c r="G992">
        <v>78</v>
      </c>
      <c r="H992">
        <v>72</v>
      </c>
      <c r="I992" t="s">
        <v>6464</v>
      </c>
      <c r="J992">
        <v>76</v>
      </c>
      <c r="K992">
        <v>267</v>
      </c>
      <c r="L992" t="s">
        <v>5943</v>
      </c>
      <c r="M992" s="6" t="s">
        <v>6558</v>
      </c>
      <c r="N992" s="6" t="s">
        <v>6565</v>
      </c>
      <c r="O992" s="6">
        <v>75</v>
      </c>
      <c r="P992" s="6">
        <v>69</v>
      </c>
      <c r="Q992" s="6">
        <v>71</v>
      </c>
      <c r="R992" s="6">
        <v>73</v>
      </c>
      <c r="S992" s="6">
        <v>74</v>
      </c>
      <c r="T992" s="6">
        <v>80</v>
      </c>
      <c r="U992" s="6">
        <v>74</v>
      </c>
      <c r="V992" s="6">
        <v>68</v>
      </c>
      <c r="W992" s="6">
        <v>74</v>
      </c>
      <c r="X992" s="6">
        <v>74</v>
      </c>
      <c r="Y992" s="6">
        <v>73</v>
      </c>
      <c r="Z992" s="6">
        <v>84</v>
      </c>
      <c r="AA992" s="6">
        <v>74</v>
      </c>
      <c r="AB992" s="6">
        <v>71</v>
      </c>
      <c r="AC992" s="6">
        <v>65</v>
      </c>
      <c r="AD992" s="6">
        <v>73</v>
      </c>
      <c r="AE992" s="6">
        <v>73</v>
      </c>
      <c r="AF992" s="6">
        <v>80</v>
      </c>
      <c r="AG992" s="6" t="s">
        <v>7980</v>
      </c>
      <c r="AH992" s="6" t="s">
        <v>6585</v>
      </c>
    </row>
    <row r="993" spans="1:34" x14ac:dyDescent="0.2">
      <c r="A993" t="s">
        <v>4258</v>
      </c>
      <c r="B993" t="s">
        <v>2522</v>
      </c>
      <c r="C993" t="s">
        <v>2877</v>
      </c>
      <c r="D993" s="7" t="s">
        <v>152</v>
      </c>
      <c r="E993" t="s">
        <v>38</v>
      </c>
      <c r="F993">
        <v>30</v>
      </c>
      <c r="G993">
        <v>68</v>
      </c>
      <c r="H993">
        <v>72</v>
      </c>
      <c r="I993" t="s">
        <v>6332</v>
      </c>
      <c r="J993">
        <v>78</v>
      </c>
      <c r="K993">
        <v>309</v>
      </c>
      <c r="L993" t="s">
        <v>5952</v>
      </c>
      <c r="M993" s="6" t="s">
        <v>6558</v>
      </c>
      <c r="N993" s="6" t="s">
        <v>6583</v>
      </c>
      <c r="O993" s="6">
        <v>70</v>
      </c>
      <c r="P993" s="6">
        <v>72</v>
      </c>
      <c r="Q993" s="6">
        <v>69</v>
      </c>
      <c r="R993" s="6">
        <v>77</v>
      </c>
      <c r="S993" s="6">
        <v>69</v>
      </c>
      <c r="T993" s="6">
        <v>76</v>
      </c>
      <c r="U993" s="6">
        <v>71</v>
      </c>
      <c r="V993" s="6">
        <v>77</v>
      </c>
      <c r="W993" s="6">
        <v>76</v>
      </c>
      <c r="X993" s="6">
        <v>76</v>
      </c>
      <c r="Y993" s="6">
        <v>74</v>
      </c>
      <c r="Z993" s="6">
        <v>72</v>
      </c>
      <c r="AA993" s="6">
        <v>77</v>
      </c>
      <c r="AB993" s="6">
        <v>64</v>
      </c>
      <c r="AC993" s="6">
        <v>68</v>
      </c>
      <c r="AD993" s="6">
        <v>76</v>
      </c>
      <c r="AE993" s="6">
        <v>74</v>
      </c>
      <c r="AF993" s="6">
        <v>75</v>
      </c>
      <c r="AG993" s="6" t="s">
        <v>7988</v>
      </c>
      <c r="AH993" s="6" t="s">
        <v>6694</v>
      </c>
    </row>
    <row r="994" spans="1:34" x14ac:dyDescent="0.2">
      <c r="A994" t="s">
        <v>4269</v>
      </c>
      <c r="B994" t="s">
        <v>2533</v>
      </c>
      <c r="C994" t="s">
        <v>2880</v>
      </c>
      <c r="D994" s="7" t="s">
        <v>152</v>
      </c>
      <c r="E994" t="s">
        <v>38</v>
      </c>
      <c r="F994">
        <v>22</v>
      </c>
      <c r="G994">
        <v>75</v>
      </c>
      <c r="H994">
        <v>72</v>
      </c>
      <c r="I994" t="s">
        <v>6375</v>
      </c>
      <c r="J994">
        <v>75</v>
      </c>
      <c r="K994">
        <v>248</v>
      </c>
      <c r="L994" t="s">
        <v>5963</v>
      </c>
      <c r="M994" s="6" t="s">
        <v>6558</v>
      </c>
      <c r="N994" s="6" t="s">
        <v>6565</v>
      </c>
      <c r="O994" s="6">
        <v>72</v>
      </c>
      <c r="P994" s="6">
        <v>63</v>
      </c>
      <c r="Q994" s="6">
        <v>66</v>
      </c>
      <c r="R994" s="6">
        <v>72</v>
      </c>
      <c r="S994" s="6">
        <v>76</v>
      </c>
      <c r="T994" s="6">
        <v>65</v>
      </c>
      <c r="U994" s="6">
        <v>68</v>
      </c>
      <c r="V994" s="6">
        <v>76</v>
      </c>
      <c r="W994" s="6">
        <v>71</v>
      </c>
      <c r="X994" s="6">
        <v>64</v>
      </c>
      <c r="Y994" s="6">
        <v>73</v>
      </c>
      <c r="Z994" s="6">
        <v>68</v>
      </c>
      <c r="AA994" s="6">
        <v>71</v>
      </c>
      <c r="AB994" s="6">
        <v>67</v>
      </c>
      <c r="AC994" s="6">
        <v>66</v>
      </c>
      <c r="AD994" s="6">
        <v>71</v>
      </c>
      <c r="AE994" s="6">
        <v>63</v>
      </c>
      <c r="AF994" s="6">
        <v>70</v>
      </c>
      <c r="AG994" s="6" t="s">
        <v>7999</v>
      </c>
      <c r="AH994" s="6" t="s">
        <v>6623</v>
      </c>
    </row>
    <row r="995" spans="1:34" x14ac:dyDescent="0.2">
      <c r="A995" t="s">
        <v>4272</v>
      </c>
      <c r="B995" t="s">
        <v>2535</v>
      </c>
      <c r="C995" t="s">
        <v>61</v>
      </c>
      <c r="D995" s="7" t="s">
        <v>152</v>
      </c>
      <c r="E995" t="s">
        <v>38</v>
      </c>
      <c r="F995">
        <v>24</v>
      </c>
      <c r="G995">
        <v>76</v>
      </c>
      <c r="H995">
        <v>72</v>
      </c>
      <c r="I995" t="s">
        <v>6371</v>
      </c>
      <c r="J995">
        <v>68</v>
      </c>
      <c r="K995">
        <v>208</v>
      </c>
      <c r="L995" t="s">
        <v>5966</v>
      </c>
      <c r="M995" s="6" t="s">
        <v>6558</v>
      </c>
      <c r="N995" s="6" t="s">
        <v>6565</v>
      </c>
      <c r="O995" s="6">
        <v>82</v>
      </c>
      <c r="P995" s="6">
        <v>76</v>
      </c>
      <c r="Q995" s="6">
        <v>68</v>
      </c>
      <c r="R995" s="6">
        <v>72</v>
      </c>
      <c r="S995" s="6">
        <v>83</v>
      </c>
      <c r="T995" s="6">
        <v>82</v>
      </c>
      <c r="U995" s="6">
        <v>69</v>
      </c>
      <c r="V995" s="6">
        <v>81</v>
      </c>
      <c r="W995" s="6">
        <v>73</v>
      </c>
      <c r="X995" s="6">
        <v>74</v>
      </c>
      <c r="Y995" s="6">
        <v>73</v>
      </c>
      <c r="Z995" s="6">
        <v>75</v>
      </c>
      <c r="AA995" s="6">
        <v>74</v>
      </c>
      <c r="AB995" s="6">
        <v>76</v>
      </c>
      <c r="AC995" s="6">
        <v>75</v>
      </c>
      <c r="AD995" s="6">
        <v>71</v>
      </c>
      <c r="AE995" s="6">
        <v>66</v>
      </c>
      <c r="AF995" s="6">
        <v>74</v>
      </c>
      <c r="AG995" s="6" t="s">
        <v>8002</v>
      </c>
      <c r="AH995" s="6" t="s">
        <v>6630</v>
      </c>
    </row>
    <row r="996" spans="1:34" x14ac:dyDescent="0.2">
      <c r="A996" t="s">
        <v>4291</v>
      </c>
      <c r="B996" t="s">
        <v>2554</v>
      </c>
      <c r="C996" t="s">
        <v>53</v>
      </c>
      <c r="D996" s="7" t="s">
        <v>153</v>
      </c>
      <c r="E996" t="s">
        <v>38</v>
      </c>
      <c r="F996">
        <v>24</v>
      </c>
      <c r="G996">
        <v>67</v>
      </c>
      <c r="H996">
        <v>72</v>
      </c>
      <c r="I996" t="s">
        <v>6457</v>
      </c>
      <c r="J996">
        <v>72</v>
      </c>
      <c r="K996">
        <v>218</v>
      </c>
      <c r="L996" t="s">
        <v>5985</v>
      </c>
      <c r="M996" s="6" t="s">
        <v>6603</v>
      </c>
      <c r="N996" s="6" t="s">
        <v>6559</v>
      </c>
      <c r="O996" s="6">
        <v>71</v>
      </c>
      <c r="P996" s="6">
        <v>70</v>
      </c>
      <c r="Q996" s="6">
        <v>67</v>
      </c>
      <c r="R996" s="6">
        <v>85</v>
      </c>
      <c r="S996" s="6">
        <v>74</v>
      </c>
      <c r="T996" s="6">
        <v>62</v>
      </c>
      <c r="U996" s="6">
        <v>57</v>
      </c>
      <c r="V996" s="6">
        <v>62</v>
      </c>
      <c r="W996" s="6">
        <v>75</v>
      </c>
      <c r="X996" s="6">
        <v>70</v>
      </c>
      <c r="Y996" s="6">
        <v>74</v>
      </c>
      <c r="Z996" s="6">
        <v>62</v>
      </c>
      <c r="AA996" s="6">
        <v>66</v>
      </c>
      <c r="AB996" s="6">
        <v>69</v>
      </c>
      <c r="AC996" s="6">
        <v>60</v>
      </c>
      <c r="AD996" s="6">
        <v>56</v>
      </c>
      <c r="AE996" s="6">
        <v>71</v>
      </c>
      <c r="AF996" s="6">
        <v>66</v>
      </c>
      <c r="AG996" s="6" t="s">
        <v>8020</v>
      </c>
      <c r="AH996" s="6" t="s">
        <v>6570</v>
      </c>
    </row>
    <row r="997" spans="1:34" x14ac:dyDescent="0.2">
      <c r="A997" t="s">
        <v>4306</v>
      </c>
      <c r="B997" t="s">
        <v>2569</v>
      </c>
      <c r="C997" t="s">
        <v>2872</v>
      </c>
      <c r="D997" s="7" t="s">
        <v>153</v>
      </c>
      <c r="E997" t="s">
        <v>58</v>
      </c>
      <c r="F997">
        <v>31</v>
      </c>
      <c r="G997">
        <v>81</v>
      </c>
      <c r="H997">
        <v>72</v>
      </c>
      <c r="I997" t="s">
        <v>6319</v>
      </c>
      <c r="J997">
        <v>76</v>
      </c>
      <c r="K997">
        <v>318</v>
      </c>
      <c r="L997" t="s">
        <v>6000</v>
      </c>
      <c r="M997" s="6" t="s">
        <v>6558</v>
      </c>
      <c r="N997" s="6" t="s">
        <v>6559</v>
      </c>
      <c r="O997" s="6">
        <v>80</v>
      </c>
      <c r="P997" s="6">
        <v>77</v>
      </c>
      <c r="Q997" s="6">
        <v>80</v>
      </c>
      <c r="R997" s="6">
        <v>84</v>
      </c>
      <c r="S997" s="6">
        <v>78</v>
      </c>
      <c r="T997" s="6">
        <v>63</v>
      </c>
      <c r="U997" s="6">
        <v>87</v>
      </c>
      <c r="V997" s="6">
        <v>77</v>
      </c>
      <c r="W997" s="6">
        <v>79</v>
      </c>
      <c r="X997" s="6">
        <v>66</v>
      </c>
      <c r="Y997" s="6">
        <v>82</v>
      </c>
      <c r="Z997" s="6">
        <v>79</v>
      </c>
      <c r="AA997" s="6">
        <v>70</v>
      </c>
      <c r="AB997" s="6">
        <v>71</v>
      </c>
      <c r="AC997" s="6">
        <v>66</v>
      </c>
      <c r="AD997" s="6">
        <v>60</v>
      </c>
      <c r="AE997" s="6">
        <v>67</v>
      </c>
      <c r="AF997" s="6">
        <v>66</v>
      </c>
      <c r="AG997" s="6" t="s">
        <v>8035</v>
      </c>
      <c r="AH997" s="6" t="s">
        <v>6680</v>
      </c>
    </row>
    <row r="998" spans="1:34" x14ac:dyDescent="0.2">
      <c r="A998" t="s">
        <v>4388</v>
      </c>
      <c r="B998" t="s">
        <v>2651</v>
      </c>
      <c r="C998" t="s">
        <v>2890</v>
      </c>
      <c r="D998" s="7" t="s">
        <v>156</v>
      </c>
      <c r="E998" t="s">
        <v>58</v>
      </c>
      <c r="F998">
        <v>27</v>
      </c>
      <c r="G998">
        <v>73</v>
      </c>
      <c r="H998">
        <v>72</v>
      </c>
      <c r="I998" t="s">
        <v>6314</v>
      </c>
      <c r="J998">
        <v>70</v>
      </c>
      <c r="K998">
        <v>196</v>
      </c>
      <c r="L998" t="s">
        <v>6082</v>
      </c>
      <c r="M998" s="6" t="s">
        <v>6558</v>
      </c>
      <c r="N998" s="6" t="s">
        <v>6565</v>
      </c>
      <c r="O998" s="6">
        <v>71</v>
      </c>
      <c r="P998" s="6">
        <v>71</v>
      </c>
      <c r="Q998" s="6">
        <v>75</v>
      </c>
      <c r="R998" s="6">
        <v>75</v>
      </c>
      <c r="S998" s="6">
        <v>81</v>
      </c>
      <c r="T998" s="6">
        <v>67</v>
      </c>
      <c r="U998" s="6">
        <v>70</v>
      </c>
      <c r="V998" s="6">
        <v>68</v>
      </c>
      <c r="W998" s="6">
        <v>74</v>
      </c>
      <c r="X998" s="6">
        <v>79</v>
      </c>
      <c r="Y998" s="6">
        <v>73</v>
      </c>
      <c r="Z998" s="6">
        <v>69</v>
      </c>
      <c r="AA998" s="6">
        <v>67</v>
      </c>
      <c r="AB998" s="6">
        <v>60</v>
      </c>
      <c r="AC998" s="6">
        <v>72</v>
      </c>
      <c r="AD998" s="6">
        <v>68</v>
      </c>
      <c r="AE998" s="6">
        <v>68</v>
      </c>
      <c r="AF998" s="6">
        <v>75</v>
      </c>
      <c r="AG998" s="6" t="s">
        <v>8114</v>
      </c>
      <c r="AH998" s="6" t="s">
        <v>6694</v>
      </c>
    </row>
    <row r="999" spans="1:34" x14ac:dyDescent="0.2">
      <c r="A999" t="s">
        <v>2937</v>
      </c>
      <c r="B999" t="s">
        <v>1201</v>
      </c>
      <c r="C999" t="s">
        <v>2875</v>
      </c>
      <c r="D999" s="7" t="s">
        <v>129</v>
      </c>
      <c r="E999" t="s">
        <v>38</v>
      </c>
      <c r="F999">
        <v>33</v>
      </c>
      <c r="G999">
        <v>72</v>
      </c>
      <c r="H999">
        <v>71</v>
      </c>
      <c r="I999" t="s">
        <v>6324</v>
      </c>
      <c r="J999">
        <v>73</v>
      </c>
      <c r="K999">
        <v>308</v>
      </c>
      <c r="L999" t="s">
        <v>4631</v>
      </c>
      <c r="M999" s="6" t="s">
        <v>6558</v>
      </c>
      <c r="N999" s="6" t="s">
        <v>6583</v>
      </c>
      <c r="O999" s="6">
        <v>85</v>
      </c>
      <c r="P999" s="6">
        <v>82</v>
      </c>
      <c r="Q999" s="6">
        <v>83</v>
      </c>
      <c r="R999" s="6">
        <v>78</v>
      </c>
      <c r="S999" s="6">
        <v>80</v>
      </c>
      <c r="T999" s="6">
        <v>79</v>
      </c>
      <c r="U999" s="6">
        <v>76</v>
      </c>
      <c r="V999" s="6">
        <v>85</v>
      </c>
      <c r="W999" s="6">
        <v>83</v>
      </c>
      <c r="X999" s="6">
        <v>72</v>
      </c>
      <c r="Y999" s="6">
        <v>70</v>
      </c>
      <c r="Z999" s="6">
        <v>78</v>
      </c>
      <c r="AA999" s="6">
        <v>63</v>
      </c>
      <c r="AB999" s="6">
        <v>69</v>
      </c>
      <c r="AC999" s="6">
        <v>62</v>
      </c>
      <c r="AD999" s="6">
        <v>70</v>
      </c>
      <c r="AE999" s="6">
        <v>67</v>
      </c>
      <c r="AF999" s="6">
        <v>75</v>
      </c>
      <c r="AG999" s="6" t="s">
        <v>6607</v>
      </c>
      <c r="AH999" s="6" t="s">
        <v>6606</v>
      </c>
    </row>
    <row r="1000" spans="1:34" x14ac:dyDescent="0.2">
      <c r="A1000" t="s">
        <v>2981</v>
      </c>
      <c r="B1000" t="s">
        <v>1245</v>
      </c>
      <c r="C1000" t="s">
        <v>2874</v>
      </c>
      <c r="D1000" s="7" t="s">
        <v>146</v>
      </c>
      <c r="E1000" t="s">
        <v>58</v>
      </c>
      <c r="F1000">
        <v>33</v>
      </c>
      <c r="G1000">
        <v>72</v>
      </c>
      <c r="H1000">
        <v>71</v>
      </c>
      <c r="I1000" t="s">
        <v>6318</v>
      </c>
      <c r="J1000">
        <v>76</v>
      </c>
      <c r="K1000">
        <v>309</v>
      </c>
      <c r="L1000" t="s">
        <v>4675</v>
      </c>
      <c r="M1000" s="6" t="s">
        <v>6558</v>
      </c>
      <c r="N1000" s="6" t="s">
        <v>6583</v>
      </c>
      <c r="O1000" s="6">
        <v>69</v>
      </c>
      <c r="P1000" s="6">
        <v>73</v>
      </c>
      <c r="Q1000" s="6">
        <v>70</v>
      </c>
      <c r="R1000" s="6">
        <v>80</v>
      </c>
      <c r="S1000" s="6">
        <v>76</v>
      </c>
      <c r="T1000" s="6">
        <v>67</v>
      </c>
      <c r="U1000" s="6">
        <v>67</v>
      </c>
      <c r="V1000" s="6">
        <v>75</v>
      </c>
      <c r="W1000" s="6">
        <v>76</v>
      </c>
      <c r="X1000" s="6">
        <v>70</v>
      </c>
      <c r="Y1000" s="6">
        <v>76</v>
      </c>
      <c r="Z1000" s="6">
        <v>68</v>
      </c>
      <c r="AA1000" s="6">
        <v>64</v>
      </c>
      <c r="AB1000" s="6">
        <v>66</v>
      </c>
      <c r="AC1000" s="6">
        <v>67</v>
      </c>
      <c r="AD1000" s="6">
        <v>62</v>
      </c>
      <c r="AE1000" s="6">
        <v>63</v>
      </c>
      <c r="AF1000" s="6">
        <v>63</v>
      </c>
      <c r="AG1000" s="6" t="s">
        <v>6675</v>
      </c>
      <c r="AH1000" s="6" t="s">
        <v>6598</v>
      </c>
    </row>
    <row r="1001" spans="1:34" x14ac:dyDescent="0.2">
      <c r="A1001" t="s">
        <v>2985</v>
      </c>
      <c r="B1001" t="s">
        <v>1249</v>
      </c>
      <c r="C1001" t="s">
        <v>2877</v>
      </c>
      <c r="D1001" s="7" t="s">
        <v>146</v>
      </c>
      <c r="E1001" t="s">
        <v>38</v>
      </c>
      <c r="F1001">
        <v>24</v>
      </c>
      <c r="G1001">
        <v>75</v>
      </c>
      <c r="H1001">
        <v>71</v>
      </c>
      <c r="I1001" t="s">
        <v>6322</v>
      </c>
      <c r="J1001">
        <v>75</v>
      </c>
      <c r="K1001">
        <v>314</v>
      </c>
      <c r="L1001" t="s">
        <v>4679</v>
      </c>
      <c r="M1001" s="6" t="s">
        <v>6558</v>
      </c>
      <c r="N1001" s="6" t="s">
        <v>6583</v>
      </c>
      <c r="O1001" s="6">
        <v>79</v>
      </c>
      <c r="P1001" s="6">
        <v>76</v>
      </c>
      <c r="Q1001" s="6">
        <v>69</v>
      </c>
      <c r="R1001" s="6">
        <v>78</v>
      </c>
      <c r="S1001" s="6">
        <v>73</v>
      </c>
      <c r="T1001" s="6">
        <v>69</v>
      </c>
      <c r="U1001" s="6">
        <v>71</v>
      </c>
      <c r="V1001" s="6">
        <v>76</v>
      </c>
      <c r="W1001" s="6">
        <v>80</v>
      </c>
      <c r="X1001" s="6">
        <v>68</v>
      </c>
      <c r="Y1001" s="6">
        <v>80</v>
      </c>
      <c r="Z1001" s="6">
        <v>78</v>
      </c>
      <c r="AA1001" s="6">
        <v>69</v>
      </c>
      <c r="AB1001" s="6">
        <v>75</v>
      </c>
      <c r="AC1001" s="6">
        <v>76</v>
      </c>
      <c r="AD1001" s="6">
        <v>73</v>
      </c>
      <c r="AE1001" s="6">
        <v>69</v>
      </c>
      <c r="AF1001" s="6">
        <v>70</v>
      </c>
      <c r="AG1001" s="6" t="s">
        <v>6679</v>
      </c>
      <c r="AH1001" s="6" t="s">
        <v>6680</v>
      </c>
    </row>
    <row r="1002" spans="1:34" x14ac:dyDescent="0.2">
      <c r="A1002" t="s">
        <v>3005</v>
      </c>
      <c r="B1002" t="s">
        <v>1269</v>
      </c>
      <c r="C1002" t="s">
        <v>2888</v>
      </c>
      <c r="D1002" s="7" t="s">
        <v>146</v>
      </c>
      <c r="E1002" t="s">
        <v>38</v>
      </c>
      <c r="F1002">
        <v>33</v>
      </c>
      <c r="G1002">
        <v>75</v>
      </c>
      <c r="H1002">
        <v>71</v>
      </c>
      <c r="I1002" t="s">
        <v>6342</v>
      </c>
      <c r="J1002">
        <v>70</v>
      </c>
      <c r="K1002">
        <v>173</v>
      </c>
      <c r="L1002" t="s">
        <v>4699</v>
      </c>
      <c r="M1002" s="6" t="s">
        <v>6558</v>
      </c>
      <c r="N1002" s="6" t="s">
        <v>6565</v>
      </c>
      <c r="O1002" s="6">
        <v>83</v>
      </c>
      <c r="P1002" s="6">
        <v>77</v>
      </c>
      <c r="Q1002" s="6">
        <v>69</v>
      </c>
      <c r="R1002" s="6">
        <v>75</v>
      </c>
      <c r="S1002" s="6">
        <v>85</v>
      </c>
      <c r="T1002" s="6">
        <v>77</v>
      </c>
      <c r="U1002" s="6">
        <v>69</v>
      </c>
      <c r="V1002" s="6">
        <v>83</v>
      </c>
      <c r="W1002" s="6">
        <v>74</v>
      </c>
      <c r="X1002" s="6">
        <v>88</v>
      </c>
      <c r="Y1002" s="6">
        <v>87</v>
      </c>
      <c r="Z1002" s="6">
        <v>83</v>
      </c>
      <c r="AA1002" s="6">
        <v>73</v>
      </c>
      <c r="AB1002" s="6">
        <v>67</v>
      </c>
      <c r="AC1002" s="6">
        <v>63</v>
      </c>
      <c r="AD1002" s="6">
        <v>65</v>
      </c>
      <c r="AE1002" s="6">
        <v>73</v>
      </c>
      <c r="AF1002" s="6">
        <v>71</v>
      </c>
      <c r="AG1002" s="6" t="s">
        <v>6706</v>
      </c>
      <c r="AH1002" s="6" t="s">
        <v>6707</v>
      </c>
    </row>
    <row r="1003" spans="1:34" x14ac:dyDescent="0.2">
      <c r="A1003" t="s">
        <v>3031</v>
      </c>
      <c r="B1003" t="s">
        <v>1295</v>
      </c>
      <c r="C1003" t="s">
        <v>2875</v>
      </c>
      <c r="D1003" s="7" t="s">
        <v>131</v>
      </c>
      <c r="E1003" t="s">
        <v>38</v>
      </c>
      <c r="F1003">
        <v>28</v>
      </c>
      <c r="G1003">
        <v>66</v>
      </c>
      <c r="H1003">
        <v>71</v>
      </c>
      <c r="I1003" t="s">
        <v>6318</v>
      </c>
      <c r="J1003">
        <v>74</v>
      </c>
      <c r="K1003">
        <v>312</v>
      </c>
      <c r="L1003" t="s">
        <v>4725</v>
      </c>
      <c r="M1003" s="6" t="s">
        <v>6558</v>
      </c>
      <c r="N1003" s="6" t="s">
        <v>6565</v>
      </c>
      <c r="O1003" s="6">
        <v>81</v>
      </c>
      <c r="P1003" s="6">
        <v>69</v>
      </c>
      <c r="Q1003" s="6">
        <v>72</v>
      </c>
      <c r="R1003" s="6">
        <v>74</v>
      </c>
      <c r="S1003" s="6">
        <v>66</v>
      </c>
      <c r="T1003" s="6">
        <v>66</v>
      </c>
      <c r="U1003" s="6">
        <v>76</v>
      </c>
      <c r="V1003" s="6">
        <v>70</v>
      </c>
      <c r="W1003" s="6">
        <v>75</v>
      </c>
      <c r="X1003" s="6">
        <v>75</v>
      </c>
      <c r="Y1003" s="6">
        <v>70</v>
      </c>
      <c r="Z1003" s="6">
        <v>75</v>
      </c>
      <c r="AA1003" s="6">
        <v>71</v>
      </c>
      <c r="AB1003" s="6">
        <v>73</v>
      </c>
      <c r="AC1003" s="6">
        <v>73</v>
      </c>
      <c r="AD1003" s="6">
        <v>77</v>
      </c>
      <c r="AE1003" s="6">
        <v>71</v>
      </c>
      <c r="AF1003" s="6">
        <v>73</v>
      </c>
      <c r="AG1003" s="6" t="s">
        <v>6742</v>
      </c>
      <c r="AH1003" s="6" t="s">
        <v>6743</v>
      </c>
    </row>
    <row r="1004" spans="1:34" x14ac:dyDescent="0.2">
      <c r="A1004" t="s">
        <v>3084</v>
      </c>
      <c r="B1004" t="s">
        <v>1348</v>
      </c>
      <c r="C1004" t="s">
        <v>2878</v>
      </c>
      <c r="D1004" s="7" t="s">
        <v>130</v>
      </c>
      <c r="E1004" t="s">
        <v>58</v>
      </c>
      <c r="F1004">
        <v>33</v>
      </c>
      <c r="G1004">
        <v>70</v>
      </c>
      <c r="H1004">
        <v>71</v>
      </c>
      <c r="I1004" t="s">
        <v>6321</v>
      </c>
      <c r="J1004">
        <v>77</v>
      </c>
      <c r="K1004">
        <v>258</v>
      </c>
      <c r="L1004" t="s">
        <v>4778</v>
      </c>
      <c r="M1004" s="6" t="s">
        <v>6558</v>
      </c>
      <c r="N1004" s="6" t="s">
        <v>6565</v>
      </c>
      <c r="O1004" s="6">
        <v>72</v>
      </c>
      <c r="P1004" s="6">
        <v>77</v>
      </c>
      <c r="Q1004" s="6">
        <v>80</v>
      </c>
      <c r="R1004" s="6">
        <v>73</v>
      </c>
      <c r="S1004" s="6">
        <v>93</v>
      </c>
      <c r="T1004" s="6">
        <v>78</v>
      </c>
      <c r="U1004" s="6">
        <v>79</v>
      </c>
      <c r="V1004" s="6">
        <v>84</v>
      </c>
      <c r="W1004" s="6">
        <v>82</v>
      </c>
      <c r="X1004" s="6">
        <v>77</v>
      </c>
      <c r="Y1004" s="6">
        <v>72</v>
      </c>
      <c r="Z1004" s="6">
        <v>72</v>
      </c>
      <c r="AA1004" s="6">
        <v>64</v>
      </c>
      <c r="AB1004" s="6">
        <v>68</v>
      </c>
      <c r="AC1004" s="6">
        <v>64</v>
      </c>
      <c r="AD1004" s="6">
        <v>62</v>
      </c>
      <c r="AE1004" s="6">
        <v>63</v>
      </c>
      <c r="AF1004" s="6">
        <v>66</v>
      </c>
      <c r="AG1004" s="6" t="s">
        <v>6801</v>
      </c>
      <c r="AH1004" s="6" t="s">
        <v>6686</v>
      </c>
    </row>
    <row r="1005" spans="1:34" x14ac:dyDescent="0.2">
      <c r="A1005" t="s">
        <v>3087</v>
      </c>
      <c r="B1005" t="s">
        <v>1351</v>
      </c>
      <c r="C1005" t="s">
        <v>2879</v>
      </c>
      <c r="D1005" s="7" t="s">
        <v>130</v>
      </c>
      <c r="E1005" t="s">
        <v>38</v>
      </c>
      <c r="F1005">
        <v>25</v>
      </c>
      <c r="G1005">
        <v>83</v>
      </c>
      <c r="H1005">
        <v>71</v>
      </c>
      <c r="I1005" t="s">
        <v>6324</v>
      </c>
      <c r="J1005">
        <v>73</v>
      </c>
      <c r="K1005">
        <v>306</v>
      </c>
      <c r="L1005" t="s">
        <v>4781</v>
      </c>
      <c r="M1005" s="6" t="s">
        <v>6558</v>
      </c>
      <c r="N1005" s="6" t="s">
        <v>6583</v>
      </c>
      <c r="O1005" s="6">
        <v>83</v>
      </c>
      <c r="P1005" s="6">
        <v>82</v>
      </c>
      <c r="Q1005" s="6">
        <v>72</v>
      </c>
      <c r="R1005" s="6">
        <v>80</v>
      </c>
      <c r="S1005" s="6">
        <v>79</v>
      </c>
      <c r="T1005" s="6">
        <v>73</v>
      </c>
      <c r="U1005" s="6">
        <v>79</v>
      </c>
      <c r="V1005" s="6">
        <v>78</v>
      </c>
      <c r="W1005" s="6">
        <v>68</v>
      </c>
      <c r="X1005" s="6">
        <v>71</v>
      </c>
      <c r="Y1005" s="6">
        <v>83</v>
      </c>
      <c r="Z1005" s="6">
        <v>80</v>
      </c>
      <c r="AA1005" s="6">
        <v>79</v>
      </c>
      <c r="AB1005" s="6">
        <v>74</v>
      </c>
      <c r="AC1005" s="6">
        <v>72</v>
      </c>
      <c r="AD1005" s="6">
        <v>84</v>
      </c>
      <c r="AE1005" s="6">
        <v>72</v>
      </c>
      <c r="AF1005" s="6">
        <v>72</v>
      </c>
      <c r="AG1005" s="6" t="s">
        <v>6804</v>
      </c>
      <c r="AH1005" s="6" t="s">
        <v>6617</v>
      </c>
    </row>
    <row r="1006" spans="1:34" x14ac:dyDescent="0.2">
      <c r="A1006" t="s">
        <v>3113</v>
      </c>
      <c r="B1006" t="s">
        <v>1377</v>
      </c>
      <c r="C1006" t="s">
        <v>57</v>
      </c>
      <c r="D1006" s="7" t="s">
        <v>133</v>
      </c>
      <c r="E1006" t="s">
        <v>58</v>
      </c>
      <c r="F1006">
        <v>22</v>
      </c>
      <c r="G1006">
        <v>63</v>
      </c>
      <c r="H1006">
        <v>71</v>
      </c>
      <c r="I1006" t="s">
        <v>6305</v>
      </c>
      <c r="J1006">
        <v>72</v>
      </c>
      <c r="K1006">
        <v>188</v>
      </c>
      <c r="L1006" t="s">
        <v>4807</v>
      </c>
      <c r="M1006" s="6" t="s">
        <v>6558</v>
      </c>
      <c r="N1006" s="6" t="s">
        <v>6567</v>
      </c>
      <c r="O1006" s="6">
        <v>70</v>
      </c>
      <c r="P1006" s="6">
        <v>62</v>
      </c>
      <c r="Q1006" s="6">
        <v>72</v>
      </c>
      <c r="R1006" s="6">
        <v>64</v>
      </c>
      <c r="S1006" s="6">
        <v>66</v>
      </c>
      <c r="T1006" s="6">
        <v>56</v>
      </c>
      <c r="U1006" s="6">
        <v>67</v>
      </c>
      <c r="V1006" s="6">
        <v>62</v>
      </c>
      <c r="W1006" s="6">
        <v>70</v>
      </c>
      <c r="X1006" s="6">
        <v>66</v>
      </c>
      <c r="Y1006" s="6">
        <v>67</v>
      </c>
      <c r="Z1006" s="6">
        <v>73</v>
      </c>
      <c r="AA1006" s="6">
        <v>66</v>
      </c>
      <c r="AB1006" s="6">
        <v>65</v>
      </c>
      <c r="AC1006" s="6">
        <v>66</v>
      </c>
      <c r="AD1006" s="6">
        <v>66</v>
      </c>
      <c r="AE1006" s="6">
        <v>62</v>
      </c>
      <c r="AF1006" s="6">
        <v>63</v>
      </c>
      <c r="AG1006" s="6" t="s">
        <v>6834</v>
      </c>
      <c r="AH1006" s="6" t="s">
        <v>6574</v>
      </c>
    </row>
    <row r="1007" spans="1:34" x14ac:dyDescent="0.2">
      <c r="A1007" t="s">
        <v>3119</v>
      </c>
      <c r="B1007" t="s">
        <v>1383</v>
      </c>
      <c r="C1007" t="s">
        <v>2872</v>
      </c>
      <c r="D1007" s="7" t="s">
        <v>133</v>
      </c>
      <c r="E1007" t="s">
        <v>58</v>
      </c>
      <c r="F1007">
        <v>34</v>
      </c>
      <c r="G1007">
        <v>74</v>
      </c>
      <c r="H1007">
        <v>71</v>
      </c>
      <c r="I1007" t="s">
        <v>54</v>
      </c>
      <c r="J1007">
        <v>78</v>
      </c>
      <c r="K1007">
        <v>295</v>
      </c>
      <c r="L1007" t="s">
        <v>4813</v>
      </c>
      <c r="M1007" s="6" t="s">
        <v>6558</v>
      </c>
      <c r="N1007" s="6" t="s">
        <v>6567</v>
      </c>
      <c r="O1007" s="6">
        <v>90</v>
      </c>
      <c r="P1007" s="6">
        <v>81</v>
      </c>
      <c r="Q1007" s="6">
        <v>72</v>
      </c>
      <c r="R1007" s="6">
        <v>69</v>
      </c>
      <c r="S1007" s="6">
        <v>67</v>
      </c>
      <c r="T1007" s="6">
        <v>74</v>
      </c>
      <c r="U1007" s="6">
        <v>77</v>
      </c>
      <c r="V1007" s="6">
        <v>69</v>
      </c>
      <c r="W1007" s="6">
        <v>79</v>
      </c>
      <c r="X1007" s="6">
        <v>72</v>
      </c>
      <c r="Y1007" s="6">
        <v>72</v>
      </c>
      <c r="Z1007" s="6">
        <v>82</v>
      </c>
      <c r="AA1007" s="6">
        <v>65</v>
      </c>
      <c r="AB1007" s="6">
        <v>68</v>
      </c>
      <c r="AC1007" s="6">
        <v>68</v>
      </c>
      <c r="AD1007" s="6">
        <v>66</v>
      </c>
      <c r="AE1007" s="6">
        <v>57</v>
      </c>
      <c r="AF1007" s="6">
        <v>61</v>
      </c>
      <c r="AG1007" s="6" t="s">
        <v>6841</v>
      </c>
      <c r="AH1007" s="6" t="s">
        <v>6610</v>
      </c>
    </row>
    <row r="1008" spans="1:34" x14ac:dyDescent="0.2">
      <c r="A1008" t="s">
        <v>3121</v>
      </c>
      <c r="B1008" t="s">
        <v>1385</v>
      </c>
      <c r="C1008" t="s">
        <v>2873</v>
      </c>
      <c r="D1008" s="7" t="s">
        <v>133</v>
      </c>
      <c r="E1008" t="s">
        <v>58</v>
      </c>
      <c r="F1008">
        <v>32</v>
      </c>
      <c r="G1008">
        <v>67</v>
      </c>
      <c r="H1008">
        <v>71</v>
      </c>
      <c r="I1008" t="s">
        <v>6309</v>
      </c>
      <c r="J1008">
        <v>77</v>
      </c>
      <c r="K1008">
        <v>320</v>
      </c>
      <c r="L1008" t="s">
        <v>4815</v>
      </c>
      <c r="M1008" s="6" t="s">
        <v>6558</v>
      </c>
      <c r="N1008" s="6" t="s">
        <v>6583</v>
      </c>
      <c r="O1008" s="6">
        <v>83</v>
      </c>
      <c r="P1008" s="6">
        <v>83</v>
      </c>
      <c r="Q1008" s="6">
        <v>91</v>
      </c>
      <c r="R1008" s="6">
        <v>76</v>
      </c>
      <c r="S1008" s="6">
        <v>77</v>
      </c>
      <c r="T1008" s="6">
        <v>75</v>
      </c>
      <c r="U1008" s="6">
        <v>77</v>
      </c>
      <c r="V1008" s="6">
        <v>80</v>
      </c>
      <c r="W1008" s="6">
        <v>83</v>
      </c>
      <c r="X1008" s="6">
        <v>93</v>
      </c>
      <c r="Y1008" s="6">
        <v>87</v>
      </c>
      <c r="Z1008" s="6">
        <v>76</v>
      </c>
      <c r="AA1008" s="6">
        <v>61</v>
      </c>
      <c r="AB1008" s="6">
        <v>66</v>
      </c>
      <c r="AC1008" s="6">
        <v>63</v>
      </c>
      <c r="AD1008" s="6">
        <v>69</v>
      </c>
      <c r="AE1008" s="6">
        <v>66</v>
      </c>
      <c r="AF1008" s="6">
        <v>67</v>
      </c>
      <c r="AG1008" s="6" t="s">
        <v>6843</v>
      </c>
      <c r="AH1008" s="6" t="s">
        <v>6610</v>
      </c>
    </row>
    <row r="1009" spans="1:34" x14ac:dyDescent="0.2">
      <c r="A1009" t="s">
        <v>3147</v>
      </c>
      <c r="B1009" t="s">
        <v>1411</v>
      </c>
      <c r="C1009" t="s">
        <v>2882</v>
      </c>
      <c r="D1009" s="7" t="s">
        <v>133</v>
      </c>
      <c r="E1009" t="s">
        <v>38</v>
      </c>
      <c r="F1009">
        <v>23</v>
      </c>
      <c r="G1009">
        <v>71</v>
      </c>
      <c r="H1009">
        <v>71</v>
      </c>
      <c r="I1009" t="s">
        <v>6340</v>
      </c>
      <c r="J1009">
        <v>71</v>
      </c>
      <c r="K1009">
        <v>215</v>
      </c>
      <c r="L1009" t="s">
        <v>4841</v>
      </c>
      <c r="M1009" s="6" t="s">
        <v>6558</v>
      </c>
      <c r="N1009" s="6" t="s">
        <v>6614</v>
      </c>
      <c r="O1009" s="6">
        <v>68</v>
      </c>
      <c r="P1009" s="6">
        <v>58</v>
      </c>
      <c r="Q1009" s="6">
        <v>76</v>
      </c>
      <c r="R1009" s="6">
        <v>59</v>
      </c>
      <c r="S1009" s="6">
        <v>69</v>
      </c>
      <c r="T1009" s="6">
        <v>72</v>
      </c>
      <c r="U1009" s="6">
        <v>66</v>
      </c>
      <c r="V1009" s="6">
        <v>68</v>
      </c>
      <c r="W1009" s="6">
        <v>67</v>
      </c>
      <c r="X1009" s="6">
        <v>77</v>
      </c>
      <c r="Y1009" s="6">
        <v>73</v>
      </c>
      <c r="Z1009" s="6">
        <v>76</v>
      </c>
      <c r="AA1009" s="6">
        <v>62</v>
      </c>
      <c r="AB1009" s="6">
        <v>72</v>
      </c>
      <c r="AC1009" s="6">
        <v>64</v>
      </c>
      <c r="AD1009" s="6">
        <v>69</v>
      </c>
      <c r="AE1009" s="6">
        <v>69</v>
      </c>
      <c r="AF1009" s="6">
        <v>76</v>
      </c>
      <c r="AG1009" s="6" t="s">
        <v>6871</v>
      </c>
      <c r="AH1009" s="6" t="s">
        <v>6636</v>
      </c>
    </row>
    <row r="1010" spans="1:34" x14ac:dyDescent="0.2">
      <c r="A1010" t="s">
        <v>3173</v>
      </c>
      <c r="B1010" t="s">
        <v>1437</v>
      </c>
      <c r="C1010" t="s">
        <v>2875</v>
      </c>
      <c r="D1010" s="7" t="s">
        <v>134</v>
      </c>
      <c r="E1010" t="s">
        <v>38</v>
      </c>
      <c r="F1010">
        <v>29</v>
      </c>
      <c r="G1010">
        <v>73</v>
      </c>
      <c r="H1010">
        <v>71</v>
      </c>
      <c r="I1010" t="s">
        <v>6363</v>
      </c>
      <c r="J1010">
        <v>76</v>
      </c>
      <c r="K1010">
        <v>314</v>
      </c>
      <c r="L1010" t="s">
        <v>4867</v>
      </c>
      <c r="M1010" s="6" t="s">
        <v>6558</v>
      </c>
      <c r="N1010" s="6" t="s">
        <v>6583</v>
      </c>
      <c r="O1010" s="6">
        <v>78</v>
      </c>
      <c r="P1010" s="6">
        <v>79</v>
      </c>
      <c r="Q1010" s="6">
        <v>71</v>
      </c>
      <c r="R1010" s="6">
        <v>80</v>
      </c>
      <c r="S1010" s="6">
        <v>71</v>
      </c>
      <c r="T1010" s="6">
        <v>82</v>
      </c>
      <c r="U1010" s="6">
        <v>83</v>
      </c>
      <c r="V1010" s="6">
        <v>86</v>
      </c>
      <c r="W1010" s="6">
        <v>82</v>
      </c>
      <c r="X1010" s="6">
        <v>80</v>
      </c>
      <c r="Y1010" s="6">
        <v>70</v>
      </c>
      <c r="Z1010" s="6">
        <v>78</v>
      </c>
      <c r="AA1010" s="6">
        <v>69</v>
      </c>
      <c r="AB1010" s="6">
        <v>74</v>
      </c>
      <c r="AC1010" s="6">
        <v>64</v>
      </c>
      <c r="AD1010" s="6">
        <v>72</v>
      </c>
      <c r="AE1010" s="6">
        <v>68</v>
      </c>
      <c r="AF1010" s="6">
        <v>70</v>
      </c>
      <c r="AG1010" s="6" t="s">
        <v>6899</v>
      </c>
      <c r="AH1010" s="6" t="s">
        <v>6743</v>
      </c>
    </row>
    <row r="1011" spans="1:34" x14ac:dyDescent="0.2">
      <c r="A1011" t="s">
        <v>3224</v>
      </c>
      <c r="B1011" t="s">
        <v>1488</v>
      </c>
      <c r="C1011" t="s">
        <v>2872</v>
      </c>
      <c r="D1011" s="7" t="s">
        <v>132</v>
      </c>
      <c r="E1011" t="s">
        <v>58</v>
      </c>
      <c r="F1011">
        <v>25</v>
      </c>
      <c r="G1011">
        <v>65</v>
      </c>
      <c r="H1011">
        <v>71</v>
      </c>
      <c r="I1011" t="s">
        <v>6413</v>
      </c>
      <c r="J1011">
        <v>76</v>
      </c>
      <c r="K1011">
        <v>314</v>
      </c>
      <c r="L1011" t="s">
        <v>4918</v>
      </c>
      <c r="M1011" s="6" t="s">
        <v>6558</v>
      </c>
      <c r="N1011" s="6" t="s">
        <v>6614</v>
      </c>
      <c r="O1011" s="6">
        <v>68</v>
      </c>
      <c r="P1011" s="6">
        <v>74</v>
      </c>
      <c r="Q1011" s="6">
        <v>65</v>
      </c>
      <c r="R1011" s="6">
        <v>56</v>
      </c>
      <c r="S1011" s="6">
        <v>75</v>
      </c>
      <c r="T1011" s="6">
        <v>63</v>
      </c>
      <c r="U1011" s="6">
        <v>70</v>
      </c>
      <c r="V1011" s="6">
        <v>75</v>
      </c>
      <c r="W1011" s="6">
        <v>64</v>
      </c>
      <c r="X1011" s="6">
        <v>65</v>
      </c>
      <c r="Y1011" s="6">
        <v>64</v>
      </c>
      <c r="Z1011" s="6">
        <v>71</v>
      </c>
      <c r="AA1011" s="6">
        <v>70</v>
      </c>
      <c r="AB1011" s="6">
        <v>60</v>
      </c>
      <c r="AC1011" s="6">
        <v>67</v>
      </c>
      <c r="AD1011" s="6">
        <v>68</v>
      </c>
      <c r="AE1011" s="6">
        <v>64</v>
      </c>
      <c r="AF1011" s="6">
        <v>74</v>
      </c>
      <c r="AG1011" s="6" t="s">
        <v>6951</v>
      </c>
      <c r="AH1011" s="6" t="s">
        <v>6694</v>
      </c>
    </row>
    <row r="1012" spans="1:34" x14ac:dyDescent="0.2">
      <c r="A1012" t="s">
        <v>3283</v>
      </c>
      <c r="B1012" t="s">
        <v>1547</v>
      </c>
      <c r="C1012" t="s">
        <v>2877</v>
      </c>
      <c r="D1012" s="7" t="s">
        <v>136</v>
      </c>
      <c r="E1012" t="s">
        <v>38</v>
      </c>
      <c r="F1012">
        <v>28</v>
      </c>
      <c r="G1012">
        <v>62</v>
      </c>
      <c r="H1012">
        <v>71</v>
      </c>
      <c r="I1012" t="s">
        <v>6472</v>
      </c>
      <c r="J1012">
        <v>77</v>
      </c>
      <c r="K1012">
        <v>304</v>
      </c>
      <c r="L1012" t="s">
        <v>4977</v>
      </c>
      <c r="M1012" s="6" t="s">
        <v>6558</v>
      </c>
      <c r="N1012" s="6" t="s">
        <v>6565</v>
      </c>
      <c r="O1012" s="6">
        <v>78</v>
      </c>
      <c r="P1012" s="6">
        <v>74</v>
      </c>
      <c r="Q1012" s="6">
        <v>76</v>
      </c>
      <c r="R1012" s="6">
        <v>73</v>
      </c>
      <c r="S1012" s="6">
        <v>77</v>
      </c>
      <c r="T1012" s="6">
        <v>68</v>
      </c>
      <c r="U1012" s="6">
        <v>88</v>
      </c>
      <c r="V1012" s="6">
        <v>81</v>
      </c>
      <c r="W1012" s="6">
        <v>74</v>
      </c>
      <c r="X1012" s="6">
        <v>66</v>
      </c>
      <c r="Y1012" s="6">
        <v>76</v>
      </c>
      <c r="Z1012" s="6">
        <v>77</v>
      </c>
      <c r="AA1012" s="6">
        <v>68</v>
      </c>
      <c r="AB1012" s="6">
        <v>68</v>
      </c>
      <c r="AC1012" s="6">
        <v>71</v>
      </c>
      <c r="AD1012" s="6">
        <v>75</v>
      </c>
      <c r="AE1012" s="6">
        <v>65</v>
      </c>
      <c r="AF1012" s="6">
        <v>76</v>
      </c>
      <c r="AG1012" s="6" t="s">
        <v>7014</v>
      </c>
      <c r="AH1012" s="6" t="s">
        <v>6610</v>
      </c>
    </row>
    <row r="1013" spans="1:34" x14ac:dyDescent="0.2">
      <c r="A1013" t="s">
        <v>3321</v>
      </c>
      <c r="B1013" t="s">
        <v>1585</v>
      </c>
      <c r="C1013" t="s">
        <v>57</v>
      </c>
      <c r="D1013" s="7" t="s">
        <v>137</v>
      </c>
      <c r="E1013" t="s">
        <v>58</v>
      </c>
      <c r="F1013">
        <v>24</v>
      </c>
      <c r="G1013">
        <v>62</v>
      </c>
      <c r="H1013">
        <v>71</v>
      </c>
      <c r="I1013" t="s">
        <v>6305</v>
      </c>
      <c r="J1013">
        <v>74</v>
      </c>
      <c r="K1013">
        <v>200</v>
      </c>
      <c r="L1013" t="s">
        <v>5015</v>
      </c>
      <c r="M1013" s="6" t="s">
        <v>6558</v>
      </c>
      <c r="N1013" s="6" t="s">
        <v>6567</v>
      </c>
      <c r="O1013" s="6">
        <v>66</v>
      </c>
      <c r="P1013" s="6">
        <v>68</v>
      </c>
      <c r="Q1013" s="6">
        <v>66</v>
      </c>
      <c r="R1013" s="6">
        <v>65</v>
      </c>
      <c r="S1013" s="6">
        <v>72</v>
      </c>
      <c r="T1013" s="6">
        <v>71</v>
      </c>
      <c r="U1013" s="6">
        <v>70</v>
      </c>
      <c r="V1013" s="6">
        <v>69</v>
      </c>
      <c r="W1013" s="6">
        <v>70</v>
      </c>
      <c r="X1013" s="6">
        <v>68</v>
      </c>
      <c r="Y1013" s="6">
        <v>71</v>
      </c>
      <c r="Z1013" s="6">
        <v>69</v>
      </c>
      <c r="AA1013" s="6">
        <v>64</v>
      </c>
      <c r="AB1013" s="6">
        <v>56</v>
      </c>
      <c r="AC1013" s="6">
        <v>66</v>
      </c>
      <c r="AD1013" s="6">
        <v>73</v>
      </c>
      <c r="AE1013" s="6">
        <v>60</v>
      </c>
      <c r="AF1013" s="6">
        <v>70</v>
      </c>
      <c r="AG1013" s="6" t="s">
        <v>7054</v>
      </c>
      <c r="AH1013" s="6" t="s">
        <v>6661</v>
      </c>
    </row>
    <row r="1014" spans="1:34" x14ac:dyDescent="0.2">
      <c r="A1014" t="s">
        <v>3332</v>
      </c>
      <c r="B1014" t="s">
        <v>1596</v>
      </c>
      <c r="C1014" t="s">
        <v>2878</v>
      </c>
      <c r="D1014" s="7" t="s">
        <v>137</v>
      </c>
      <c r="E1014" t="s">
        <v>38</v>
      </c>
      <c r="F1014">
        <v>23</v>
      </c>
      <c r="G1014">
        <v>73</v>
      </c>
      <c r="H1014">
        <v>71</v>
      </c>
      <c r="I1014" t="s">
        <v>6341</v>
      </c>
      <c r="J1014">
        <v>74</v>
      </c>
      <c r="K1014">
        <v>257</v>
      </c>
      <c r="L1014" t="s">
        <v>5026</v>
      </c>
      <c r="M1014" s="6" t="s">
        <v>6558</v>
      </c>
      <c r="N1014" s="6" t="s">
        <v>6567</v>
      </c>
      <c r="O1014" s="6">
        <v>65</v>
      </c>
      <c r="P1014" s="6">
        <v>63</v>
      </c>
      <c r="Q1014" s="6">
        <v>73</v>
      </c>
      <c r="R1014" s="6">
        <v>63</v>
      </c>
      <c r="S1014" s="6">
        <v>78</v>
      </c>
      <c r="T1014" s="6">
        <v>64</v>
      </c>
      <c r="U1014" s="6">
        <v>67</v>
      </c>
      <c r="V1014" s="6">
        <v>63</v>
      </c>
      <c r="W1014" s="6">
        <v>70</v>
      </c>
      <c r="X1014" s="6">
        <v>64</v>
      </c>
      <c r="Y1014" s="6">
        <v>71</v>
      </c>
      <c r="Z1014" s="6">
        <v>67</v>
      </c>
      <c r="AA1014" s="6">
        <v>75</v>
      </c>
      <c r="AB1014" s="6">
        <v>69</v>
      </c>
      <c r="AC1014" s="6">
        <v>67</v>
      </c>
      <c r="AD1014" s="6">
        <v>76</v>
      </c>
      <c r="AE1014" s="6">
        <v>68</v>
      </c>
      <c r="AF1014" s="6">
        <v>67</v>
      </c>
      <c r="AG1014" s="6" t="s">
        <v>7065</v>
      </c>
      <c r="AH1014" s="6" t="s">
        <v>6684</v>
      </c>
    </row>
    <row r="1015" spans="1:34" x14ac:dyDescent="0.2">
      <c r="A1015" t="s">
        <v>3392</v>
      </c>
      <c r="B1015" t="s">
        <v>1656</v>
      </c>
      <c r="C1015" t="s">
        <v>2881</v>
      </c>
      <c r="D1015" s="7" t="s">
        <v>138</v>
      </c>
      <c r="E1015" t="s">
        <v>38</v>
      </c>
      <c r="F1015">
        <v>29</v>
      </c>
      <c r="G1015">
        <v>70</v>
      </c>
      <c r="H1015">
        <v>71</v>
      </c>
      <c r="I1015" t="s">
        <v>6399</v>
      </c>
      <c r="J1015">
        <v>76</v>
      </c>
      <c r="K1015">
        <v>253</v>
      </c>
      <c r="L1015" t="s">
        <v>5086</v>
      </c>
      <c r="M1015" s="6" t="s">
        <v>6558</v>
      </c>
      <c r="N1015" s="6" t="s">
        <v>6583</v>
      </c>
      <c r="O1015" s="6">
        <v>82</v>
      </c>
      <c r="P1015" s="6">
        <v>71</v>
      </c>
      <c r="Q1015" s="6">
        <v>77</v>
      </c>
      <c r="R1015" s="6">
        <v>78</v>
      </c>
      <c r="S1015" s="6">
        <v>70</v>
      </c>
      <c r="T1015" s="6">
        <v>71</v>
      </c>
      <c r="U1015" s="6">
        <v>79</v>
      </c>
      <c r="V1015" s="6">
        <v>77</v>
      </c>
      <c r="W1015" s="6">
        <v>78</v>
      </c>
      <c r="X1015" s="6">
        <v>69</v>
      </c>
      <c r="Y1015" s="6">
        <v>72</v>
      </c>
      <c r="Z1015" s="6">
        <v>74</v>
      </c>
      <c r="AA1015" s="6">
        <v>73</v>
      </c>
      <c r="AB1015" s="6">
        <v>71</v>
      </c>
      <c r="AC1015" s="6">
        <v>74</v>
      </c>
      <c r="AD1015" s="6">
        <v>65</v>
      </c>
      <c r="AE1015" s="6">
        <v>64</v>
      </c>
      <c r="AF1015" s="6">
        <v>69</v>
      </c>
      <c r="AG1015" s="6" t="s">
        <v>7127</v>
      </c>
      <c r="AH1015" s="6" t="s">
        <v>6628</v>
      </c>
    </row>
    <row r="1016" spans="1:34" x14ac:dyDescent="0.2">
      <c r="A1016" t="s">
        <v>3402</v>
      </c>
      <c r="B1016" t="s">
        <v>1666</v>
      </c>
      <c r="C1016" t="s">
        <v>2884</v>
      </c>
      <c r="D1016" s="7" t="s">
        <v>138</v>
      </c>
      <c r="E1016" t="s">
        <v>38</v>
      </c>
      <c r="F1016">
        <v>25</v>
      </c>
      <c r="G1016">
        <v>76</v>
      </c>
      <c r="H1016">
        <v>71</v>
      </c>
      <c r="I1016" t="s">
        <v>6409</v>
      </c>
      <c r="J1016">
        <v>73</v>
      </c>
      <c r="K1016">
        <v>221</v>
      </c>
      <c r="L1016" t="s">
        <v>5096</v>
      </c>
      <c r="M1016" s="6" t="s">
        <v>6558</v>
      </c>
      <c r="N1016" s="6" t="s">
        <v>6583</v>
      </c>
      <c r="O1016" s="6">
        <v>73</v>
      </c>
      <c r="P1016" s="6">
        <v>77</v>
      </c>
      <c r="Q1016" s="6">
        <v>77</v>
      </c>
      <c r="R1016" s="6">
        <v>77</v>
      </c>
      <c r="S1016" s="6">
        <v>75</v>
      </c>
      <c r="T1016" s="6">
        <v>77</v>
      </c>
      <c r="U1016" s="6">
        <v>73</v>
      </c>
      <c r="V1016" s="6">
        <v>79</v>
      </c>
      <c r="W1016" s="6">
        <v>67</v>
      </c>
      <c r="X1016" s="6">
        <v>78</v>
      </c>
      <c r="Y1016" s="6">
        <v>79</v>
      </c>
      <c r="Z1016" s="6">
        <v>67</v>
      </c>
      <c r="AA1016" s="6">
        <v>74</v>
      </c>
      <c r="AB1016" s="6">
        <v>77</v>
      </c>
      <c r="AC1016" s="6">
        <v>61</v>
      </c>
      <c r="AD1016" s="6">
        <v>83</v>
      </c>
      <c r="AE1016" s="6">
        <v>78</v>
      </c>
      <c r="AF1016" s="6">
        <v>76</v>
      </c>
      <c r="AG1016" s="6" t="s">
        <v>7136</v>
      </c>
      <c r="AH1016" s="6" t="s">
        <v>6644</v>
      </c>
    </row>
    <row r="1017" spans="1:34" x14ac:dyDescent="0.2">
      <c r="A1017" t="s">
        <v>3424</v>
      </c>
      <c r="B1017" t="s">
        <v>1688</v>
      </c>
      <c r="C1017" t="s">
        <v>57</v>
      </c>
      <c r="D1017" s="7" t="s">
        <v>139</v>
      </c>
      <c r="E1017" t="s">
        <v>38</v>
      </c>
      <c r="F1017">
        <v>31</v>
      </c>
      <c r="G1017">
        <v>73</v>
      </c>
      <c r="H1017">
        <v>71</v>
      </c>
      <c r="I1017" t="s">
        <v>6436</v>
      </c>
      <c r="J1017">
        <v>73</v>
      </c>
      <c r="K1017">
        <v>198</v>
      </c>
      <c r="L1017" t="s">
        <v>5118</v>
      </c>
      <c r="M1017" s="6" t="s">
        <v>6558</v>
      </c>
      <c r="N1017" s="6" t="s">
        <v>6559</v>
      </c>
      <c r="O1017" s="6">
        <v>80</v>
      </c>
      <c r="P1017" s="6">
        <v>76</v>
      </c>
      <c r="Q1017" s="6">
        <v>77</v>
      </c>
      <c r="R1017" s="6">
        <v>82</v>
      </c>
      <c r="S1017" s="6">
        <v>72</v>
      </c>
      <c r="T1017" s="6">
        <v>67</v>
      </c>
      <c r="U1017" s="6">
        <v>76</v>
      </c>
      <c r="V1017" s="6">
        <v>79</v>
      </c>
      <c r="W1017" s="6">
        <v>80</v>
      </c>
      <c r="X1017" s="6">
        <v>79</v>
      </c>
      <c r="Y1017" s="6">
        <v>75</v>
      </c>
      <c r="Z1017" s="6">
        <v>77</v>
      </c>
      <c r="AA1017" s="6">
        <v>71</v>
      </c>
      <c r="AB1017" s="6">
        <v>63</v>
      </c>
      <c r="AC1017" s="6">
        <v>62</v>
      </c>
      <c r="AD1017" s="6">
        <v>65</v>
      </c>
      <c r="AE1017" s="6">
        <v>71</v>
      </c>
      <c r="AF1017" s="6">
        <v>72</v>
      </c>
      <c r="AG1017" s="6" t="s">
        <v>7159</v>
      </c>
      <c r="AH1017" s="6" t="s">
        <v>6574</v>
      </c>
    </row>
    <row r="1018" spans="1:34" x14ac:dyDescent="0.2">
      <c r="A1018" t="s">
        <v>3432</v>
      </c>
      <c r="B1018" t="s">
        <v>1696</v>
      </c>
      <c r="C1018" t="s">
        <v>2872</v>
      </c>
      <c r="D1018" s="7" t="s">
        <v>139</v>
      </c>
      <c r="E1018" t="s">
        <v>58</v>
      </c>
      <c r="F1018">
        <v>28</v>
      </c>
      <c r="G1018">
        <v>74</v>
      </c>
      <c r="H1018">
        <v>71</v>
      </c>
      <c r="I1018" t="s">
        <v>6448</v>
      </c>
      <c r="J1018">
        <v>77</v>
      </c>
      <c r="K1018">
        <v>300</v>
      </c>
      <c r="L1018" t="s">
        <v>5126</v>
      </c>
      <c r="M1018" s="6" t="s">
        <v>6558</v>
      </c>
      <c r="N1018" s="6" t="s">
        <v>6614</v>
      </c>
      <c r="O1018" s="6">
        <v>68</v>
      </c>
      <c r="P1018" s="6">
        <v>75</v>
      </c>
      <c r="Q1018" s="6">
        <v>74</v>
      </c>
      <c r="R1018" s="6">
        <v>56</v>
      </c>
      <c r="S1018" s="6">
        <v>77</v>
      </c>
      <c r="T1018" s="6">
        <v>69</v>
      </c>
      <c r="U1018" s="6">
        <v>66</v>
      </c>
      <c r="V1018" s="6">
        <v>70</v>
      </c>
      <c r="W1018" s="6">
        <v>73</v>
      </c>
      <c r="X1018" s="6">
        <v>78</v>
      </c>
      <c r="Y1018" s="6">
        <v>92</v>
      </c>
      <c r="Z1018" s="6">
        <v>65</v>
      </c>
      <c r="AA1018" s="6">
        <v>68</v>
      </c>
      <c r="AB1018" s="6">
        <v>76</v>
      </c>
      <c r="AC1018" s="6">
        <v>71</v>
      </c>
      <c r="AD1018" s="6">
        <v>79</v>
      </c>
      <c r="AE1018" s="6">
        <v>69</v>
      </c>
      <c r="AF1018" s="6">
        <v>73</v>
      </c>
      <c r="AG1018" s="6" t="s">
        <v>7167</v>
      </c>
      <c r="AH1018" s="6" t="s">
        <v>6610</v>
      </c>
    </row>
    <row r="1019" spans="1:34" x14ac:dyDescent="0.2">
      <c r="A1019" t="s">
        <v>3453</v>
      </c>
      <c r="B1019" t="s">
        <v>1717</v>
      </c>
      <c r="C1019" t="s">
        <v>2879</v>
      </c>
      <c r="D1019" s="7" t="s">
        <v>139</v>
      </c>
      <c r="E1019" t="s">
        <v>38</v>
      </c>
      <c r="F1019">
        <v>23</v>
      </c>
      <c r="G1019">
        <v>60</v>
      </c>
      <c r="H1019">
        <v>71</v>
      </c>
      <c r="I1019" t="s">
        <v>6477</v>
      </c>
      <c r="J1019">
        <v>72</v>
      </c>
      <c r="K1019">
        <v>290</v>
      </c>
      <c r="L1019" t="s">
        <v>5147</v>
      </c>
      <c r="M1019" s="6" t="s">
        <v>6558</v>
      </c>
      <c r="N1019" s="6" t="s">
        <v>6567</v>
      </c>
      <c r="O1019" s="6">
        <v>68</v>
      </c>
      <c r="P1019" s="6">
        <v>64</v>
      </c>
      <c r="Q1019" s="6">
        <v>73</v>
      </c>
      <c r="R1019" s="6">
        <v>63</v>
      </c>
      <c r="S1019" s="6">
        <v>81</v>
      </c>
      <c r="T1019" s="6">
        <v>62</v>
      </c>
      <c r="U1019" s="6">
        <v>67</v>
      </c>
      <c r="V1019" s="6">
        <v>63</v>
      </c>
      <c r="W1019" s="6">
        <v>60</v>
      </c>
      <c r="X1019" s="6">
        <v>59</v>
      </c>
      <c r="Y1019" s="6">
        <v>75</v>
      </c>
      <c r="Z1019" s="6">
        <v>64</v>
      </c>
      <c r="AA1019" s="6">
        <v>69</v>
      </c>
      <c r="AB1019" s="6">
        <v>62</v>
      </c>
      <c r="AC1019" s="6">
        <v>63</v>
      </c>
      <c r="AD1019" s="6">
        <v>66</v>
      </c>
      <c r="AE1019" s="6">
        <v>63</v>
      </c>
      <c r="AF1019" s="6">
        <v>73</v>
      </c>
      <c r="AG1019" s="6" t="s">
        <v>7188</v>
      </c>
      <c r="AH1019" s="6" t="s">
        <v>6617</v>
      </c>
    </row>
    <row r="1020" spans="1:34" x14ac:dyDescent="0.2">
      <c r="A1020" t="s">
        <v>3457</v>
      </c>
      <c r="B1020" t="s">
        <v>1721</v>
      </c>
      <c r="C1020" t="s">
        <v>61</v>
      </c>
      <c r="D1020" s="7" t="s">
        <v>139</v>
      </c>
      <c r="E1020" t="s">
        <v>38</v>
      </c>
      <c r="F1020">
        <v>23</v>
      </c>
      <c r="G1020">
        <v>71</v>
      </c>
      <c r="H1020">
        <v>71</v>
      </c>
      <c r="I1020" t="s">
        <v>6483</v>
      </c>
      <c r="J1020">
        <v>68</v>
      </c>
      <c r="K1020">
        <v>199</v>
      </c>
      <c r="L1020" t="s">
        <v>5151</v>
      </c>
      <c r="M1020" s="6" t="s">
        <v>6558</v>
      </c>
      <c r="N1020" s="6" t="s">
        <v>6565</v>
      </c>
      <c r="O1020" s="6">
        <v>66</v>
      </c>
      <c r="P1020" s="6">
        <v>80</v>
      </c>
      <c r="Q1020" s="6">
        <v>74</v>
      </c>
      <c r="R1020" s="6">
        <v>70</v>
      </c>
      <c r="S1020" s="6">
        <v>77</v>
      </c>
      <c r="T1020" s="6">
        <v>72</v>
      </c>
      <c r="U1020" s="6">
        <v>77</v>
      </c>
      <c r="V1020" s="6">
        <v>68</v>
      </c>
      <c r="W1020" s="6">
        <v>76</v>
      </c>
      <c r="X1020" s="6">
        <v>69</v>
      </c>
      <c r="Y1020" s="6">
        <v>79</v>
      </c>
      <c r="Z1020" s="6">
        <v>79</v>
      </c>
      <c r="AA1020" s="6">
        <v>68</v>
      </c>
      <c r="AB1020" s="6">
        <v>76</v>
      </c>
      <c r="AC1020" s="6">
        <v>70</v>
      </c>
      <c r="AD1020" s="6">
        <v>72</v>
      </c>
      <c r="AE1020" s="6">
        <v>76</v>
      </c>
      <c r="AF1020" s="6">
        <v>77</v>
      </c>
      <c r="AG1020" s="6" t="s">
        <v>7192</v>
      </c>
      <c r="AH1020" s="6" t="s">
        <v>6694</v>
      </c>
    </row>
    <row r="1021" spans="1:34" x14ac:dyDescent="0.2">
      <c r="A1021" t="s">
        <v>3462</v>
      </c>
      <c r="B1021" t="s">
        <v>1726</v>
      </c>
      <c r="C1021" t="s">
        <v>2883</v>
      </c>
      <c r="D1021" s="7" t="s">
        <v>139</v>
      </c>
      <c r="E1021" t="s">
        <v>38</v>
      </c>
      <c r="F1021">
        <v>29</v>
      </c>
      <c r="G1021">
        <v>79</v>
      </c>
      <c r="H1021">
        <v>71</v>
      </c>
      <c r="I1021" t="s">
        <v>6488</v>
      </c>
      <c r="J1021">
        <v>72</v>
      </c>
      <c r="K1021">
        <v>218</v>
      </c>
      <c r="L1021" t="s">
        <v>5156</v>
      </c>
      <c r="M1021" s="6" t="s">
        <v>6558</v>
      </c>
      <c r="N1021" s="6" t="s">
        <v>6567</v>
      </c>
      <c r="O1021" s="6">
        <v>83</v>
      </c>
      <c r="P1021" s="6">
        <v>74</v>
      </c>
      <c r="Q1021" s="6">
        <v>78</v>
      </c>
      <c r="R1021" s="6">
        <v>69</v>
      </c>
      <c r="S1021" s="6">
        <v>75</v>
      </c>
      <c r="T1021" s="6">
        <v>73</v>
      </c>
      <c r="U1021" s="6">
        <v>70</v>
      </c>
      <c r="V1021" s="6">
        <v>74</v>
      </c>
      <c r="W1021" s="6">
        <v>67</v>
      </c>
      <c r="X1021" s="6">
        <v>69</v>
      </c>
      <c r="Y1021" s="6">
        <v>77</v>
      </c>
      <c r="Z1021" s="6">
        <v>79</v>
      </c>
      <c r="AA1021" s="6">
        <v>68</v>
      </c>
      <c r="AB1021" s="6">
        <v>74</v>
      </c>
      <c r="AC1021" s="6">
        <v>76</v>
      </c>
      <c r="AD1021" s="6">
        <v>68</v>
      </c>
      <c r="AE1021" s="6">
        <v>71</v>
      </c>
      <c r="AF1021" s="6">
        <v>79</v>
      </c>
      <c r="AG1021" s="6" t="s">
        <v>7197</v>
      </c>
      <c r="AH1021" s="6" t="s">
        <v>7198</v>
      </c>
    </row>
    <row r="1022" spans="1:34" x14ac:dyDescent="0.2">
      <c r="A1022" t="s">
        <v>3464</v>
      </c>
      <c r="B1022" t="s">
        <v>1728</v>
      </c>
      <c r="C1022" t="s">
        <v>2883</v>
      </c>
      <c r="D1022" s="7" t="s">
        <v>139</v>
      </c>
      <c r="E1022" t="s">
        <v>58</v>
      </c>
      <c r="F1022">
        <v>29</v>
      </c>
      <c r="G1022">
        <v>66</v>
      </c>
      <c r="H1022">
        <v>71</v>
      </c>
      <c r="I1022" t="s">
        <v>6490</v>
      </c>
      <c r="J1022">
        <v>73</v>
      </c>
      <c r="K1022">
        <v>212</v>
      </c>
      <c r="L1022" t="s">
        <v>5158</v>
      </c>
      <c r="M1022" s="6" t="s">
        <v>6558</v>
      </c>
      <c r="N1022" s="6" t="s">
        <v>6567</v>
      </c>
      <c r="O1022" s="6">
        <v>74</v>
      </c>
      <c r="P1022" s="6">
        <v>68</v>
      </c>
      <c r="Q1022" s="6">
        <v>69</v>
      </c>
      <c r="R1022" s="6">
        <v>69</v>
      </c>
      <c r="S1022" s="6">
        <v>66</v>
      </c>
      <c r="T1022" s="6">
        <v>64</v>
      </c>
      <c r="U1022" s="6">
        <v>60</v>
      </c>
      <c r="V1022" s="6">
        <v>69</v>
      </c>
      <c r="W1022" s="6">
        <v>65</v>
      </c>
      <c r="X1022" s="6">
        <v>65</v>
      </c>
      <c r="Y1022" s="6">
        <v>65</v>
      </c>
      <c r="Z1022" s="6">
        <v>70</v>
      </c>
      <c r="AA1022" s="6">
        <v>69</v>
      </c>
      <c r="AB1022" s="6">
        <v>65</v>
      </c>
      <c r="AC1022" s="6">
        <v>63</v>
      </c>
      <c r="AD1022" s="6">
        <v>71</v>
      </c>
      <c r="AE1022" s="6">
        <v>57</v>
      </c>
      <c r="AF1022" s="6">
        <v>64</v>
      </c>
      <c r="AG1022" s="6" t="s">
        <v>7200</v>
      </c>
      <c r="AH1022" s="6" t="s">
        <v>6640</v>
      </c>
    </row>
    <row r="1023" spans="1:34" x14ac:dyDescent="0.2">
      <c r="A1023" t="s">
        <v>3470</v>
      </c>
      <c r="B1023" t="s">
        <v>1734</v>
      </c>
      <c r="C1023" t="s">
        <v>2886</v>
      </c>
      <c r="D1023" s="7" t="s">
        <v>139</v>
      </c>
      <c r="E1023" t="s">
        <v>38</v>
      </c>
      <c r="F1023">
        <v>29</v>
      </c>
      <c r="G1023">
        <v>58</v>
      </c>
      <c r="H1023">
        <v>71</v>
      </c>
      <c r="I1023" t="s">
        <v>6410</v>
      </c>
      <c r="J1023">
        <v>74</v>
      </c>
      <c r="K1023">
        <v>234</v>
      </c>
      <c r="L1023" t="s">
        <v>5164</v>
      </c>
      <c r="M1023" s="6" t="s">
        <v>6558</v>
      </c>
      <c r="N1023" s="6" t="s">
        <v>6583</v>
      </c>
      <c r="O1023" s="6">
        <v>69</v>
      </c>
      <c r="P1023" s="6">
        <v>67</v>
      </c>
      <c r="Q1023" s="6">
        <v>82</v>
      </c>
      <c r="R1023" s="6">
        <v>79</v>
      </c>
      <c r="S1023" s="6">
        <v>74</v>
      </c>
      <c r="T1023" s="6">
        <v>71</v>
      </c>
      <c r="U1023" s="6">
        <v>72</v>
      </c>
      <c r="V1023" s="6">
        <v>66</v>
      </c>
      <c r="W1023" s="6">
        <v>69</v>
      </c>
      <c r="X1023" s="6">
        <v>70</v>
      </c>
      <c r="Y1023" s="6">
        <v>73</v>
      </c>
      <c r="Z1023" s="6">
        <v>84</v>
      </c>
      <c r="AA1023" s="6">
        <v>72</v>
      </c>
      <c r="AB1023" s="6">
        <v>68</v>
      </c>
      <c r="AC1023" s="6">
        <v>63</v>
      </c>
      <c r="AD1023" s="6">
        <v>69</v>
      </c>
      <c r="AE1023" s="6">
        <v>69</v>
      </c>
      <c r="AF1023" s="6">
        <v>73</v>
      </c>
      <c r="AG1023" s="6" t="s">
        <v>7205</v>
      </c>
      <c r="AH1023" s="6" t="s">
        <v>6649</v>
      </c>
    </row>
    <row r="1024" spans="1:34" x14ac:dyDescent="0.2">
      <c r="A1024" t="s">
        <v>3482</v>
      </c>
      <c r="B1024" t="s">
        <v>1746</v>
      </c>
      <c r="C1024" t="s">
        <v>57</v>
      </c>
      <c r="D1024" s="7" t="s">
        <v>140</v>
      </c>
      <c r="E1024" t="s">
        <v>58</v>
      </c>
      <c r="F1024">
        <v>24</v>
      </c>
      <c r="G1024">
        <v>67</v>
      </c>
      <c r="H1024">
        <v>71</v>
      </c>
      <c r="I1024" t="s">
        <v>6406</v>
      </c>
      <c r="J1024">
        <v>71</v>
      </c>
      <c r="K1024">
        <v>203</v>
      </c>
      <c r="L1024" t="s">
        <v>5176</v>
      </c>
      <c r="M1024" s="6" t="s">
        <v>6558</v>
      </c>
      <c r="N1024" s="6" t="s">
        <v>6614</v>
      </c>
      <c r="O1024" s="6">
        <v>68</v>
      </c>
      <c r="P1024" s="6">
        <v>70</v>
      </c>
      <c r="Q1024" s="6">
        <v>70</v>
      </c>
      <c r="R1024" s="6">
        <v>62</v>
      </c>
      <c r="S1024" s="6">
        <v>75</v>
      </c>
      <c r="T1024" s="6">
        <v>59</v>
      </c>
      <c r="U1024" s="6">
        <v>71</v>
      </c>
      <c r="V1024" s="6">
        <v>66</v>
      </c>
      <c r="W1024" s="6">
        <v>84</v>
      </c>
      <c r="X1024" s="6">
        <v>68</v>
      </c>
      <c r="Y1024" s="6">
        <v>67</v>
      </c>
      <c r="Z1024" s="6">
        <v>68</v>
      </c>
      <c r="AA1024" s="6">
        <v>62</v>
      </c>
      <c r="AB1024" s="6">
        <v>73</v>
      </c>
      <c r="AC1024" s="6">
        <v>62</v>
      </c>
      <c r="AD1024" s="6">
        <v>71</v>
      </c>
      <c r="AE1024" s="6">
        <v>66</v>
      </c>
      <c r="AF1024" s="6">
        <v>67</v>
      </c>
      <c r="AG1024" s="6" t="s">
        <v>7217</v>
      </c>
      <c r="AH1024" s="6" t="s">
        <v>6730</v>
      </c>
    </row>
    <row r="1025" spans="1:34" x14ac:dyDescent="0.2">
      <c r="A1025" t="s">
        <v>3496</v>
      </c>
      <c r="B1025" t="s">
        <v>1760</v>
      </c>
      <c r="C1025" t="s">
        <v>2878</v>
      </c>
      <c r="D1025" s="7" t="s">
        <v>140</v>
      </c>
      <c r="E1025" t="s">
        <v>58</v>
      </c>
      <c r="F1025">
        <v>30</v>
      </c>
      <c r="G1025">
        <v>80</v>
      </c>
      <c r="H1025">
        <v>71</v>
      </c>
      <c r="I1025" t="s">
        <v>6397</v>
      </c>
      <c r="J1025">
        <v>77</v>
      </c>
      <c r="K1025">
        <v>256</v>
      </c>
      <c r="L1025" t="s">
        <v>5190</v>
      </c>
      <c r="M1025" s="6" t="s">
        <v>6558</v>
      </c>
      <c r="N1025" s="6" t="s">
        <v>6565</v>
      </c>
      <c r="O1025" s="6">
        <v>85</v>
      </c>
      <c r="P1025" s="6">
        <v>80</v>
      </c>
      <c r="Q1025" s="6">
        <v>78</v>
      </c>
      <c r="R1025" s="6">
        <v>73</v>
      </c>
      <c r="S1025" s="6">
        <v>76</v>
      </c>
      <c r="T1025" s="6">
        <v>70</v>
      </c>
      <c r="U1025" s="6">
        <v>75</v>
      </c>
      <c r="V1025" s="6">
        <v>73</v>
      </c>
      <c r="W1025" s="6">
        <v>82</v>
      </c>
      <c r="X1025" s="6">
        <v>78</v>
      </c>
      <c r="Y1025" s="6">
        <v>77</v>
      </c>
      <c r="Z1025" s="6">
        <v>80</v>
      </c>
      <c r="AA1025" s="6">
        <v>71</v>
      </c>
      <c r="AB1025" s="6">
        <v>72</v>
      </c>
      <c r="AC1025" s="6">
        <v>71</v>
      </c>
      <c r="AD1025" s="6">
        <v>71</v>
      </c>
      <c r="AE1025" s="6">
        <v>68</v>
      </c>
      <c r="AF1025" s="6">
        <v>66</v>
      </c>
      <c r="AG1025" s="6" t="s">
        <v>7232</v>
      </c>
      <c r="AH1025" s="6" t="s">
        <v>6686</v>
      </c>
    </row>
    <row r="1026" spans="1:34" x14ac:dyDescent="0.2">
      <c r="A1026" t="s">
        <v>3523</v>
      </c>
      <c r="B1026" t="s">
        <v>1787</v>
      </c>
      <c r="C1026" t="s">
        <v>53</v>
      </c>
      <c r="D1026" s="7" t="s">
        <v>141</v>
      </c>
      <c r="E1026" t="s">
        <v>58</v>
      </c>
      <c r="F1026">
        <v>25</v>
      </c>
      <c r="G1026">
        <v>71</v>
      </c>
      <c r="H1026">
        <v>71</v>
      </c>
      <c r="I1026" t="s">
        <v>6353</v>
      </c>
      <c r="J1026">
        <v>75</v>
      </c>
      <c r="K1026">
        <v>235</v>
      </c>
      <c r="L1026" t="s">
        <v>5217</v>
      </c>
      <c r="M1026" s="6" t="s">
        <v>6558</v>
      </c>
      <c r="N1026" s="6" t="s">
        <v>6583</v>
      </c>
      <c r="O1026" s="6">
        <v>68</v>
      </c>
      <c r="P1026" s="6">
        <v>75</v>
      </c>
      <c r="Q1026" s="6">
        <v>67</v>
      </c>
      <c r="R1026" s="6">
        <v>76</v>
      </c>
      <c r="S1026" s="6">
        <v>62</v>
      </c>
      <c r="T1026" s="6">
        <v>64</v>
      </c>
      <c r="U1026" s="6">
        <v>66</v>
      </c>
      <c r="V1026" s="6">
        <v>71</v>
      </c>
      <c r="W1026" s="6">
        <v>72</v>
      </c>
      <c r="X1026" s="6">
        <v>60</v>
      </c>
      <c r="Y1026" s="6">
        <v>61</v>
      </c>
      <c r="Z1026" s="6">
        <v>68</v>
      </c>
      <c r="AA1026" s="6">
        <v>69</v>
      </c>
      <c r="AB1026" s="6">
        <v>68</v>
      </c>
      <c r="AC1026" s="6">
        <v>63</v>
      </c>
      <c r="AD1026" s="6">
        <v>73</v>
      </c>
      <c r="AE1026" s="6">
        <v>71</v>
      </c>
      <c r="AF1026" s="6">
        <v>70</v>
      </c>
      <c r="AG1026" s="6" t="s">
        <v>7260</v>
      </c>
      <c r="AH1026" s="6" t="s">
        <v>6570</v>
      </c>
    </row>
    <row r="1027" spans="1:34" x14ac:dyDescent="0.2">
      <c r="A1027" t="s">
        <v>3537</v>
      </c>
      <c r="B1027" t="s">
        <v>1801</v>
      </c>
      <c r="C1027" t="s">
        <v>57</v>
      </c>
      <c r="D1027" s="7" t="s">
        <v>141</v>
      </c>
      <c r="E1027" t="s">
        <v>58</v>
      </c>
      <c r="F1027">
        <v>29</v>
      </c>
      <c r="G1027">
        <v>70</v>
      </c>
      <c r="H1027">
        <v>71</v>
      </c>
      <c r="I1027" t="s">
        <v>6311</v>
      </c>
      <c r="J1027">
        <v>72</v>
      </c>
      <c r="K1027">
        <v>216</v>
      </c>
      <c r="L1027" t="s">
        <v>5231</v>
      </c>
      <c r="M1027" s="6" t="s">
        <v>6558</v>
      </c>
      <c r="N1027" s="6" t="s">
        <v>6565</v>
      </c>
      <c r="O1027" s="6">
        <v>83</v>
      </c>
      <c r="P1027" s="6">
        <v>69</v>
      </c>
      <c r="Q1027" s="6">
        <v>78</v>
      </c>
      <c r="R1027" s="6">
        <v>70</v>
      </c>
      <c r="S1027" s="6">
        <v>79</v>
      </c>
      <c r="T1027" s="6">
        <v>72</v>
      </c>
      <c r="U1027" s="6">
        <v>69</v>
      </c>
      <c r="V1027" s="6">
        <v>79</v>
      </c>
      <c r="W1027" s="6">
        <v>73</v>
      </c>
      <c r="X1027" s="6">
        <v>71</v>
      </c>
      <c r="Y1027" s="6">
        <v>71</v>
      </c>
      <c r="Z1027" s="6">
        <v>72</v>
      </c>
      <c r="AA1027" s="6">
        <v>67</v>
      </c>
      <c r="AB1027" s="6">
        <v>61</v>
      </c>
      <c r="AC1027" s="6">
        <v>63</v>
      </c>
      <c r="AD1027" s="6">
        <v>72</v>
      </c>
      <c r="AE1027" s="6">
        <v>65</v>
      </c>
      <c r="AF1027" s="6">
        <v>68</v>
      </c>
      <c r="AG1027" s="6" t="s">
        <v>7274</v>
      </c>
      <c r="AH1027" s="6" t="s">
        <v>6574</v>
      </c>
    </row>
    <row r="1028" spans="1:34" x14ac:dyDescent="0.2">
      <c r="A1028" t="s">
        <v>3544</v>
      </c>
      <c r="B1028" t="s">
        <v>1808</v>
      </c>
      <c r="C1028" t="s">
        <v>2873</v>
      </c>
      <c r="D1028" s="7" t="s">
        <v>141</v>
      </c>
      <c r="E1028" t="s">
        <v>38</v>
      </c>
      <c r="F1028">
        <v>28</v>
      </c>
      <c r="G1028">
        <v>79</v>
      </c>
      <c r="H1028">
        <v>71</v>
      </c>
      <c r="I1028" t="s">
        <v>62</v>
      </c>
      <c r="J1028">
        <v>78</v>
      </c>
      <c r="K1028">
        <v>316</v>
      </c>
      <c r="L1028" t="s">
        <v>5238</v>
      </c>
      <c r="M1028" s="6" t="s">
        <v>6558</v>
      </c>
      <c r="N1028" s="6" t="s">
        <v>6559</v>
      </c>
      <c r="O1028" s="6">
        <v>81</v>
      </c>
      <c r="P1028" s="6">
        <v>79</v>
      </c>
      <c r="Q1028" s="6">
        <v>73</v>
      </c>
      <c r="R1028" s="6">
        <v>84</v>
      </c>
      <c r="S1028" s="6">
        <v>82</v>
      </c>
      <c r="T1028" s="6">
        <v>76</v>
      </c>
      <c r="U1028" s="6">
        <v>76</v>
      </c>
      <c r="V1028" s="6">
        <v>83</v>
      </c>
      <c r="W1028" s="6">
        <v>73</v>
      </c>
      <c r="X1028" s="6">
        <v>69</v>
      </c>
      <c r="Y1028" s="6">
        <v>72</v>
      </c>
      <c r="Z1028" s="6">
        <v>87</v>
      </c>
      <c r="AA1028" s="6">
        <v>75</v>
      </c>
      <c r="AB1028" s="6">
        <v>77</v>
      </c>
      <c r="AC1028" s="6">
        <v>70</v>
      </c>
      <c r="AD1028" s="6">
        <v>85</v>
      </c>
      <c r="AE1028" s="6">
        <v>78</v>
      </c>
      <c r="AF1028" s="6">
        <v>73</v>
      </c>
      <c r="AG1028" s="6" t="s">
        <v>7281</v>
      </c>
      <c r="AH1028" s="6" t="s">
        <v>6610</v>
      </c>
    </row>
    <row r="1029" spans="1:34" x14ac:dyDescent="0.2">
      <c r="A1029" t="s">
        <v>3616</v>
      </c>
      <c r="B1029" t="s">
        <v>1880</v>
      </c>
      <c r="C1029" t="s">
        <v>61</v>
      </c>
      <c r="D1029" s="7" t="s">
        <v>142</v>
      </c>
      <c r="E1029" t="s">
        <v>38</v>
      </c>
      <c r="F1029">
        <v>23</v>
      </c>
      <c r="G1029">
        <v>72</v>
      </c>
      <c r="H1029">
        <v>71</v>
      </c>
      <c r="I1029" t="s">
        <v>6405</v>
      </c>
      <c r="J1029">
        <v>69</v>
      </c>
      <c r="K1029">
        <v>203</v>
      </c>
      <c r="L1029" t="s">
        <v>5310</v>
      </c>
      <c r="M1029" s="6" t="s">
        <v>6558</v>
      </c>
      <c r="N1029" s="6" t="s">
        <v>6614</v>
      </c>
      <c r="O1029" s="6">
        <v>66</v>
      </c>
      <c r="P1029" s="6">
        <v>68</v>
      </c>
      <c r="Q1029" s="6">
        <v>71</v>
      </c>
      <c r="R1029" s="6">
        <v>56</v>
      </c>
      <c r="S1029" s="6">
        <v>77</v>
      </c>
      <c r="T1029" s="6">
        <v>63</v>
      </c>
      <c r="U1029" s="6">
        <v>64</v>
      </c>
      <c r="V1029" s="6">
        <v>71</v>
      </c>
      <c r="W1029" s="6">
        <v>82</v>
      </c>
      <c r="X1029" s="6">
        <v>66</v>
      </c>
      <c r="Y1029" s="6">
        <v>69</v>
      </c>
      <c r="Z1029" s="6">
        <v>69</v>
      </c>
      <c r="AA1029" s="6">
        <v>72</v>
      </c>
      <c r="AB1029" s="6">
        <v>73</v>
      </c>
      <c r="AC1029" s="6">
        <v>69</v>
      </c>
      <c r="AD1029" s="6">
        <v>73</v>
      </c>
      <c r="AE1029" s="6">
        <v>65</v>
      </c>
      <c r="AF1029" s="6">
        <v>79</v>
      </c>
      <c r="AG1029" s="6" t="s">
        <v>7351</v>
      </c>
      <c r="AH1029" s="6" t="s">
        <v>6630</v>
      </c>
    </row>
    <row r="1030" spans="1:34" x14ac:dyDescent="0.2">
      <c r="A1030" t="s">
        <v>3620</v>
      </c>
      <c r="B1030" t="s">
        <v>1884</v>
      </c>
      <c r="C1030" t="s">
        <v>2882</v>
      </c>
      <c r="D1030" s="7" t="s">
        <v>142</v>
      </c>
      <c r="E1030" t="s">
        <v>38</v>
      </c>
      <c r="F1030">
        <v>22</v>
      </c>
      <c r="G1030">
        <v>70</v>
      </c>
      <c r="H1030">
        <v>71</v>
      </c>
      <c r="I1030" t="s">
        <v>6495</v>
      </c>
      <c r="J1030">
        <v>71</v>
      </c>
      <c r="K1030">
        <v>199</v>
      </c>
      <c r="L1030" t="s">
        <v>5314</v>
      </c>
      <c r="M1030" s="6" t="s">
        <v>6558</v>
      </c>
      <c r="N1030" s="6" t="s">
        <v>6567</v>
      </c>
      <c r="O1030" s="6">
        <v>77</v>
      </c>
      <c r="P1030" s="6">
        <v>70</v>
      </c>
      <c r="Q1030" s="6">
        <v>68</v>
      </c>
      <c r="R1030" s="6">
        <v>68</v>
      </c>
      <c r="S1030" s="6">
        <v>78</v>
      </c>
      <c r="T1030" s="6">
        <v>61</v>
      </c>
      <c r="U1030" s="6">
        <v>73</v>
      </c>
      <c r="V1030" s="6">
        <v>67</v>
      </c>
      <c r="W1030" s="6">
        <v>71</v>
      </c>
      <c r="X1030" s="6">
        <v>67</v>
      </c>
      <c r="Y1030" s="6">
        <v>72</v>
      </c>
      <c r="Z1030" s="6">
        <v>68</v>
      </c>
      <c r="AA1030" s="6">
        <v>66</v>
      </c>
      <c r="AB1030" s="6">
        <v>71</v>
      </c>
      <c r="AC1030" s="6">
        <v>66</v>
      </c>
      <c r="AD1030" s="6">
        <v>72</v>
      </c>
      <c r="AE1030" s="6">
        <v>72</v>
      </c>
      <c r="AF1030" s="6">
        <v>72</v>
      </c>
      <c r="AG1030" s="6" t="s">
        <v>7355</v>
      </c>
      <c r="AH1030" s="6" t="s">
        <v>6636</v>
      </c>
    </row>
    <row r="1031" spans="1:34" x14ac:dyDescent="0.2">
      <c r="A1031" t="s">
        <v>3677</v>
      </c>
      <c r="B1031" t="s">
        <v>1941</v>
      </c>
      <c r="C1031" t="s">
        <v>61</v>
      </c>
      <c r="D1031" s="7" t="s">
        <v>143</v>
      </c>
      <c r="E1031" t="s">
        <v>58</v>
      </c>
      <c r="F1031">
        <v>31</v>
      </c>
      <c r="G1031">
        <v>65</v>
      </c>
      <c r="H1031">
        <v>71</v>
      </c>
      <c r="I1031" t="s">
        <v>6448</v>
      </c>
      <c r="J1031">
        <v>74</v>
      </c>
      <c r="K1031">
        <v>196</v>
      </c>
      <c r="L1031" t="s">
        <v>5371</v>
      </c>
      <c r="M1031" s="6" t="s">
        <v>6558</v>
      </c>
      <c r="N1031" s="6" t="s">
        <v>6567</v>
      </c>
      <c r="O1031" s="6">
        <v>85</v>
      </c>
      <c r="P1031" s="6">
        <v>72</v>
      </c>
      <c r="Q1031" s="6">
        <v>77</v>
      </c>
      <c r="R1031" s="6">
        <v>68</v>
      </c>
      <c r="S1031" s="6">
        <v>86</v>
      </c>
      <c r="T1031" s="6">
        <v>68</v>
      </c>
      <c r="U1031" s="6">
        <v>75</v>
      </c>
      <c r="V1031" s="6">
        <v>75</v>
      </c>
      <c r="W1031" s="6">
        <v>69</v>
      </c>
      <c r="X1031" s="6">
        <v>70</v>
      </c>
      <c r="Y1031" s="6">
        <v>67</v>
      </c>
      <c r="Z1031" s="6">
        <v>76</v>
      </c>
      <c r="AA1031" s="6">
        <v>68</v>
      </c>
      <c r="AB1031" s="6">
        <v>62</v>
      </c>
      <c r="AC1031" s="6">
        <v>66</v>
      </c>
      <c r="AD1031" s="6">
        <v>68</v>
      </c>
      <c r="AE1031" s="6">
        <v>61</v>
      </c>
      <c r="AF1031" s="6">
        <v>73</v>
      </c>
      <c r="AG1031" s="6" t="s">
        <v>7413</v>
      </c>
      <c r="AH1031" s="6" t="s">
        <v>6696</v>
      </c>
    </row>
    <row r="1032" spans="1:34" x14ac:dyDescent="0.2">
      <c r="A1032" t="s">
        <v>3684</v>
      </c>
      <c r="B1032" t="s">
        <v>1948</v>
      </c>
      <c r="C1032" t="s">
        <v>2889</v>
      </c>
      <c r="D1032" s="7" t="s">
        <v>143</v>
      </c>
      <c r="E1032" t="s">
        <v>38</v>
      </c>
      <c r="F1032">
        <v>23</v>
      </c>
      <c r="G1032">
        <v>71</v>
      </c>
      <c r="H1032">
        <v>71</v>
      </c>
      <c r="I1032" t="s">
        <v>6502</v>
      </c>
      <c r="J1032">
        <v>74</v>
      </c>
      <c r="K1032">
        <v>235</v>
      </c>
      <c r="L1032" t="s">
        <v>5378</v>
      </c>
      <c r="M1032" s="6" t="s">
        <v>6558</v>
      </c>
      <c r="N1032" s="6" t="s">
        <v>6559</v>
      </c>
      <c r="O1032" s="6">
        <v>72</v>
      </c>
      <c r="P1032" s="6">
        <v>63</v>
      </c>
      <c r="Q1032" s="6">
        <v>65</v>
      </c>
      <c r="R1032" s="6">
        <v>85</v>
      </c>
      <c r="S1032" s="6">
        <v>61</v>
      </c>
      <c r="T1032" s="6">
        <v>55</v>
      </c>
      <c r="U1032" s="6">
        <v>67</v>
      </c>
      <c r="V1032" s="6">
        <v>68</v>
      </c>
      <c r="W1032" s="6">
        <v>62</v>
      </c>
      <c r="X1032" s="6">
        <v>51</v>
      </c>
      <c r="Y1032" s="6">
        <v>65</v>
      </c>
      <c r="Z1032" s="6">
        <v>66</v>
      </c>
      <c r="AA1032" s="6">
        <v>67</v>
      </c>
      <c r="AB1032" s="6">
        <v>66</v>
      </c>
      <c r="AC1032" s="6">
        <v>69</v>
      </c>
      <c r="AD1032" s="6">
        <v>59</v>
      </c>
      <c r="AE1032" s="6">
        <v>68</v>
      </c>
      <c r="AF1032" s="6">
        <v>73</v>
      </c>
      <c r="AG1032" s="6" t="s">
        <v>7421</v>
      </c>
      <c r="AH1032" s="6" t="s">
        <v>6709</v>
      </c>
    </row>
    <row r="1033" spans="1:34" x14ac:dyDescent="0.2">
      <c r="A1033" t="s">
        <v>3731</v>
      </c>
      <c r="B1033" t="s">
        <v>1995</v>
      </c>
      <c r="C1033" t="s">
        <v>2880</v>
      </c>
      <c r="D1033" s="7" t="s">
        <v>154</v>
      </c>
      <c r="E1033" t="s">
        <v>38</v>
      </c>
      <c r="F1033">
        <v>23</v>
      </c>
      <c r="G1033">
        <v>69</v>
      </c>
      <c r="H1033">
        <v>71</v>
      </c>
      <c r="I1033" t="s">
        <v>59</v>
      </c>
      <c r="J1033">
        <v>73</v>
      </c>
      <c r="K1033">
        <v>256</v>
      </c>
      <c r="L1033" t="s">
        <v>5425</v>
      </c>
      <c r="M1033" s="6" t="s">
        <v>6558</v>
      </c>
      <c r="N1033" s="6" t="s">
        <v>6614</v>
      </c>
      <c r="O1033" s="6">
        <v>65</v>
      </c>
      <c r="P1033" s="6">
        <v>73</v>
      </c>
      <c r="Q1033" s="6">
        <v>61</v>
      </c>
      <c r="R1033" s="6">
        <v>59</v>
      </c>
      <c r="S1033" s="6">
        <v>69</v>
      </c>
      <c r="T1033" s="6">
        <v>67</v>
      </c>
      <c r="U1033" s="6">
        <v>59</v>
      </c>
      <c r="V1033" s="6">
        <v>68</v>
      </c>
      <c r="W1033" s="6">
        <v>59</v>
      </c>
      <c r="X1033" s="6">
        <v>67</v>
      </c>
      <c r="Y1033" s="6">
        <v>71</v>
      </c>
      <c r="Z1033" s="6">
        <v>69</v>
      </c>
      <c r="AA1033" s="6">
        <v>62</v>
      </c>
      <c r="AB1033" s="6">
        <v>69</v>
      </c>
      <c r="AC1033" s="6">
        <v>66</v>
      </c>
      <c r="AD1033" s="6">
        <v>77</v>
      </c>
      <c r="AE1033" s="6">
        <v>66</v>
      </c>
      <c r="AF1033" s="6">
        <v>70</v>
      </c>
      <c r="AG1033" s="6" t="s">
        <v>7467</v>
      </c>
      <c r="AH1033" s="6" t="s">
        <v>6623</v>
      </c>
    </row>
    <row r="1034" spans="1:34" x14ac:dyDescent="0.2">
      <c r="A1034" t="s">
        <v>3743</v>
      </c>
      <c r="B1034" t="s">
        <v>2007</v>
      </c>
      <c r="C1034" t="s">
        <v>2886</v>
      </c>
      <c r="D1034" s="7" t="s">
        <v>154</v>
      </c>
      <c r="E1034" t="s">
        <v>38</v>
      </c>
      <c r="F1034">
        <v>24</v>
      </c>
      <c r="G1034">
        <v>85</v>
      </c>
      <c r="H1034">
        <v>71</v>
      </c>
      <c r="I1034" t="s">
        <v>6325</v>
      </c>
      <c r="J1034">
        <v>76</v>
      </c>
      <c r="K1034">
        <v>247</v>
      </c>
      <c r="L1034" t="s">
        <v>5437</v>
      </c>
      <c r="M1034" s="6" t="s">
        <v>6558</v>
      </c>
      <c r="N1034" s="6" t="s">
        <v>6565</v>
      </c>
      <c r="O1034" s="6">
        <v>86</v>
      </c>
      <c r="P1034" s="6">
        <v>72</v>
      </c>
      <c r="Q1034" s="6">
        <v>72</v>
      </c>
      <c r="R1034" s="6">
        <v>74</v>
      </c>
      <c r="S1034" s="6">
        <v>73</v>
      </c>
      <c r="T1034" s="6">
        <v>69</v>
      </c>
      <c r="U1034" s="6">
        <v>86</v>
      </c>
      <c r="V1034" s="6">
        <v>76</v>
      </c>
      <c r="W1034" s="6">
        <v>62</v>
      </c>
      <c r="X1034" s="6">
        <v>76</v>
      </c>
      <c r="Y1034" s="6">
        <v>79</v>
      </c>
      <c r="Z1034" s="6">
        <v>83</v>
      </c>
      <c r="AA1034" s="6">
        <v>77</v>
      </c>
      <c r="AB1034" s="6">
        <v>82</v>
      </c>
      <c r="AC1034" s="6">
        <v>75</v>
      </c>
      <c r="AD1034" s="6">
        <v>78</v>
      </c>
      <c r="AE1034" s="6">
        <v>78</v>
      </c>
      <c r="AF1034" s="6">
        <v>83</v>
      </c>
      <c r="AG1034" s="6" t="s">
        <v>7479</v>
      </c>
      <c r="AH1034" s="6" t="s">
        <v>6711</v>
      </c>
    </row>
    <row r="1035" spans="1:34" x14ac:dyDescent="0.2">
      <c r="A1035" t="s">
        <v>3769</v>
      </c>
      <c r="B1035" t="s">
        <v>2033</v>
      </c>
      <c r="C1035" t="s">
        <v>2876</v>
      </c>
      <c r="D1035" s="7" t="s">
        <v>155</v>
      </c>
      <c r="E1035" t="s">
        <v>38</v>
      </c>
      <c r="F1035">
        <v>30</v>
      </c>
      <c r="G1035">
        <v>70</v>
      </c>
      <c r="H1035">
        <v>71</v>
      </c>
      <c r="I1035" t="s">
        <v>6343</v>
      </c>
      <c r="J1035">
        <v>76</v>
      </c>
      <c r="K1035">
        <v>304</v>
      </c>
      <c r="L1035" t="s">
        <v>5463</v>
      </c>
      <c r="M1035" s="6" t="s">
        <v>6558</v>
      </c>
      <c r="N1035" s="6" t="s">
        <v>6565</v>
      </c>
      <c r="O1035" s="6">
        <v>78</v>
      </c>
      <c r="P1035" s="6">
        <v>78</v>
      </c>
      <c r="Q1035" s="6">
        <v>81</v>
      </c>
      <c r="R1035" s="6">
        <v>75</v>
      </c>
      <c r="S1035" s="6">
        <v>67</v>
      </c>
      <c r="T1035" s="6">
        <v>74</v>
      </c>
      <c r="U1035" s="6">
        <v>69</v>
      </c>
      <c r="V1035" s="6">
        <v>86</v>
      </c>
      <c r="W1035" s="6">
        <v>80</v>
      </c>
      <c r="X1035" s="6">
        <v>80</v>
      </c>
      <c r="Y1035" s="6">
        <v>75</v>
      </c>
      <c r="Z1035" s="6">
        <v>76</v>
      </c>
      <c r="AA1035" s="6">
        <v>75</v>
      </c>
      <c r="AB1035" s="6">
        <v>65</v>
      </c>
      <c r="AC1035" s="6">
        <v>66</v>
      </c>
      <c r="AD1035" s="6">
        <v>76</v>
      </c>
      <c r="AE1035" s="6">
        <v>75</v>
      </c>
      <c r="AF1035" s="6">
        <v>76</v>
      </c>
      <c r="AG1035" s="6" t="s">
        <v>7505</v>
      </c>
      <c r="AH1035" s="6" t="s">
        <v>6598</v>
      </c>
    </row>
    <row r="1036" spans="1:34" x14ac:dyDescent="0.2">
      <c r="A1036" t="s">
        <v>3771</v>
      </c>
      <c r="B1036" t="s">
        <v>2035</v>
      </c>
      <c r="C1036" t="s">
        <v>2878</v>
      </c>
      <c r="D1036" s="7" t="s">
        <v>155</v>
      </c>
      <c r="E1036" t="s">
        <v>38</v>
      </c>
      <c r="F1036">
        <v>30</v>
      </c>
      <c r="G1036">
        <v>82</v>
      </c>
      <c r="H1036">
        <v>71</v>
      </c>
      <c r="I1036" t="s">
        <v>6410</v>
      </c>
      <c r="J1036">
        <v>75</v>
      </c>
      <c r="K1036">
        <v>278</v>
      </c>
      <c r="L1036" t="s">
        <v>5465</v>
      </c>
      <c r="M1036" s="6" t="s">
        <v>6558</v>
      </c>
      <c r="N1036" s="6" t="s">
        <v>6565</v>
      </c>
      <c r="O1036" s="6">
        <v>84</v>
      </c>
      <c r="P1036" s="6">
        <v>68</v>
      </c>
      <c r="Q1036" s="6">
        <v>75</v>
      </c>
      <c r="R1036" s="6">
        <v>70</v>
      </c>
      <c r="S1036" s="6">
        <v>81</v>
      </c>
      <c r="T1036" s="6">
        <v>81</v>
      </c>
      <c r="U1036" s="6">
        <v>77</v>
      </c>
      <c r="V1036" s="6">
        <v>79</v>
      </c>
      <c r="W1036" s="6">
        <v>77</v>
      </c>
      <c r="X1036" s="6">
        <v>80</v>
      </c>
      <c r="Y1036" s="6">
        <v>84</v>
      </c>
      <c r="Z1036" s="6">
        <v>68</v>
      </c>
      <c r="AA1036" s="6">
        <v>73</v>
      </c>
      <c r="AB1036" s="6">
        <v>77</v>
      </c>
      <c r="AC1036" s="6">
        <v>71</v>
      </c>
      <c r="AD1036" s="6">
        <v>67</v>
      </c>
      <c r="AE1036" s="6">
        <v>69</v>
      </c>
      <c r="AF1036" s="6">
        <v>82</v>
      </c>
      <c r="AG1036" s="6" t="s">
        <v>7507</v>
      </c>
      <c r="AH1036" s="6" t="s">
        <v>6684</v>
      </c>
    </row>
    <row r="1037" spans="1:34" x14ac:dyDescent="0.2">
      <c r="A1037" t="s">
        <v>3798</v>
      </c>
      <c r="B1037" t="s">
        <v>2062</v>
      </c>
      <c r="C1037" t="s">
        <v>2885</v>
      </c>
      <c r="D1037" s="7" t="s">
        <v>155</v>
      </c>
      <c r="E1037" t="s">
        <v>58</v>
      </c>
      <c r="F1037">
        <v>32</v>
      </c>
      <c r="G1037">
        <v>73</v>
      </c>
      <c r="H1037">
        <v>71</v>
      </c>
      <c r="I1037" t="s">
        <v>6389</v>
      </c>
      <c r="J1037">
        <v>73</v>
      </c>
      <c r="K1037">
        <v>247</v>
      </c>
      <c r="L1037" t="s">
        <v>5492</v>
      </c>
      <c r="M1037" s="6" t="s">
        <v>6558</v>
      </c>
      <c r="N1037" s="6" t="s">
        <v>6567</v>
      </c>
      <c r="O1037" s="6">
        <v>66</v>
      </c>
      <c r="P1037" s="6">
        <v>76</v>
      </c>
      <c r="Q1037" s="6">
        <v>70</v>
      </c>
      <c r="R1037" s="6">
        <v>67</v>
      </c>
      <c r="S1037" s="6">
        <v>80</v>
      </c>
      <c r="T1037" s="6">
        <v>71</v>
      </c>
      <c r="U1037" s="6">
        <v>65</v>
      </c>
      <c r="V1037" s="6">
        <v>78</v>
      </c>
      <c r="W1037" s="6">
        <v>81</v>
      </c>
      <c r="X1037" s="6">
        <v>66</v>
      </c>
      <c r="Y1037" s="6">
        <v>78</v>
      </c>
      <c r="Z1037" s="6">
        <v>84</v>
      </c>
      <c r="AA1037" s="6">
        <v>68</v>
      </c>
      <c r="AB1037" s="6">
        <v>69</v>
      </c>
      <c r="AC1037" s="6">
        <v>65</v>
      </c>
      <c r="AD1037" s="6">
        <v>68</v>
      </c>
      <c r="AE1037" s="6">
        <v>66</v>
      </c>
      <c r="AF1037" s="6">
        <v>67</v>
      </c>
      <c r="AG1037" s="6" t="s">
        <v>7534</v>
      </c>
      <c r="AH1037" s="6" t="s">
        <v>6628</v>
      </c>
    </row>
    <row r="1038" spans="1:34" x14ac:dyDescent="0.2">
      <c r="A1038" t="s">
        <v>3814</v>
      </c>
      <c r="B1038" t="s">
        <v>2078</v>
      </c>
      <c r="C1038" t="s">
        <v>57</v>
      </c>
      <c r="D1038" s="7" t="s">
        <v>148</v>
      </c>
      <c r="E1038" t="s">
        <v>58</v>
      </c>
      <c r="F1038">
        <v>31</v>
      </c>
      <c r="G1038">
        <v>66</v>
      </c>
      <c r="H1038">
        <v>71</v>
      </c>
      <c r="I1038" t="s">
        <v>6477</v>
      </c>
      <c r="J1038">
        <v>71</v>
      </c>
      <c r="K1038">
        <v>178</v>
      </c>
      <c r="L1038" t="s">
        <v>5508</v>
      </c>
      <c r="M1038" s="6" t="s">
        <v>6558</v>
      </c>
      <c r="N1038" s="6" t="s">
        <v>6565</v>
      </c>
      <c r="O1038" s="6">
        <v>71</v>
      </c>
      <c r="P1038" s="6">
        <v>65</v>
      </c>
      <c r="Q1038" s="6">
        <v>72</v>
      </c>
      <c r="R1038" s="6">
        <v>71</v>
      </c>
      <c r="S1038" s="6">
        <v>68</v>
      </c>
      <c r="T1038" s="6">
        <v>70</v>
      </c>
      <c r="U1038" s="6">
        <v>63</v>
      </c>
      <c r="V1038" s="6">
        <v>69</v>
      </c>
      <c r="W1038" s="6">
        <v>61</v>
      </c>
      <c r="X1038" s="6">
        <v>74</v>
      </c>
      <c r="Y1038" s="6">
        <v>75</v>
      </c>
      <c r="Z1038" s="6">
        <v>72</v>
      </c>
      <c r="AA1038" s="6">
        <v>63</v>
      </c>
      <c r="AB1038" s="6">
        <v>64</v>
      </c>
      <c r="AC1038" s="6">
        <v>60</v>
      </c>
      <c r="AD1038" s="6">
        <v>66</v>
      </c>
      <c r="AE1038" s="6">
        <v>63</v>
      </c>
      <c r="AF1038" s="6">
        <v>63</v>
      </c>
      <c r="AG1038" s="6" t="s">
        <v>7550</v>
      </c>
      <c r="AH1038" s="6" t="s">
        <v>6574</v>
      </c>
    </row>
    <row r="1039" spans="1:34" x14ac:dyDescent="0.2">
      <c r="A1039" t="s">
        <v>3822</v>
      </c>
      <c r="B1039" t="s">
        <v>2086</v>
      </c>
      <c r="C1039" t="s">
        <v>2876</v>
      </c>
      <c r="D1039" s="7" t="s">
        <v>148</v>
      </c>
      <c r="E1039" t="s">
        <v>38</v>
      </c>
      <c r="F1039">
        <v>28</v>
      </c>
      <c r="G1039">
        <v>68</v>
      </c>
      <c r="H1039">
        <v>71</v>
      </c>
      <c r="I1039" t="s">
        <v>6421</v>
      </c>
      <c r="J1039">
        <v>76</v>
      </c>
      <c r="K1039">
        <v>315</v>
      </c>
      <c r="L1039" t="s">
        <v>5516</v>
      </c>
      <c r="M1039" s="6" t="s">
        <v>6558</v>
      </c>
      <c r="N1039" s="6" t="s">
        <v>6562</v>
      </c>
      <c r="O1039" s="6">
        <v>89</v>
      </c>
      <c r="P1039" s="6">
        <v>82</v>
      </c>
      <c r="Q1039" s="6">
        <v>70</v>
      </c>
      <c r="R1039" s="6">
        <v>89</v>
      </c>
      <c r="S1039" s="6">
        <v>70</v>
      </c>
      <c r="T1039" s="6">
        <v>70</v>
      </c>
      <c r="U1039" s="6">
        <v>85</v>
      </c>
      <c r="V1039" s="6">
        <v>70</v>
      </c>
      <c r="W1039" s="6">
        <v>82</v>
      </c>
      <c r="X1039" s="6">
        <v>72</v>
      </c>
      <c r="Y1039" s="6">
        <v>82</v>
      </c>
      <c r="Z1039" s="6">
        <v>81</v>
      </c>
      <c r="AA1039" s="6">
        <v>67</v>
      </c>
      <c r="AB1039" s="6">
        <v>72</v>
      </c>
      <c r="AC1039" s="6">
        <v>72</v>
      </c>
      <c r="AD1039" s="6">
        <v>69</v>
      </c>
      <c r="AE1039" s="6">
        <v>65</v>
      </c>
      <c r="AF1039" s="6">
        <v>72</v>
      </c>
      <c r="AG1039" s="6" t="s">
        <v>7558</v>
      </c>
      <c r="AH1039" s="6" t="s">
        <v>6598</v>
      </c>
    </row>
    <row r="1040" spans="1:34" x14ac:dyDescent="0.2">
      <c r="A1040" t="s">
        <v>3831</v>
      </c>
      <c r="B1040" t="s">
        <v>2095</v>
      </c>
      <c r="C1040" t="s">
        <v>2879</v>
      </c>
      <c r="D1040" s="7" t="s">
        <v>148</v>
      </c>
      <c r="E1040" t="s">
        <v>38</v>
      </c>
      <c r="F1040">
        <v>32</v>
      </c>
      <c r="G1040">
        <v>59</v>
      </c>
      <c r="H1040">
        <v>71</v>
      </c>
      <c r="I1040" t="s">
        <v>6435</v>
      </c>
      <c r="J1040">
        <v>73</v>
      </c>
      <c r="K1040">
        <v>312</v>
      </c>
      <c r="L1040" t="s">
        <v>5525</v>
      </c>
      <c r="M1040" s="6" t="s">
        <v>6558</v>
      </c>
      <c r="N1040" s="6" t="s">
        <v>6583</v>
      </c>
      <c r="O1040" s="6">
        <v>77</v>
      </c>
      <c r="P1040" s="6">
        <v>70</v>
      </c>
      <c r="Q1040" s="6">
        <v>71</v>
      </c>
      <c r="R1040" s="6">
        <v>78</v>
      </c>
      <c r="S1040" s="6">
        <v>87</v>
      </c>
      <c r="T1040" s="6">
        <v>75</v>
      </c>
      <c r="U1040" s="6">
        <v>72</v>
      </c>
      <c r="V1040" s="6">
        <v>73</v>
      </c>
      <c r="W1040" s="6">
        <v>81</v>
      </c>
      <c r="X1040" s="6">
        <v>79</v>
      </c>
      <c r="Y1040" s="6">
        <v>77</v>
      </c>
      <c r="Z1040" s="6">
        <v>80</v>
      </c>
      <c r="AA1040" s="6">
        <v>62</v>
      </c>
      <c r="AB1040" s="6">
        <v>63</v>
      </c>
      <c r="AC1040" s="6">
        <v>61</v>
      </c>
      <c r="AD1040" s="6">
        <v>72</v>
      </c>
      <c r="AE1040" s="6">
        <v>63</v>
      </c>
      <c r="AF1040" s="6">
        <v>60</v>
      </c>
      <c r="AG1040" s="6" t="s">
        <v>7567</v>
      </c>
      <c r="AH1040" s="6" t="s">
        <v>6617</v>
      </c>
    </row>
    <row r="1041" spans="1:34" x14ac:dyDescent="0.2">
      <c r="A1041" t="s">
        <v>3838</v>
      </c>
      <c r="B1041" t="s">
        <v>2102</v>
      </c>
      <c r="C1041" t="s">
        <v>2882</v>
      </c>
      <c r="D1041" s="7" t="s">
        <v>148</v>
      </c>
      <c r="E1041" t="s">
        <v>38</v>
      </c>
      <c r="F1041">
        <v>24</v>
      </c>
      <c r="G1041">
        <v>83</v>
      </c>
      <c r="H1041">
        <v>71</v>
      </c>
      <c r="I1041" t="s">
        <v>6439</v>
      </c>
      <c r="J1041">
        <v>73</v>
      </c>
      <c r="K1041">
        <v>206</v>
      </c>
      <c r="L1041" t="s">
        <v>5532</v>
      </c>
      <c r="M1041" s="6" t="s">
        <v>6558</v>
      </c>
      <c r="N1041" s="6" t="s">
        <v>6583</v>
      </c>
      <c r="O1041" s="6">
        <v>77</v>
      </c>
      <c r="P1041" s="6">
        <v>81</v>
      </c>
      <c r="Q1041" s="6">
        <v>71</v>
      </c>
      <c r="R1041" s="6">
        <v>81</v>
      </c>
      <c r="S1041" s="6">
        <v>74</v>
      </c>
      <c r="T1041" s="6">
        <v>76</v>
      </c>
      <c r="U1041" s="6">
        <v>85</v>
      </c>
      <c r="V1041" s="6">
        <v>60</v>
      </c>
      <c r="W1041" s="6">
        <v>77</v>
      </c>
      <c r="X1041" s="6">
        <v>76</v>
      </c>
      <c r="Y1041" s="6">
        <v>81</v>
      </c>
      <c r="Z1041" s="6">
        <v>72</v>
      </c>
      <c r="AA1041" s="6">
        <v>73</v>
      </c>
      <c r="AB1041" s="6">
        <v>73</v>
      </c>
      <c r="AC1041" s="6">
        <v>70</v>
      </c>
      <c r="AD1041" s="6">
        <v>75</v>
      </c>
      <c r="AE1041" s="6">
        <v>68</v>
      </c>
      <c r="AF1041" s="6">
        <v>70</v>
      </c>
      <c r="AG1041" s="6" t="s">
        <v>7574</v>
      </c>
      <c r="AH1041" s="6" t="s">
        <v>6638</v>
      </c>
    </row>
    <row r="1042" spans="1:34" x14ac:dyDescent="0.2">
      <c r="A1042" t="s">
        <v>3856</v>
      </c>
      <c r="B1042" t="s">
        <v>2120</v>
      </c>
      <c r="C1042" t="s">
        <v>2870</v>
      </c>
      <c r="D1042" s="7" t="s">
        <v>147</v>
      </c>
      <c r="E1042" t="s">
        <v>58</v>
      </c>
      <c r="F1042">
        <v>24</v>
      </c>
      <c r="G1042">
        <v>71</v>
      </c>
      <c r="H1042">
        <v>71</v>
      </c>
      <c r="I1042" t="s">
        <v>6526</v>
      </c>
      <c r="J1042">
        <v>69</v>
      </c>
      <c r="K1042">
        <v>210</v>
      </c>
      <c r="L1042" t="s">
        <v>5550</v>
      </c>
      <c r="M1042" s="6" t="s">
        <v>6558</v>
      </c>
      <c r="N1042" s="6" t="s">
        <v>6614</v>
      </c>
      <c r="O1042" s="6">
        <v>62</v>
      </c>
      <c r="P1042" s="6">
        <v>64</v>
      </c>
      <c r="Q1042" s="6">
        <v>78</v>
      </c>
      <c r="R1042" s="6">
        <v>60</v>
      </c>
      <c r="S1042" s="6">
        <v>75</v>
      </c>
      <c r="T1042" s="6">
        <v>67</v>
      </c>
      <c r="U1042" s="6">
        <v>70</v>
      </c>
      <c r="V1042" s="6">
        <v>66</v>
      </c>
      <c r="W1042" s="6">
        <v>68</v>
      </c>
      <c r="X1042" s="6">
        <v>73</v>
      </c>
      <c r="Y1042" s="6">
        <v>71</v>
      </c>
      <c r="Z1042" s="6">
        <v>69</v>
      </c>
      <c r="AA1042" s="6">
        <v>67</v>
      </c>
      <c r="AB1042" s="6">
        <v>67</v>
      </c>
      <c r="AC1042" s="6">
        <v>61</v>
      </c>
      <c r="AD1042" s="6">
        <v>66</v>
      </c>
      <c r="AE1042" s="6">
        <v>68</v>
      </c>
      <c r="AF1042" s="6">
        <v>64</v>
      </c>
      <c r="AG1042" s="6" t="s">
        <v>7592</v>
      </c>
      <c r="AH1042" s="6" t="s">
        <v>6887</v>
      </c>
    </row>
    <row r="1043" spans="1:34" x14ac:dyDescent="0.2">
      <c r="A1043" t="s">
        <v>3886</v>
      </c>
      <c r="B1043" t="s">
        <v>2150</v>
      </c>
      <c r="C1043" t="s">
        <v>2880</v>
      </c>
      <c r="D1043" s="7" t="s">
        <v>147</v>
      </c>
      <c r="E1043" t="s">
        <v>58</v>
      </c>
      <c r="F1043">
        <v>30</v>
      </c>
      <c r="G1043">
        <v>59</v>
      </c>
      <c r="H1043">
        <v>71</v>
      </c>
      <c r="I1043" t="s">
        <v>6468</v>
      </c>
      <c r="J1043">
        <v>76</v>
      </c>
      <c r="K1043">
        <v>265</v>
      </c>
      <c r="L1043" t="s">
        <v>5580</v>
      </c>
      <c r="M1043" s="6" t="s">
        <v>6558</v>
      </c>
      <c r="N1043" s="6" t="s">
        <v>6583</v>
      </c>
      <c r="O1043" s="6">
        <v>79</v>
      </c>
      <c r="P1043" s="6">
        <v>77</v>
      </c>
      <c r="Q1043" s="6">
        <v>73</v>
      </c>
      <c r="R1043" s="6">
        <v>79</v>
      </c>
      <c r="S1043" s="6">
        <v>72</v>
      </c>
      <c r="T1043" s="6">
        <v>80</v>
      </c>
      <c r="U1043" s="6">
        <v>70</v>
      </c>
      <c r="V1043" s="6">
        <v>63</v>
      </c>
      <c r="W1043" s="6">
        <v>76</v>
      </c>
      <c r="X1043" s="6">
        <v>73</v>
      </c>
      <c r="Y1043" s="6">
        <v>79</v>
      </c>
      <c r="Z1043" s="6">
        <v>70</v>
      </c>
      <c r="AA1043" s="6">
        <v>68</v>
      </c>
      <c r="AB1043" s="6">
        <v>63</v>
      </c>
      <c r="AC1043" s="6">
        <v>60</v>
      </c>
      <c r="AD1043" s="6">
        <v>75</v>
      </c>
      <c r="AE1043" s="6">
        <v>62</v>
      </c>
      <c r="AF1043" s="6">
        <v>66</v>
      </c>
      <c r="AG1043" s="6" t="s">
        <v>7621</v>
      </c>
      <c r="AH1043" s="6" t="s">
        <v>6623</v>
      </c>
    </row>
    <row r="1044" spans="1:34" x14ac:dyDescent="0.2">
      <c r="A1044" t="s">
        <v>3894</v>
      </c>
      <c r="B1044" t="s">
        <v>2158</v>
      </c>
      <c r="C1044" t="s">
        <v>2889</v>
      </c>
      <c r="D1044" s="7" t="s">
        <v>147</v>
      </c>
      <c r="E1044" t="s">
        <v>38</v>
      </c>
      <c r="F1044">
        <v>28</v>
      </c>
      <c r="G1044">
        <v>74</v>
      </c>
      <c r="H1044">
        <v>71</v>
      </c>
      <c r="I1044" t="s">
        <v>6531</v>
      </c>
      <c r="J1044">
        <v>75</v>
      </c>
      <c r="K1044">
        <v>238</v>
      </c>
      <c r="L1044" t="s">
        <v>5588</v>
      </c>
      <c r="M1044" s="6" t="s">
        <v>6558</v>
      </c>
      <c r="N1044" s="6" t="s">
        <v>6559</v>
      </c>
      <c r="O1044" s="6">
        <v>71</v>
      </c>
      <c r="P1044" s="6">
        <v>72</v>
      </c>
      <c r="Q1044" s="6">
        <v>74</v>
      </c>
      <c r="R1044" s="6">
        <v>82</v>
      </c>
      <c r="S1044" s="6">
        <v>76</v>
      </c>
      <c r="T1044" s="6">
        <v>74</v>
      </c>
      <c r="U1044" s="6">
        <v>75</v>
      </c>
      <c r="V1044" s="6">
        <v>83</v>
      </c>
      <c r="W1044" s="6">
        <v>79</v>
      </c>
      <c r="X1044" s="6">
        <v>81</v>
      </c>
      <c r="Y1044" s="6">
        <v>73</v>
      </c>
      <c r="Z1044" s="6">
        <v>71</v>
      </c>
      <c r="AA1044" s="6">
        <v>71</v>
      </c>
      <c r="AB1044" s="6">
        <v>74</v>
      </c>
      <c r="AC1044" s="6">
        <v>75</v>
      </c>
      <c r="AD1044" s="6">
        <v>68</v>
      </c>
      <c r="AE1044" s="6">
        <v>70</v>
      </c>
      <c r="AF1044" s="6">
        <v>77</v>
      </c>
      <c r="AG1044" s="6" t="s">
        <v>7629</v>
      </c>
      <c r="AH1044" s="6" t="s">
        <v>6709</v>
      </c>
    </row>
    <row r="1045" spans="1:34" x14ac:dyDescent="0.2">
      <c r="A1045" t="s">
        <v>3961</v>
      </c>
      <c r="B1045" t="s">
        <v>2225</v>
      </c>
      <c r="C1045" t="s">
        <v>53</v>
      </c>
      <c r="D1045" s="7" t="s">
        <v>149</v>
      </c>
      <c r="E1045" t="s">
        <v>58</v>
      </c>
      <c r="F1045">
        <v>33</v>
      </c>
      <c r="G1045">
        <v>70</v>
      </c>
      <c r="H1045">
        <v>71</v>
      </c>
      <c r="I1045" t="s">
        <v>6354</v>
      </c>
      <c r="J1045">
        <v>75</v>
      </c>
      <c r="K1045">
        <v>223</v>
      </c>
      <c r="L1045" t="s">
        <v>5655</v>
      </c>
      <c r="M1045" s="6" t="s">
        <v>6558</v>
      </c>
      <c r="N1045" s="6" t="s">
        <v>6562</v>
      </c>
      <c r="O1045" s="6">
        <v>90</v>
      </c>
      <c r="P1045" s="6">
        <v>66</v>
      </c>
      <c r="Q1045" s="6">
        <v>69</v>
      </c>
      <c r="R1045" s="6">
        <v>88</v>
      </c>
      <c r="S1045" s="6">
        <v>79</v>
      </c>
      <c r="T1045" s="6">
        <v>74</v>
      </c>
      <c r="U1045" s="6">
        <v>74</v>
      </c>
      <c r="V1045" s="6">
        <v>75</v>
      </c>
      <c r="W1045" s="6">
        <v>64</v>
      </c>
      <c r="X1045" s="6">
        <v>74</v>
      </c>
      <c r="Y1045" s="6">
        <v>75</v>
      </c>
      <c r="Z1045" s="6">
        <v>71</v>
      </c>
      <c r="AA1045" s="6">
        <v>63</v>
      </c>
      <c r="AB1045" s="6">
        <v>68</v>
      </c>
      <c r="AC1045" s="6">
        <v>63</v>
      </c>
      <c r="AD1045" s="6">
        <v>54</v>
      </c>
      <c r="AE1045" s="6">
        <v>66</v>
      </c>
      <c r="AF1045" s="6">
        <v>65</v>
      </c>
      <c r="AG1045" s="6" t="s">
        <v>7694</v>
      </c>
      <c r="AH1045" s="6" t="s">
        <v>6882</v>
      </c>
    </row>
    <row r="1046" spans="1:34" x14ac:dyDescent="0.2">
      <c r="A1046" t="s">
        <v>3965</v>
      </c>
      <c r="B1046" t="s">
        <v>2229</v>
      </c>
      <c r="C1046" t="s">
        <v>2870</v>
      </c>
      <c r="D1046" s="7" t="s">
        <v>149</v>
      </c>
      <c r="E1046" t="s">
        <v>38</v>
      </c>
      <c r="F1046">
        <v>25</v>
      </c>
      <c r="G1046">
        <v>76</v>
      </c>
      <c r="H1046">
        <v>71</v>
      </c>
      <c r="I1046" t="s">
        <v>6359</v>
      </c>
      <c r="J1046">
        <v>71</v>
      </c>
      <c r="K1046">
        <v>224</v>
      </c>
      <c r="L1046" t="s">
        <v>5659</v>
      </c>
      <c r="M1046" s="6" t="s">
        <v>6558</v>
      </c>
      <c r="N1046" s="6" t="s">
        <v>6567</v>
      </c>
      <c r="O1046" s="6">
        <v>82</v>
      </c>
      <c r="P1046" s="6">
        <v>70</v>
      </c>
      <c r="Q1046" s="6">
        <v>74</v>
      </c>
      <c r="R1046" s="6">
        <v>69</v>
      </c>
      <c r="S1046" s="6">
        <v>74</v>
      </c>
      <c r="T1046" s="6">
        <v>73</v>
      </c>
      <c r="U1046" s="6">
        <v>63</v>
      </c>
      <c r="V1046" s="6">
        <v>70</v>
      </c>
      <c r="W1046" s="6">
        <v>69</v>
      </c>
      <c r="X1046" s="6">
        <v>79</v>
      </c>
      <c r="Y1046" s="6">
        <v>73</v>
      </c>
      <c r="Z1046" s="6">
        <v>73</v>
      </c>
      <c r="AA1046" s="6">
        <v>66</v>
      </c>
      <c r="AB1046" s="6">
        <v>77</v>
      </c>
      <c r="AC1046" s="6">
        <v>73</v>
      </c>
      <c r="AD1046" s="6">
        <v>70</v>
      </c>
      <c r="AE1046" s="6">
        <v>74</v>
      </c>
      <c r="AF1046" s="6">
        <v>71</v>
      </c>
      <c r="AG1046" s="6" t="s">
        <v>7698</v>
      </c>
      <c r="AH1046" s="6" t="s">
        <v>6656</v>
      </c>
    </row>
    <row r="1047" spans="1:34" x14ac:dyDescent="0.2">
      <c r="A1047" t="s">
        <v>3978</v>
      </c>
      <c r="B1047" t="s">
        <v>2242</v>
      </c>
      <c r="C1047" t="s">
        <v>2872</v>
      </c>
      <c r="D1047" s="7" t="s">
        <v>149</v>
      </c>
      <c r="E1047" t="s">
        <v>38</v>
      </c>
      <c r="F1047">
        <v>29</v>
      </c>
      <c r="G1047">
        <v>83</v>
      </c>
      <c r="H1047">
        <v>71</v>
      </c>
      <c r="I1047" t="s">
        <v>6324</v>
      </c>
      <c r="J1047">
        <v>76</v>
      </c>
      <c r="K1047">
        <v>315</v>
      </c>
      <c r="L1047" t="s">
        <v>5672</v>
      </c>
      <c r="M1047" s="6" t="s">
        <v>6558</v>
      </c>
      <c r="N1047" s="6" t="s">
        <v>6565</v>
      </c>
      <c r="O1047" s="6">
        <v>86</v>
      </c>
      <c r="P1047" s="6">
        <v>78</v>
      </c>
      <c r="Q1047" s="6">
        <v>68</v>
      </c>
      <c r="R1047" s="6">
        <v>72</v>
      </c>
      <c r="S1047" s="6">
        <v>77</v>
      </c>
      <c r="T1047" s="6">
        <v>75</v>
      </c>
      <c r="U1047" s="6">
        <v>78</v>
      </c>
      <c r="V1047" s="6">
        <v>79</v>
      </c>
      <c r="W1047" s="6">
        <v>81</v>
      </c>
      <c r="X1047" s="6">
        <v>77</v>
      </c>
      <c r="Y1047" s="6">
        <v>78</v>
      </c>
      <c r="Z1047" s="6">
        <v>73</v>
      </c>
      <c r="AA1047" s="6">
        <v>71</v>
      </c>
      <c r="AB1047" s="6">
        <v>70</v>
      </c>
      <c r="AC1047" s="6">
        <v>73</v>
      </c>
      <c r="AD1047" s="6">
        <v>67</v>
      </c>
      <c r="AE1047" s="6">
        <v>73</v>
      </c>
      <c r="AF1047" s="6">
        <v>71</v>
      </c>
      <c r="AG1047" s="6" t="s">
        <v>7711</v>
      </c>
      <c r="AH1047" s="6" t="s">
        <v>6593</v>
      </c>
    </row>
    <row r="1048" spans="1:34" x14ac:dyDescent="0.2">
      <c r="A1048" t="s">
        <v>4007</v>
      </c>
      <c r="B1048" t="s">
        <v>2271</v>
      </c>
      <c r="C1048" t="s">
        <v>61</v>
      </c>
      <c r="D1048" s="7" t="s">
        <v>149</v>
      </c>
      <c r="E1048" t="s">
        <v>38</v>
      </c>
      <c r="F1048">
        <v>24</v>
      </c>
      <c r="G1048">
        <v>68</v>
      </c>
      <c r="H1048">
        <v>71</v>
      </c>
      <c r="I1048" t="s">
        <v>8334</v>
      </c>
      <c r="J1048">
        <v>71</v>
      </c>
      <c r="K1048">
        <v>202</v>
      </c>
      <c r="L1048" t="s">
        <v>5701</v>
      </c>
      <c r="M1048" s="6" t="s">
        <v>6558</v>
      </c>
      <c r="N1048" s="6" t="s">
        <v>6567</v>
      </c>
      <c r="O1048" s="6">
        <v>70</v>
      </c>
      <c r="P1048" s="6">
        <v>76</v>
      </c>
      <c r="Q1048" s="6">
        <v>70</v>
      </c>
      <c r="R1048" s="6">
        <v>65</v>
      </c>
      <c r="S1048" s="6">
        <v>75</v>
      </c>
      <c r="T1048" s="6">
        <v>63</v>
      </c>
      <c r="U1048" s="6">
        <v>68</v>
      </c>
      <c r="V1048" s="6">
        <v>70</v>
      </c>
      <c r="W1048" s="6">
        <v>73</v>
      </c>
      <c r="X1048" s="6">
        <v>71</v>
      </c>
      <c r="Y1048" s="6">
        <v>71</v>
      </c>
      <c r="Z1048" s="6">
        <v>60</v>
      </c>
      <c r="AA1048" s="6">
        <v>73</v>
      </c>
      <c r="AB1048" s="6">
        <v>72</v>
      </c>
      <c r="AC1048" s="6">
        <v>72</v>
      </c>
      <c r="AD1048" s="6">
        <v>66</v>
      </c>
      <c r="AE1048" s="6">
        <v>69</v>
      </c>
      <c r="AF1048" s="6">
        <v>70</v>
      </c>
      <c r="AG1048" s="6" t="s">
        <v>7740</v>
      </c>
      <c r="AH1048" s="6" t="s">
        <v>6630</v>
      </c>
    </row>
    <row r="1049" spans="1:34" x14ac:dyDescent="0.2">
      <c r="A1049" t="s">
        <v>4023</v>
      </c>
      <c r="B1049" t="s">
        <v>2287</v>
      </c>
      <c r="C1049" t="s">
        <v>2870</v>
      </c>
      <c r="D1049" s="7" t="s">
        <v>22</v>
      </c>
      <c r="E1049" t="s">
        <v>38</v>
      </c>
      <c r="F1049">
        <v>24</v>
      </c>
      <c r="G1049">
        <v>82</v>
      </c>
      <c r="H1049">
        <v>71</v>
      </c>
      <c r="I1049" t="s">
        <v>6369</v>
      </c>
      <c r="J1049">
        <v>71</v>
      </c>
      <c r="K1049">
        <v>227</v>
      </c>
      <c r="L1049" t="s">
        <v>5717</v>
      </c>
      <c r="M1049" s="6" t="s">
        <v>6558</v>
      </c>
      <c r="N1049" s="6" t="s">
        <v>6583</v>
      </c>
      <c r="O1049" s="6">
        <v>80</v>
      </c>
      <c r="P1049" s="6">
        <v>66</v>
      </c>
      <c r="Q1049" s="6">
        <v>82</v>
      </c>
      <c r="R1049" s="6">
        <v>77</v>
      </c>
      <c r="S1049" s="6">
        <v>80</v>
      </c>
      <c r="T1049" s="6">
        <v>71</v>
      </c>
      <c r="U1049" s="6">
        <v>85</v>
      </c>
      <c r="V1049" s="6">
        <v>75</v>
      </c>
      <c r="W1049" s="6">
        <v>71</v>
      </c>
      <c r="X1049" s="6">
        <v>73</v>
      </c>
      <c r="Y1049" s="6">
        <v>79</v>
      </c>
      <c r="Z1049" s="6">
        <v>90</v>
      </c>
      <c r="AA1049" s="6">
        <v>72</v>
      </c>
      <c r="AB1049" s="6">
        <v>81</v>
      </c>
      <c r="AC1049" s="6">
        <v>75</v>
      </c>
      <c r="AD1049" s="6">
        <v>73</v>
      </c>
      <c r="AE1049" s="6">
        <v>76</v>
      </c>
      <c r="AF1049" s="6">
        <v>71</v>
      </c>
      <c r="AG1049" s="6" t="s">
        <v>7755</v>
      </c>
      <c r="AH1049" s="6" t="s">
        <v>6656</v>
      </c>
    </row>
    <row r="1050" spans="1:34" x14ac:dyDescent="0.2">
      <c r="A1050" t="s">
        <v>4064</v>
      </c>
      <c r="B1050" t="s">
        <v>2328</v>
      </c>
      <c r="C1050" t="s">
        <v>2883</v>
      </c>
      <c r="D1050" s="7" t="s">
        <v>22</v>
      </c>
      <c r="E1050" t="s">
        <v>58</v>
      </c>
      <c r="F1050">
        <v>24</v>
      </c>
      <c r="G1050">
        <v>72</v>
      </c>
      <c r="H1050">
        <v>71</v>
      </c>
      <c r="I1050" t="s">
        <v>6506</v>
      </c>
      <c r="J1050">
        <v>72</v>
      </c>
      <c r="K1050">
        <v>203</v>
      </c>
      <c r="L1050" t="s">
        <v>5758</v>
      </c>
      <c r="M1050" s="6" t="s">
        <v>6558</v>
      </c>
      <c r="N1050" s="6" t="s">
        <v>6565</v>
      </c>
      <c r="O1050" s="6">
        <v>66</v>
      </c>
      <c r="P1050" s="6">
        <v>74</v>
      </c>
      <c r="Q1050" s="6">
        <v>60</v>
      </c>
      <c r="R1050" s="6">
        <v>74</v>
      </c>
      <c r="S1050" s="6">
        <v>75</v>
      </c>
      <c r="T1050" s="6">
        <v>73</v>
      </c>
      <c r="U1050" s="6">
        <v>66</v>
      </c>
      <c r="V1050" s="6">
        <v>67</v>
      </c>
      <c r="W1050" s="6">
        <v>69</v>
      </c>
      <c r="X1050" s="6">
        <v>78</v>
      </c>
      <c r="Y1050" s="6">
        <v>70</v>
      </c>
      <c r="Z1050" s="6">
        <v>65</v>
      </c>
      <c r="AA1050" s="6">
        <v>70</v>
      </c>
      <c r="AB1050" s="6">
        <v>65</v>
      </c>
      <c r="AC1050" s="6">
        <v>68</v>
      </c>
      <c r="AD1050" s="6">
        <v>78</v>
      </c>
      <c r="AE1050" s="6">
        <v>70</v>
      </c>
      <c r="AF1050" s="6">
        <v>70</v>
      </c>
      <c r="AG1050" s="6" t="s">
        <v>7796</v>
      </c>
      <c r="AH1050" s="6" t="s">
        <v>6640</v>
      </c>
    </row>
    <row r="1051" spans="1:34" x14ac:dyDescent="0.2">
      <c r="A1051" t="s">
        <v>4091</v>
      </c>
      <c r="B1051" t="s">
        <v>2355</v>
      </c>
      <c r="C1051" t="s">
        <v>57</v>
      </c>
      <c r="D1051" s="7" t="s">
        <v>25</v>
      </c>
      <c r="E1051" t="s">
        <v>58</v>
      </c>
      <c r="F1051">
        <v>25</v>
      </c>
      <c r="G1051">
        <v>64</v>
      </c>
      <c r="H1051">
        <v>71</v>
      </c>
      <c r="I1051" t="s">
        <v>6422</v>
      </c>
      <c r="J1051">
        <v>75</v>
      </c>
      <c r="K1051">
        <v>200</v>
      </c>
      <c r="L1051" t="s">
        <v>5785</v>
      </c>
      <c r="M1051" s="6" t="s">
        <v>6558</v>
      </c>
      <c r="N1051" s="6" t="s">
        <v>6567</v>
      </c>
      <c r="O1051" s="6">
        <v>79</v>
      </c>
      <c r="P1051" s="6">
        <v>66</v>
      </c>
      <c r="Q1051" s="6">
        <v>64</v>
      </c>
      <c r="R1051" s="6">
        <v>66</v>
      </c>
      <c r="S1051" s="6">
        <v>77</v>
      </c>
      <c r="T1051" s="6">
        <v>61</v>
      </c>
      <c r="U1051" s="6">
        <v>65</v>
      </c>
      <c r="V1051" s="6">
        <v>69</v>
      </c>
      <c r="W1051" s="6">
        <v>68</v>
      </c>
      <c r="X1051" s="6">
        <v>68</v>
      </c>
      <c r="Y1051" s="6">
        <v>65</v>
      </c>
      <c r="Z1051" s="6">
        <v>66</v>
      </c>
      <c r="AA1051" s="6">
        <v>73</v>
      </c>
      <c r="AB1051" s="6">
        <v>70</v>
      </c>
      <c r="AC1051" s="6">
        <v>66</v>
      </c>
      <c r="AD1051" s="6">
        <v>64</v>
      </c>
      <c r="AE1051" s="6">
        <v>68</v>
      </c>
      <c r="AF1051" s="6">
        <v>70</v>
      </c>
      <c r="AG1051" s="6" t="s">
        <v>7822</v>
      </c>
      <c r="AH1051" s="6" t="s">
        <v>6664</v>
      </c>
    </row>
    <row r="1052" spans="1:34" x14ac:dyDescent="0.2">
      <c r="A1052" t="s">
        <v>4096</v>
      </c>
      <c r="B1052" t="s">
        <v>2360</v>
      </c>
      <c r="C1052" t="s">
        <v>2873</v>
      </c>
      <c r="D1052" s="7" t="s">
        <v>25</v>
      </c>
      <c r="E1052" t="s">
        <v>38</v>
      </c>
      <c r="F1052">
        <v>25</v>
      </c>
      <c r="G1052">
        <v>80</v>
      </c>
      <c r="H1052">
        <v>71</v>
      </c>
      <c r="I1052" t="s">
        <v>6323</v>
      </c>
      <c r="J1052">
        <v>78</v>
      </c>
      <c r="K1052">
        <v>311</v>
      </c>
      <c r="L1052" t="s">
        <v>5790</v>
      </c>
      <c r="M1052" s="6" t="s">
        <v>6558</v>
      </c>
      <c r="N1052" s="6" t="s">
        <v>6583</v>
      </c>
      <c r="O1052" s="6">
        <v>80</v>
      </c>
      <c r="P1052" s="6">
        <v>75</v>
      </c>
      <c r="Q1052" s="6">
        <v>65</v>
      </c>
      <c r="R1052" s="6">
        <v>81</v>
      </c>
      <c r="S1052" s="6">
        <v>70</v>
      </c>
      <c r="T1052" s="6">
        <v>75</v>
      </c>
      <c r="U1052" s="6">
        <v>77</v>
      </c>
      <c r="V1052" s="6">
        <v>79</v>
      </c>
      <c r="W1052" s="6">
        <v>84</v>
      </c>
      <c r="X1052" s="6">
        <v>78</v>
      </c>
      <c r="Y1052" s="6">
        <v>76</v>
      </c>
      <c r="Z1052" s="6">
        <v>70</v>
      </c>
      <c r="AA1052" s="6">
        <v>70</v>
      </c>
      <c r="AB1052" s="6">
        <v>77</v>
      </c>
      <c r="AC1052" s="6">
        <v>71</v>
      </c>
      <c r="AD1052" s="6">
        <v>82</v>
      </c>
      <c r="AE1052" s="6">
        <v>67</v>
      </c>
      <c r="AF1052" s="6">
        <v>79</v>
      </c>
      <c r="AG1052" s="6" t="s">
        <v>7827</v>
      </c>
      <c r="AH1052" s="6" t="s">
        <v>6596</v>
      </c>
    </row>
    <row r="1053" spans="1:34" x14ac:dyDescent="0.2">
      <c r="A1053" t="s">
        <v>4167</v>
      </c>
      <c r="B1053" t="s">
        <v>2431</v>
      </c>
      <c r="C1053" t="s">
        <v>2882</v>
      </c>
      <c r="D1053" s="7" t="s">
        <v>150</v>
      </c>
      <c r="E1053" t="s">
        <v>38</v>
      </c>
      <c r="F1053">
        <v>22</v>
      </c>
      <c r="G1053">
        <v>76</v>
      </c>
      <c r="H1053">
        <v>71</v>
      </c>
      <c r="I1053" t="s">
        <v>6392</v>
      </c>
      <c r="J1053">
        <v>73</v>
      </c>
      <c r="K1053">
        <v>196</v>
      </c>
      <c r="L1053" t="s">
        <v>5861</v>
      </c>
      <c r="M1053" s="6" t="s">
        <v>6603</v>
      </c>
      <c r="N1053" s="6" t="s">
        <v>6567</v>
      </c>
      <c r="O1053" s="6">
        <v>76</v>
      </c>
      <c r="P1053" s="6">
        <v>68</v>
      </c>
      <c r="Q1053" s="6">
        <v>70</v>
      </c>
      <c r="R1053" s="6">
        <v>66</v>
      </c>
      <c r="S1053" s="6">
        <v>76</v>
      </c>
      <c r="T1053" s="6">
        <v>65</v>
      </c>
      <c r="U1053" s="6">
        <v>57</v>
      </c>
      <c r="V1053" s="6">
        <v>68</v>
      </c>
      <c r="W1053" s="6">
        <v>72</v>
      </c>
      <c r="X1053" s="6">
        <v>63</v>
      </c>
      <c r="Y1053" s="6">
        <v>79</v>
      </c>
      <c r="Z1053" s="6">
        <v>65</v>
      </c>
      <c r="AA1053" s="6">
        <v>76</v>
      </c>
      <c r="AB1053" s="6">
        <v>73</v>
      </c>
      <c r="AC1053" s="6">
        <v>75</v>
      </c>
      <c r="AD1053" s="6">
        <v>67</v>
      </c>
      <c r="AE1053" s="6">
        <v>66</v>
      </c>
      <c r="AF1053" s="6">
        <v>70</v>
      </c>
      <c r="AG1053" s="6" t="s">
        <v>7898</v>
      </c>
      <c r="AH1053" s="6" t="s">
        <v>6638</v>
      </c>
    </row>
    <row r="1054" spans="1:34" x14ac:dyDescent="0.2">
      <c r="A1054" t="s">
        <v>4171</v>
      </c>
      <c r="B1054" t="s">
        <v>2435</v>
      </c>
      <c r="C1054" t="s">
        <v>2883</v>
      </c>
      <c r="D1054" s="7" t="s">
        <v>150</v>
      </c>
      <c r="E1054" t="s">
        <v>58</v>
      </c>
      <c r="F1054">
        <v>30</v>
      </c>
      <c r="G1054">
        <v>70</v>
      </c>
      <c r="H1054">
        <v>71</v>
      </c>
      <c r="I1054" t="s">
        <v>6372</v>
      </c>
      <c r="J1054">
        <v>73</v>
      </c>
      <c r="K1054">
        <v>214</v>
      </c>
      <c r="L1054" t="s">
        <v>5865</v>
      </c>
      <c r="M1054" s="6" t="s">
        <v>6558</v>
      </c>
      <c r="N1054" s="6" t="s">
        <v>6614</v>
      </c>
      <c r="O1054" s="6">
        <v>70</v>
      </c>
      <c r="P1054" s="6">
        <v>78</v>
      </c>
      <c r="Q1054" s="6">
        <v>69</v>
      </c>
      <c r="R1054" s="6">
        <v>62</v>
      </c>
      <c r="S1054" s="6">
        <v>69</v>
      </c>
      <c r="T1054" s="6">
        <v>76</v>
      </c>
      <c r="U1054" s="6">
        <v>69</v>
      </c>
      <c r="V1054" s="6">
        <v>67</v>
      </c>
      <c r="W1054" s="6">
        <v>65</v>
      </c>
      <c r="X1054" s="6">
        <v>63</v>
      </c>
      <c r="Y1054" s="6">
        <v>72</v>
      </c>
      <c r="Z1054" s="6">
        <v>71</v>
      </c>
      <c r="AA1054" s="6">
        <v>70</v>
      </c>
      <c r="AB1054" s="6">
        <v>64</v>
      </c>
      <c r="AC1054" s="6">
        <v>59</v>
      </c>
      <c r="AD1054" s="6">
        <v>61</v>
      </c>
      <c r="AE1054" s="6">
        <v>66</v>
      </c>
      <c r="AF1054" s="6">
        <v>69</v>
      </c>
      <c r="AG1054" s="6" t="s">
        <v>7902</v>
      </c>
      <c r="AH1054" s="6" t="s">
        <v>6640</v>
      </c>
    </row>
    <row r="1055" spans="1:34" x14ac:dyDescent="0.2">
      <c r="A1055" t="s">
        <v>4173</v>
      </c>
      <c r="B1055" t="s">
        <v>2437</v>
      </c>
      <c r="C1055" t="s">
        <v>2889</v>
      </c>
      <c r="D1055" s="7" t="s">
        <v>150</v>
      </c>
      <c r="E1055" t="s">
        <v>58</v>
      </c>
      <c r="F1055">
        <v>33</v>
      </c>
      <c r="G1055">
        <v>75</v>
      </c>
      <c r="H1055">
        <v>71</v>
      </c>
      <c r="I1055" t="s">
        <v>6381</v>
      </c>
      <c r="J1055">
        <v>76</v>
      </c>
      <c r="K1055">
        <v>255</v>
      </c>
      <c r="L1055" t="s">
        <v>5867</v>
      </c>
      <c r="M1055" s="6" t="s">
        <v>6558</v>
      </c>
      <c r="N1055" s="6" t="s">
        <v>6583</v>
      </c>
      <c r="O1055" s="6">
        <v>77</v>
      </c>
      <c r="P1055" s="6">
        <v>75</v>
      </c>
      <c r="Q1055" s="6">
        <v>84</v>
      </c>
      <c r="R1055" s="6">
        <v>77</v>
      </c>
      <c r="S1055" s="6">
        <v>67</v>
      </c>
      <c r="T1055" s="6">
        <v>74</v>
      </c>
      <c r="U1055" s="6">
        <v>86</v>
      </c>
      <c r="V1055" s="6">
        <v>74</v>
      </c>
      <c r="W1055" s="6">
        <v>77</v>
      </c>
      <c r="X1055" s="6">
        <v>80</v>
      </c>
      <c r="Y1055" s="6">
        <v>74</v>
      </c>
      <c r="Z1055" s="6">
        <v>80</v>
      </c>
      <c r="AA1055" s="6">
        <v>64</v>
      </c>
      <c r="AB1055" s="6">
        <v>65</v>
      </c>
      <c r="AC1055" s="6">
        <v>62</v>
      </c>
      <c r="AD1055" s="6">
        <v>56</v>
      </c>
      <c r="AE1055" s="6">
        <v>58</v>
      </c>
      <c r="AF1055" s="6">
        <v>60</v>
      </c>
      <c r="AG1055" s="6" t="s">
        <v>7904</v>
      </c>
      <c r="AH1055" s="6" t="s">
        <v>6709</v>
      </c>
    </row>
    <row r="1056" spans="1:34" x14ac:dyDescent="0.2">
      <c r="A1056" t="s">
        <v>4201</v>
      </c>
      <c r="B1056" t="s">
        <v>2465</v>
      </c>
      <c r="C1056" t="s">
        <v>2887</v>
      </c>
      <c r="D1056" s="7" t="s">
        <v>151</v>
      </c>
      <c r="E1056" t="s">
        <v>58</v>
      </c>
      <c r="F1056">
        <v>32</v>
      </c>
      <c r="G1056">
        <v>75</v>
      </c>
      <c r="H1056">
        <v>71</v>
      </c>
      <c r="I1056" t="s">
        <v>8337</v>
      </c>
      <c r="J1056">
        <v>74</v>
      </c>
      <c r="K1056">
        <v>300</v>
      </c>
      <c r="L1056" t="s">
        <v>5895</v>
      </c>
      <c r="M1056" s="6" t="s">
        <v>6558</v>
      </c>
      <c r="N1056" s="6" t="s">
        <v>6583</v>
      </c>
      <c r="O1056" s="6">
        <v>87</v>
      </c>
      <c r="P1056" s="6">
        <v>80</v>
      </c>
      <c r="Q1056" s="6">
        <v>79</v>
      </c>
      <c r="R1056" s="6">
        <v>78</v>
      </c>
      <c r="S1056" s="6">
        <v>96</v>
      </c>
      <c r="T1056" s="6">
        <v>83</v>
      </c>
      <c r="U1056" s="6">
        <v>82</v>
      </c>
      <c r="V1056" s="6">
        <v>82</v>
      </c>
      <c r="W1056" s="6">
        <v>76</v>
      </c>
      <c r="X1056" s="6">
        <v>75</v>
      </c>
      <c r="Y1056" s="6">
        <v>87</v>
      </c>
      <c r="Z1056" s="6">
        <v>85</v>
      </c>
      <c r="AA1056" s="6">
        <v>68</v>
      </c>
      <c r="AB1056" s="6">
        <v>72</v>
      </c>
      <c r="AC1056" s="6">
        <v>72</v>
      </c>
      <c r="AD1056" s="6">
        <v>75</v>
      </c>
      <c r="AE1056" s="6">
        <v>76</v>
      </c>
      <c r="AF1056" s="6">
        <v>78</v>
      </c>
      <c r="AG1056" s="6" t="s">
        <v>7933</v>
      </c>
      <c r="AH1056" s="6" t="s">
        <v>6598</v>
      </c>
    </row>
    <row r="1057" spans="1:34" x14ac:dyDescent="0.2">
      <c r="A1057" t="s">
        <v>2922</v>
      </c>
      <c r="B1057" t="s">
        <v>1186</v>
      </c>
      <c r="C1057" t="s">
        <v>57</v>
      </c>
      <c r="D1057" s="7" t="s">
        <v>129</v>
      </c>
      <c r="E1057" t="s">
        <v>38</v>
      </c>
      <c r="F1057">
        <v>24</v>
      </c>
      <c r="G1057">
        <v>58</v>
      </c>
      <c r="H1057">
        <v>70</v>
      </c>
      <c r="I1057" t="s">
        <v>6310</v>
      </c>
      <c r="J1057">
        <v>72</v>
      </c>
      <c r="K1057">
        <v>204</v>
      </c>
      <c r="L1057" t="s">
        <v>4616</v>
      </c>
      <c r="M1057" s="6" t="s">
        <v>6558</v>
      </c>
      <c r="N1057" s="6" t="s">
        <v>6565</v>
      </c>
      <c r="O1057" s="6">
        <v>66</v>
      </c>
      <c r="P1057" s="6">
        <v>58</v>
      </c>
      <c r="Q1057" s="6">
        <v>69</v>
      </c>
      <c r="R1057" s="6">
        <v>73</v>
      </c>
      <c r="S1057" s="6">
        <v>73</v>
      </c>
      <c r="T1057" s="6">
        <v>67</v>
      </c>
      <c r="U1057" s="6">
        <v>73</v>
      </c>
      <c r="V1057" s="6">
        <v>65</v>
      </c>
      <c r="W1057" s="6">
        <v>68</v>
      </c>
      <c r="X1057" s="6">
        <v>69</v>
      </c>
      <c r="Y1057" s="6">
        <v>67</v>
      </c>
      <c r="Z1057" s="6">
        <v>66</v>
      </c>
      <c r="AA1057" s="6">
        <v>61</v>
      </c>
      <c r="AB1057" s="6">
        <v>72</v>
      </c>
      <c r="AC1057" s="6">
        <v>64</v>
      </c>
      <c r="AD1057" s="6">
        <v>67</v>
      </c>
      <c r="AE1057" s="6">
        <v>62</v>
      </c>
      <c r="AF1057" s="6">
        <v>65</v>
      </c>
      <c r="AG1057" s="6" t="s">
        <v>6582</v>
      </c>
      <c r="AH1057" s="6" t="s">
        <v>6574</v>
      </c>
    </row>
    <row r="1058" spans="1:34" x14ac:dyDescent="0.2">
      <c r="A1058" t="s">
        <v>2950</v>
      </c>
      <c r="B1058" t="s">
        <v>1214</v>
      </c>
      <c r="C1058" t="s">
        <v>2881</v>
      </c>
      <c r="D1058" s="7" t="s">
        <v>129</v>
      </c>
      <c r="E1058" t="s">
        <v>38</v>
      </c>
      <c r="F1058">
        <v>31</v>
      </c>
      <c r="G1058">
        <v>69</v>
      </c>
      <c r="H1058">
        <v>70</v>
      </c>
      <c r="I1058" t="s">
        <v>6337</v>
      </c>
      <c r="J1058">
        <v>73</v>
      </c>
      <c r="K1058">
        <v>252</v>
      </c>
      <c r="L1058" t="s">
        <v>4644</v>
      </c>
      <c r="M1058" s="6" t="s">
        <v>6558</v>
      </c>
      <c r="N1058" s="6" t="s">
        <v>6583</v>
      </c>
      <c r="O1058" s="6">
        <v>73</v>
      </c>
      <c r="P1058" s="6">
        <v>73</v>
      </c>
      <c r="Q1058" s="6">
        <v>66</v>
      </c>
      <c r="R1058" s="6">
        <v>80</v>
      </c>
      <c r="S1058" s="6">
        <v>72</v>
      </c>
      <c r="T1058" s="6">
        <v>72</v>
      </c>
      <c r="U1058" s="6">
        <v>81</v>
      </c>
      <c r="V1058" s="6">
        <v>79</v>
      </c>
      <c r="W1058" s="6">
        <v>70</v>
      </c>
      <c r="X1058" s="6">
        <v>73</v>
      </c>
      <c r="Y1058" s="6">
        <v>87</v>
      </c>
      <c r="Z1058" s="6">
        <v>71</v>
      </c>
      <c r="AA1058" s="6">
        <v>69</v>
      </c>
      <c r="AB1058" s="6">
        <v>70</v>
      </c>
      <c r="AC1058" s="6">
        <v>62</v>
      </c>
      <c r="AD1058" s="6">
        <v>73</v>
      </c>
      <c r="AE1058" s="6">
        <v>65</v>
      </c>
      <c r="AF1058" s="6">
        <v>75</v>
      </c>
      <c r="AG1058" s="6" t="s">
        <v>6627</v>
      </c>
      <c r="AH1058" s="6" t="s">
        <v>6628</v>
      </c>
    </row>
    <row r="1059" spans="1:34" x14ac:dyDescent="0.2">
      <c r="A1059" t="s">
        <v>2994</v>
      </c>
      <c r="B1059" t="s">
        <v>1258</v>
      </c>
      <c r="C1059" t="s">
        <v>61</v>
      </c>
      <c r="D1059" s="7" t="s">
        <v>146</v>
      </c>
      <c r="E1059" t="s">
        <v>38</v>
      </c>
      <c r="F1059">
        <v>29</v>
      </c>
      <c r="G1059">
        <v>80</v>
      </c>
      <c r="H1059">
        <v>70</v>
      </c>
      <c r="I1059" t="s">
        <v>6331</v>
      </c>
      <c r="J1059">
        <v>71</v>
      </c>
      <c r="K1059">
        <v>193</v>
      </c>
      <c r="L1059" t="s">
        <v>4688</v>
      </c>
      <c r="M1059" s="6" t="s">
        <v>6558</v>
      </c>
      <c r="N1059" s="6" t="s">
        <v>6583</v>
      </c>
      <c r="O1059" s="6">
        <v>79</v>
      </c>
      <c r="P1059" s="6">
        <v>73</v>
      </c>
      <c r="Q1059" s="6">
        <v>88</v>
      </c>
      <c r="R1059" s="6">
        <v>76</v>
      </c>
      <c r="S1059" s="6">
        <v>81</v>
      </c>
      <c r="T1059" s="6">
        <v>83</v>
      </c>
      <c r="U1059" s="6">
        <v>85</v>
      </c>
      <c r="V1059" s="6">
        <v>78</v>
      </c>
      <c r="W1059" s="6">
        <v>92</v>
      </c>
      <c r="X1059" s="6">
        <v>80</v>
      </c>
      <c r="Y1059" s="6">
        <v>75</v>
      </c>
      <c r="Z1059" s="6">
        <v>80</v>
      </c>
      <c r="AA1059" s="6">
        <v>70</v>
      </c>
      <c r="AB1059" s="6">
        <v>67</v>
      </c>
      <c r="AC1059" s="6">
        <v>73</v>
      </c>
      <c r="AD1059" s="6">
        <v>79</v>
      </c>
      <c r="AE1059" s="6">
        <v>73</v>
      </c>
      <c r="AF1059" s="6">
        <v>71</v>
      </c>
      <c r="AG1059" s="6" t="s">
        <v>6693</v>
      </c>
      <c r="AH1059" s="6" t="s">
        <v>6694</v>
      </c>
    </row>
    <row r="1060" spans="1:34" x14ac:dyDescent="0.2">
      <c r="A1060" t="s">
        <v>3011</v>
      </c>
      <c r="B1060" t="s">
        <v>1275</v>
      </c>
      <c r="C1060" t="s">
        <v>53</v>
      </c>
      <c r="D1060" s="7" t="s">
        <v>131</v>
      </c>
      <c r="E1060" t="s">
        <v>58</v>
      </c>
      <c r="F1060">
        <v>34</v>
      </c>
      <c r="G1060">
        <v>63</v>
      </c>
      <c r="H1060">
        <v>70</v>
      </c>
      <c r="I1060" t="s">
        <v>6301</v>
      </c>
      <c r="J1060">
        <v>73</v>
      </c>
      <c r="K1060">
        <v>211</v>
      </c>
      <c r="L1060" t="s">
        <v>4705</v>
      </c>
      <c r="M1060" s="6" t="s">
        <v>6558</v>
      </c>
      <c r="N1060" s="6" t="s">
        <v>6583</v>
      </c>
      <c r="O1060" s="6">
        <v>84</v>
      </c>
      <c r="P1060" s="6">
        <v>82</v>
      </c>
      <c r="Q1060" s="6">
        <v>74</v>
      </c>
      <c r="R1060" s="6">
        <v>79</v>
      </c>
      <c r="S1060" s="6">
        <v>72</v>
      </c>
      <c r="T1060" s="6">
        <v>76</v>
      </c>
      <c r="U1060" s="6">
        <v>77</v>
      </c>
      <c r="V1060" s="6">
        <v>70</v>
      </c>
      <c r="W1060" s="6">
        <v>95</v>
      </c>
      <c r="X1060" s="6">
        <v>82</v>
      </c>
      <c r="Y1060" s="6">
        <v>60</v>
      </c>
      <c r="Z1060" s="6">
        <v>74</v>
      </c>
      <c r="AA1060" s="6">
        <v>61</v>
      </c>
      <c r="AB1060" s="6">
        <v>58</v>
      </c>
      <c r="AC1060" s="6">
        <v>66</v>
      </c>
      <c r="AD1060" s="6">
        <v>62</v>
      </c>
      <c r="AE1060" s="6">
        <v>63</v>
      </c>
      <c r="AF1060" s="6">
        <v>61</v>
      </c>
      <c r="AG1060" s="6" t="s">
        <v>6716</v>
      </c>
      <c r="AH1060" s="6" t="s">
        <v>6564</v>
      </c>
    </row>
    <row r="1061" spans="1:34" x14ac:dyDescent="0.2">
      <c r="A1061" t="s">
        <v>3027</v>
      </c>
      <c r="B1061" t="s">
        <v>1291</v>
      </c>
      <c r="C1061" t="s">
        <v>2871</v>
      </c>
      <c r="D1061" s="7" t="s">
        <v>131</v>
      </c>
      <c r="E1061" t="s">
        <v>38</v>
      </c>
      <c r="F1061">
        <v>28</v>
      </c>
      <c r="G1061">
        <v>76</v>
      </c>
      <c r="H1061">
        <v>70</v>
      </c>
      <c r="I1061" t="s">
        <v>6315</v>
      </c>
      <c r="J1061">
        <v>76</v>
      </c>
      <c r="K1061">
        <v>262</v>
      </c>
      <c r="L1061" t="s">
        <v>4721</v>
      </c>
      <c r="M1061" s="6" t="s">
        <v>6558</v>
      </c>
      <c r="N1061" s="6" t="s">
        <v>6583</v>
      </c>
      <c r="O1061" s="6">
        <v>80</v>
      </c>
      <c r="P1061" s="6">
        <v>84</v>
      </c>
      <c r="Q1061" s="6">
        <v>73</v>
      </c>
      <c r="R1061" s="6">
        <v>76</v>
      </c>
      <c r="S1061" s="6">
        <v>84</v>
      </c>
      <c r="T1061" s="6">
        <v>77</v>
      </c>
      <c r="U1061" s="6">
        <v>76</v>
      </c>
      <c r="V1061" s="6">
        <v>81</v>
      </c>
      <c r="W1061" s="6">
        <v>76</v>
      </c>
      <c r="X1061" s="6">
        <v>73</v>
      </c>
      <c r="Y1061" s="6">
        <v>84</v>
      </c>
      <c r="Z1061" s="6">
        <v>88</v>
      </c>
      <c r="AA1061" s="6">
        <v>71</v>
      </c>
      <c r="AB1061" s="6">
        <v>71</v>
      </c>
      <c r="AC1061" s="6">
        <v>83</v>
      </c>
      <c r="AD1061" s="6">
        <v>80</v>
      </c>
      <c r="AE1061" s="6">
        <v>75</v>
      </c>
      <c r="AF1061" s="6">
        <v>82</v>
      </c>
      <c r="AG1061" s="6" t="s">
        <v>6738</v>
      </c>
      <c r="AH1061" s="6" t="s">
        <v>6587</v>
      </c>
    </row>
    <row r="1062" spans="1:34" x14ac:dyDescent="0.2">
      <c r="A1062" t="s">
        <v>3037</v>
      </c>
      <c r="B1062" t="s">
        <v>1301</v>
      </c>
      <c r="C1062" t="s">
        <v>2879</v>
      </c>
      <c r="D1062" s="7" t="s">
        <v>131</v>
      </c>
      <c r="E1062" t="s">
        <v>38</v>
      </c>
      <c r="F1062">
        <v>23</v>
      </c>
      <c r="G1062">
        <v>76</v>
      </c>
      <c r="H1062">
        <v>70</v>
      </c>
      <c r="I1062" t="s">
        <v>6324</v>
      </c>
      <c r="J1062">
        <v>75</v>
      </c>
      <c r="K1062">
        <v>308</v>
      </c>
      <c r="L1062" t="s">
        <v>4731</v>
      </c>
      <c r="M1062" s="6" t="s">
        <v>6558</v>
      </c>
      <c r="N1062" s="6" t="s">
        <v>6567</v>
      </c>
      <c r="O1062" s="6">
        <v>71</v>
      </c>
      <c r="P1062" s="6">
        <v>54</v>
      </c>
      <c r="Q1062" s="6">
        <v>64</v>
      </c>
      <c r="R1062" s="6">
        <v>67</v>
      </c>
      <c r="S1062" s="6">
        <v>74</v>
      </c>
      <c r="T1062" s="6">
        <v>68</v>
      </c>
      <c r="U1062" s="6">
        <v>75</v>
      </c>
      <c r="V1062" s="6">
        <v>73</v>
      </c>
      <c r="W1062" s="6">
        <v>66</v>
      </c>
      <c r="X1062" s="6">
        <v>82</v>
      </c>
      <c r="Y1062" s="6">
        <v>82</v>
      </c>
      <c r="Z1062" s="6">
        <v>73</v>
      </c>
      <c r="AA1062" s="6">
        <v>71</v>
      </c>
      <c r="AB1062" s="6">
        <v>71</v>
      </c>
      <c r="AC1062" s="6">
        <v>65</v>
      </c>
      <c r="AD1062" s="6">
        <v>79</v>
      </c>
      <c r="AE1062" s="6">
        <v>69</v>
      </c>
      <c r="AF1062" s="6">
        <v>77</v>
      </c>
      <c r="AG1062" s="6" t="s">
        <v>6749</v>
      </c>
      <c r="AH1062" s="6" t="s">
        <v>6617</v>
      </c>
    </row>
    <row r="1063" spans="1:34" x14ac:dyDescent="0.2">
      <c r="A1063" t="s">
        <v>3052</v>
      </c>
      <c r="B1063" t="s">
        <v>1316</v>
      </c>
      <c r="C1063" t="s">
        <v>2885</v>
      </c>
      <c r="D1063" s="7" t="s">
        <v>131</v>
      </c>
      <c r="E1063" t="s">
        <v>58</v>
      </c>
      <c r="F1063">
        <v>27</v>
      </c>
      <c r="G1063">
        <v>73</v>
      </c>
      <c r="H1063">
        <v>70</v>
      </c>
      <c r="I1063" t="s">
        <v>6339</v>
      </c>
      <c r="J1063">
        <v>72</v>
      </c>
      <c r="K1063">
        <v>230</v>
      </c>
      <c r="L1063" t="s">
        <v>4746</v>
      </c>
      <c r="M1063" s="6" t="s">
        <v>6558</v>
      </c>
      <c r="N1063" s="6" t="s">
        <v>6583</v>
      </c>
      <c r="O1063" s="6">
        <v>76</v>
      </c>
      <c r="P1063" s="6">
        <v>69</v>
      </c>
      <c r="Q1063" s="6">
        <v>76</v>
      </c>
      <c r="R1063" s="6">
        <v>78</v>
      </c>
      <c r="S1063" s="6">
        <v>81</v>
      </c>
      <c r="T1063" s="6">
        <v>73</v>
      </c>
      <c r="U1063" s="6">
        <v>62</v>
      </c>
      <c r="V1063" s="6">
        <v>78</v>
      </c>
      <c r="W1063" s="6">
        <v>81</v>
      </c>
      <c r="X1063" s="6">
        <v>77</v>
      </c>
      <c r="Y1063" s="6">
        <v>71</v>
      </c>
      <c r="Z1063" s="6">
        <v>66</v>
      </c>
      <c r="AA1063" s="6">
        <v>75</v>
      </c>
      <c r="AB1063" s="6">
        <v>71</v>
      </c>
      <c r="AC1063" s="6">
        <v>74</v>
      </c>
      <c r="AD1063" s="6">
        <v>70</v>
      </c>
      <c r="AE1063" s="6">
        <v>68</v>
      </c>
      <c r="AF1063" s="6">
        <v>66</v>
      </c>
      <c r="AG1063" s="6" t="s">
        <v>6766</v>
      </c>
      <c r="AH1063" s="6" t="s">
        <v>6711</v>
      </c>
    </row>
    <row r="1064" spans="1:34" x14ac:dyDescent="0.2">
      <c r="A1064" t="s">
        <v>3058</v>
      </c>
      <c r="B1064" t="s">
        <v>1322</v>
      </c>
      <c r="C1064" t="s">
        <v>2870</v>
      </c>
      <c r="D1064" s="7" t="s">
        <v>130</v>
      </c>
      <c r="E1064" t="s">
        <v>38</v>
      </c>
      <c r="F1064">
        <v>25</v>
      </c>
      <c r="G1064">
        <v>83</v>
      </c>
      <c r="H1064">
        <v>70</v>
      </c>
      <c r="I1064" t="s">
        <v>6345</v>
      </c>
      <c r="J1064">
        <v>68</v>
      </c>
      <c r="K1064">
        <v>205</v>
      </c>
      <c r="L1064" t="s">
        <v>4752</v>
      </c>
      <c r="M1064" s="6" t="s">
        <v>6558</v>
      </c>
      <c r="N1064" s="6" t="s">
        <v>6567</v>
      </c>
      <c r="O1064" s="6">
        <v>79</v>
      </c>
      <c r="P1064" s="6">
        <v>74</v>
      </c>
      <c r="Q1064" s="6">
        <v>78</v>
      </c>
      <c r="R1064" s="6">
        <v>67</v>
      </c>
      <c r="S1064" s="6">
        <v>74</v>
      </c>
      <c r="T1064" s="6">
        <v>73</v>
      </c>
      <c r="U1064" s="6">
        <v>82</v>
      </c>
      <c r="V1064" s="6">
        <v>79</v>
      </c>
      <c r="W1064" s="6">
        <v>76</v>
      </c>
      <c r="X1064" s="6">
        <v>73</v>
      </c>
      <c r="Y1064" s="6">
        <v>78</v>
      </c>
      <c r="Z1064" s="6">
        <v>80</v>
      </c>
      <c r="AA1064" s="6">
        <v>79</v>
      </c>
      <c r="AB1064" s="6">
        <v>73</v>
      </c>
      <c r="AC1064" s="6">
        <v>80</v>
      </c>
      <c r="AD1064" s="6">
        <v>87</v>
      </c>
      <c r="AE1064" s="6">
        <v>79</v>
      </c>
      <c r="AF1064" s="6">
        <v>80</v>
      </c>
      <c r="AG1064" s="6" t="s">
        <v>6773</v>
      </c>
      <c r="AH1064" s="6" t="s">
        <v>6572</v>
      </c>
    </row>
    <row r="1065" spans="1:34" x14ac:dyDescent="0.2">
      <c r="A1065" t="s">
        <v>3061</v>
      </c>
      <c r="B1065" t="s">
        <v>1325</v>
      </c>
      <c r="C1065" t="s">
        <v>2870</v>
      </c>
      <c r="D1065" s="7" t="s">
        <v>130</v>
      </c>
      <c r="E1065" t="s">
        <v>58</v>
      </c>
      <c r="F1065">
        <v>24</v>
      </c>
      <c r="G1065">
        <v>59</v>
      </c>
      <c r="H1065">
        <v>70</v>
      </c>
      <c r="I1065" t="s">
        <v>6301</v>
      </c>
      <c r="J1065">
        <v>69</v>
      </c>
      <c r="K1065">
        <v>208</v>
      </c>
      <c r="L1065" t="s">
        <v>4755</v>
      </c>
      <c r="M1065" s="6" t="s">
        <v>6558</v>
      </c>
      <c r="N1065" s="6" t="s">
        <v>6565</v>
      </c>
      <c r="O1065" s="6">
        <v>72</v>
      </c>
      <c r="P1065" s="6">
        <v>70</v>
      </c>
      <c r="Q1065" s="6">
        <v>60</v>
      </c>
      <c r="R1065" s="6">
        <v>70</v>
      </c>
      <c r="S1065" s="6">
        <v>77</v>
      </c>
      <c r="T1065" s="6">
        <v>68</v>
      </c>
      <c r="U1065" s="6">
        <v>64</v>
      </c>
      <c r="V1065" s="6">
        <v>67</v>
      </c>
      <c r="W1065" s="6">
        <v>66</v>
      </c>
      <c r="X1065" s="6">
        <v>73</v>
      </c>
      <c r="Y1065" s="6">
        <v>70</v>
      </c>
      <c r="Z1065" s="6">
        <v>72</v>
      </c>
      <c r="AA1065" s="6">
        <v>69</v>
      </c>
      <c r="AB1065" s="6">
        <v>66</v>
      </c>
      <c r="AC1065" s="6">
        <v>76</v>
      </c>
      <c r="AD1065" s="6">
        <v>64</v>
      </c>
      <c r="AE1065" s="6">
        <v>62</v>
      </c>
      <c r="AF1065" s="6">
        <v>66</v>
      </c>
      <c r="AG1065" s="6" t="s">
        <v>6776</v>
      </c>
      <c r="AH1065" s="6" t="s">
        <v>6654</v>
      </c>
    </row>
    <row r="1066" spans="1:34" x14ac:dyDescent="0.2">
      <c r="A1066" t="s">
        <v>3085</v>
      </c>
      <c r="B1066" t="s">
        <v>1349</v>
      </c>
      <c r="C1066" t="s">
        <v>2878</v>
      </c>
      <c r="D1066" s="7" t="s">
        <v>130</v>
      </c>
      <c r="E1066" t="s">
        <v>58</v>
      </c>
      <c r="F1066">
        <v>33</v>
      </c>
      <c r="G1066">
        <v>70</v>
      </c>
      <c r="H1066">
        <v>70</v>
      </c>
      <c r="I1066" t="s">
        <v>6322</v>
      </c>
      <c r="J1066">
        <v>76</v>
      </c>
      <c r="K1066">
        <v>266</v>
      </c>
      <c r="L1066" t="s">
        <v>4779</v>
      </c>
      <c r="M1066" s="6" t="s">
        <v>6558</v>
      </c>
      <c r="N1066" s="6" t="s">
        <v>6614</v>
      </c>
      <c r="O1066" s="6">
        <v>80</v>
      </c>
      <c r="P1066" s="6">
        <v>70</v>
      </c>
      <c r="Q1066" s="6">
        <v>81</v>
      </c>
      <c r="R1066" s="6">
        <v>61</v>
      </c>
      <c r="S1066" s="6">
        <v>84</v>
      </c>
      <c r="T1066" s="6">
        <v>73</v>
      </c>
      <c r="U1066" s="6">
        <v>72</v>
      </c>
      <c r="V1066" s="6">
        <v>76</v>
      </c>
      <c r="W1066" s="6">
        <v>76</v>
      </c>
      <c r="X1066" s="6">
        <v>77</v>
      </c>
      <c r="Y1066" s="6">
        <v>74</v>
      </c>
      <c r="Z1066" s="6">
        <v>75</v>
      </c>
      <c r="AA1066" s="6">
        <v>67</v>
      </c>
      <c r="AB1066" s="6">
        <v>68</v>
      </c>
      <c r="AC1066" s="6">
        <v>56</v>
      </c>
      <c r="AD1066" s="6">
        <v>65</v>
      </c>
      <c r="AE1066" s="6">
        <v>67</v>
      </c>
      <c r="AF1066" s="6">
        <v>64</v>
      </c>
      <c r="AG1066" s="6" t="s">
        <v>6802</v>
      </c>
      <c r="AH1066" s="6" t="s">
        <v>6612</v>
      </c>
    </row>
    <row r="1067" spans="1:34" x14ac:dyDescent="0.2">
      <c r="A1067" t="s">
        <v>3101</v>
      </c>
      <c r="B1067" t="s">
        <v>1365</v>
      </c>
      <c r="C1067" t="s">
        <v>2890</v>
      </c>
      <c r="D1067" s="7" t="s">
        <v>130</v>
      </c>
      <c r="E1067" t="s">
        <v>58</v>
      </c>
      <c r="F1067">
        <v>32</v>
      </c>
      <c r="G1067">
        <v>85</v>
      </c>
      <c r="H1067">
        <v>70</v>
      </c>
      <c r="I1067" t="s">
        <v>6338</v>
      </c>
      <c r="J1067">
        <v>72</v>
      </c>
      <c r="K1067">
        <v>190</v>
      </c>
      <c r="L1067" t="s">
        <v>4795</v>
      </c>
      <c r="M1067" s="6" t="s">
        <v>6558</v>
      </c>
      <c r="N1067" s="6" t="s">
        <v>6567</v>
      </c>
      <c r="O1067" s="6">
        <v>79</v>
      </c>
      <c r="P1067" s="6">
        <v>67</v>
      </c>
      <c r="Q1067" s="6">
        <v>74</v>
      </c>
      <c r="R1067" s="6">
        <v>67</v>
      </c>
      <c r="S1067" s="6">
        <v>73</v>
      </c>
      <c r="T1067" s="6">
        <v>79</v>
      </c>
      <c r="U1067" s="6">
        <v>70</v>
      </c>
      <c r="V1067" s="6">
        <v>75</v>
      </c>
      <c r="W1067" s="6">
        <v>77</v>
      </c>
      <c r="X1067" s="6">
        <v>68</v>
      </c>
      <c r="Y1067" s="6">
        <v>74</v>
      </c>
      <c r="Z1067" s="6">
        <v>80</v>
      </c>
      <c r="AA1067" s="6">
        <v>71</v>
      </c>
      <c r="AB1067" s="6">
        <v>70</v>
      </c>
      <c r="AC1067" s="6">
        <v>62</v>
      </c>
      <c r="AD1067" s="6">
        <v>67</v>
      </c>
      <c r="AE1067" s="6">
        <v>60</v>
      </c>
      <c r="AF1067" s="6">
        <v>68</v>
      </c>
      <c r="AG1067" s="6" t="s">
        <v>6821</v>
      </c>
      <c r="AH1067" s="6" t="s">
        <v>6630</v>
      </c>
    </row>
    <row r="1068" spans="1:34" x14ac:dyDescent="0.2">
      <c r="A1068" t="s">
        <v>3108</v>
      </c>
      <c r="B1068" t="s">
        <v>1372</v>
      </c>
      <c r="C1068" t="s">
        <v>2870</v>
      </c>
      <c r="D1068" s="7" t="s">
        <v>133</v>
      </c>
      <c r="E1068" t="s">
        <v>38</v>
      </c>
      <c r="F1068">
        <v>25</v>
      </c>
      <c r="G1068">
        <v>66</v>
      </c>
      <c r="H1068">
        <v>70</v>
      </c>
      <c r="I1068" t="s">
        <v>6345</v>
      </c>
      <c r="J1068">
        <v>72</v>
      </c>
      <c r="K1068">
        <v>222</v>
      </c>
      <c r="L1068" t="s">
        <v>4802</v>
      </c>
      <c r="M1068" s="6" t="s">
        <v>6558</v>
      </c>
      <c r="N1068" s="6" t="s">
        <v>6567</v>
      </c>
      <c r="O1068" s="6">
        <v>73</v>
      </c>
      <c r="P1068" s="6">
        <v>66</v>
      </c>
      <c r="Q1068" s="6">
        <v>66</v>
      </c>
      <c r="R1068" s="6">
        <v>66</v>
      </c>
      <c r="S1068" s="6">
        <v>77</v>
      </c>
      <c r="T1068" s="6">
        <v>73</v>
      </c>
      <c r="U1068" s="6">
        <v>67</v>
      </c>
      <c r="V1068" s="6">
        <v>73</v>
      </c>
      <c r="W1068" s="6">
        <v>66</v>
      </c>
      <c r="X1068" s="6">
        <v>71</v>
      </c>
      <c r="Y1068" s="6">
        <v>64</v>
      </c>
      <c r="Z1068" s="6">
        <v>71</v>
      </c>
      <c r="AA1068" s="6">
        <v>66</v>
      </c>
      <c r="AB1068" s="6">
        <v>71</v>
      </c>
      <c r="AC1068" s="6">
        <v>64</v>
      </c>
      <c r="AD1068" s="6">
        <v>68</v>
      </c>
      <c r="AE1068" s="6">
        <v>65</v>
      </c>
      <c r="AF1068" s="6">
        <v>66</v>
      </c>
      <c r="AG1068" s="6" t="s">
        <v>6829</v>
      </c>
      <c r="AH1068" s="6" t="s">
        <v>6656</v>
      </c>
    </row>
    <row r="1069" spans="1:34" x14ac:dyDescent="0.2">
      <c r="A1069" t="s">
        <v>3122</v>
      </c>
      <c r="B1069" t="s">
        <v>1386</v>
      </c>
      <c r="C1069" t="s">
        <v>2874</v>
      </c>
      <c r="D1069" s="7" t="s">
        <v>133</v>
      </c>
      <c r="E1069" t="s">
        <v>58</v>
      </c>
      <c r="F1069">
        <v>23</v>
      </c>
      <c r="G1069">
        <v>83</v>
      </c>
      <c r="H1069">
        <v>70</v>
      </c>
      <c r="I1069" t="s">
        <v>6313</v>
      </c>
      <c r="J1069">
        <v>76</v>
      </c>
      <c r="K1069">
        <v>311</v>
      </c>
      <c r="L1069" t="s">
        <v>4816</v>
      </c>
      <c r="M1069" s="6" t="s">
        <v>6558</v>
      </c>
      <c r="N1069" s="6" t="s">
        <v>6567</v>
      </c>
      <c r="O1069" s="6">
        <v>79</v>
      </c>
      <c r="P1069" s="6">
        <v>64</v>
      </c>
      <c r="Q1069" s="6">
        <v>75</v>
      </c>
      <c r="R1069" s="6">
        <v>69</v>
      </c>
      <c r="S1069" s="6">
        <v>77</v>
      </c>
      <c r="T1069" s="6">
        <v>68</v>
      </c>
      <c r="U1069" s="6">
        <v>60</v>
      </c>
      <c r="V1069" s="6">
        <v>67</v>
      </c>
      <c r="W1069" s="6">
        <v>74</v>
      </c>
      <c r="X1069" s="6">
        <v>69</v>
      </c>
      <c r="Y1069" s="6">
        <v>69</v>
      </c>
      <c r="Z1069" s="6">
        <v>66</v>
      </c>
      <c r="AA1069" s="6">
        <v>74</v>
      </c>
      <c r="AB1069" s="6">
        <v>72</v>
      </c>
      <c r="AC1069" s="6">
        <v>69</v>
      </c>
      <c r="AD1069" s="6">
        <v>70</v>
      </c>
      <c r="AE1069" s="6">
        <v>72</v>
      </c>
      <c r="AF1069" s="6">
        <v>73</v>
      </c>
      <c r="AG1069" s="6" t="s">
        <v>6844</v>
      </c>
      <c r="AH1069" s="6" t="s">
        <v>6598</v>
      </c>
    </row>
    <row r="1070" spans="1:34" x14ac:dyDescent="0.2">
      <c r="A1070" t="s">
        <v>3158</v>
      </c>
      <c r="B1070" t="s">
        <v>1422</v>
      </c>
      <c r="C1070" t="s">
        <v>2870</v>
      </c>
      <c r="D1070" s="7" t="s">
        <v>134</v>
      </c>
      <c r="E1070" t="s">
        <v>38</v>
      </c>
      <c r="F1070">
        <v>25</v>
      </c>
      <c r="G1070">
        <v>86</v>
      </c>
      <c r="H1070">
        <v>70</v>
      </c>
      <c r="I1070" t="s">
        <v>6351</v>
      </c>
      <c r="J1070">
        <v>70</v>
      </c>
      <c r="K1070">
        <v>229</v>
      </c>
      <c r="L1070" t="s">
        <v>4852</v>
      </c>
      <c r="M1070" s="6" t="s">
        <v>6558</v>
      </c>
      <c r="N1070" s="6" t="s">
        <v>6614</v>
      </c>
      <c r="O1070" s="6">
        <v>61</v>
      </c>
      <c r="P1070" s="6">
        <v>71</v>
      </c>
      <c r="Q1070" s="6">
        <v>76</v>
      </c>
      <c r="R1070" s="6">
        <v>59</v>
      </c>
      <c r="S1070" s="6">
        <v>76</v>
      </c>
      <c r="T1070" s="6">
        <v>71</v>
      </c>
      <c r="U1070" s="6">
        <v>74</v>
      </c>
      <c r="V1070" s="6">
        <v>78</v>
      </c>
      <c r="W1070" s="6">
        <v>76</v>
      </c>
      <c r="X1070" s="6">
        <v>74</v>
      </c>
      <c r="Y1070" s="6">
        <v>80</v>
      </c>
      <c r="Z1070" s="6">
        <v>69</v>
      </c>
      <c r="AA1070" s="6">
        <v>74</v>
      </c>
      <c r="AB1070" s="6">
        <v>81</v>
      </c>
      <c r="AC1070" s="6">
        <v>75</v>
      </c>
      <c r="AD1070" s="6">
        <v>80</v>
      </c>
      <c r="AE1070" s="6">
        <v>70</v>
      </c>
      <c r="AF1070" s="6">
        <v>78</v>
      </c>
      <c r="AG1070" s="6" t="s">
        <v>6883</v>
      </c>
      <c r="AH1070" s="6" t="s">
        <v>6572</v>
      </c>
    </row>
    <row r="1071" spans="1:34" x14ac:dyDescent="0.2">
      <c r="A1071" t="s">
        <v>3179</v>
      </c>
      <c r="B1071" t="s">
        <v>1443</v>
      </c>
      <c r="C1071" t="s">
        <v>2878</v>
      </c>
      <c r="D1071" s="7" t="s">
        <v>134</v>
      </c>
      <c r="E1071" t="s">
        <v>58</v>
      </c>
      <c r="F1071">
        <v>30</v>
      </c>
      <c r="G1071">
        <v>79</v>
      </c>
      <c r="H1071">
        <v>70</v>
      </c>
      <c r="I1071" t="s">
        <v>6369</v>
      </c>
      <c r="J1071">
        <v>78</v>
      </c>
      <c r="K1071">
        <v>272</v>
      </c>
      <c r="L1071" t="s">
        <v>4873</v>
      </c>
      <c r="M1071" s="6" t="s">
        <v>6558</v>
      </c>
      <c r="N1071" s="6" t="s">
        <v>6583</v>
      </c>
      <c r="O1071" s="6">
        <v>81</v>
      </c>
      <c r="P1071" s="6">
        <v>72</v>
      </c>
      <c r="Q1071" s="6">
        <v>65</v>
      </c>
      <c r="R1071" s="6">
        <v>78</v>
      </c>
      <c r="S1071" s="6">
        <v>82</v>
      </c>
      <c r="T1071" s="6">
        <v>74</v>
      </c>
      <c r="U1071" s="6">
        <v>69</v>
      </c>
      <c r="V1071" s="6">
        <v>79</v>
      </c>
      <c r="W1071" s="6">
        <v>80</v>
      </c>
      <c r="X1071" s="6">
        <v>76</v>
      </c>
      <c r="Y1071" s="6">
        <v>80</v>
      </c>
      <c r="Z1071" s="6">
        <v>73</v>
      </c>
      <c r="AA1071" s="6">
        <v>74</v>
      </c>
      <c r="AB1071" s="6">
        <v>73</v>
      </c>
      <c r="AC1071" s="6">
        <v>64</v>
      </c>
      <c r="AD1071" s="6">
        <v>69</v>
      </c>
      <c r="AE1071" s="6">
        <v>71</v>
      </c>
      <c r="AF1071" s="6">
        <v>67</v>
      </c>
      <c r="AG1071" s="6" t="s">
        <v>6905</v>
      </c>
      <c r="AH1071" s="6" t="s">
        <v>6797</v>
      </c>
    </row>
    <row r="1072" spans="1:34" x14ac:dyDescent="0.2">
      <c r="A1072" t="s">
        <v>3212</v>
      </c>
      <c r="B1072" t="s">
        <v>1476</v>
      </c>
      <c r="C1072" t="s">
        <v>53</v>
      </c>
      <c r="D1072" s="7" t="s">
        <v>132</v>
      </c>
      <c r="E1072" t="s">
        <v>58</v>
      </c>
      <c r="F1072">
        <v>21</v>
      </c>
      <c r="G1072">
        <v>66</v>
      </c>
      <c r="H1072">
        <v>70</v>
      </c>
      <c r="I1072" t="s">
        <v>6402</v>
      </c>
      <c r="J1072">
        <v>72</v>
      </c>
      <c r="K1072">
        <v>232</v>
      </c>
      <c r="L1072" t="s">
        <v>4906</v>
      </c>
      <c r="M1072" s="6" t="s">
        <v>6733</v>
      </c>
      <c r="N1072" s="6" t="s">
        <v>6583</v>
      </c>
      <c r="O1072" s="6">
        <v>68</v>
      </c>
      <c r="P1072" s="6">
        <v>76</v>
      </c>
      <c r="Q1072" s="6">
        <v>69</v>
      </c>
      <c r="R1072" s="6">
        <v>76</v>
      </c>
      <c r="S1072" s="6">
        <v>69</v>
      </c>
      <c r="T1072" s="6">
        <v>60</v>
      </c>
      <c r="U1072" s="6">
        <v>69</v>
      </c>
      <c r="V1072" s="6">
        <v>65</v>
      </c>
      <c r="W1072" s="6">
        <v>69</v>
      </c>
      <c r="X1072" s="6">
        <v>71</v>
      </c>
      <c r="Y1072" s="6">
        <v>78</v>
      </c>
      <c r="Z1072" s="6">
        <v>52</v>
      </c>
      <c r="AA1072" s="6">
        <v>61</v>
      </c>
      <c r="AB1072" s="6">
        <v>60</v>
      </c>
      <c r="AC1072" s="6">
        <v>59</v>
      </c>
      <c r="AD1072" s="6">
        <v>66</v>
      </c>
      <c r="AE1072" s="6">
        <v>64</v>
      </c>
      <c r="AF1072" s="6">
        <v>68</v>
      </c>
      <c r="AG1072" s="6" t="s">
        <v>6939</v>
      </c>
      <c r="AH1072" s="6" t="s">
        <v>6570</v>
      </c>
    </row>
    <row r="1073" spans="1:34" x14ac:dyDescent="0.2">
      <c r="A1073" t="s">
        <v>3214</v>
      </c>
      <c r="B1073" t="s">
        <v>1478</v>
      </c>
      <c r="C1073" t="s">
        <v>2870</v>
      </c>
      <c r="D1073" s="7" t="s">
        <v>132</v>
      </c>
      <c r="E1073" t="s">
        <v>58</v>
      </c>
      <c r="F1073">
        <v>23</v>
      </c>
      <c r="G1073">
        <v>76</v>
      </c>
      <c r="H1073">
        <v>70</v>
      </c>
      <c r="I1073" t="s">
        <v>6404</v>
      </c>
      <c r="J1073">
        <v>71</v>
      </c>
      <c r="K1073">
        <v>195</v>
      </c>
      <c r="L1073" t="s">
        <v>4908</v>
      </c>
      <c r="M1073" s="6" t="s">
        <v>6558</v>
      </c>
      <c r="N1073" s="6" t="s">
        <v>6614</v>
      </c>
      <c r="O1073" s="6">
        <v>70</v>
      </c>
      <c r="P1073" s="6">
        <v>72</v>
      </c>
      <c r="Q1073" s="6">
        <v>67</v>
      </c>
      <c r="R1073" s="6">
        <v>61</v>
      </c>
      <c r="S1073" s="6">
        <v>77</v>
      </c>
      <c r="T1073" s="6">
        <v>75</v>
      </c>
      <c r="U1073" s="6">
        <v>68</v>
      </c>
      <c r="V1073" s="6">
        <v>75</v>
      </c>
      <c r="W1073" s="6">
        <v>82</v>
      </c>
      <c r="X1073" s="6">
        <v>61</v>
      </c>
      <c r="Y1073" s="6">
        <v>71</v>
      </c>
      <c r="Z1073" s="6">
        <v>79</v>
      </c>
      <c r="AA1073" s="6">
        <v>75</v>
      </c>
      <c r="AB1073" s="6">
        <v>75</v>
      </c>
      <c r="AC1073" s="6">
        <v>68</v>
      </c>
      <c r="AD1073" s="6">
        <v>66</v>
      </c>
      <c r="AE1073" s="6">
        <v>71</v>
      </c>
      <c r="AF1073" s="6">
        <v>75</v>
      </c>
      <c r="AG1073" s="6" t="s">
        <v>6941</v>
      </c>
      <c r="AH1073" s="6" t="s">
        <v>6723</v>
      </c>
    </row>
    <row r="1074" spans="1:34" x14ac:dyDescent="0.2">
      <c r="A1074" t="s">
        <v>3245</v>
      </c>
      <c r="B1074" t="s">
        <v>1509</v>
      </c>
      <c r="C1074" t="s">
        <v>61</v>
      </c>
      <c r="D1074" s="7" t="s">
        <v>132</v>
      </c>
      <c r="E1074" t="s">
        <v>38</v>
      </c>
      <c r="F1074">
        <v>30</v>
      </c>
      <c r="G1074">
        <v>78</v>
      </c>
      <c r="H1074">
        <v>70</v>
      </c>
      <c r="I1074" t="s">
        <v>6434</v>
      </c>
      <c r="J1074">
        <v>72</v>
      </c>
      <c r="K1074">
        <v>180</v>
      </c>
      <c r="L1074" t="s">
        <v>4939</v>
      </c>
      <c r="M1074" s="6" t="s">
        <v>6558</v>
      </c>
      <c r="N1074" s="6" t="s">
        <v>6565</v>
      </c>
      <c r="O1074" s="6">
        <v>82</v>
      </c>
      <c r="P1074" s="6">
        <v>81</v>
      </c>
      <c r="Q1074" s="6">
        <v>81</v>
      </c>
      <c r="R1074" s="6">
        <v>70</v>
      </c>
      <c r="S1074" s="6">
        <v>77</v>
      </c>
      <c r="T1074" s="6">
        <v>78</v>
      </c>
      <c r="U1074" s="6">
        <v>83</v>
      </c>
      <c r="V1074" s="6">
        <v>72</v>
      </c>
      <c r="W1074" s="6">
        <v>77</v>
      </c>
      <c r="X1074" s="6">
        <v>83</v>
      </c>
      <c r="Y1074" s="6">
        <v>80</v>
      </c>
      <c r="Z1074" s="6">
        <v>76</v>
      </c>
      <c r="AA1074" s="6">
        <v>73</v>
      </c>
      <c r="AB1074" s="6">
        <v>76</v>
      </c>
      <c r="AC1074" s="6">
        <v>63</v>
      </c>
      <c r="AD1074" s="6">
        <v>71</v>
      </c>
      <c r="AE1074" s="6">
        <v>74</v>
      </c>
      <c r="AF1074" s="6">
        <v>75</v>
      </c>
      <c r="AG1074" s="6" t="s">
        <v>6973</v>
      </c>
      <c r="AH1074" s="6" t="s">
        <v>6696</v>
      </c>
    </row>
    <row r="1075" spans="1:34" x14ac:dyDescent="0.2">
      <c r="A1075" t="s">
        <v>3246</v>
      </c>
      <c r="B1075" t="s">
        <v>1510</v>
      </c>
      <c r="C1075" t="s">
        <v>61</v>
      </c>
      <c r="D1075" s="7" t="s">
        <v>132</v>
      </c>
      <c r="E1075" t="s">
        <v>38</v>
      </c>
      <c r="F1075">
        <v>28</v>
      </c>
      <c r="G1075">
        <v>60</v>
      </c>
      <c r="H1075">
        <v>70</v>
      </c>
      <c r="I1075" t="s">
        <v>6435</v>
      </c>
      <c r="J1075">
        <v>70</v>
      </c>
      <c r="K1075">
        <v>185</v>
      </c>
      <c r="L1075" t="s">
        <v>4940</v>
      </c>
      <c r="M1075" s="6" t="s">
        <v>6558</v>
      </c>
      <c r="N1075" s="6" t="s">
        <v>6614</v>
      </c>
      <c r="O1075" s="6">
        <v>69</v>
      </c>
      <c r="P1075" s="6">
        <v>77</v>
      </c>
      <c r="Q1075" s="6">
        <v>63</v>
      </c>
      <c r="R1075" s="6">
        <v>57</v>
      </c>
      <c r="S1075" s="6">
        <v>75</v>
      </c>
      <c r="T1075" s="6">
        <v>68</v>
      </c>
      <c r="U1075" s="6">
        <v>82</v>
      </c>
      <c r="V1075" s="6">
        <v>76</v>
      </c>
      <c r="W1075" s="6">
        <v>79</v>
      </c>
      <c r="X1075" s="6">
        <v>70</v>
      </c>
      <c r="Y1075" s="6">
        <v>73</v>
      </c>
      <c r="Z1075" s="6">
        <v>79</v>
      </c>
      <c r="AA1075" s="6">
        <v>77</v>
      </c>
      <c r="AB1075" s="6">
        <v>73</v>
      </c>
      <c r="AC1075" s="6">
        <v>75</v>
      </c>
      <c r="AD1075" s="6">
        <v>72</v>
      </c>
      <c r="AE1075" s="6">
        <v>66</v>
      </c>
      <c r="AF1075" s="6">
        <v>75</v>
      </c>
      <c r="AG1075" s="6" t="s">
        <v>6974</v>
      </c>
      <c r="AH1075" s="6" t="s">
        <v>6630</v>
      </c>
    </row>
    <row r="1076" spans="1:34" x14ac:dyDescent="0.2">
      <c r="A1076" t="s">
        <v>3258</v>
      </c>
      <c r="B1076" t="s">
        <v>1522</v>
      </c>
      <c r="C1076" t="s">
        <v>53</v>
      </c>
      <c r="D1076" s="7" t="s">
        <v>136</v>
      </c>
      <c r="E1076" t="s">
        <v>38</v>
      </c>
      <c r="F1076">
        <v>25</v>
      </c>
      <c r="G1076">
        <v>77</v>
      </c>
      <c r="H1076">
        <v>70</v>
      </c>
      <c r="I1076" t="s">
        <v>6447</v>
      </c>
      <c r="J1076">
        <v>75</v>
      </c>
      <c r="K1076">
        <v>224</v>
      </c>
      <c r="L1076" t="s">
        <v>4952</v>
      </c>
      <c r="M1076" s="6" t="s">
        <v>6558</v>
      </c>
      <c r="N1076" s="6" t="s">
        <v>6583</v>
      </c>
      <c r="O1076" s="6">
        <v>76</v>
      </c>
      <c r="P1076" s="6">
        <v>83</v>
      </c>
      <c r="Q1076" s="6">
        <v>70</v>
      </c>
      <c r="R1076" s="6">
        <v>81</v>
      </c>
      <c r="S1076" s="6">
        <v>81</v>
      </c>
      <c r="T1076" s="6">
        <v>77</v>
      </c>
      <c r="U1076" s="6">
        <v>68</v>
      </c>
      <c r="V1076" s="6">
        <v>69</v>
      </c>
      <c r="W1076" s="6">
        <v>82</v>
      </c>
      <c r="X1076" s="6">
        <v>66</v>
      </c>
      <c r="Y1076" s="6">
        <v>69</v>
      </c>
      <c r="Z1076" s="6">
        <v>69</v>
      </c>
      <c r="AA1076" s="6">
        <v>76</v>
      </c>
      <c r="AB1076" s="6">
        <v>75</v>
      </c>
      <c r="AC1076" s="6">
        <v>76</v>
      </c>
      <c r="AD1076" s="6">
        <v>70</v>
      </c>
      <c r="AE1076" s="6">
        <v>67</v>
      </c>
      <c r="AF1076" s="6">
        <v>73</v>
      </c>
      <c r="AG1076" s="6" t="s">
        <v>6987</v>
      </c>
      <c r="AH1076" s="6" t="s">
        <v>6651</v>
      </c>
    </row>
    <row r="1077" spans="1:34" x14ac:dyDescent="0.2">
      <c r="A1077" t="s">
        <v>3264</v>
      </c>
      <c r="B1077" t="s">
        <v>1528</v>
      </c>
      <c r="C1077" t="s">
        <v>2870</v>
      </c>
      <c r="D1077" s="7" t="s">
        <v>136</v>
      </c>
      <c r="E1077" t="s">
        <v>38</v>
      </c>
      <c r="F1077">
        <v>29</v>
      </c>
      <c r="G1077">
        <v>76</v>
      </c>
      <c r="H1077">
        <v>70</v>
      </c>
      <c r="I1077" t="s">
        <v>6453</v>
      </c>
      <c r="J1077">
        <v>68</v>
      </c>
      <c r="K1077">
        <v>220</v>
      </c>
      <c r="L1077" t="s">
        <v>4958</v>
      </c>
      <c r="M1077" s="6" t="s">
        <v>6558</v>
      </c>
      <c r="N1077" s="6" t="s">
        <v>6565</v>
      </c>
      <c r="O1077" s="6">
        <v>76</v>
      </c>
      <c r="P1077" s="6">
        <v>66</v>
      </c>
      <c r="Q1077" s="6">
        <v>79</v>
      </c>
      <c r="R1077" s="6">
        <v>70</v>
      </c>
      <c r="S1077" s="6">
        <v>88</v>
      </c>
      <c r="T1077" s="6">
        <v>78</v>
      </c>
      <c r="U1077" s="6">
        <v>88</v>
      </c>
      <c r="V1077" s="6">
        <v>75</v>
      </c>
      <c r="W1077" s="6">
        <v>74</v>
      </c>
      <c r="X1077" s="6">
        <v>67</v>
      </c>
      <c r="Y1077" s="6">
        <v>69</v>
      </c>
      <c r="Z1077" s="6">
        <v>74</v>
      </c>
      <c r="AA1077" s="6">
        <v>75</v>
      </c>
      <c r="AB1077" s="6">
        <v>73</v>
      </c>
      <c r="AC1077" s="6">
        <v>72</v>
      </c>
      <c r="AD1077" s="6">
        <v>75</v>
      </c>
      <c r="AE1077" s="6">
        <v>71</v>
      </c>
      <c r="AF1077" s="6">
        <v>73</v>
      </c>
      <c r="AG1077" s="6" t="s">
        <v>6995</v>
      </c>
      <c r="AH1077" s="6" t="s">
        <v>6656</v>
      </c>
    </row>
    <row r="1078" spans="1:34" x14ac:dyDescent="0.2">
      <c r="A1078" t="s">
        <v>3268</v>
      </c>
      <c r="B1078" t="s">
        <v>1532</v>
      </c>
      <c r="C1078" t="s">
        <v>57</v>
      </c>
      <c r="D1078" s="7" t="s">
        <v>136</v>
      </c>
      <c r="E1078" t="s">
        <v>58</v>
      </c>
      <c r="F1078">
        <v>21</v>
      </c>
      <c r="G1078">
        <v>73</v>
      </c>
      <c r="H1078">
        <v>70</v>
      </c>
      <c r="I1078" t="s">
        <v>6457</v>
      </c>
      <c r="J1078">
        <v>72</v>
      </c>
      <c r="K1078">
        <v>188</v>
      </c>
      <c r="L1078" t="s">
        <v>4962</v>
      </c>
      <c r="M1078" s="6" t="s">
        <v>6558</v>
      </c>
      <c r="N1078" s="6" t="s">
        <v>6614</v>
      </c>
      <c r="O1078" s="6">
        <v>65</v>
      </c>
      <c r="P1078" s="6">
        <v>62</v>
      </c>
      <c r="Q1078" s="6">
        <v>60</v>
      </c>
      <c r="R1078" s="6">
        <v>62</v>
      </c>
      <c r="S1078" s="6">
        <v>69</v>
      </c>
      <c r="T1078" s="6">
        <v>55</v>
      </c>
      <c r="U1078" s="6">
        <v>66</v>
      </c>
      <c r="V1078" s="6">
        <v>71</v>
      </c>
      <c r="W1078" s="6">
        <v>77</v>
      </c>
      <c r="X1078" s="6">
        <v>57</v>
      </c>
      <c r="Y1078" s="6">
        <v>70</v>
      </c>
      <c r="Z1078" s="6">
        <v>61</v>
      </c>
      <c r="AA1078" s="6">
        <v>69</v>
      </c>
      <c r="AB1078" s="6">
        <v>74</v>
      </c>
      <c r="AC1078" s="6">
        <v>69</v>
      </c>
      <c r="AD1078" s="6">
        <v>76</v>
      </c>
      <c r="AE1078" s="6">
        <v>67</v>
      </c>
      <c r="AF1078" s="6">
        <v>69</v>
      </c>
      <c r="AG1078" s="6" t="s">
        <v>6999</v>
      </c>
      <c r="AH1078" s="6" t="s">
        <v>6574</v>
      </c>
    </row>
    <row r="1079" spans="1:34" x14ac:dyDescent="0.2">
      <c r="A1079" t="s">
        <v>3386</v>
      </c>
      <c r="B1079" t="s">
        <v>1650</v>
      </c>
      <c r="C1079" t="s">
        <v>2878</v>
      </c>
      <c r="D1079" s="7" t="s">
        <v>138</v>
      </c>
      <c r="E1079" t="s">
        <v>38</v>
      </c>
      <c r="F1079">
        <v>30</v>
      </c>
      <c r="G1079">
        <v>77</v>
      </c>
      <c r="H1079">
        <v>70</v>
      </c>
      <c r="I1079" t="s">
        <v>6393</v>
      </c>
      <c r="J1079">
        <v>77</v>
      </c>
      <c r="K1079">
        <v>251</v>
      </c>
      <c r="L1079" t="s">
        <v>5080</v>
      </c>
      <c r="M1079" s="6" t="s">
        <v>6558</v>
      </c>
      <c r="N1079" s="6" t="s">
        <v>6583</v>
      </c>
      <c r="O1079" s="6">
        <v>76</v>
      </c>
      <c r="P1079" s="6">
        <v>80</v>
      </c>
      <c r="Q1079" s="6">
        <v>79</v>
      </c>
      <c r="R1079" s="6">
        <v>77</v>
      </c>
      <c r="S1079" s="6">
        <v>84</v>
      </c>
      <c r="T1079" s="6">
        <v>77</v>
      </c>
      <c r="U1079" s="6">
        <v>87</v>
      </c>
      <c r="V1079" s="6">
        <v>76</v>
      </c>
      <c r="W1079" s="6">
        <v>78</v>
      </c>
      <c r="X1079" s="6">
        <v>78</v>
      </c>
      <c r="Y1079" s="6">
        <v>77</v>
      </c>
      <c r="Z1079" s="6">
        <v>89</v>
      </c>
      <c r="AA1079" s="6">
        <v>77</v>
      </c>
      <c r="AB1079" s="6">
        <v>72</v>
      </c>
      <c r="AC1079" s="6">
        <v>67</v>
      </c>
      <c r="AD1079" s="6">
        <v>75</v>
      </c>
      <c r="AE1079" s="6">
        <v>73</v>
      </c>
      <c r="AF1079" s="6">
        <v>78</v>
      </c>
      <c r="AG1079" s="6" t="s">
        <v>7121</v>
      </c>
      <c r="AH1079" s="6" t="s">
        <v>6963</v>
      </c>
    </row>
    <row r="1080" spans="1:34" x14ac:dyDescent="0.2">
      <c r="A1080" t="s">
        <v>3395</v>
      </c>
      <c r="B1080" t="s">
        <v>1659</v>
      </c>
      <c r="C1080" t="s">
        <v>61</v>
      </c>
      <c r="D1080" s="7" t="s">
        <v>138</v>
      </c>
      <c r="E1080" t="s">
        <v>38</v>
      </c>
      <c r="F1080">
        <v>23</v>
      </c>
      <c r="G1080">
        <v>71</v>
      </c>
      <c r="H1080">
        <v>70</v>
      </c>
      <c r="I1080" t="s">
        <v>6402</v>
      </c>
      <c r="J1080">
        <v>74</v>
      </c>
      <c r="K1080">
        <v>195</v>
      </c>
      <c r="L1080" t="s">
        <v>5089</v>
      </c>
      <c r="M1080" s="6" t="s">
        <v>6558</v>
      </c>
      <c r="N1080" s="6" t="s">
        <v>6565</v>
      </c>
      <c r="O1080" s="6">
        <v>76</v>
      </c>
      <c r="P1080" s="6">
        <v>73</v>
      </c>
      <c r="Q1080" s="6">
        <v>61</v>
      </c>
      <c r="R1080" s="6">
        <v>70</v>
      </c>
      <c r="S1080" s="6">
        <v>78</v>
      </c>
      <c r="T1080" s="6">
        <v>68</v>
      </c>
      <c r="U1080" s="6">
        <v>70</v>
      </c>
      <c r="V1080" s="6">
        <v>71</v>
      </c>
      <c r="W1080" s="6">
        <v>77</v>
      </c>
      <c r="X1080" s="6">
        <v>73</v>
      </c>
      <c r="Y1080" s="6">
        <v>73</v>
      </c>
      <c r="Z1080" s="6">
        <v>75</v>
      </c>
      <c r="AA1080" s="6">
        <v>70</v>
      </c>
      <c r="AB1080" s="6">
        <v>69</v>
      </c>
      <c r="AC1080" s="6">
        <v>66</v>
      </c>
      <c r="AD1080" s="6">
        <v>65</v>
      </c>
      <c r="AE1080" s="6">
        <v>63</v>
      </c>
      <c r="AF1080" s="6">
        <v>73</v>
      </c>
      <c r="AG1080" s="6" t="s">
        <v>7130</v>
      </c>
      <c r="AH1080" s="6" t="s">
        <v>6696</v>
      </c>
    </row>
    <row r="1081" spans="1:34" x14ac:dyDescent="0.2">
      <c r="A1081" t="s">
        <v>3405</v>
      </c>
      <c r="B1081" t="s">
        <v>1669</v>
      </c>
      <c r="C1081" t="s">
        <v>2885</v>
      </c>
      <c r="D1081" s="7" t="s">
        <v>138</v>
      </c>
      <c r="E1081" t="s">
        <v>38</v>
      </c>
      <c r="F1081">
        <v>27</v>
      </c>
      <c r="G1081">
        <v>82</v>
      </c>
      <c r="H1081">
        <v>70</v>
      </c>
      <c r="I1081" t="s">
        <v>6412</v>
      </c>
      <c r="J1081">
        <v>73</v>
      </c>
      <c r="K1081">
        <v>239</v>
      </c>
      <c r="L1081" t="s">
        <v>5099</v>
      </c>
      <c r="M1081" s="6" t="s">
        <v>6558</v>
      </c>
      <c r="N1081" s="6" t="s">
        <v>6567</v>
      </c>
      <c r="O1081" s="6">
        <v>68</v>
      </c>
      <c r="P1081" s="6">
        <v>69</v>
      </c>
      <c r="Q1081" s="6">
        <v>74</v>
      </c>
      <c r="R1081" s="6">
        <v>67</v>
      </c>
      <c r="S1081" s="6">
        <v>79</v>
      </c>
      <c r="T1081" s="6">
        <v>76</v>
      </c>
      <c r="U1081" s="6">
        <v>73</v>
      </c>
      <c r="V1081" s="6">
        <v>79</v>
      </c>
      <c r="W1081" s="6">
        <v>73</v>
      </c>
      <c r="X1081" s="6">
        <v>74</v>
      </c>
      <c r="Y1081" s="6">
        <v>67</v>
      </c>
      <c r="Z1081" s="6">
        <v>74</v>
      </c>
      <c r="AA1081" s="6">
        <v>65</v>
      </c>
      <c r="AB1081" s="6">
        <v>67</v>
      </c>
      <c r="AC1081" s="6">
        <v>64</v>
      </c>
      <c r="AD1081" s="6">
        <v>66</v>
      </c>
      <c r="AE1081" s="6">
        <v>72</v>
      </c>
      <c r="AF1081" s="6">
        <v>68</v>
      </c>
      <c r="AG1081" s="6" t="s">
        <v>7139</v>
      </c>
      <c r="AH1081" s="6" t="s">
        <v>6692</v>
      </c>
    </row>
    <row r="1082" spans="1:34" x14ac:dyDescent="0.2">
      <c r="A1082" t="s">
        <v>3456</v>
      </c>
      <c r="B1082" t="s">
        <v>1720</v>
      </c>
      <c r="C1082" t="s">
        <v>61</v>
      </c>
      <c r="D1082" s="7" t="s">
        <v>139</v>
      </c>
      <c r="E1082" t="s">
        <v>38</v>
      </c>
      <c r="F1082">
        <v>25</v>
      </c>
      <c r="G1082">
        <v>77</v>
      </c>
      <c r="H1082">
        <v>70</v>
      </c>
      <c r="I1082" t="s">
        <v>6480</v>
      </c>
      <c r="J1082">
        <v>70</v>
      </c>
      <c r="K1082">
        <v>192</v>
      </c>
      <c r="L1082" t="s">
        <v>5150</v>
      </c>
      <c r="M1082" s="6" t="s">
        <v>6558</v>
      </c>
      <c r="N1082" s="6" t="s">
        <v>6565</v>
      </c>
      <c r="O1082" s="6">
        <v>84</v>
      </c>
      <c r="P1082" s="6">
        <v>73</v>
      </c>
      <c r="Q1082" s="6">
        <v>80</v>
      </c>
      <c r="R1082" s="6">
        <v>75</v>
      </c>
      <c r="S1082" s="6">
        <v>81</v>
      </c>
      <c r="T1082" s="6">
        <v>73</v>
      </c>
      <c r="U1082" s="6">
        <v>81</v>
      </c>
      <c r="V1082" s="6">
        <v>72</v>
      </c>
      <c r="W1082" s="6">
        <v>84</v>
      </c>
      <c r="X1082" s="6">
        <v>74</v>
      </c>
      <c r="Y1082" s="6">
        <v>80</v>
      </c>
      <c r="Z1082" s="6">
        <v>69</v>
      </c>
      <c r="AA1082" s="6">
        <v>75</v>
      </c>
      <c r="AB1082" s="6">
        <v>77</v>
      </c>
      <c r="AC1082" s="6">
        <v>78</v>
      </c>
      <c r="AD1082" s="6">
        <v>76</v>
      </c>
      <c r="AE1082" s="6">
        <v>70</v>
      </c>
      <c r="AF1082" s="6">
        <v>73</v>
      </c>
      <c r="AG1082" s="6" t="s">
        <v>7191</v>
      </c>
      <c r="AH1082" s="6" t="s">
        <v>7082</v>
      </c>
    </row>
    <row r="1083" spans="1:34" x14ac:dyDescent="0.2">
      <c r="A1083" t="s">
        <v>3475</v>
      </c>
      <c r="B1083" t="s">
        <v>1739</v>
      </c>
      <c r="C1083" t="s">
        <v>2870</v>
      </c>
      <c r="D1083" s="7" t="s">
        <v>140</v>
      </c>
      <c r="E1083" t="s">
        <v>58</v>
      </c>
      <c r="F1083">
        <v>28</v>
      </c>
      <c r="G1083">
        <v>76</v>
      </c>
      <c r="H1083">
        <v>70</v>
      </c>
      <c r="I1083" t="s">
        <v>6408</v>
      </c>
      <c r="J1083">
        <v>68</v>
      </c>
      <c r="K1083">
        <v>223</v>
      </c>
      <c r="L1083" t="s">
        <v>5169</v>
      </c>
      <c r="M1083" s="6" t="s">
        <v>6558</v>
      </c>
      <c r="N1083" s="6" t="s">
        <v>6583</v>
      </c>
      <c r="O1083" s="6">
        <v>69</v>
      </c>
      <c r="P1083" s="6">
        <v>68</v>
      </c>
      <c r="Q1083" s="6">
        <v>75</v>
      </c>
      <c r="R1083" s="6">
        <v>79</v>
      </c>
      <c r="S1083" s="6">
        <v>82</v>
      </c>
      <c r="T1083" s="6">
        <v>75</v>
      </c>
      <c r="U1083" s="6">
        <v>81</v>
      </c>
      <c r="V1083" s="6">
        <v>77</v>
      </c>
      <c r="W1083" s="6">
        <v>80</v>
      </c>
      <c r="X1083" s="6">
        <v>73</v>
      </c>
      <c r="Y1083" s="6">
        <v>77</v>
      </c>
      <c r="Z1083" s="6">
        <v>88</v>
      </c>
      <c r="AA1083" s="6">
        <v>70</v>
      </c>
      <c r="AB1083" s="6">
        <v>76</v>
      </c>
      <c r="AC1083" s="6">
        <v>72</v>
      </c>
      <c r="AD1083" s="6">
        <v>76</v>
      </c>
      <c r="AE1083" s="6">
        <v>75</v>
      </c>
      <c r="AF1083" s="6">
        <v>67</v>
      </c>
      <c r="AG1083" s="6" t="s">
        <v>7210</v>
      </c>
      <c r="AH1083" s="6" t="s">
        <v>6654</v>
      </c>
    </row>
    <row r="1084" spans="1:34" x14ac:dyDescent="0.2">
      <c r="A1084" t="s">
        <v>3480</v>
      </c>
      <c r="B1084" t="s">
        <v>1744</v>
      </c>
      <c r="C1084" t="s">
        <v>57</v>
      </c>
      <c r="D1084" s="7" t="s">
        <v>140</v>
      </c>
      <c r="E1084" t="s">
        <v>38</v>
      </c>
      <c r="F1084">
        <v>24</v>
      </c>
      <c r="G1084">
        <v>70</v>
      </c>
      <c r="H1084">
        <v>70</v>
      </c>
      <c r="I1084" t="s">
        <v>6373</v>
      </c>
      <c r="J1084">
        <v>73</v>
      </c>
      <c r="K1084">
        <v>194</v>
      </c>
      <c r="L1084" t="s">
        <v>5174</v>
      </c>
      <c r="M1084" s="6" t="s">
        <v>6558</v>
      </c>
      <c r="N1084" s="6" t="s">
        <v>6567</v>
      </c>
      <c r="O1084" s="6">
        <v>66</v>
      </c>
      <c r="P1084" s="6">
        <v>71</v>
      </c>
      <c r="Q1084" s="6">
        <v>72</v>
      </c>
      <c r="R1084" s="6">
        <v>64</v>
      </c>
      <c r="S1084" s="6">
        <v>68</v>
      </c>
      <c r="T1084" s="6">
        <v>60</v>
      </c>
      <c r="U1084" s="6">
        <v>73</v>
      </c>
      <c r="V1084" s="6">
        <v>68</v>
      </c>
      <c r="W1084" s="6">
        <v>61</v>
      </c>
      <c r="X1084" s="6">
        <v>76</v>
      </c>
      <c r="Y1084" s="6">
        <v>69</v>
      </c>
      <c r="Z1084" s="6">
        <v>61</v>
      </c>
      <c r="AA1084" s="6">
        <v>65</v>
      </c>
      <c r="AB1084" s="6">
        <v>65</v>
      </c>
      <c r="AC1084" s="6">
        <v>67</v>
      </c>
      <c r="AD1084" s="6">
        <v>70</v>
      </c>
      <c r="AE1084" s="6">
        <v>64</v>
      </c>
      <c r="AF1084" s="6">
        <v>78</v>
      </c>
      <c r="AG1084" s="6" t="s">
        <v>7215</v>
      </c>
      <c r="AH1084" s="6" t="s">
        <v>6574</v>
      </c>
    </row>
    <row r="1085" spans="1:34" x14ac:dyDescent="0.2">
      <c r="A1085" t="s">
        <v>3507</v>
      </c>
      <c r="B1085" t="s">
        <v>1771</v>
      </c>
      <c r="C1085" t="s">
        <v>2881</v>
      </c>
      <c r="D1085" s="7" t="s">
        <v>140</v>
      </c>
      <c r="E1085" t="s">
        <v>38</v>
      </c>
      <c r="F1085">
        <v>25</v>
      </c>
      <c r="G1085">
        <v>73</v>
      </c>
      <c r="H1085">
        <v>70</v>
      </c>
      <c r="I1085" t="s">
        <v>6366</v>
      </c>
      <c r="J1085">
        <v>74</v>
      </c>
      <c r="K1085">
        <v>230</v>
      </c>
      <c r="L1085" t="s">
        <v>5201</v>
      </c>
      <c r="M1085" s="6" t="s">
        <v>6558</v>
      </c>
      <c r="N1085" s="6" t="s">
        <v>6567</v>
      </c>
      <c r="O1085" s="6">
        <v>77</v>
      </c>
      <c r="P1085" s="6">
        <v>72</v>
      </c>
      <c r="Q1085" s="6">
        <v>73</v>
      </c>
      <c r="R1085" s="6">
        <v>64</v>
      </c>
      <c r="S1085" s="6">
        <v>73</v>
      </c>
      <c r="T1085" s="6">
        <v>63</v>
      </c>
      <c r="U1085" s="6">
        <v>76</v>
      </c>
      <c r="V1085" s="6">
        <v>73</v>
      </c>
      <c r="W1085" s="6">
        <v>80</v>
      </c>
      <c r="X1085" s="6">
        <v>69</v>
      </c>
      <c r="Y1085" s="6">
        <v>81</v>
      </c>
      <c r="Z1085" s="6">
        <v>73</v>
      </c>
      <c r="AA1085" s="6">
        <v>68</v>
      </c>
      <c r="AB1085" s="6">
        <v>67</v>
      </c>
      <c r="AC1085" s="6">
        <v>64</v>
      </c>
      <c r="AD1085" s="6">
        <v>72</v>
      </c>
      <c r="AE1085" s="6">
        <v>66</v>
      </c>
      <c r="AF1085" s="6">
        <v>70</v>
      </c>
      <c r="AG1085" s="6" t="s">
        <v>7243</v>
      </c>
      <c r="AH1085" s="6" t="s">
        <v>6628</v>
      </c>
    </row>
    <row r="1086" spans="1:34" x14ac:dyDescent="0.2">
      <c r="A1086" t="s">
        <v>3511</v>
      </c>
      <c r="B1086" t="s">
        <v>1775</v>
      </c>
      <c r="C1086" t="s">
        <v>61</v>
      </c>
      <c r="D1086" s="7" t="s">
        <v>140</v>
      </c>
      <c r="E1086" t="s">
        <v>38</v>
      </c>
      <c r="F1086">
        <v>28</v>
      </c>
      <c r="G1086">
        <v>72</v>
      </c>
      <c r="H1086">
        <v>70</v>
      </c>
      <c r="I1086" t="s">
        <v>6399</v>
      </c>
      <c r="J1086">
        <v>69</v>
      </c>
      <c r="K1086">
        <v>193</v>
      </c>
      <c r="L1086" t="s">
        <v>5205</v>
      </c>
      <c r="M1086" s="6" t="s">
        <v>6558</v>
      </c>
      <c r="N1086" s="6" t="s">
        <v>6567</v>
      </c>
      <c r="O1086" s="6">
        <v>71</v>
      </c>
      <c r="P1086" s="6">
        <v>78</v>
      </c>
      <c r="Q1086" s="6">
        <v>63</v>
      </c>
      <c r="R1086" s="6">
        <v>63</v>
      </c>
      <c r="S1086" s="6">
        <v>83</v>
      </c>
      <c r="T1086" s="6">
        <v>78</v>
      </c>
      <c r="U1086" s="6">
        <v>73</v>
      </c>
      <c r="V1086" s="6">
        <v>80</v>
      </c>
      <c r="W1086" s="6">
        <v>73</v>
      </c>
      <c r="X1086" s="6">
        <v>70</v>
      </c>
      <c r="Y1086" s="6">
        <v>85</v>
      </c>
      <c r="Z1086" s="6">
        <v>78</v>
      </c>
      <c r="AA1086" s="6">
        <v>66</v>
      </c>
      <c r="AB1086" s="6">
        <v>78</v>
      </c>
      <c r="AC1086" s="6">
        <v>73</v>
      </c>
      <c r="AD1086" s="6">
        <v>77</v>
      </c>
      <c r="AE1086" s="6">
        <v>66</v>
      </c>
      <c r="AF1086" s="6">
        <v>79</v>
      </c>
      <c r="AG1086" s="6" t="s">
        <v>7247</v>
      </c>
      <c r="AH1086" s="6" t="s">
        <v>6632</v>
      </c>
    </row>
    <row r="1087" spans="1:34" x14ac:dyDescent="0.2">
      <c r="A1087" t="s">
        <v>3549</v>
      </c>
      <c r="B1087" t="s">
        <v>1813</v>
      </c>
      <c r="C1087" t="s">
        <v>2875</v>
      </c>
      <c r="D1087" s="7" t="s">
        <v>141</v>
      </c>
      <c r="E1087" t="s">
        <v>38</v>
      </c>
      <c r="F1087">
        <v>31</v>
      </c>
      <c r="G1087">
        <v>74</v>
      </c>
      <c r="H1087">
        <v>70</v>
      </c>
      <c r="I1087" t="s">
        <v>6319</v>
      </c>
      <c r="J1087">
        <v>74</v>
      </c>
      <c r="K1087">
        <v>301</v>
      </c>
      <c r="L1087" t="s">
        <v>5243</v>
      </c>
      <c r="M1087" s="6" t="s">
        <v>6558</v>
      </c>
      <c r="N1087" s="6" t="s">
        <v>6559</v>
      </c>
      <c r="O1087" s="6">
        <v>92</v>
      </c>
      <c r="P1087" s="6">
        <v>84</v>
      </c>
      <c r="Q1087" s="6">
        <v>77</v>
      </c>
      <c r="R1087" s="6">
        <v>83</v>
      </c>
      <c r="S1087" s="6">
        <v>82</v>
      </c>
      <c r="T1087" s="6">
        <v>80</v>
      </c>
      <c r="U1087" s="6">
        <v>72</v>
      </c>
      <c r="V1087" s="6">
        <v>80</v>
      </c>
      <c r="W1087" s="6">
        <v>85</v>
      </c>
      <c r="X1087" s="6">
        <v>72</v>
      </c>
      <c r="Y1087" s="6">
        <v>82</v>
      </c>
      <c r="Z1087" s="6">
        <v>78</v>
      </c>
      <c r="AA1087" s="6">
        <v>70</v>
      </c>
      <c r="AB1087" s="6">
        <v>69</v>
      </c>
      <c r="AC1087" s="6">
        <v>66</v>
      </c>
      <c r="AD1087" s="6">
        <v>74</v>
      </c>
      <c r="AE1087" s="6">
        <v>76</v>
      </c>
      <c r="AF1087" s="6">
        <v>75</v>
      </c>
      <c r="AG1087" s="6" t="s">
        <v>7286</v>
      </c>
      <c r="AH1087" s="6" t="s">
        <v>6743</v>
      </c>
    </row>
    <row r="1088" spans="1:34" x14ac:dyDescent="0.2">
      <c r="A1088" t="s">
        <v>3557</v>
      </c>
      <c r="B1088" t="s">
        <v>1821</v>
      </c>
      <c r="C1088" t="s">
        <v>2879</v>
      </c>
      <c r="D1088" s="7" t="s">
        <v>141</v>
      </c>
      <c r="E1088" t="s">
        <v>38</v>
      </c>
      <c r="F1088">
        <v>29</v>
      </c>
      <c r="G1088">
        <v>81</v>
      </c>
      <c r="H1088">
        <v>70</v>
      </c>
      <c r="I1088" t="s">
        <v>6410</v>
      </c>
      <c r="J1088">
        <v>73</v>
      </c>
      <c r="K1088">
        <v>330</v>
      </c>
      <c r="L1088" t="s">
        <v>5251</v>
      </c>
      <c r="M1088" s="6" t="s">
        <v>6558</v>
      </c>
      <c r="N1088" s="6" t="s">
        <v>6565</v>
      </c>
      <c r="O1088" s="6">
        <v>74</v>
      </c>
      <c r="P1088" s="6">
        <v>78</v>
      </c>
      <c r="Q1088" s="6">
        <v>74</v>
      </c>
      <c r="R1088" s="6">
        <v>74</v>
      </c>
      <c r="S1088" s="6">
        <v>80</v>
      </c>
      <c r="T1088" s="6">
        <v>83</v>
      </c>
      <c r="U1088" s="6">
        <v>81</v>
      </c>
      <c r="V1088" s="6">
        <v>86</v>
      </c>
      <c r="W1088" s="6">
        <v>73</v>
      </c>
      <c r="X1088" s="6">
        <v>80</v>
      </c>
      <c r="Y1088" s="6">
        <v>73</v>
      </c>
      <c r="Z1088" s="6">
        <v>74</v>
      </c>
      <c r="AA1088" s="6">
        <v>71</v>
      </c>
      <c r="AB1088" s="6">
        <v>81</v>
      </c>
      <c r="AC1088" s="6">
        <v>67</v>
      </c>
      <c r="AD1088" s="6">
        <v>79</v>
      </c>
      <c r="AE1088" s="6">
        <v>73</v>
      </c>
      <c r="AF1088" s="6">
        <v>67</v>
      </c>
      <c r="AG1088" s="6" t="s">
        <v>7294</v>
      </c>
      <c r="AH1088" s="6" t="s">
        <v>6752</v>
      </c>
    </row>
    <row r="1089" spans="1:34" x14ac:dyDescent="0.2">
      <c r="A1089" t="s">
        <v>3559</v>
      </c>
      <c r="B1089" t="s">
        <v>1823</v>
      </c>
      <c r="C1089" t="s">
        <v>2879</v>
      </c>
      <c r="D1089" s="7" t="s">
        <v>141</v>
      </c>
      <c r="E1089" t="s">
        <v>38</v>
      </c>
      <c r="F1089">
        <v>24</v>
      </c>
      <c r="G1089">
        <v>78</v>
      </c>
      <c r="H1089">
        <v>70</v>
      </c>
      <c r="I1089" t="s">
        <v>6374</v>
      </c>
      <c r="J1089">
        <v>74</v>
      </c>
      <c r="K1089">
        <v>307</v>
      </c>
      <c r="L1089" t="s">
        <v>5253</v>
      </c>
      <c r="M1089" s="6" t="s">
        <v>6558</v>
      </c>
      <c r="N1089" s="6" t="s">
        <v>6567</v>
      </c>
      <c r="O1089" s="6">
        <v>67</v>
      </c>
      <c r="P1089" s="6">
        <v>80</v>
      </c>
      <c r="Q1089" s="6">
        <v>73</v>
      </c>
      <c r="R1089" s="6">
        <v>66</v>
      </c>
      <c r="S1089" s="6">
        <v>82</v>
      </c>
      <c r="T1089" s="6">
        <v>70</v>
      </c>
      <c r="U1089" s="6">
        <v>69</v>
      </c>
      <c r="V1089" s="6">
        <v>74</v>
      </c>
      <c r="W1089" s="6">
        <v>79</v>
      </c>
      <c r="X1089" s="6">
        <v>69</v>
      </c>
      <c r="Y1089" s="6">
        <v>81</v>
      </c>
      <c r="Z1089" s="6">
        <v>82</v>
      </c>
      <c r="AA1089" s="6">
        <v>66</v>
      </c>
      <c r="AB1089" s="6">
        <v>77</v>
      </c>
      <c r="AC1089" s="6">
        <v>75</v>
      </c>
      <c r="AD1089" s="6">
        <v>73</v>
      </c>
      <c r="AE1089" s="6">
        <v>68</v>
      </c>
      <c r="AF1089" s="6">
        <v>71</v>
      </c>
      <c r="AG1089" s="6" t="s">
        <v>7296</v>
      </c>
      <c r="AH1089" s="6" t="s">
        <v>6855</v>
      </c>
    </row>
    <row r="1090" spans="1:34" x14ac:dyDescent="0.2">
      <c r="A1090" t="s">
        <v>3598</v>
      </c>
      <c r="B1090" t="s">
        <v>1862</v>
      </c>
      <c r="C1090" t="s">
        <v>2874</v>
      </c>
      <c r="D1090" s="7" t="s">
        <v>142</v>
      </c>
      <c r="E1090" t="s">
        <v>58</v>
      </c>
      <c r="F1090">
        <v>29</v>
      </c>
      <c r="G1090">
        <v>69</v>
      </c>
      <c r="H1090">
        <v>70</v>
      </c>
      <c r="I1090" t="s">
        <v>6423</v>
      </c>
      <c r="J1090">
        <v>74</v>
      </c>
      <c r="K1090">
        <v>326</v>
      </c>
      <c r="L1090" t="s">
        <v>5292</v>
      </c>
      <c r="M1090" s="6" t="s">
        <v>6558</v>
      </c>
      <c r="N1090" s="6" t="s">
        <v>6565</v>
      </c>
      <c r="O1090" s="6">
        <v>77</v>
      </c>
      <c r="P1090" s="6">
        <v>72</v>
      </c>
      <c r="Q1090" s="6">
        <v>68</v>
      </c>
      <c r="R1090" s="6">
        <v>70</v>
      </c>
      <c r="S1090" s="6">
        <v>76</v>
      </c>
      <c r="T1090" s="6">
        <v>77</v>
      </c>
      <c r="U1090" s="6">
        <v>72</v>
      </c>
      <c r="V1090" s="6">
        <v>72</v>
      </c>
      <c r="W1090" s="6">
        <v>76</v>
      </c>
      <c r="X1090" s="6">
        <v>67</v>
      </c>
      <c r="Y1090" s="6">
        <v>77</v>
      </c>
      <c r="Z1090" s="6">
        <v>73</v>
      </c>
      <c r="AA1090" s="6">
        <v>68</v>
      </c>
      <c r="AB1090" s="6">
        <v>70</v>
      </c>
      <c r="AC1090" s="6">
        <v>66</v>
      </c>
      <c r="AD1090" s="6">
        <v>73</v>
      </c>
      <c r="AE1090" s="6">
        <v>64</v>
      </c>
      <c r="AF1090" s="6">
        <v>65</v>
      </c>
      <c r="AG1090" s="6" t="s">
        <v>7334</v>
      </c>
      <c r="AH1090" s="6" t="s">
        <v>6598</v>
      </c>
    </row>
    <row r="1091" spans="1:34" x14ac:dyDescent="0.2">
      <c r="A1091" t="s">
        <v>3621</v>
      </c>
      <c r="B1091" t="s">
        <v>1885</v>
      </c>
      <c r="C1091" t="s">
        <v>2883</v>
      </c>
      <c r="D1091" s="7" t="s">
        <v>142</v>
      </c>
      <c r="E1091" t="s">
        <v>38</v>
      </c>
      <c r="F1091">
        <v>27</v>
      </c>
      <c r="G1091">
        <v>71</v>
      </c>
      <c r="H1091">
        <v>70</v>
      </c>
      <c r="I1091" t="s">
        <v>6463</v>
      </c>
      <c r="J1091">
        <v>73</v>
      </c>
      <c r="K1091">
        <v>203</v>
      </c>
      <c r="L1091" t="s">
        <v>5315</v>
      </c>
      <c r="M1091" s="6" t="s">
        <v>6558</v>
      </c>
      <c r="N1091" s="6" t="s">
        <v>6565</v>
      </c>
      <c r="O1091" s="6">
        <v>79</v>
      </c>
      <c r="P1091" s="6">
        <v>86</v>
      </c>
      <c r="Q1091" s="6">
        <v>67</v>
      </c>
      <c r="R1091" s="6">
        <v>73</v>
      </c>
      <c r="S1091" s="6">
        <v>64</v>
      </c>
      <c r="T1091" s="6">
        <v>63</v>
      </c>
      <c r="U1091" s="6">
        <v>71</v>
      </c>
      <c r="V1091" s="6">
        <v>80</v>
      </c>
      <c r="W1091" s="6">
        <v>67</v>
      </c>
      <c r="X1091" s="6">
        <v>70</v>
      </c>
      <c r="Y1091" s="6">
        <v>64</v>
      </c>
      <c r="Z1091" s="6">
        <v>68</v>
      </c>
      <c r="AA1091" s="6">
        <v>76</v>
      </c>
      <c r="AB1091" s="6">
        <v>72</v>
      </c>
      <c r="AC1091" s="6">
        <v>73</v>
      </c>
      <c r="AD1091" s="6">
        <v>75</v>
      </c>
      <c r="AE1091" s="6">
        <v>68</v>
      </c>
      <c r="AF1091" s="6">
        <v>79</v>
      </c>
      <c r="AG1091" s="6" t="s">
        <v>7356</v>
      </c>
      <c r="AH1091" s="6" t="s">
        <v>6640</v>
      </c>
    </row>
    <row r="1092" spans="1:34" x14ac:dyDescent="0.2">
      <c r="A1092" t="s">
        <v>3623</v>
      </c>
      <c r="B1092" t="s">
        <v>1887</v>
      </c>
      <c r="C1092" t="s">
        <v>2888</v>
      </c>
      <c r="D1092" s="7" t="s">
        <v>142</v>
      </c>
      <c r="E1092" t="s">
        <v>58</v>
      </c>
      <c r="F1092">
        <v>35</v>
      </c>
      <c r="G1092">
        <v>76</v>
      </c>
      <c r="H1092">
        <v>70</v>
      </c>
      <c r="I1092" t="s">
        <v>6457</v>
      </c>
      <c r="J1092">
        <v>70</v>
      </c>
      <c r="K1092">
        <v>215</v>
      </c>
      <c r="L1092" t="s">
        <v>5317</v>
      </c>
      <c r="M1092" s="6" t="s">
        <v>6558</v>
      </c>
      <c r="N1092" s="6" t="s">
        <v>6562</v>
      </c>
      <c r="O1092" s="6">
        <v>82</v>
      </c>
      <c r="P1092" s="6">
        <v>80</v>
      </c>
      <c r="Q1092" s="6">
        <v>84</v>
      </c>
      <c r="R1092" s="6">
        <v>88</v>
      </c>
      <c r="S1092" s="6">
        <v>85</v>
      </c>
      <c r="T1092" s="6">
        <v>83</v>
      </c>
      <c r="U1092" s="6">
        <v>82</v>
      </c>
      <c r="V1092" s="6">
        <v>80</v>
      </c>
      <c r="W1092" s="6">
        <v>69</v>
      </c>
      <c r="X1092" s="6">
        <v>78</v>
      </c>
      <c r="Y1092" s="6">
        <v>90</v>
      </c>
      <c r="Z1092" s="6">
        <v>83</v>
      </c>
      <c r="AA1092" s="6">
        <v>76</v>
      </c>
      <c r="AB1092" s="6">
        <v>70</v>
      </c>
      <c r="AC1092" s="6">
        <v>69</v>
      </c>
      <c r="AD1092" s="6">
        <v>72</v>
      </c>
      <c r="AE1092" s="6">
        <v>72</v>
      </c>
      <c r="AF1092" s="6">
        <v>70</v>
      </c>
      <c r="AG1092" s="6" t="s">
        <v>7358</v>
      </c>
      <c r="AH1092" s="6" t="s">
        <v>6707</v>
      </c>
    </row>
    <row r="1093" spans="1:34" x14ac:dyDescent="0.2">
      <c r="A1093" t="s">
        <v>3660</v>
      </c>
      <c r="B1093" t="s">
        <v>1924</v>
      </c>
      <c r="C1093" t="s">
        <v>2878</v>
      </c>
      <c r="D1093" s="7" t="s">
        <v>143</v>
      </c>
      <c r="E1093" t="s">
        <v>38</v>
      </c>
      <c r="F1093">
        <v>28</v>
      </c>
      <c r="G1093">
        <v>78</v>
      </c>
      <c r="H1093">
        <v>70</v>
      </c>
      <c r="I1093" t="s">
        <v>6422</v>
      </c>
      <c r="J1093">
        <v>77</v>
      </c>
      <c r="K1093">
        <v>259</v>
      </c>
      <c r="L1093" t="s">
        <v>5354</v>
      </c>
      <c r="M1093" s="6" t="s">
        <v>6558</v>
      </c>
      <c r="N1093" s="6" t="s">
        <v>6583</v>
      </c>
      <c r="O1093" s="6">
        <v>69</v>
      </c>
      <c r="P1093" s="6">
        <v>72</v>
      </c>
      <c r="Q1093" s="6">
        <v>77</v>
      </c>
      <c r="R1093" s="6">
        <v>80</v>
      </c>
      <c r="S1093" s="6">
        <v>89</v>
      </c>
      <c r="T1093" s="6">
        <v>77</v>
      </c>
      <c r="U1093" s="6">
        <v>71</v>
      </c>
      <c r="V1093" s="6">
        <v>82</v>
      </c>
      <c r="W1093" s="6">
        <v>71</v>
      </c>
      <c r="X1093" s="6">
        <v>67</v>
      </c>
      <c r="Y1093" s="6">
        <v>82</v>
      </c>
      <c r="Z1093" s="6">
        <v>83</v>
      </c>
      <c r="AA1093" s="6">
        <v>75</v>
      </c>
      <c r="AB1093" s="6">
        <v>72</v>
      </c>
      <c r="AC1093" s="6">
        <v>77</v>
      </c>
      <c r="AD1093" s="6">
        <v>73</v>
      </c>
      <c r="AE1093" s="6">
        <v>69</v>
      </c>
      <c r="AF1093" s="6">
        <v>74</v>
      </c>
      <c r="AG1093" s="6" t="s">
        <v>7395</v>
      </c>
      <c r="AH1093" s="6" t="s">
        <v>6797</v>
      </c>
    </row>
    <row r="1094" spans="1:34" x14ac:dyDescent="0.2">
      <c r="A1094" t="s">
        <v>3667</v>
      </c>
      <c r="B1094" t="s">
        <v>1931</v>
      </c>
      <c r="C1094" t="s">
        <v>2879</v>
      </c>
      <c r="D1094" s="7" t="s">
        <v>143</v>
      </c>
      <c r="E1094" t="s">
        <v>38</v>
      </c>
      <c r="F1094">
        <v>24</v>
      </c>
      <c r="G1094">
        <v>79</v>
      </c>
      <c r="H1094">
        <v>70</v>
      </c>
      <c r="I1094" t="s">
        <v>6470</v>
      </c>
      <c r="J1094">
        <v>75</v>
      </c>
      <c r="K1094">
        <v>328</v>
      </c>
      <c r="L1094" t="s">
        <v>5361</v>
      </c>
      <c r="M1094" s="6" t="s">
        <v>6558</v>
      </c>
      <c r="N1094" s="6" t="s">
        <v>6567</v>
      </c>
      <c r="O1094" s="6">
        <v>67</v>
      </c>
      <c r="P1094" s="6">
        <v>70</v>
      </c>
      <c r="Q1094" s="6">
        <v>78</v>
      </c>
      <c r="R1094" s="6">
        <v>69</v>
      </c>
      <c r="S1094" s="6">
        <v>88</v>
      </c>
      <c r="T1094" s="6">
        <v>77</v>
      </c>
      <c r="U1094" s="6">
        <v>64</v>
      </c>
      <c r="V1094" s="6">
        <v>78</v>
      </c>
      <c r="W1094" s="6">
        <v>72</v>
      </c>
      <c r="X1094" s="6">
        <v>75</v>
      </c>
      <c r="Y1094" s="6">
        <v>74</v>
      </c>
      <c r="Z1094" s="6">
        <v>76</v>
      </c>
      <c r="AA1094" s="6">
        <v>76</v>
      </c>
      <c r="AB1094" s="6">
        <v>76</v>
      </c>
      <c r="AC1094" s="6">
        <v>72</v>
      </c>
      <c r="AD1094" s="6">
        <v>83</v>
      </c>
      <c r="AE1094" s="6">
        <v>76</v>
      </c>
      <c r="AF1094" s="6">
        <v>79</v>
      </c>
      <c r="AG1094" s="6" t="s">
        <v>7402</v>
      </c>
      <c r="AH1094" s="6" t="s">
        <v>6806</v>
      </c>
    </row>
    <row r="1095" spans="1:34" x14ac:dyDescent="0.2">
      <c r="A1095" t="s">
        <v>3670</v>
      </c>
      <c r="B1095" t="s">
        <v>1934</v>
      </c>
      <c r="C1095" t="s">
        <v>2880</v>
      </c>
      <c r="D1095" s="7" t="s">
        <v>143</v>
      </c>
      <c r="E1095" t="s">
        <v>38</v>
      </c>
      <c r="F1095">
        <v>27</v>
      </c>
      <c r="G1095">
        <v>68</v>
      </c>
      <c r="H1095">
        <v>70</v>
      </c>
      <c r="I1095" t="s">
        <v>6429</v>
      </c>
      <c r="J1095">
        <v>75</v>
      </c>
      <c r="K1095">
        <v>265</v>
      </c>
      <c r="L1095" t="s">
        <v>5364</v>
      </c>
      <c r="M1095" s="6" t="s">
        <v>6558</v>
      </c>
      <c r="N1095" s="6" t="s">
        <v>6565</v>
      </c>
      <c r="O1095" s="6">
        <v>69</v>
      </c>
      <c r="P1095" s="6">
        <v>73</v>
      </c>
      <c r="Q1095" s="6">
        <v>80</v>
      </c>
      <c r="R1095" s="6">
        <v>75</v>
      </c>
      <c r="S1095" s="6">
        <v>75</v>
      </c>
      <c r="T1095" s="6">
        <v>71</v>
      </c>
      <c r="U1095" s="6">
        <v>96</v>
      </c>
      <c r="V1095" s="6">
        <v>73</v>
      </c>
      <c r="W1095" s="6">
        <v>60</v>
      </c>
      <c r="X1095" s="6">
        <v>70</v>
      </c>
      <c r="Y1095" s="6">
        <v>69</v>
      </c>
      <c r="Z1095" s="6">
        <v>72</v>
      </c>
      <c r="AA1095" s="6">
        <v>67</v>
      </c>
      <c r="AB1095" s="6">
        <v>69</v>
      </c>
      <c r="AC1095" s="6">
        <v>71</v>
      </c>
      <c r="AD1095" s="6">
        <v>74</v>
      </c>
      <c r="AE1095" s="6">
        <v>65</v>
      </c>
      <c r="AF1095" s="6">
        <v>74</v>
      </c>
      <c r="AG1095" s="6" t="s">
        <v>7405</v>
      </c>
      <c r="AH1095" s="6" t="s">
        <v>6623</v>
      </c>
    </row>
    <row r="1096" spans="1:34" x14ac:dyDescent="0.2">
      <c r="A1096" t="s">
        <v>3711</v>
      </c>
      <c r="B1096" t="s">
        <v>1975</v>
      </c>
      <c r="C1096" t="s">
        <v>2872</v>
      </c>
      <c r="D1096" s="7" t="s">
        <v>154</v>
      </c>
      <c r="E1096" t="s">
        <v>58</v>
      </c>
      <c r="F1096">
        <v>32</v>
      </c>
      <c r="G1096">
        <v>68</v>
      </c>
      <c r="H1096">
        <v>70</v>
      </c>
      <c r="I1096" t="s">
        <v>6307</v>
      </c>
      <c r="J1096">
        <v>78</v>
      </c>
      <c r="K1096">
        <v>328</v>
      </c>
      <c r="L1096" t="s">
        <v>5405</v>
      </c>
      <c r="M1096" s="6" t="s">
        <v>6558</v>
      </c>
      <c r="N1096" s="6" t="s">
        <v>6567</v>
      </c>
      <c r="O1096" s="6">
        <v>70</v>
      </c>
      <c r="P1096" s="6">
        <v>69</v>
      </c>
      <c r="Q1096" s="6">
        <v>66</v>
      </c>
      <c r="R1096" s="6">
        <v>64</v>
      </c>
      <c r="S1096" s="6">
        <v>72</v>
      </c>
      <c r="T1096" s="6">
        <v>77</v>
      </c>
      <c r="U1096" s="6">
        <v>75</v>
      </c>
      <c r="V1096" s="6">
        <v>73</v>
      </c>
      <c r="W1096" s="6">
        <v>70</v>
      </c>
      <c r="X1096" s="6">
        <v>70</v>
      </c>
      <c r="Y1096" s="6">
        <v>79</v>
      </c>
      <c r="Z1096" s="6">
        <v>71</v>
      </c>
      <c r="AA1096" s="6">
        <v>57</v>
      </c>
      <c r="AB1096" s="6">
        <v>69</v>
      </c>
      <c r="AC1096" s="6">
        <v>65</v>
      </c>
      <c r="AD1096" s="6">
        <v>60</v>
      </c>
      <c r="AE1096" s="6">
        <v>57</v>
      </c>
      <c r="AF1096" s="6">
        <v>63</v>
      </c>
      <c r="AG1096" s="6" t="s">
        <v>7447</v>
      </c>
      <c r="AH1096" s="6" t="s">
        <v>6694</v>
      </c>
    </row>
    <row r="1097" spans="1:34" x14ac:dyDescent="0.2">
      <c r="A1097" t="s">
        <v>3716</v>
      </c>
      <c r="B1097" t="s">
        <v>1980</v>
      </c>
      <c r="C1097" t="s">
        <v>2887</v>
      </c>
      <c r="D1097" s="7" t="s">
        <v>154</v>
      </c>
      <c r="E1097" t="s">
        <v>58</v>
      </c>
      <c r="F1097">
        <v>33</v>
      </c>
      <c r="G1097">
        <v>74</v>
      </c>
      <c r="H1097">
        <v>70</v>
      </c>
      <c r="I1097" t="s">
        <v>6342</v>
      </c>
      <c r="J1097">
        <v>74</v>
      </c>
      <c r="K1097">
        <v>321</v>
      </c>
      <c r="L1097" t="s">
        <v>5410</v>
      </c>
      <c r="M1097" s="6" t="s">
        <v>6558</v>
      </c>
      <c r="N1097" s="6" t="s">
        <v>6565</v>
      </c>
      <c r="O1097" s="6">
        <v>73</v>
      </c>
      <c r="P1097" s="6">
        <v>77</v>
      </c>
      <c r="Q1097" s="6">
        <v>77</v>
      </c>
      <c r="R1097" s="6">
        <v>71</v>
      </c>
      <c r="S1097" s="6">
        <v>77</v>
      </c>
      <c r="T1097" s="6">
        <v>69</v>
      </c>
      <c r="U1097" s="6">
        <v>72</v>
      </c>
      <c r="V1097" s="6">
        <v>82</v>
      </c>
      <c r="W1097" s="6">
        <v>77</v>
      </c>
      <c r="X1097" s="6">
        <v>74</v>
      </c>
      <c r="Y1097" s="6">
        <v>77</v>
      </c>
      <c r="Z1097" s="6">
        <v>76</v>
      </c>
      <c r="AA1097" s="6">
        <v>77</v>
      </c>
      <c r="AB1097" s="6">
        <v>69</v>
      </c>
      <c r="AC1097" s="6">
        <v>69</v>
      </c>
      <c r="AD1097" s="6">
        <v>68</v>
      </c>
      <c r="AE1097" s="6">
        <v>70</v>
      </c>
      <c r="AF1097" s="6">
        <v>72</v>
      </c>
      <c r="AG1097" s="6" t="s">
        <v>7452</v>
      </c>
      <c r="AH1097" s="6" t="s">
        <v>6600</v>
      </c>
    </row>
    <row r="1098" spans="1:34" x14ac:dyDescent="0.2">
      <c r="A1098" t="s">
        <v>3742</v>
      </c>
      <c r="B1098" t="s">
        <v>2006</v>
      </c>
      <c r="C1098" t="s">
        <v>2891</v>
      </c>
      <c r="D1098" s="7" t="s">
        <v>154</v>
      </c>
      <c r="E1098" t="s">
        <v>38</v>
      </c>
      <c r="F1098">
        <v>24</v>
      </c>
      <c r="G1098">
        <v>71</v>
      </c>
      <c r="H1098">
        <v>70</v>
      </c>
      <c r="I1098" t="s">
        <v>6324</v>
      </c>
      <c r="J1098">
        <v>74</v>
      </c>
      <c r="K1098">
        <v>238</v>
      </c>
      <c r="L1098" t="s">
        <v>5436</v>
      </c>
      <c r="M1098" s="6" t="s">
        <v>6558</v>
      </c>
      <c r="N1098" s="6" t="s">
        <v>6614</v>
      </c>
      <c r="O1098" s="6">
        <v>65</v>
      </c>
      <c r="P1098" s="6">
        <v>68</v>
      </c>
      <c r="Q1098" s="6">
        <v>69</v>
      </c>
      <c r="R1098" s="6">
        <v>60</v>
      </c>
      <c r="S1098" s="6">
        <v>76</v>
      </c>
      <c r="T1098" s="6">
        <v>68</v>
      </c>
      <c r="U1098" s="6">
        <v>79</v>
      </c>
      <c r="V1098" s="6">
        <v>75</v>
      </c>
      <c r="W1098" s="6">
        <v>69</v>
      </c>
      <c r="X1098" s="6">
        <v>71</v>
      </c>
      <c r="Y1098" s="6">
        <v>65</v>
      </c>
      <c r="Z1098" s="6">
        <v>72</v>
      </c>
      <c r="AA1098" s="6">
        <v>75</v>
      </c>
      <c r="AB1098" s="6">
        <v>69</v>
      </c>
      <c r="AC1098" s="6">
        <v>69</v>
      </c>
      <c r="AD1098" s="6">
        <v>72</v>
      </c>
      <c r="AE1098" s="6">
        <v>68</v>
      </c>
      <c r="AF1098" s="6">
        <v>71</v>
      </c>
      <c r="AG1098" s="6" t="s">
        <v>7478</v>
      </c>
      <c r="AH1098" s="6" t="s">
        <v>7093</v>
      </c>
    </row>
    <row r="1099" spans="1:34" x14ac:dyDescent="0.2">
      <c r="A1099" t="s">
        <v>3746</v>
      </c>
      <c r="B1099" t="s">
        <v>2010</v>
      </c>
      <c r="C1099" t="s">
        <v>53</v>
      </c>
      <c r="D1099" s="7" t="s">
        <v>155</v>
      </c>
      <c r="E1099" t="s">
        <v>38</v>
      </c>
      <c r="F1099">
        <v>23</v>
      </c>
      <c r="G1099">
        <v>68</v>
      </c>
      <c r="H1099">
        <v>70</v>
      </c>
      <c r="I1099" t="s">
        <v>6361</v>
      </c>
      <c r="J1099">
        <v>74</v>
      </c>
      <c r="K1099">
        <v>227</v>
      </c>
      <c r="L1099" t="s">
        <v>5440</v>
      </c>
      <c r="M1099" s="6" t="s">
        <v>6733</v>
      </c>
      <c r="N1099" s="6" t="s">
        <v>6567</v>
      </c>
      <c r="O1099" s="6">
        <v>76</v>
      </c>
      <c r="P1099" s="6">
        <v>71</v>
      </c>
      <c r="Q1099" s="6">
        <v>64</v>
      </c>
      <c r="R1099" s="6">
        <v>69</v>
      </c>
      <c r="S1099" s="6">
        <v>64</v>
      </c>
      <c r="T1099" s="6">
        <v>65</v>
      </c>
      <c r="U1099" s="6">
        <v>72</v>
      </c>
      <c r="V1099" s="6">
        <v>69</v>
      </c>
      <c r="W1099" s="6">
        <v>84</v>
      </c>
      <c r="X1099" s="6">
        <v>60</v>
      </c>
      <c r="Y1099" s="6">
        <v>70</v>
      </c>
      <c r="Z1099" s="6">
        <v>58</v>
      </c>
      <c r="AA1099" s="6">
        <v>62</v>
      </c>
      <c r="AB1099" s="6">
        <v>68</v>
      </c>
      <c r="AC1099" s="6">
        <v>69</v>
      </c>
      <c r="AD1099" s="6">
        <v>73</v>
      </c>
      <c r="AE1099" s="6">
        <v>67</v>
      </c>
      <c r="AF1099" s="6">
        <v>62</v>
      </c>
      <c r="AG1099" s="6" t="s">
        <v>7482</v>
      </c>
      <c r="AH1099" s="6" t="s">
        <v>7041</v>
      </c>
    </row>
    <row r="1100" spans="1:34" x14ac:dyDescent="0.2">
      <c r="A1100" t="s">
        <v>3747</v>
      </c>
      <c r="B1100" t="s">
        <v>2011</v>
      </c>
      <c r="C1100" t="s">
        <v>2870</v>
      </c>
      <c r="D1100" s="7" t="s">
        <v>155</v>
      </c>
      <c r="E1100" t="s">
        <v>38</v>
      </c>
      <c r="F1100">
        <v>24</v>
      </c>
      <c r="G1100">
        <v>76</v>
      </c>
      <c r="H1100">
        <v>70</v>
      </c>
      <c r="I1100" t="s">
        <v>6359</v>
      </c>
      <c r="J1100">
        <v>72</v>
      </c>
      <c r="K1100">
        <v>216</v>
      </c>
      <c r="L1100" t="s">
        <v>5441</v>
      </c>
      <c r="M1100" s="6" t="s">
        <v>6558</v>
      </c>
      <c r="N1100" s="6" t="s">
        <v>6583</v>
      </c>
      <c r="O1100" s="6">
        <v>74</v>
      </c>
      <c r="P1100" s="6">
        <v>76</v>
      </c>
      <c r="Q1100" s="6">
        <v>77</v>
      </c>
      <c r="R1100" s="6">
        <v>76</v>
      </c>
      <c r="S1100" s="6">
        <v>87</v>
      </c>
      <c r="T1100" s="6">
        <v>65</v>
      </c>
      <c r="U1100" s="6">
        <v>73</v>
      </c>
      <c r="V1100" s="6">
        <v>72</v>
      </c>
      <c r="W1100" s="6">
        <v>73</v>
      </c>
      <c r="X1100" s="6">
        <v>74</v>
      </c>
      <c r="Y1100" s="6">
        <v>75</v>
      </c>
      <c r="Z1100" s="6">
        <v>73</v>
      </c>
      <c r="AA1100" s="6">
        <v>73</v>
      </c>
      <c r="AB1100" s="6">
        <v>71</v>
      </c>
      <c r="AC1100" s="6">
        <v>75</v>
      </c>
      <c r="AD1100" s="6">
        <v>82</v>
      </c>
      <c r="AE1100" s="6">
        <v>68</v>
      </c>
      <c r="AF1100" s="6">
        <v>83</v>
      </c>
      <c r="AG1100" s="6" t="s">
        <v>7483</v>
      </c>
      <c r="AH1100" s="6" t="s">
        <v>6654</v>
      </c>
    </row>
    <row r="1101" spans="1:34" x14ac:dyDescent="0.2">
      <c r="A1101" t="s">
        <v>3756</v>
      </c>
      <c r="B1101" t="s">
        <v>2020</v>
      </c>
      <c r="C1101" t="s">
        <v>57</v>
      </c>
      <c r="D1101" s="7" t="s">
        <v>155</v>
      </c>
      <c r="E1101" t="s">
        <v>58</v>
      </c>
      <c r="F1101">
        <v>31</v>
      </c>
      <c r="G1101">
        <v>67</v>
      </c>
      <c r="H1101">
        <v>70</v>
      </c>
      <c r="I1101" t="s">
        <v>62</v>
      </c>
      <c r="J1101">
        <v>73</v>
      </c>
      <c r="K1101">
        <v>183</v>
      </c>
      <c r="L1101" t="s">
        <v>5450</v>
      </c>
      <c r="M1101" s="6" t="s">
        <v>6558</v>
      </c>
      <c r="N1101" s="6" t="s">
        <v>6583</v>
      </c>
      <c r="O1101" s="6">
        <v>71</v>
      </c>
      <c r="P1101" s="6">
        <v>68</v>
      </c>
      <c r="Q1101" s="6">
        <v>78</v>
      </c>
      <c r="R1101" s="6">
        <v>76</v>
      </c>
      <c r="S1101" s="6">
        <v>70</v>
      </c>
      <c r="T1101" s="6">
        <v>76</v>
      </c>
      <c r="U1101" s="6">
        <v>74</v>
      </c>
      <c r="V1101" s="6">
        <v>74</v>
      </c>
      <c r="W1101" s="6">
        <v>69</v>
      </c>
      <c r="X1101" s="6">
        <v>72</v>
      </c>
      <c r="Y1101" s="6">
        <v>81</v>
      </c>
      <c r="Z1101" s="6">
        <v>80</v>
      </c>
      <c r="AA1101" s="6">
        <v>66</v>
      </c>
      <c r="AB1101" s="6">
        <v>63</v>
      </c>
      <c r="AC1101" s="6">
        <v>67</v>
      </c>
      <c r="AD1101" s="6">
        <v>61</v>
      </c>
      <c r="AE1101" s="6">
        <v>59</v>
      </c>
      <c r="AF1101" s="6">
        <v>58</v>
      </c>
      <c r="AG1101" s="6" t="s">
        <v>7492</v>
      </c>
      <c r="AH1101" s="6" t="s">
        <v>6574</v>
      </c>
    </row>
    <row r="1102" spans="1:34" x14ac:dyDescent="0.2">
      <c r="A1102" t="s">
        <v>3776</v>
      </c>
      <c r="B1102" t="s">
        <v>2040</v>
      </c>
      <c r="C1102" t="s">
        <v>2878</v>
      </c>
      <c r="D1102" s="7" t="s">
        <v>155</v>
      </c>
      <c r="E1102" t="s">
        <v>58</v>
      </c>
      <c r="F1102">
        <v>30</v>
      </c>
      <c r="G1102">
        <v>70</v>
      </c>
      <c r="H1102">
        <v>70</v>
      </c>
      <c r="I1102" t="s">
        <v>6408</v>
      </c>
      <c r="J1102">
        <v>74</v>
      </c>
      <c r="K1102">
        <v>250</v>
      </c>
      <c r="L1102" t="s">
        <v>5470</v>
      </c>
      <c r="M1102" s="6" t="s">
        <v>6558</v>
      </c>
      <c r="N1102" s="6" t="s">
        <v>6567</v>
      </c>
      <c r="O1102" s="6">
        <v>74</v>
      </c>
      <c r="P1102" s="6">
        <v>83</v>
      </c>
      <c r="Q1102" s="6">
        <v>67</v>
      </c>
      <c r="R1102" s="6">
        <v>67</v>
      </c>
      <c r="S1102" s="6">
        <v>79</v>
      </c>
      <c r="T1102" s="6">
        <v>76</v>
      </c>
      <c r="U1102" s="6">
        <v>66</v>
      </c>
      <c r="V1102" s="6">
        <v>74</v>
      </c>
      <c r="W1102" s="6">
        <v>81</v>
      </c>
      <c r="X1102" s="6">
        <v>64</v>
      </c>
      <c r="Y1102" s="6">
        <v>77</v>
      </c>
      <c r="Z1102" s="6">
        <v>68</v>
      </c>
      <c r="AA1102" s="6">
        <v>69</v>
      </c>
      <c r="AB1102" s="6">
        <v>71</v>
      </c>
      <c r="AC1102" s="6">
        <v>66</v>
      </c>
      <c r="AD1102" s="6">
        <v>65</v>
      </c>
      <c r="AE1102" s="6">
        <v>60</v>
      </c>
      <c r="AF1102" s="6">
        <v>65</v>
      </c>
      <c r="AG1102" s="6" t="s">
        <v>7512</v>
      </c>
      <c r="AH1102" s="6" t="s">
        <v>6686</v>
      </c>
    </row>
    <row r="1103" spans="1:34" x14ac:dyDescent="0.2">
      <c r="A1103" t="s">
        <v>3777</v>
      </c>
      <c r="B1103" t="s">
        <v>2041</v>
      </c>
      <c r="C1103" t="s">
        <v>2878</v>
      </c>
      <c r="D1103" s="7" t="s">
        <v>155</v>
      </c>
      <c r="E1103" t="s">
        <v>38</v>
      </c>
      <c r="F1103">
        <v>27</v>
      </c>
      <c r="G1103">
        <v>70</v>
      </c>
      <c r="H1103">
        <v>70</v>
      </c>
      <c r="I1103" t="s">
        <v>6377</v>
      </c>
      <c r="J1103">
        <v>77</v>
      </c>
      <c r="K1103">
        <v>256</v>
      </c>
      <c r="L1103" t="s">
        <v>5471</v>
      </c>
      <c r="M1103" s="6" t="s">
        <v>6558</v>
      </c>
      <c r="N1103" s="6" t="s">
        <v>6567</v>
      </c>
      <c r="O1103" s="6">
        <v>70</v>
      </c>
      <c r="P1103" s="6">
        <v>71</v>
      </c>
      <c r="Q1103" s="6">
        <v>73</v>
      </c>
      <c r="R1103" s="6">
        <v>67</v>
      </c>
      <c r="S1103" s="6">
        <v>76</v>
      </c>
      <c r="T1103" s="6">
        <v>70</v>
      </c>
      <c r="U1103" s="6">
        <v>81</v>
      </c>
      <c r="V1103" s="6">
        <v>80</v>
      </c>
      <c r="W1103" s="6">
        <v>76</v>
      </c>
      <c r="X1103" s="6">
        <v>75</v>
      </c>
      <c r="Y1103" s="6">
        <v>65</v>
      </c>
      <c r="Z1103" s="6">
        <v>72</v>
      </c>
      <c r="AA1103" s="6">
        <v>75</v>
      </c>
      <c r="AB1103" s="6">
        <v>70</v>
      </c>
      <c r="AC1103" s="6">
        <v>65</v>
      </c>
      <c r="AD1103" s="6">
        <v>74</v>
      </c>
      <c r="AE1103" s="6">
        <v>67</v>
      </c>
      <c r="AF1103" s="6">
        <v>75</v>
      </c>
      <c r="AG1103" s="6" t="s">
        <v>7513</v>
      </c>
      <c r="AH1103" s="6" t="s">
        <v>6682</v>
      </c>
    </row>
    <row r="1104" spans="1:34" x14ac:dyDescent="0.2">
      <c r="A1104" t="s">
        <v>3782</v>
      </c>
      <c r="B1104" t="s">
        <v>2046</v>
      </c>
      <c r="C1104" t="s">
        <v>2879</v>
      </c>
      <c r="D1104" s="7" t="s">
        <v>155</v>
      </c>
      <c r="E1104" t="s">
        <v>38</v>
      </c>
      <c r="F1104">
        <v>29</v>
      </c>
      <c r="G1104">
        <v>69</v>
      </c>
      <c r="H1104">
        <v>70</v>
      </c>
      <c r="I1104" t="s">
        <v>6383</v>
      </c>
      <c r="J1104">
        <v>75</v>
      </c>
      <c r="K1104">
        <v>290</v>
      </c>
      <c r="L1104" t="s">
        <v>5476</v>
      </c>
      <c r="M1104" s="6" t="s">
        <v>6558</v>
      </c>
      <c r="N1104" s="6" t="s">
        <v>6567</v>
      </c>
      <c r="O1104" s="6">
        <v>70</v>
      </c>
      <c r="P1104" s="6">
        <v>69</v>
      </c>
      <c r="Q1104" s="6">
        <v>73</v>
      </c>
      <c r="R1104" s="6">
        <v>67</v>
      </c>
      <c r="S1104" s="6">
        <v>72</v>
      </c>
      <c r="T1104" s="6">
        <v>70</v>
      </c>
      <c r="U1104" s="6">
        <v>69</v>
      </c>
      <c r="V1104" s="6">
        <v>68</v>
      </c>
      <c r="W1104" s="6">
        <v>72</v>
      </c>
      <c r="X1104" s="6">
        <v>61</v>
      </c>
      <c r="Y1104" s="6">
        <v>77</v>
      </c>
      <c r="Z1104" s="6">
        <v>71</v>
      </c>
      <c r="AA1104" s="6">
        <v>67</v>
      </c>
      <c r="AB1104" s="6">
        <v>70</v>
      </c>
      <c r="AC1104" s="6">
        <v>66</v>
      </c>
      <c r="AD1104" s="6">
        <v>65</v>
      </c>
      <c r="AE1104" s="6">
        <v>64</v>
      </c>
      <c r="AF1104" s="6">
        <v>63</v>
      </c>
      <c r="AG1104" s="6" t="s">
        <v>7518</v>
      </c>
      <c r="AH1104" s="6" t="s">
        <v>6617</v>
      </c>
    </row>
    <row r="1105" spans="1:34" x14ac:dyDescent="0.2">
      <c r="A1105" t="s">
        <v>3794</v>
      </c>
      <c r="B1105" t="s">
        <v>2058</v>
      </c>
      <c r="C1105" t="s">
        <v>2888</v>
      </c>
      <c r="D1105" s="7" t="s">
        <v>155</v>
      </c>
      <c r="E1105" t="s">
        <v>38</v>
      </c>
      <c r="F1105">
        <v>35</v>
      </c>
      <c r="G1105">
        <v>70</v>
      </c>
      <c r="H1105">
        <v>70</v>
      </c>
      <c r="I1105" t="s">
        <v>6505</v>
      </c>
      <c r="J1105">
        <v>71</v>
      </c>
      <c r="K1105">
        <v>203</v>
      </c>
      <c r="L1105" t="s">
        <v>5488</v>
      </c>
      <c r="M1105" s="6" t="s">
        <v>6558</v>
      </c>
      <c r="N1105" s="6" t="s">
        <v>6583</v>
      </c>
      <c r="O1105" s="6">
        <v>93</v>
      </c>
      <c r="P1105" s="6">
        <v>66</v>
      </c>
      <c r="Q1105" s="6">
        <v>87</v>
      </c>
      <c r="R1105" s="6">
        <v>79</v>
      </c>
      <c r="S1105" s="6">
        <v>65</v>
      </c>
      <c r="T1105" s="6">
        <v>77</v>
      </c>
      <c r="U1105" s="6">
        <v>88</v>
      </c>
      <c r="V1105" s="6">
        <v>79</v>
      </c>
      <c r="W1105" s="6">
        <v>77</v>
      </c>
      <c r="X1105" s="6">
        <v>86</v>
      </c>
      <c r="Y1105" s="6">
        <v>78</v>
      </c>
      <c r="Z1105" s="6">
        <v>80</v>
      </c>
      <c r="AA1105" s="6">
        <v>65</v>
      </c>
      <c r="AB1105" s="6">
        <v>69</v>
      </c>
      <c r="AC1105" s="6">
        <v>72</v>
      </c>
      <c r="AD1105" s="6">
        <v>69</v>
      </c>
      <c r="AE1105" s="6">
        <v>65</v>
      </c>
      <c r="AF1105" s="6">
        <v>65</v>
      </c>
      <c r="AG1105" s="6" t="s">
        <v>7530</v>
      </c>
      <c r="AH1105" s="6" t="s">
        <v>6707</v>
      </c>
    </row>
    <row r="1106" spans="1:34" x14ac:dyDescent="0.2">
      <c r="A1106" t="s">
        <v>3795</v>
      </c>
      <c r="B1106" t="s">
        <v>2059</v>
      </c>
      <c r="C1106" t="s">
        <v>2889</v>
      </c>
      <c r="D1106" s="7" t="s">
        <v>155</v>
      </c>
      <c r="E1106" t="s">
        <v>58</v>
      </c>
      <c r="F1106">
        <v>23</v>
      </c>
      <c r="G1106">
        <v>68</v>
      </c>
      <c r="H1106">
        <v>70</v>
      </c>
      <c r="I1106" t="s">
        <v>6506</v>
      </c>
      <c r="J1106">
        <v>76</v>
      </c>
      <c r="K1106">
        <v>247</v>
      </c>
      <c r="L1106" t="s">
        <v>5489</v>
      </c>
      <c r="M1106" s="6" t="s">
        <v>6558</v>
      </c>
      <c r="N1106" s="6" t="s">
        <v>6583</v>
      </c>
      <c r="O1106" s="6">
        <v>67</v>
      </c>
      <c r="P1106" s="6">
        <v>69</v>
      </c>
      <c r="Q1106" s="6">
        <v>68</v>
      </c>
      <c r="R1106" s="6">
        <v>78</v>
      </c>
      <c r="S1106" s="6">
        <v>69</v>
      </c>
      <c r="T1106" s="6">
        <v>64</v>
      </c>
      <c r="U1106" s="6">
        <v>65</v>
      </c>
      <c r="V1106" s="6">
        <v>64</v>
      </c>
      <c r="W1106" s="6">
        <v>65</v>
      </c>
      <c r="X1106" s="6">
        <v>61</v>
      </c>
      <c r="Y1106" s="6">
        <v>60</v>
      </c>
      <c r="Z1106" s="6">
        <v>63</v>
      </c>
      <c r="AA1106" s="6">
        <v>69</v>
      </c>
      <c r="AB1106" s="6">
        <v>62</v>
      </c>
      <c r="AC1106" s="6">
        <v>73</v>
      </c>
      <c r="AD1106" s="6">
        <v>64</v>
      </c>
      <c r="AE1106" s="6">
        <v>61</v>
      </c>
      <c r="AF1106" s="6">
        <v>71</v>
      </c>
      <c r="AG1106" s="6" t="s">
        <v>7531</v>
      </c>
      <c r="AH1106" s="6" t="s">
        <v>6709</v>
      </c>
    </row>
    <row r="1107" spans="1:34" x14ac:dyDescent="0.2">
      <c r="A1107" t="s">
        <v>3809</v>
      </c>
      <c r="B1107" t="s">
        <v>2073</v>
      </c>
      <c r="C1107" t="s">
        <v>2870</v>
      </c>
      <c r="D1107" s="7" t="s">
        <v>148</v>
      </c>
      <c r="E1107" t="s">
        <v>58</v>
      </c>
      <c r="F1107">
        <v>22</v>
      </c>
      <c r="G1107">
        <v>69</v>
      </c>
      <c r="H1107">
        <v>70</v>
      </c>
      <c r="I1107" t="s">
        <v>6512</v>
      </c>
      <c r="J1107">
        <v>69</v>
      </c>
      <c r="K1107">
        <v>203</v>
      </c>
      <c r="L1107" t="s">
        <v>5503</v>
      </c>
      <c r="M1107" s="6" t="s">
        <v>6558</v>
      </c>
      <c r="N1107" s="6" t="s">
        <v>6614</v>
      </c>
      <c r="O1107" s="6">
        <v>69</v>
      </c>
      <c r="P1107" s="6">
        <v>64</v>
      </c>
      <c r="Q1107" s="6">
        <v>68</v>
      </c>
      <c r="R1107" s="6">
        <v>57</v>
      </c>
      <c r="S1107" s="6">
        <v>80</v>
      </c>
      <c r="T1107" s="6">
        <v>66</v>
      </c>
      <c r="U1107" s="6">
        <v>67</v>
      </c>
      <c r="V1107" s="6">
        <v>68</v>
      </c>
      <c r="W1107" s="6">
        <v>71</v>
      </c>
      <c r="X1107" s="6">
        <v>83</v>
      </c>
      <c r="Y1107" s="6">
        <v>72</v>
      </c>
      <c r="Z1107" s="6">
        <v>63</v>
      </c>
      <c r="AA1107" s="6">
        <v>71</v>
      </c>
      <c r="AB1107" s="6">
        <v>70</v>
      </c>
      <c r="AC1107" s="6">
        <v>71</v>
      </c>
      <c r="AD1107" s="6">
        <v>69</v>
      </c>
      <c r="AE1107" s="6">
        <v>72</v>
      </c>
      <c r="AF1107" s="6">
        <v>68</v>
      </c>
      <c r="AG1107" s="6" t="s">
        <v>7545</v>
      </c>
      <c r="AH1107" s="6" t="s">
        <v>6723</v>
      </c>
    </row>
    <row r="1108" spans="1:34" x14ac:dyDescent="0.2">
      <c r="A1108" t="s">
        <v>3816</v>
      </c>
      <c r="B1108" t="s">
        <v>2080</v>
      </c>
      <c r="C1108" t="s">
        <v>2871</v>
      </c>
      <c r="D1108" s="7" t="s">
        <v>148</v>
      </c>
      <c r="E1108" t="s">
        <v>58</v>
      </c>
      <c r="F1108">
        <v>31</v>
      </c>
      <c r="G1108">
        <v>71</v>
      </c>
      <c r="H1108">
        <v>70</v>
      </c>
      <c r="I1108" t="s">
        <v>6474</v>
      </c>
      <c r="J1108">
        <v>77</v>
      </c>
      <c r="K1108">
        <v>249</v>
      </c>
      <c r="L1108" t="s">
        <v>5510</v>
      </c>
      <c r="M1108" s="6" t="s">
        <v>6558</v>
      </c>
      <c r="N1108" s="6" t="s">
        <v>6583</v>
      </c>
      <c r="O1108" s="6">
        <v>70</v>
      </c>
      <c r="P1108" s="6">
        <v>75</v>
      </c>
      <c r="Q1108" s="6">
        <v>83</v>
      </c>
      <c r="R1108" s="6">
        <v>80</v>
      </c>
      <c r="S1108" s="6">
        <v>82</v>
      </c>
      <c r="T1108" s="6">
        <v>81</v>
      </c>
      <c r="U1108" s="6">
        <v>74</v>
      </c>
      <c r="V1108" s="6">
        <v>77</v>
      </c>
      <c r="W1108" s="6">
        <v>69</v>
      </c>
      <c r="X1108" s="6">
        <v>74</v>
      </c>
      <c r="Y1108" s="6">
        <v>71</v>
      </c>
      <c r="Z1108" s="6">
        <v>80</v>
      </c>
      <c r="AA1108" s="6">
        <v>71</v>
      </c>
      <c r="AB1108" s="6">
        <v>68</v>
      </c>
      <c r="AC1108" s="6">
        <v>70</v>
      </c>
      <c r="AD1108" s="6">
        <v>75</v>
      </c>
      <c r="AE1108" s="6">
        <v>70</v>
      </c>
      <c r="AF1108" s="6">
        <v>70</v>
      </c>
      <c r="AG1108" s="6" t="s">
        <v>7552</v>
      </c>
      <c r="AH1108" s="6" t="s">
        <v>6587</v>
      </c>
    </row>
    <row r="1109" spans="1:34" x14ac:dyDescent="0.2">
      <c r="A1109" t="s">
        <v>3823</v>
      </c>
      <c r="B1109" t="s">
        <v>2087</v>
      </c>
      <c r="C1109" t="s">
        <v>2878</v>
      </c>
      <c r="D1109" s="7" t="s">
        <v>148</v>
      </c>
      <c r="E1109" t="s">
        <v>38</v>
      </c>
      <c r="F1109">
        <v>22</v>
      </c>
      <c r="G1109">
        <v>85</v>
      </c>
      <c r="H1109">
        <v>70</v>
      </c>
      <c r="I1109" t="s">
        <v>6515</v>
      </c>
      <c r="J1109">
        <v>76</v>
      </c>
      <c r="K1109">
        <v>273</v>
      </c>
      <c r="L1109" t="s">
        <v>5517</v>
      </c>
      <c r="M1109" s="6" t="s">
        <v>6558</v>
      </c>
      <c r="N1109" s="6" t="s">
        <v>6567</v>
      </c>
      <c r="O1109" s="6">
        <v>86</v>
      </c>
      <c r="P1109" s="6">
        <v>68</v>
      </c>
      <c r="Q1109" s="6">
        <v>72</v>
      </c>
      <c r="R1109" s="6">
        <v>68</v>
      </c>
      <c r="S1109" s="6">
        <v>84</v>
      </c>
      <c r="T1109" s="6">
        <v>77</v>
      </c>
      <c r="U1109" s="6">
        <v>69</v>
      </c>
      <c r="V1109" s="6">
        <v>68</v>
      </c>
      <c r="W1109" s="6">
        <v>69</v>
      </c>
      <c r="X1109" s="6">
        <v>72</v>
      </c>
      <c r="Y1109" s="6">
        <v>79</v>
      </c>
      <c r="Z1109" s="6">
        <v>73</v>
      </c>
      <c r="AA1109" s="6">
        <v>72</v>
      </c>
      <c r="AB1109" s="6">
        <v>73</v>
      </c>
      <c r="AC1109" s="6">
        <v>70</v>
      </c>
      <c r="AD1109" s="6">
        <v>76</v>
      </c>
      <c r="AE1109" s="6">
        <v>70</v>
      </c>
      <c r="AF1109" s="6">
        <v>78</v>
      </c>
      <c r="AG1109" s="6" t="s">
        <v>7559</v>
      </c>
      <c r="AH1109" s="6" t="s">
        <v>6612</v>
      </c>
    </row>
    <row r="1110" spans="1:34" x14ac:dyDescent="0.2">
      <c r="A1110" t="s">
        <v>3824</v>
      </c>
      <c r="B1110" t="s">
        <v>2088</v>
      </c>
      <c r="C1110" t="s">
        <v>2878</v>
      </c>
      <c r="D1110" s="7" t="s">
        <v>148</v>
      </c>
      <c r="E1110" t="s">
        <v>38</v>
      </c>
      <c r="F1110">
        <v>28</v>
      </c>
      <c r="G1110">
        <v>79</v>
      </c>
      <c r="H1110">
        <v>70</v>
      </c>
      <c r="I1110" t="s">
        <v>6424</v>
      </c>
      <c r="J1110">
        <v>74</v>
      </c>
      <c r="K1110">
        <v>265</v>
      </c>
      <c r="L1110" t="s">
        <v>5518</v>
      </c>
      <c r="M1110" s="6" t="s">
        <v>6558</v>
      </c>
      <c r="N1110" s="6" t="s">
        <v>6565</v>
      </c>
      <c r="O1110" s="6">
        <v>78</v>
      </c>
      <c r="P1110" s="6">
        <v>79</v>
      </c>
      <c r="Q1110" s="6">
        <v>77</v>
      </c>
      <c r="R1110" s="6">
        <v>73</v>
      </c>
      <c r="S1110" s="6">
        <v>81</v>
      </c>
      <c r="T1110" s="6">
        <v>77</v>
      </c>
      <c r="U1110" s="6">
        <v>75</v>
      </c>
      <c r="V1110" s="6">
        <v>69</v>
      </c>
      <c r="W1110" s="6">
        <v>75</v>
      </c>
      <c r="X1110" s="6">
        <v>70</v>
      </c>
      <c r="Y1110" s="6">
        <v>78</v>
      </c>
      <c r="Z1110" s="6">
        <v>78</v>
      </c>
      <c r="AA1110" s="6">
        <v>79</v>
      </c>
      <c r="AB1110" s="6">
        <v>72</v>
      </c>
      <c r="AC1110" s="6">
        <v>72</v>
      </c>
      <c r="AD1110" s="6">
        <v>73</v>
      </c>
      <c r="AE1110" s="6">
        <v>73</v>
      </c>
      <c r="AF1110" s="6">
        <v>76</v>
      </c>
      <c r="AG1110" s="6" t="s">
        <v>7560</v>
      </c>
      <c r="AH1110" s="6" t="s">
        <v>6612</v>
      </c>
    </row>
    <row r="1111" spans="1:34" x14ac:dyDescent="0.2">
      <c r="A1111" t="s">
        <v>3837</v>
      </c>
      <c r="B1111" t="s">
        <v>2101</v>
      </c>
      <c r="C1111" t="s">
        <v>61</v>
      </c>
      <c r="D1111" s="7" t="s">
        <v>148</v>
      </c>
      <c r="E1111" t="s">
        <v>58</v>
      </c>
      <c r="F1111">
        <v>31</v>
      </c>
      <c r="G1111">
        <v>63</v>
      </c>
      <c r="H1111">
        <v>70</v>
      </c>
      <c r="I1111" t="s">
        <v>6418</v>
      </c>
      <c r="J1111">
        <v>69</v>
      </c>
      <c r="K1111">
        <v>198</v>
      </c>
      <c r="L1111" t="s">
        <v>5531</v>
      </c>
      <c r="M1111" s="6" t="s">
        <v>6558</v>
      </c>
      <c r="N1111" s="6" t="s">
        <v>6567</v>
      </c>
      <c r="O1111" s="6">
        <v>77</v>
      </c>
      <c r="P1111" s="6">
        <v>71</v>
      </c>
      <c r="Q1111" s="6">
        <v>71</v>
      </c>
      <c r="R1111" s="6">
        <v>68</v>
      </c>
      <c r="S1111" s="6">
        <v>82</v>
      </c>
      <c r="T1111" s="6">
        <v>78</v>
      </c>
      <c r="U1111" s="6">
        <v>68</v>
      </c>
      <c r="V1111" s="6">
        <v>67</v>
      </c>
      <c r="W1111" s="6">
        <v>58</v>
      </c>
      <c r="X1111" s="6">
        <v>65</v>
      </c>
      <c r="Y1111" s="6">
        <v>83</v>
      </c>
      <c r="Z1111" s="6">
        <v>71</v>
      </c>
      <c r="AA1111" s="6">
        <v>65</v>
      </c>
      <c r="AB1111" s="6">
        <v>61</v>
      </c>
      <c r="AC1111" s="6">
        <v>69</v>
      </c>
      <c r="AD1111" s="6">
        <v>71</v>
      </c>
      <c r="AE1111" s="6">
        <v>72</v>
      </c>
      <c r="AF1111" s="6">
        <v>71</v>
      </c>
      <c r="AG1111" s="6" t="s">
        <v>7573</v>
      </c>
      <c r="AH1111" s="6" t="s">
        <v>6630</v>
      </c>
    </row>
    <row r="1112" spans="1:34" x14ac:dyDescent="0.2">
      <c r="A1112" t="s">
        <v>3843</v>
      </c>
      <c r="B1112" t="s">
        <v>2107</v>
      </c>
      <c r="C1112" t="s">
        <v>2888</v>
      </c>
      <c r="D1112" s="7" t="s">
        <v>148</v>
      </c>
      <c r="E1112" t="s">
        <v>38</v>
      </c>
      <c r="F1112">
        <v>27</v>
      </c>
      <c r="G1112">
        <v>66</v>
      </c>
      <c r="H1112">
        <v>70</v>
      </c>
      <c r="I1112" t="s">
        <v>6442</v>
      </c>
      <c r="J1112">
        <v>68</v>
      </c>
      <c r="K1112">
        <v>211</v>
      </c>
      <c r="L1112" t="s">
        <v>5537</v>
      </c>
      <c r="M1112" s="6" t="s">
        <v>6558</v>
      </c>
      <c r="N1112" s="6" t="s">
        <v>6565</v>
      </c>
      <c r="O1112" s="6">
        <v>78</v>
      </c>
      <c r="P1112" s="6">
        <v>83</v>
      </c>
      <c r="Q1112" s="6">
        <v>75</v>
      </c>
      <c r="R1112" s="6">
        <v>72</v>
      </c>
      <c r="S1112" s="6">
        <v>80</v>
      </c>
      <c r="T1112" s="6">
        <v>74</v>
      </c>
      <c r="U1112" s="6">
        <v>67</v>
      </c>
      <c r="V1112" s="6">
        <v>73</v>
      </c>
      <c r="W1112" s="6">
        <v>72</v>
      </c>
      <c r="X1112" s="6">
        <v>72</v>
      </c>
      <c r="Y1112" s="6">
        <v>71</v>
      </c>
      <c r="Z1112" s="6">
        <v>73</v>
      </c>
      <c r="AA1112" s="6">
        <v>74</v>
      </c>
      <c r="AB1112" s="6">
        <v>72</v>
      </c>
      <c r="AC1112" s="6">
        <v>70</v>
      </c>
      <c r="AD1112" s="6">
        <v>71</v>
      </c>
      <c r="AE1112" s="6">
        <v>68</v>
      </c>
      <c r="AF1112" s="6">
        <v>68</v>
      </c>
      <c r="AG1112" s="6" t="s">
        <v>7579</v>
      </c>
      <c r="AH1112" s="6" t="s">
        <v>6707</v>
      </c>
    </row>
    <row r="1113" spans="1:34" x14ac:dyDescent="0.2">
      <c r="A1113" t="s">
        <v>3847</v>
      </c>
      <c r="B1113" t="s">
        <v>2111</v>
      </c>
      <c r="C1113" t="s">
        <v>2885</v>
      </c>
      <c r="D1113" s="7" t="s">
        <v>148</v>
      </c>
      <c r="E1113" t="s">
        <v>38</v>
      </c>
      <c r="F1113">
        <v>24</v>
      </c>
      <c r="G1113">
        <v>69</v>
      </c>
      <c r="H1113">
        <v>70</v>
      </c>
      <c r="I1113" t="s">
        <v>6517</v>
      </c>
      <c r="J1113">
        <v>72</v>
      </c>
      <c r="K1113">
        <v>230</v>
      </c>
      <c r="L1113" t="s">
        <v>5541</v>
      </c>
      <c r="M1113" s="6" t="s">
        <v>6558</v>
      </c>
      <c r="N1113" s="6" t="s">
        <v>6567</v>
      </c>
      <c r="O1113" s="6">
        <v>74</v>
      </c>
      <c r="P1113" s="6">
        <v>68</v>
      </c>
      <c r="Q1113" s="6">
        <v>71</v>
      </c>
      <c r="R1113" s="6">
        <v>68</v>
      </c>
      <c r="S1113" s="6">
        <v>66</v>
      </c>
      <c r="T1113" s="6">
        <v>71</v>
      </c>
      <c r="U1113" s="6">
        <v>72</v>
      </c>
      <c r="V1113" s="6">
        <v>74</v>
      </c>
      <c r="W1113" s="6">
        <v>62</v>
      </c>
      <c r="X1113" s="6">
        <v>62</v>
      </c>
      <c r="Y1113" s="6">
        <v>66</v>
      </c>
      <c r="Z1113" s="6">
        <v>64</v>
      </c>
      <c r="AA1113" s="6">
        <v>63</v>
      </c>
      <c r="AB1113" s="6">
        <v>62</v>
      </c>
      <c r="AC1113" s="6">
        <v>58</v>
      </c>
      <c r="AD1113" s="6">
        <v>72</v>
      </c>
      <c r="AE1113" s="6">
        <v>65</v>
      </c>
      <c r="AF1113" s="6">
        <v>64</v>
      </c>
      <c r="AG1113" s="6" t="s">
        <v>7583</v>
      </c>
      <c r="AH1113" s="6" t="s">
        <v>6711</v>
      </c>
    </row>
    <row r="1114" spans="1:34" x14ac:dyDescent="0.2">
      <c r="A1114" t="s">
        <v>3849</v>
      </c>
      <c r="B1114" t="s">
        <v>2113</v>
      </c>
      <c r="C1114" t="s">
        <v>2891</v>
      </c>
      <c r="D1114" s="7" t="s">
        <v>148</v>
      </c>
      <c r="E1114" t="s">
        <v>58</v>
      </c>
      <c r="F1114">
        <v>27</v>
      </c>
      <c r="G1114">
        <v>74</v>
      </c>
      <c r="H1114">
        <v>70</v>
      </c>
      <c r="I1114" t="s">
        <v>6519</v>
      </c>
      <c r="J1114">
        <v>74</v>
      </c>
      <c r="K1114">
        <v>225</v>
      </c>
      <c r="L1114" t="s">
        <v>5543</v>
      </c>
      <c r="M1114" s="6" t="s">
        <v>6558</v>
      </c>
      <c r="N1114" s="6" t="s">
        <v>6583</v>
      </c>
      <c r="O1114" s="6">
        <v>71</v>
      </c>
      <c r="P1114" s="6">
        <v>75</v>
      </c>
      <c r="Q1114" s="6">
        <v>70</v>
      </c>
      <c r="R1114" s="6">
        <v>79</v>
      </c>
      <c r="S1114" s="6">
        <v>70</v>
      </c>
      <c r="T1114" s="6">
        <v>78</v>
      </c>
      <c r="U1114" s="6">
        <v>79</v>
      </c>
      <c r="V1114" s="6">
        <v>72</v>
      </c>
      <c r="W1114" s="6">
        <v>69</v>
      </c>
      <c r="X1114" s="6">
        <v>67</v>
      </c>
      <c r="Y1114" s="6">
        <v>85</v>
      </c>
      <c r="Z1114" s="6">
        <v>75</v>
      </c>
      <c r="AA1114" s="6">
        <v>72</v>
      </c>
      <c r="AB1114" s="6">
        <v>75</v>
      </c>
      <c r="AC1114" s="6">
        <v>69</v>
      </c>
      <c r="AD1114" s="6">
        <v>71</v>
      </c>
      <c r="AE1114" s="6">
        <v>70</v>
      </c>
      <c r="AF1114" s="6">
        <v>80</v>
      </c>
      <c r="AG1114" s="6" t="s">
        <v>7585</v>
      </c>
      <c r="AH1114" s="6" t="s">
        <v>7093</v>
      </c>
    </row>
    <row r="1115" spans="1:34" x14ac:dyDescent="0.2">
      <c r="A1115" t="s">
        <v>3851</v>
      </c>
      <c r="B1115" t="s">
        <v>2115</v>
      </c>
      <c r="C1115" t="s">
        <v>53</v>
      </c>
      <c r="D1115" s="7" t="s">
        <v>147</v>
      </c>
      <c r="E1115" t="s">
        <v>58</v>
      </c>
      <c r="F1115">
        <v>33</v>
      </c>
      <c r="G1115">
        <v>75</v>
      </c>
      <c r="H1115">
        <v>70</v>
      </c>
      <c r="I1115" t="s">
        <v>6521</v>
      </c>
      <c r="J1115">
        <v>75</v>
      </c>
      <c r="K1115">
        <v>245</v>
      </c>
      <c r="L1115" t="s">
        <v>5545</v>
      </c>
      <c r="M1115" s="6" t="s">
        <v>6558</v>
      </c>
      <c r="N1115" s="6" t="s">
        <v>6583</v>
      </c>
      <c r="O1115" s="6">
        <v>89</v>
      </c>
      <c r="P1115" s="6">
        <v>79</v>
      </c>
      <c r="Q1115" s="6">
        <v>78</v>
      </c>
      <c r="R1115" s="6">
        <v>78</v>
      </c>
      <c r="S1115" s="6">
        <v>84</v>
      </c>
      <c r="T1115" s="6">
        <v>68</v>
      </c>
      <c r="U1115" s="6">
        <v>76</v>
      </c>
      <c r="V1115" s="6">
        <v>75</v>
      </c>
      <c r="W1115" s="6">
        <v>75</v>
      </c>
      <c r="X1115" s="6">
        <v>71</v>
      </c>
      <c r="Y1115" s="6">
        <v>72</v>
      </c>
      <c r="Z1115" s="6">
        <v>63</v>
      </c>
      <c r="AA1115" s="6">
        <v>62</v>
      </c>
      <c r="AB1115" s="6">
        <v>67</v>
      </c>
      <c r="AC1115" s="6">
        <v>66</v>
      </c>
      <c r="AD1115" s="6">
        <v>63</v>
      </c>
      <c r="AE1115" s="6">
        <v>61</v>
      </c>
      <c r="AF1115" s="6">
        <v>65</v>
      </c>
      <c r="AG1115" s="6" t="s">
        <v>7587</v>
      </c>
      <c r="AH1115" s="6" t="s">
        <v>6651</v>
      </c>
    </row>
    <row r="1116" spans="1:34" x14ac:dyDescent="0.2">
      <c r="A1116" t="s">
        <v>3852</v>
      </c>
      <c r="B1116" t="s">
        <v>2116</v>
      </c>
      <c r="C1116" t="s">
        <v>53</v>
      </c>
      <c r="D1116" s="7" t="s">
        <v>147</v>
      </c>
      <c r="E1116" t="s">
        <v>38</v>
      </c>
      <c r="F1116">
        <v>30</v>
      </c>
      <c r="G1116">
        <v>72</v>
      </c>
      <c r="H1116">
        <v>70</v>
      </c>
      <c r="I1116" t="s">
        <v>6522</v>
      </c>
      <c r="J1116">
        <v>75</v>
      </c>
      <c r="K1116">
        <v>224</v>
      </c>
      <c r="L1116" t="s">
        <v>5546</v>
      </c>
      <c r="M1116" s="6" t="s">
        <v>6558</v>
      </c>
      <c r="N1116" s="6" t="s">
        <v>6583</v>
      </c>
      <c r="O1116" s="6">
        <v>89</v>
      </c>
      <c r="P1116" s="6">
        <v>73</v>
      </c>
      <c r="Q1116" s="6">
        <v>87</v>
      </c>
      <c r="R1116" s="6">
        <v>80</v>
      </c>
      <c r="S1116" s="6">
        <v>76</v>
      </c>
      <c r="T1116" s="6">
        <v>75</v>
      </c>
      <c r="U1116" s="6">
        <v>75</v>
      </c>
      <c r="V1116" s="6">
        <v>82</v>
      </c>
      <c r="W1116" s="6">
        <v>95</v>
      </c>
      <c r="X1116" s="6">
        <v>80</v>
      </c>
      <c r="Y1116" s="6">
        <v>89</v>
      </c>
      <c r="Z1116" s="6">
        <v>76</v>
      </c>
      <c r="AA1116" s="6">
        <v>76</v>
      </c>
      <c r="AB1116" s="6">
        <v>80</v>
      </c>
      <c r="AC1116" s="6">
        <v>69</v>
      </c>
      <c r="AD1116" s="6">
        <v>79</v>
      </c>
      <c r="AE1116" s="6">
        <v>80</v>
      </c>
      <c r="AF1116" s="6">
        <v>68</v>
      </c>
      <c r="AG1116" s="6" t="s">
        <v>7588</v>
      </c>
      <c r="AH1116" s="6" t="s">
        <v>6715</v>
      </c>
    </row>
    <row r="1117" spans="1:34" x14ac:dyDescent="0.2">
      <c r="A1117" t="s">
        <v>3855</v>
      </c>
      <c r="B1117" t="s">
        <v>2119</v>
      </c>
      <c r="C1117" t="s">
        <v>2870</v>
      </c>
      <c r="D1117" s="7" t="s">
        <v>147</v>
      </c>
      <c r="E1117" t="s">
        <v>38</v>
      </c>
      <c r="F1117">
        <v>28</v>
      </c>
      <c r="G1117">
        <v>73</v>
      </c>
      <c r="H1117">
        <v>70</v>
      </c>
      <c r="I1117" t="s">
        <v>6525</v>
      </c>
      <c r="J1117">
        <v>68</v>
      </c>
      <c r="K1117">
        <v>208</v>
      </c>
      <c r="L1117" t="s">
        <v>5549</v>
      </c>
      <c r="M1117" s="6" t="s">
        <v>6558</v>
      </c>
      <c r="N1117" s="6" t="s">
        <v>6565</v>
      </c>
      <c r="O1117" s="6">
        <v>81</v>
      </c>
      <c r="P1117" s="6">
        <v>73</v>
      </c>
      <c r="Q1117" s="6">
        <v>71</v>
      </c>
      <c r="R1117" s="6">
        <v>73</v>
      </c>
      <c r="S1117" s="6">
        <v>69</v>
      </c>
      <c r="T1117" s="6">
        <v>78</v>
      </c>
      <c r="U1117" s="6">
        <v>71</v>
      </c>
      <c r="V1117" s="6">
        <v>72</v>
      </c>
      <c r="W1117" s="6">
        <v>74</v>
      </c>
      <c r="X1117" s="6">
        <v>70</v>
      </c>
      <c r="Y1117" s="6">
        <v>72</v>
      </c>
      <c r="Z1117" s="6">
        <v>77</v>
      </c>
      <c r="AA1117" s="6">
        <v>77</v>
      </c>
      <c r="AB1117" s="6">
        <v>73</v>
      </c>
      <c r="AC1117" s="6">
        <v>69</v>
      </c>
      <c r="AD1117" s="6">
        <v>77</v>
      </c>
      <c r="AE1117" s="6">
        <v>73</v>
      </c>
      <c r="AF1117" s="6">
        <v>78</v>
      </c>
      <c r="AG1117" s="6" t="s">
        <v>7591</v>
      </c>
      <c r="AH1117" s="6" t="s">
        <v>6887</v>
      </c>
    </row>
    <row r="1118" spans="1:34" x14ac:dyDescent="0.2">
      <c r="A1118" t="s">
        <v>3870</v>
      </c>
      <c r="B1118" t="s">
        <v>2134</v>
      </c>
      <c r="C1118" t="s">
        <v>2876</v>
      </c>
      <c r="D1118" s="7" t="s">
        <v>147</v>
      </c>
      <c r="E1118" t="s">
        <v>38</v>
      </c>
      <c r="F1118">
        <v>32</v>
      </c>
      <c r="G1118">
        <v>77</v>
      </c>
      <c r="H1118">
        <v>70</v>
      </c>
      <c r="I1118" t="s">
        <v>6431</v>
      </c>
      <c r="J1118">
        <v>74</v>
      </c>
      <c r="K1118">
        <v>300</v>
      </c>
      <c r="L1118" t="s">
        <v>5564</v>
      </c>
      <c r="M1118" s="6" t="s">
        <v>6558</v>
      </c>
      <c r="N1118" s="6" t="s">
        <v>6583</v>
      </c>
      <c r="O1118" s="6">
        <v>81</v>
      </c>
      <c r="P1118" s="6">
        <v>72</v>
      </c>
      <c r="Q1118" s="6">
        <v>87</v>
      </c>
      <c r="R1118" s="6">
        <v>79</v>
      </c>
      <c r="S1118" s="6">
        <v>87</v>
      </c>
      <c r="T1118" s="6">
        <v>84</v>
      </c>
      <c r="U1118" s="6">
        <v>86</v>
      </c>
      <c r="V1118" s="6">
        <v>84</v>
      </c>
      <c r="W1118" s="6">
        <v>88</v>
      </c>
      <c r="X1118" s="6">
        <v>78</v>
      </c>
      <c r="Y1118" s="6">
        <v>95</v>
      </c>
      <c r="Z1118" s="6">
        <v>87</v>
      </c>
      <c r="AA1118" s="6">
        <v>76</v>
      </c>
      <c r="AB1118" s="6">
        <v>69</v>
      </c>
      <c r="AC1118" s="6">
        <v>71</v>
      </c>
      <c r="AD1118" s="6">
        <v>74</v>
      </c>
      <c r="AE1118" s="6">
        <v>76</v>
      </c>
      <c r="AF1118" s="6">
        <v>77</v>
      </c>
      <c r="AG1118" s="6" t="s">
        <v>7605</v>
      </c>
      <c r="AH1118" s="6" t="s">
        <v>6674</v>
      </c>
    </row>
    <row r="1119" spans="1:34" x14ac:dyDescent="0.2">
      <c r="A1119" t="s">
        <v>3889</v>
      </c>
      <c r="B1119" t="s">
        <v>2153</v>
      </c>
      <c r="C1119" t="s">
        <v>61</v>
      </c>
      <c r="D1119" s="7" t="s">
        <v>147</v>
      </c>
      <c r="E1119" t="s">
        <v>38</v>
      </c>
      <c r="F1119">
        <v>23</v>
      </c>
      <c r="G1119">
        <v>75</v>
      </c>
      <c r="H1119">
        <v>70</v>
      </c>
      <c r="I1119" t="s">
        <v>6455</v>
      </c>
      <c r="J1119">
        <v>70</v>
      </c>
      <c r="K1119">
        <v>197</v>
      </c>
      <c r="L1119" t="s">
        <v>5583</v>
      </c>
      <c r="M1119" s="6" t="s">
        <v>6558</v>
      </c>
      <c r="N1119" s="6" t="s">
        <v>6565</v>
      </c>
      <c r="O1119" s="6">
        <v>60</v>
      </c>
      <c r="P1119" s="6">
        <v>65</v>
      </c>
      <c r="Q1119" s="6">
        <v>72</v>
      </c>
      <c r="R1119" s="6">
        <v>70</v>
      </c>
      <c r="S1119" s="6">
        <v>88</v>
      </c>
      <c r="T1119" s="6">
        <v>70</v>
      </c>
      <c r="U1119" s="6">
        <v>74</v>
      </c>
      <c r="V1119" s="6">
        <v>73</v>
      </c>
      <c r="W1119" s="6">
        <v>80</v>
      </c>
      <c r="X1119" s="6">
        <v>75</v>
      </c>
      <c r="Y1119" s="6">
        <v>76</v>
      </c>
      <c r="Z1119" s="6">
        <v>75</v>
      </c>
      <c r="AA1119" s="6">
        <v>72</v>
      </c>
      <c r="AB1119" s="6">
        <v>78</v>
      </c>
      <c r="AC1119" s="6">
        <v>70</v>
      </c>
      <c r="AD1119" s="6">
        <v>63</v>
      </c>
      <c r="AE1119" s="6">
        <v>73</v>
      </c>
      <c r="AF1119" s="6">
        <v>79</v>
      </c>
      <c r="AG1119" s="6" t="s">
        <v>7624</v>
      </c>
      <c r="AH1119" s="6" t="s">
        <v>6630</v>
      </c>
    </row>
    <row r="1120" spans="1:34" x14ac:dyDescent="0.2">
      <c r="A1120" t="s">
        <v>3890</v>
      </c>
      <c r="B1120" t="s">
        <v>2154</v>
      </c>
      <c r="C1120" t="s">
        <v>2882</v>
      </c>
      <c r="D1120" s="7" t="s">
        <v>147</v>
      </c>
      <c r="E1120" t="s">
        <v>38</v>
      </c>
      <c r="F1120">
        <v>23</v>
      </c>
      <c r="G1120">
        <v>80</v>
      </c>
      <c r="H1120">
        <v>70</v>
      </c>
      <c r="I1120" t="s">
        <v>6456</v>
      </c>
      <c r="J1120">
        <v>73</v>
      </c>
      <c r="K1120">
        <v>210</v>
      </c>
      <c r="L1120" t="s">
        <v>5584</v>
      </c>
      <c r="M1120" s="6" t="s">
        <v>6558</v>
      </c>
      <c r="N1120" s="6" t="s">
        <v>6565</v>
      </c>
      <c r="O1120" s="6">
        <v>87</v>
      </c>
      <c r="P1120" s="6">
        <v>76</v>
      </c>
      <c r="Q1120" s="6">
        <v>70</v>
      </c>
      <c r="R1120" s="6">
        <v>75</v>
      </c>
      <c r="S1120" s="6">
        <v>76</v>
      </c>
      <c r="T1120" s="6">
        <v>77</v>
      </c>
      <c r="U1120" s="6">
        <v>82</v>
      </c>
      <c r="V1120" s="6">
        <v>84</v>
      </c>
      <c r="W1120" s="6">
        <v>71</v>
      </c>
      <c r="X1120" s="6">
        <v>73</v>
      </c>
      <c r="Y1120" s="6">
        <v>66</v>
      </c>
      <c r="Z1120" s="6">
        <v>77</v>
      </c>
      <c r="AA1120" s="6">
        <v>73</v>
      </c>
      <c r="AB1120" s="6">
        <v>66</v>
      </c>
      <c r="AC1120" s="6">
        <v>79</v>
      </c>
      <c r="AD1120" s="6">
        <v>79</v>
      </c>
      <c r="AE1120" s="6">
        <v>68</v>
      </c>
      <c r="AF1120" s="6">
        <v>69</v>
      </c>
      <c r="AG1120" s="6" t="s">
        <v>7625</v>
      </c>
      <c r="AH1120" s="6" t="s">
        <v>6636</v>
      </c>
    </row>
    <row r="1121" spans="1:34" x14ac:dyDescent="0.2">
      <c r="A1121" t="s">
        <v>3901</v>
      </c>
      <c r="B1121" t="s">
        <v>2165</v>
      </c>
      <c r="C1121" t="s">
        <v>2886</v>
      </c>
      <c r="D1121" s="7" t="s">
        <v>147</v>
      </c>
      <c r="E1121" t="s">
        <v>38</v>
      </c>
      <c r="F1121">
        <v>27</v>
      </c>
      <c r="G1121">
        <v>61</v>
      </c>
      <c r="H1121">
        <v>70</v>
      </c>
      <c r="I1121" t="s">
        <v>6364</v>
      </c>
      <c r="J1121">
        <v>77</v>
      </c>
      <c r="K1121">
        <v>255</v>
      </c>
      <c r="L1121" t="s">
        <v>5595</v>
      </c>
      <c r="M1121" s="6" t="s">
        <v>6558</v>
      </c>
      <c r="N1121" s="6" t="s">
        <v>6583</v>
      </c>
      <c r="O1121" s="6">
        <v>78</v>
      </c>
      <c r="P1121" s="6">
        <v>73</v>
      </c>
      <c r="Q1121" s="6">
        <v>69</v>
      </c>
      <c r="R1121" s="6">
        <v>77</v>
      </c>
      <c r="S1121" s="6">
        <v>78</v>
      </c>
      <c r="T1121" s="6">
        <v>69</v>
      </c>
      <c r="U1121" s="6">
        <v>66</v>
      </c>
      <c r="V1121" s="6">
        <v>73</v>
      </c>
      <c r="W1121" s="6">
        <v>71</v>
      </c>
      <c r="X1121" s="6">
        <v>75</v>
      </c>
      <c r="Y1121" s="6">
        <v>73</v>
      </c>
      <c r="Z1121" s="6">
        <v>65</v>
      </c>
      <c r="AA1121" s="6">
        <v>74</v>
      </c>
      <c r="AB1121" s="6">
        <v>70</v>
      </c>
      <c r="AC1121" s="6">
        <v>76</v>
      </c>
      <c r="AD1121" s="6">
        <v>72</v>
      </c>
      <c r="AE1121" s="6">
        <v>68</v>
      </c>
      <c r="AF1121" s="6">
        <v>70</v>
      </c>
      <c r="AG1121" s="6" t="s">
        <v>7636</v>
      </c>
      <c r="AH1121" s="6" t="s">
        <v>6649</v>
      </c>
    </row>
    <row r="1122" spans="1:34" x14ac:dyDescent="0.2">
      <c r="A1122" t="s">
        <v>3903</v>
      </c>
      <c r="B1122" t="s">
        <v>2167</v>
      </c>
      <c r="C1122" t="s">
        <v>53</v>
      </c>
      <c r="D1122" s="7" t="s">
        <v>144</v>
      </c>
      <c r="E1122" t="s">
        <v>38</v>
      </c>
      <c r="F1122">
        <v>22</v>
      </c>
      <c r="G1122">
        <v>68</v>
      </c>
      <c r="H1122">
        <v>70</v>
      </c>
      <c r="I1122" t="s">
        <v>6333</v>
      </c>
      <c r="J1122">
        <v>74</v>
      </c>
      <c r="K1122">
        <v>224</v>
      </c>
      <c r="L1122" t="s">
        <v>5597</v>
      </c>
      <c r="M1122" s="6" t="s">
        <v>6603</v>
      </c>
      <c r="N1122" s="6" t="s">
        <v>6583</v>
      </c>
      <c r="O1122" s="6">
        <v>69</v>
      </c>
      <c r="P1122" s="6">
        <v>72</v>
      </c>
      <c r="Q1122" s="6">
        <v>67</v>
      </c>
      <c r="R1122" s="6">
        <v>78</v>
      </c>
      <c r="S1122" s="6">
        <v>80</v>
      </c>
      <c r="T1122" s="6">
        <v>71</v>
      </c>
      <c r="U1122" s="6">
        <v>57</v>
      </c>
      <c r="V1122" s="6">
        <v>77</v>
      </c>
      <c r="W1122" s="6">
        <v>70</v>
      </c>
      <c r="X1122" s="6">
        <v>74</v>
      </c>
      <c r="Y1122" s="6">
        <v>74</v>
      </c>
      <c r="Z1122" s="6">
        <v>71</v>
      </c>
      <c r="AA1122" s="6">
        <v>73</v>
      </c>
      <c r="AB1122" s="6">
        <v>73</v>
      </c>
      <c r="AC1122" s="6">
        <v>71</v>
      </c>
      <c r="AD1122" s="6">
        <v>73</v>
      </c>
      <c r="AE1122" s="6">
        <v>70</v>
      </c>
      <c r="AF1122" s="6">
        <v>69</v>
      </c>
      <c r="AG1122" s="6" t="s">
        <v>7638</v>
      </c>
      <c r="AH1122" s="6" t="s">
        <v>7149</v>
      </c>
    </row>
    <row r="1123" spans="1:34" x14ac:dyDescent="0.2">
      <c r="A1123" t="s">
        <v>3908</v>
      </c>
      <c r="B1123" t="s">
        <v>2172</v>
      </c>
      <c r="C1123" t="s">
        <v>2870</v>
      </c>
      <c r="D1123" s="7" t="s">
        <v>144</v>
      </c>
      <c r="E1123" t="s">
        <v>38</v>
      </c>
      <c r="F1123">
        <v>26</v>
      </c>
      <c r="G1123">
        <v>64</v>
      </c>
      <c r="H1123">
        <v>70</v>
      </c>
      <c r="I1123" t="s">
        <v>6312</v>
      </c>
      <c r="J1123">
        <v>71</v>
      </c>
      <c r="K1123">
        <v>218</v>
      </c>
      <c r="L1123" t="s">
        <v>5602</v>
      </c>
      <c r="M1123" s="6" t="s">
        <v>6558</v>
      </c>
      <c r="N1123" s="6" t="s">
        <v>6567</v>
      </c>
      <c r="O1123" s="6">
        <v>67</v>
      </c>
      <c r="P1123" s="6">
        <v>64</v>
      </c>
      <c r="Q1123" s="6">
        <v>69</v>
      </c>
      <c r="R1123" s="6">
        <v>67</v>
      </c>
      <c r="S1123" s="6">
        <v>72</v>
      </c>
      <c r="T1123" s="6">
        <v>62</v>
      </c>
      <c r="U1123" s="6">
        <v>67</v>
      </c>
      <c r="V1123" s="6">
        <v>71</v>
      </c>
      <c r="W1123" s="6">
        <v>58</v>
      </c>
      <c r="X1123" s="6">
        <v>63</v>
      </c>
      <c r="Y1123" s="6">
        <v>73</v>
      </c>
      <c r="Z1123" s="6">
        <v>72</v>
      </c>
      <c r="AA1123" s="6">
        <v>64</v>
      </c>
      <c r="AB1123" s="6">
        <v>68</v>
      </c>
      <c r="AC1123" s="6">
        <v>72</v>
      </c>
      <c r="AD1123" s="6">
        <v>69</v>
      </c>
      <c r="AE1123" s="6">
        <v>70</v>
      </c>
      <c r="AF1123" s="6">
        <v>70</v>
      </c>
      <c r="AG1123" s="6" t="s">
        <v>7642</v>
      </c>
      <c r="AH1123" s="6" t="s">
        <v>6885</v>
      </c>
    </row>
    <row r="1124" spans="1:34" x14ac:dyDescent="0.2">
      <c r="A1124" t="s">
        <v>3909</v>
      </c>
      <c r="B1124" t="s">
        <v>2173</v>
      </c>
      <c r="C1124" t="s">
        <v>57</v>
      </c>
      <c r="D1124" s="7" t="s">
        <v>144</v>
      </c>
      <c r="E1124" t="s">
        <v>58</v>
      </c>
      <c r="F1124">
        <v>31</v>
      </c>
      <c r="G1124">
        <v>82</v>
      </c>
      <c r="H1124">
        <v>70</v>
      </c>
      <c r="I1124" t="s">
        <v>6310</v>
      </c>
      <c r="J1124">
        <v>75</v>
      </c>
      <c r="K1124">
        <v>190</v>
      </c>
      <c r="L1124" t="s">
        <v>5603</v>
      </c>
      <c r="M1124" s="6" t="s">
        <v>6558</v>
      </c>
      <c r="N1124" s="6" t="s">
        <v>6567</v>
      </c>
      <c r="O1124" s="6">
        <v>79</v>
      </c>
      <c r="P1124" s="6">
        <v>77</v>
      </c>
      <c r="Q1124" s="6">
        <v>80</v>
      </c>
      <c r="R1124" s="6">
        <v>66</v>
      </c>
      <c r="S1124" s="6">
        <v>90</v>
      </c>
      <c r="T1124" s="6">
        <v>73</v>
      </c>
      <c r="U1124" s="6">
        <v>82</v>
      </c>
      <c r="V1124" s="6">
        <v>79</v>
      </c>
      <c r="W1124" s="6">
        <v>68</v>
      </c>
      <c r="X1124" s="6">
        <v>84</v>
      </c>
      <c r="Y1124" s="6">
        <v>80</v>
      </c>
      <c r="Z1124" s="6">
        <v>72</v>
      </c>
      <c r="AA1124" s="6">
        <v>70</v>
      </c>
      <c r="AB1124" s="6">
        <v>73</v>
      </c>
      <c r="AC1124" s="6">
        <v>67</v>
      </c>
      <c r="AD1124" s="6">
        <v>68</v>
      </c>
      <c r="AE1124" s="6">
        <v>74</v>
      </c>
      <c r="AF1124" s="6">
        <v>67</v>
      </c>
      <c r="AG1124" s="6" t="s">
        <v>7643</v>
      </c>
      <c r="AH1124" s="6" t="s">
        <v>6664</v>
      </c>
    </row>
    <row r="1125" spans="1:34" x14ac:dyDescent="0.2">
      <c r="A1125" t="s">
        <v>3917</v>
      </c>
      <c r="B1125" t="s">
        <v>2181</v>
      </c>
      <c r="C1125" t="s">
        <v>2871</v>
      </c>
      <c r="D1125" s="7" t="s">
        <v>144</v>
      </c>
      <c r="E1125" t="s">
        <v>38</v>
      </c>
      <c r="F1125">
        <v>21</v>
      </c>
      <c r="G1125">
        <v>63</v>
      </c>
      <c r="H1125">
        <v>70</v>
      </c>
      <c r="I1125" t="s">
        <v>6317</v>
      </c>
      <c r="J1125">
        <v>77</v>
      </c>
      <c r="K1125">
        <v>264</v>
      </c>
      <c r="L1125" t="s">
        <v>5611</v>
      </c>
      <c r="M1125" s="6" t="s">
        <v>6558</v>
      </c>
      <c r="N1125" s="6" t="s">
        <v>6567</v>
      </c>
      <c r="O1125" s="6">
        <v>71</v>
      </c>
      <c r="P1125" s="6">
        <v>70</v>
      </c>
      <c r="Q1125" s="6">
        <v>66</v>
      </c>
      <c r="R1125" s="6">
        <v>66</v>
      </c>
      <c r="S1125" s="6">
        <v>66</v>
      </c>
      <c r="T1125" s="6">
        <v>62</v>
      </c>
      <c r="U1125" s="6">
        <v>70</v>
      </c>
      <c r="V1125" s="6">
        <v>66</v>
      </c>
      <c r="W1125" s="6">
        <v>63</v>
      </c>
      <c r="X1125" s="6">
        <v>64</v>
      </c>
      <c r="Y1125" s="6">
        <v>65</v>
      </c>
      <c r="Z1125" s="6">
        <v>78</v>
      </c>
      <c r="AA1125" s="6">
        <v>60</v>
      </c>
      <c r="AB1125" s="6">
        <v>69</v>
      </c>
      <c r="AC1125" s="6">
        <v>67</v>
      </c>
      <c r="AD1125" s="6">
        <v>67</v>
      </c>
      <c r="AE1125" s="6">
        <v>63</v>
      </c>
      <c r="AF1125" s="6">
        <v>64</v>
      </c>
      <c r="AG1125" s="6" t="s">
        <v>7651</v>
      </c>
      <c r="AH1125" s="6" t="s">
        <v>6587</v>
      </c>
    </row>
    <row r="1126" spans="1:34" x14ac:dyDescent="0.2">
      <c r="A1126" t="s">
        <v>3919</v>
      </c>
      <c r="B1126" t="s">
        <v>2183</v>
      </c>
      <c r="C1126" t="s">
        <v>2872</v>
      </c>
      <c r="D1126" s="7" t="s">
        <v>144</v>
      </c>
      <c r="E1126" t="s">
        <v>38</v>
      </c>
      <c r="F1126">
        <v>29</v>
      </c>
      <c r="G1126">
        <v>79</v>
      </c>
      <c r="H1126">
        <v>70</v>
      </c>
      <c r="I1126" t="s">
        <v>6319</v>
      </c>
      <c r="J1126">
        <v>76</v>
      </c>
      <c r="K1126">
        <v>315</v>
      </c>
      <c r="L1126" t="s">
        <v>5613</v>
      </c>
      <c r="M1126" s="6" t="s">
        <v>6558</v>
      </c>
      <c r="N1126" s="6" t="s">
        <v>6583</v>
      </c>
      <c r="O1126" s="6">
        <v>80</v>
      </c>
      <c r="P1126" s="6">
        <v>74</v>
      </c>
      <c r="Q1126" s="6">
        <v>80</v>
      </c>
      <c r="R1126" s="6">
        <v>79</v>
      </c>
      <c r="S1126" s="6">
        <v>72</v>
      </c>
      <c r="T1126" s="6">
        <v>77</v>
      </c>
      <c r="U1126" s="6">
        <v>85</v>
      </c>
      <c r="V1126" s="6">
        <v>86</v>
      </c>
      <c r="W1126" s="6">
        <v>75</v>
      </c>
      <c r="X1126" s="6">
        <v>75</v>
      </c>
      <c r="Y1126" s="6">
        <v>74</v>
      </c>
      <c r="Z1126" s="6">
        <v>82</v>
      </c>
      <c r="AA1126" s="6">
        <v>73</v>
      </c>
      <c r="AB1126" s="6">
        <v>75</v>
      </c>
      <c r="AC1126" s="6">
        <v>67</v>
      </c>
      <c r="AD1126" s="6">
        <v>70</v>
      </c>
      <c r="AE1126" s="6">
        <v>68</v>
      </c>
      <c r="AF1126" s="6">
        <v>73</v>
      </c>
      <c r="AG1126" s="6" t="s">
        <v>7653</v>
      </c>
      <c r="AH1126" s="6" t="s">
        <v>6593</v>
      </c>
    </row>
    <row r="1127" spans="1:34" x14ac:dyDescent="0.2">
      <c r="A1127" t="s">
        <v>3921</v>
      </c>
      <c r="B1127" t="s">
        <v>2185</v>
      </c>
      <c r="C1127" t="s">
        <v>2873</v>
      </c>
      <c r="D1127" s="7" t="s">
        <v>144</v>
      </c>
      <c r="E1127" t="s">
        <v>38</v>
      </c>
      <c r="F1127">
        <v>25</v>
      </c>
      <c r="G1127">
        <v>78</v>
      </c>
      <c r="H1127">
        <v>70</v>
      </c>
      <c r="I1127" t="s">
        <v>6321</v>
      </c>
      <c r="J1127">
        <v>76</v>
      </c>
      <c r="K1127">
        <v>305</v>
      </c>
      <c r="L1127" t="s">
        <v>5615</v>
      </c>
      <c r="M1127" s="6" t="s">
        <v>6558</v>
      </c>
      <c r="N1127" s="6" t="s">
        <v>6559</v>
      </c>
      <c r="O1127" s="6">
        <v>80</v>
      </c>
      <c r="P1127" s="6">
        <v>75</v>
      </c>
      <c r="Q1127" s="6">
        <v>76</v>
      </c>
      <c r="R1127" s="6">
        <v>82</v>
      </c>
      <c r="S1127" s="6">
        <v>87</v>
      </c>
      <c r="T1127" s="6">
        <v>67</v>
      </c>
      <c r="U1127" s="6">
        <v>78</v>
      </c>
      <c r="V1127" s="6">
        <v>76</v>
      </c>
      <c r="W1127" s="6">
        <v>69</v>
      </c>
      <c r="X1127" s="6">
        <v>70</v>
      </c>
      <c r="Y1127" s="6">
        <v>83</v>
      </c>
      <c r="Z1127" s="6">
        <v>84</v>
      </c>
      <c r="AA1127" s="6">
        <v>79</v>
      </c>
      <c r="AB1127" s="6">
        <v>73</v>
      </c>
      <c r="AC1127" s="6">
        <v>80</v>
      </c>
      <c r="AD1127" s="6">
        <v>69</v>
      </c>
      <c r="AE1127" s="6">
        <v>69</v>
      </c>
      <c r="AF1127" s="6">
        <v>71</v>
      </c>
      <c r="AG1127" s="6" t="s">
        <v>7655</v>
      </c>
      <c r="AH1127" s="6" t="s">
        <v>6610</v>
      </c>
    </row>
    <row r="1128" spans="1:34" x14ac:dyDescent="0.2">
      <c r="A1128" t="s">
        <v>3923</v>
      </c>
      <c r="B1128" t="s">
        <v>2187</v>
      </c>
      <c r="C1128" t="s">
        <v>2874</v>
      </c>
      <c r="D1128" s="7" t="s">
        <v>144</v>
      </c>
      <c r="E1128" t="s">
        <v>38</v>
      </c>
      <c r="F1128">
        <v>24</v>
      </c>
      <c r="G1128">
        <v>81</v>
      </c>
      <c r="H1128">
        <v>70</v>
      </c>
      <c r="I1128" t="s">
        <v>6427</v>
      </c>
      <c r="J1128">
        <v>74</v>
      </c>
      <c r="K1128">
        <v>301</v>
      </c>
      <c r="L1128" t="s">
        <v>5617</v>
      </c>
      <c r="M1128" s="6" t="s">
        <v>6558</v>
      </c>
      <c r="N1128" s="6" t="s">
        <v>6567</v>
      </c>
      <c r="O1128" s="6">
        <v>70</v>
      </c>
      <c r="P1128" s="6">
        <v>67</v>
      </c>
      <c r="Q1128" s="6">
        <v>73</v>
      </c>
      <c r="R1128" s="6">
        <v>66</v>
      </c>
      <c r="S1128" s="6">
        <v>75</v>
      </c>
      <c r="T1128" s="6">
        <v>61</v>
      </c>
      <c r="U1128" s="6">
        <v>72</v>
      </c>
      <c r="V1128" s="6">
        <v>68</v>
      </c>
      <c r="W1128" s="6">
        <v>66</v>
      </c>
      <c r="X1128" s="6">
        <v>74</v>
      </c>
      <c r="Y1128" s="6">
        <v>74</v>
      </c>
      <c r="Z1128" s="6">
        <v>68</v>
      </c>
      <c r="AA1128" s="6">
        <v>70</v>
      </c>
      <c r="AB1128" s="6">
        <v>71</v>
      </c>
      <c r="AC1128" s="6">
        <v>67</v>
      </c>
      <c r="AD1128" s="6">
        <v>71</v>
      </c>
      <c r="AE1128" s="6">
        <v>75</v>
      </c>
      <c r="AF1128" s="6">
        <v>74</v>
      </c>
      <c r="AG1128" s="6" t="s">
        <v>7657</v>
      </c>
      <c r="AH1128" s="6" t="s">
        <v>6674</v>
      </c>
    </row>
    <row r="1129" spans="1:34" x14ac:dyDescent="0.2">
      <c r="A1129" t="s">
        <v>3929</v>
      </c>
      <c r="B1129" t="s">
        <v>2193</v>
      </c>
      <c r="C1129" t="s">
        <v>2878</v>
      </c>
      <c r="D1129" s="7" t="s">
        <v>144</v>
      </c>
      <c r="E1129" t="s">
        <v>38</v>
      </c>
      <c r="F1129">
        <v>22</v>
      </c>
      <c r="G1129">
        <v>79</v>
      </c>
      <c r="H1129">
        <v>70</v>
      </c>
      <c r="I1129" t="s">
        <v>6366</v>
      </c>
      <c r="J1129">
        <v>77</v>
      </c>
      <c r="K1129">
        <v>267</v>
      </c>
      <c r="L1129" t="s">
        <v>5623</v>
      </c>
      <c r="M1129" s="6" t="s">
        <v>6558</v>
      </c>
      <c r="N1129" s="6" t="s">
        <v>6567</v>
      </c>
      <c r="O1129" s="6">
        <v>72</v>
      </c>
      <c r="P1129" s="6">
        <v>64</v>
      </c>
      <c r="Q1129" s="6">
        <v>64</v>
      </c>
      <c r="R1129" s="6">
        <v>66</v>
      </c>
      <c r="S1129" s="6">
        <v>76</v>
      </c>
      <c r="T1129" s="6">
        <v>71</v>
      </c>
      <c r="U1129" s="6">
        <v>63</v>
      </c>
      <c r="V1129" s="6">
        <v>67</v>
      </c>
      <c r="W1129" s="6">
        <v>83</v>
      </c>
      <c r="X1129" s="6">
        <v>57</v>
      </c>
      <c r="Y1129" s="6">
        <v>84</v>
      </c>
      <c r="Z1129" s="6">
        <v>80</v>
      </c>
      <c r="AA1129" s="6">
        <v>72</v>
      </c>
      <c r="AB1129" s="6">
        <v>72</v>
      </c>
      <c r="AC1129" s="6">
        <v>71</v>
      </c>
      <c r="AD1129" s="6">
        <v>67</v>
      </c>
      <c r="AE1129" s="6">
        <v>73</v>
      </c>
      <c r="AF1129" s="6">
        <v>83</v>
      </c>
      <c r="AG1129" s="6" t="s">
        <v>7663</v>
      </c>
      <c r="AH1129" s="6" t="s">
        <v>6797</v>
      </c>
    </row>
    <row r="1130" spans="1:34" x14ac:dyDescent="0.2">
      <c r="A1130" t="s">
        <v>3934</v>
      </c>
      <c r="B1130" t="s">
        <v>2198</v>
      </c>
      <c r="C1130" t="s">
        <v>2879</v>
      </c>
      <c r="D1130" s="7" t="s">
        <v>144</v>
      </c>
      <c r="E1130" t="s">
        <v>38</v>
      </c>
      <c r="F1130">
        <v>25</v>
      </c>
      <c r="G1130">
        <v>68</v>
      </c>
      <c r="H1130">
        <v>70</v>
      </c>
      <c r="I1130" t="s">
        <v>6459</v>
      </c>
      <c r="J1130">
        <v>74</v>
      </c>
      <c r="K1130">
        <v>320</v>
      </c>
      <c r="L1130" t="s">
        <v>5628</v>
      </c>
      <c r="M1130" s="6" t="s">
        <v>6558</v>
      </c>
      <c r="N1130" s="6" t="s">
        <v>6565</v>
      </c>
      <c r="O1130" s="6">
        <v>62</v>
      </c>
      <c r="P1130" s="6">
        <v>69</v>
      </c>
      <c r="Q1130" s="6">
        <v>74</v>
      </c>
      <c r="R1130" s="6">
        <v>73</v>
      </c>
      <c r="S1130" s="6">
        <v>73</v>
      </c>
      <c r="T1130" s="6">
        <v>63</v>
      </c>
      <c r="U1130" s="6">
        <v>80</v>
      </c>
      <c r="V1130" s="6">
        <v>70</v>
      </c>
      <c r="W1130" s="6">
        <v>62</v>
      </c>
      <c r="X1130" s="6">
        <v>77</v>
      </c>
      <c r="Y1130" s="6">
        <v>68</v>
      </c>
      <c r="Z1130" s="6">
        <v>77</v>
      </c>
      <c r="AA1130" s="6">
        <v>71</v>
      </c>
      <c r="AB1130" s="6">
        <v>69</v>
      </c>
      <c r="AC1130" s="6">
        <v>64</v>
      </c>
      <c r="AD1130" s="6">
        <v>71</v>
      </c>
      <c r="AE1130" s="6">
        <v>71</v>
      </c>
      <c r="AF1130" s="6">
        <v>77</v>
      </c>
      <c r="AG1130" s="6" t="s">
        <v>7668</v>
      </c>
      <c r="AH1130" s="6" t="s">
        <v>6619</v>
      </c>
    </row>
    <row r="1131" spans="1:34" x14ac:dyDescent="0.2">
      <c r="A1131" t="s">
        <v>3942</v>
      </c>
      <c r="B1131" t="s">
        <v>2206</v>
      </c>
      <c r="C1131" t="s">
        <v>61</v>
      </c>
      <c r="D1131" s="7" t="s">
        <v>144</v>
      </c>
      <c r="E1131" t="s">
        <v>38</v>
      </c>
      <c r="F1131">
        <v>29</v>
      </c>
      <c r="G1131">
        <v>75</v>
      </c>
      <c r="H1131">
        <v>70</v>
      </c>
      <c r="I1131" t="s">
        <v>6378</v>
      </c>
      <c r="J1131">
        <v>73</v>
      </c>
      <c r="K1131">
        <v>206</v>
      </c>
      <c r="L1131" t="s">
        <v>5636</v>
      </c>
      <c r="M1131" s="6" t="s">
        <v>6558</v>
      </c>
      <c r="N1131" s="6" t="s">
        <v>6583</v>
      </c>
      <c r="O1131" s="6">
        <v>83</v>
      </c>
      <c r="P1131" s="6">
        <v>81</v>
      </c>
      <c r="Q1131" s="6">
        <v>84</v>
      </c>
      <c r="R1131" s="6">
        <v>76</v>
      </c>
      <c r="S1131" s="6">
        <v>91</v>
      </c>
      <c r="T1131" s="6">
        <v>75</v>
      </c>
      <c r="U1131" s="6">
        <v>86</v>
      </c>
      <c r="V1131" s="6">
        <v>79</v>
      </c>
      <c r="W1131" s="6">
        <v>85</v>
      </c>
      <c r="X1131" s="6">
        <v>79</v>
      </c>
      <c r="Y1131" s="6">
        <v>90</v>
      </c>
      <c r="Z1131" s="6">
        <v>83</v>
      </c>
      <c r="AA1131" s="6">
        <v>74</v>
      </c>
      <c r="AB1131" s="6">
        <v>68</v>
      </c>
      <c r="AC1131" s="6">
        <v>71</v>
      </c>
      <c r="AD1131" s="6">
        <v>74</v>
      </c>
      <c r="AE1131" s="6">
        <v>70</v>
      </c>
      <c r="AF1131" s="6">
        <v>74</v>
      </c>
      <c r="AG1131" s="6" t="s">
        <v>7676</v>
      </c>
      <c r="AH1131" s="6" t="s">
        <v>6811</v>
      </c>
    </row>
    <row r="1132" spans="1:34" x14ac:dyDescent="0.2">
      <c r="A1132" t="s">
        <v>3943</v>
      </c>
      <c r="B1132" t="s">
        <v>2207</v>
      </c>
      <c r="C1132" t="s">
        <v>61</v>
      </c>
      <c r="D1132" s="7" t="s">
        <v>144</v>
      </c>
      <c r="E1132" t="s">
        <v>58</v>
      </c>
      <c r="F1132">
        <v>32</v>
      </c>
      <c r="G1132">
        <v>61</v>
      </c>
      <c r="H1132">
        <v>70</v>
      </c>
      <c r="I1132" t="s">
        <v>6346</v>
      </c>
      <c r="J1132">
        <v>72</v>
      </c>
      <c r="K1132">
        <v>207</v>
      </c>
      <c r="L1132" t="s">
        <v>5637</v>
      </c>
      <c r="M1132" s="6" t="s">
        <v>6558</v>
      </c>
      <c r="N1132" s="6" t="s">
        <v>6567</v>
      </c>
      <c r="O1132" s="6">
        <v>71</v>
      </c>
      <c r="P1132" s="6">
        <v>72</v>
      </c>
      <c r="Q1132" s="6">
        <v>74</v>
      </c>
      <c r="R1132" s="6">
        <v>69</v>
      </c>
      <c r="S1132" s="6">
        <v>75</v>
      </c>
      <c r="T1132" s="6">
        <v>78</v>
      </c>
      <c r="U1132" s="6">
        <v>77</v>
      </c>
      <c r="V1132" s="6">
        <v>80</v>
      </c>
      <c r="W1132" s="6">
        <v>73</v>
      </c>
      <c r="X1132" s="6">
        <v>76</v>
      </c>
      <c r="Y1132" s="6">
        <v>82</v>
      </c>
      <c r="Z1132" s="6">
        <v>83</v>
      </c>
      <c r="AA1132" s="6">
        <v>70</v>
      </c>
      <c r="AB1132" s="6">
        <v>61</v>
      </c>
      <c r="AC1132" s="6">
        <v>61</v>
      </c>
      <c r="AD1132" s="6">
        <v>62</v>
      </c>
      <c r="AE1132" s="6">
        <v>56</v>
      </c>
      <c r="AF1132" s="6">
        <v>64</v>
      </c>
      <c r="AG1132" s="6" t="s">
        <v>7677</v>
      </c>
      <c r="AH1132" s="6" t="s">
        <v>6696</v>
      </c>
    </row>
    <row r="1133" spans="1:34" x14ac:dyDescent="0.2">
      <c r="A1133" t="s">
        <v>3947</v>
      </c>
      <c r="B1133" t="s">
        <v>2211</v>
      </c>
      <c r="C1133" t="s">
        <v>2883</v>
      </c>
      <c r="D1133" s="7" t="s">
        <v>144</v>
      </c>
      <c r="E1133" t="s">
        <v>38</v>
      </c>
      <c r="F1133">
        <v>29</v>
      </c>
      <c r="G1133">
        <v>75</v>
      </c>
      <c r="H1133">
        <v>70</v>
      </c>
      <c r="I1133" t="s">
        <v>6318</v>
      </c>
      <c r="J1133">
        <v>73</v>
      </c>
      <c r="K1133">
        <v>220</v>
      </c>
      <c r="L1133" t="s">
        <v>5641</v>
      </c>
      <c r="M1133" s="6" t="s">
        <v>6558</v>
      </c>
      <c r="N1133" s="6" t="s">
        <v>6562</v>
      </c>
      <c r="O1133" s="6">
        <v>78</v>
      </c>
      <c r="P1133" s="6">
        <v>83</v>
      </c>
      <c r="Q1133" s="6">
        <v>82</v>
      </c>
      <c r="R1133" s="6">
        <v>86</v>
      </c>
      <c r="S1133" s="6">
        <v>89</v>
      </c>
      <c r="T1133" s="6">
        <v>67</v>
      </c>
      <c r="U1133" s="6">
        <v>79</v>
      </c>
      <c r="V1133" s="6">
        <v>79</v>
      </c>
      <c r="W1133" s="6">
        <v>71</v>
      </c>
      <c r="X1133" s="6">
        <v>76</v>
      </c>
      <c r="Y1133" s="6">
        <v>82</v>
      </c>
      <c r="Z1133" s="6">
        <v>78</v>
      </c>
      <c r="AA1133" s="6">
        <v>78</v>
      </c>
      <c r="AB1133" s="6">
        <v>83</v>
      </c>
      <c r="AC1133" s="6">
        <v>73</v>
      </c>
      <c r="AD1133" s="6">
        <v>70</v>
      </c>
      <c r="AE1133" s="6">
        <v>68</v>
      </c>
      <c r="AF1133" s="6">
        <v>76</v>
      </c>
      <c r="AG1133" s="6" t="s">
        <v>7681</v>
      </c>
      <c r="AH1133" s="6" t="s">
        <v>6640</v>
      </c>
    </row>
    <row r="1134" spans="1:34" x14ac:dyDescent="0.2">
      <c r="A1134" t="s">
        <v>3958</v>
      </c>
      <c r="B1134" t="s">
        <v>2222</v>
      </c>
      <c r="C1134" t="s">
        <v>2886</v>
      </c>
      <c r="D1134" s="7" t="s">
        <v>144</v>
      </c>
      <c r="E1134" t="s">
        <v>38</v>
      </c>
      <c r="F1134">
        <v>28</v>
      </c>
      <c r="G1134">
        <v>73</v>
      </c>
      <c r="H1134">
        <v>70</v>
      </c>
      <c r="I1134" t="s">
        <v>8329</v>
      </c>
      <c r="J1134">
        <v>74</v>
      </c>
      <c r="K1134">
        <v>234</v>
      </c>
      <c r="L1134" t="s">
        <v>5652</v>
      </c>
      <c r="M1134" s="6" t="s">
        <v>6558</v>
      </c>
      <c r="N1134" s="6" t="s">
        <v>6567</v>
      </c>
      <c r="O1134" s="6">
        <v>75</v>
      </c>
      <c r="P1134" s="6">
        <v>70</v>
      </c>
      <c r="Q1134" s="6">
        <v>76</v>
      </c>
      <c r="R1134" s="6">
        <v>66</v>
      </c>
      <c r="S1134" s="6">
        <v>79</v>
      </c>
      <c r="T1134" s="6">
        <v>67</v>
      </c>
      <c r="U1134" s="6">
        <v>75</v>
      </c>
      <c r="V1134" s="6">
        <v>76</v>
      </c>
      <c r="W1134" s="6">
        <v>75</v>
      </c>
      <c r="X1134" s="6">
        <v>80</v>
      </c>
      <c r="Y1134" s="6">
        <v>79</v>
      </c>
      <c r="Z1134" s="6">
        <v>78</v>
      </c>
      <c r="AA1134" s="6">
        <v>70</v>
      </c>
      <c r="AB1134" s="6">
        <v>79</v>
      </c>
      <c r="AC1134" s="6">
        <v>66</v>
      </c>
      <c r="AD1134" s="6">
        <v>81</v>
      </c>
      <c r="AE1134" s="6">
        <v>70</v>
      </c>
      <c r="AF1134" s="6">
        <v>79</v>
      </c>
      <c r="AG1134" s="6" t="s">
        <v>7691</v>
      </c>
      <c r="AH1134" s="6" t="s">
        <v>6649</v>
      </c>
    </row>
    <row r="1135" spans="1:34" x14ac:dyDescent="0.2">
      <c r="A1135" t="s">
        <v>3966</v>
      </c>
      <c r="B1135" t="s">
        <v>2230</v>
      </c>
      <c r="C1135" t="s">
        <v>2870</v>
      </c>
      <c r="D1135" s="7" t="s">
        <v>149</v>
      </c>
      <c r="E1135" t="s">
        <v>58</v>
      </c>
      <c r="F1135">
        <v>28</v>
      </c>
      <c r="G1135">
        <v>63</v>
      </c>
      <c r="H1135">
        <v>70</v>
      </c>
      <c r="I1135" t="s">
        <v>6400</v>
      </c>
      <c r="J1135">
        <v>72</v>
      </c>
      <c r="K1135">
        <v>228</v>
      </c>
      <c r="L1135" t="s">
        <v>5660</v>
      </c>
      <c r="M1135" s="6" t="s">
        <v>6558</v>
      </c>
      <c r="N1135" s="6" t="s">
        <v>6567</v>
      </c>
      <c r="O1135" s="6">
        <v>82</v>
      </c>
      <c r="P1135" s="6">
        <v>72</v>
      </c>
      <c r="Q1135" s="6">
        <v>70</v>
      </c>
      <c r="R1135" s="6">
        <v>67</v>
      </c>
      <c r="S1135" s="6">
        <v>71</v>
      </c>
      <c r="T1135" s="6">
        <v>71</v>
      </c>
      <c r="U1135" s="6">
        <v>64</v>
      </c>
      <c r="V1135" s="6">
        <v>72</v>
      </c>
      <c r="W1135" s="6">
        <v>69</v>
      </c>
      <c r="X1135" s="6">
        <v>70</v>
      </c>
      <c r="Y1135" s="6">
        <v>75</v>
      </c>
      <c r="Z1135" s="6">
        <v>60</v>
      </c>
      <c r="AA1135" s="6">
        <v>63</v>
      </c>
      <c r="AB1135" s="6">
        <v>64</v>
      </c>
      <c r="AC1135" s="6">
        <v>76</v>
      </c>
      <c r="AD1135" s="6">
        <v>69</v>
      </c>
      <c r="AE1135" s="6">
        <v>61</v>
      </c>
      <c r="AF1135" s="6">
        <v>69</v>
      </c>
      <c r="AG1135" s="6" t="s">
        <v>7699</v>
      </c>
      <c r="AH1135" s="6" t="s">
        <v>6656</v>
      </c>
    </row>
    <row r="1136" spans="1:34" x14ac:dyDescent="0.2">
      <c r="A1136" t="s">
        <v>3974</v>
      </c>
      <c r="B1136" t="s">
        <v>2238</v>
      </c>
      <c r="C1136" t="s">
        <v>2871</v>
      </c>
      <c r="D1136" s="7" t="s">
        <v>149</v>
      </c>
      <c r="E1136" t="s">
        <v>58</v>
      </c>
      <c r="F1136">
        <v>26</v>
      </c>
      <c r="G1136">
        <v>71</v>
      </c>
      <c r="H1136">
        <v>70</v>
      </c>
      <c r="I1136" t="s">
        <v>6367</v>
      </c>
      <c r="J1136">
        <v>76</v>
      </c>
      <c r="K1136">
        <v>258</v>
      </c>
      <c r="L1136" t="s">
        <v>5668</v>
      </c>
      <c r="M1136" s="6" t="s">
        <v>6558</v>
      </c>
      <c r="N1136" s="6" t="s">
        <v>6583</v>
      </c>
      <c r="O1136" s="6">
        <v>78</v>
      </c>
      <c r="P1136" s="6">
        <v>81</v>
      </c>
      <c r="Q1136" s="6">
        <v>79</v>
      </c>
      <c r="R1136" s="6">
        <v>79</v>
      </c>
      <c r="S1136" s="6">
        <v>79</v>
      </c>
      <c r="T1136" s="6">
        <v>88</v>
      </c>
      <c r="U1136" s="6">
        <v>66</v>
      </c>
      <c r="V1136" s="6">
        <v>81</v>
      </c>
      <c r="W1136" s="6">
        <v>73</v>
      </c>
      <c r="X1136" s="6">
        <v>71</v>
      </c>
      <c r="Y1136" s="6">
        <v>85</v>
      </c>
      <c r="Z1136" s="6">
        <v>76</v>
      </c>
      <c r="AA1136" s="6">
        <v>74</v>
      </c>
      <c r="AB1136" s="6">
        <v>70</v>
      </c>
      <c r="AC1136" s="6">
        <v>69</v>
      </c>
      <c r="AD1136" s="6">
        <v>82</v>
      </c>
      <c r="AE1136" s="6">
        <v>76</v>
      </c>
      <c r="AF1136" s="6">
        <v>70</v>
      </c>
      <c r="AG1136" s="6" t="s">
        <v>7707</v>
      </c>
      <c r="AH1136" s="6" t="s">
        <v>6591</v>
      </c>
    </row>
    <row r="1137" spans="1:34" x14ac:dyDescent="0.2">
      <c r="A1137" t="s">
        <v>3991</v>
      </c>
      <c r="B1137" t="s">
        <v>2255</v>
      </c>
      <c r="C1137" t="s">
        <v>2878</v>
      </c>
      <c r="D1137" s="7" t="s">
        <v>149</v>
      </c>
      <c r="E1137" t="s">
        <v>38</v>
      </c>
      <c r="F1137">
        <v>27</v>
      </c>
      <c r="G1137">
        <v>90</v>
      </c>
      <c r="H1137">
        <v>70</v>
      </c>
      <c r="I1137" t="s">
        <v>6401</v>
      </c>
      <c r="J1137">
        <v>76</v>
      </c>
      <c r="K1137">
        <v>259</v>
      </c>
      <c r="L1137" t="s">
        <v>5685</v>
      </c>
      <c r="M1137" s="6" t="s">
        <v>6558</v>
      </c>
      <c r="N1137" s="6" t="s">
        <v>6567</v>
      </c>
      <c r="O1137" s="6">
        <v>76</v>
      </c>
      <c r="P1137" s="6">
        <v>85</v>
      </c>
      <c r="Q1137" s="6">
        <v>79</v>
      </c>
      <c r="R1137" s="6">
        <v>69</v>
      </c>
      <c r="S1137" s="6">
        <v>80</v>
      </c>
      <c r="T1137" s="6">
        <v>78</v>
      </c>
      <c r="U1137" s="6">
        <v>73</v>
      </c>
      <c r="V1137" s="6">
        <v>83</v>
      </c>
      <c r="W1137" s="6">
        <v>78</v>
      </c>
      <c r="X1137" s="6">
        <v>73</v>
      </c>
      <c r="Y1137" s="6">
        <v>82</v>
      </c>
      <c r="Z1137" s="6">
        <v>85</v>
      </c>
      <c r="AA1137" s="6">
        <v>76</v>
      </c>
      <c r="AB1137" s="6">
        <v>82</v>
      </c>
      <c r="AC1137" s="6">
        <v>71</v>
      </c>
      <c r="AD1137" s="6">
        <v>77</v>
      </c>
      <c r="AE1137" s="6">
        <v>74</v>
      </c>
      <c r="AF1137" s="6">
        <v>74</v>
      </c>
      <c r="AG1137" s="6" t="s">
        <v>7724</v>
      </c>
      <c r="AH1137" s="6" t="s">
        <v>6612</v>
      </c>
    </row>
    <row r="1138" spans="1:34" x14ac:dyDescent="0.2">
      <c r="A1138" t="s">
        <v>4001</v>
      </c>
      <c r="B1138" t="s">
        <v>2265</v>
      </c>
      <c r="C1138" t="s">
        <v>2879</v>
      </c>
      <c r="D1138" s="7" t="s">
        <v>149</v>
      </c>
      <c r="E1138" t="s">
        <v>58</v>
      </c>
      <c r="F1138">
        <v>31</v>
      </c>
      <c r="G1138">
        <v>68</v>
      </c>
      <c r="H1138">
        <v>70</v>
      </c>
      <c r="I1138" t="s">
        <v>8331</v>
      </c>
      <c r="J1138">
        <v>76</v>
      </c>
      <c r="K1138">
        <v>318</v>
      </c>
      <c r="L1138" t="s">
        <v>5695</v>
      </c>
      <c r="M1138" s="6" t="s">
        <v>6558</v>
      </c>
      <c r="N1138" s="6" t="s">
        <v>6583</v>
      </c>
      <c r="O1138" s="6">
        <v>78</v>
      </c>
      <c r="P1138" s="6">
        <v>70</v>
      </c>
      <c r="Q1138" s="6">
        <v>74</v>
      </c>
      <c r="R1138" s="6">
        <v>76</v>
      </c>
      <c r="S1138" s="6">
        <v>66</v>
      </c>
      <c r="T1138" s="6">
        <v>73</v>
      </c>
      <c r="U1138" s="6">
        <v>87</v>
      </c>
      <c r="V1138" s="6">
        <v>82</v>
      </c>
      <c r="W1138" s="6">
        <v>85</v>
      </c>
      <c r="X1138" s="6">
        <v>71</v>
      </c>
      <c r="Y1138" s="6">
        <v>74</v>
      </c>
      <c r="Z1138" s="6">
        <v>69</v>
      </c>
      <c r="AA1138" s="6">
        <v>70</v>
      </c>
      <c r="AB1138" s="6">
        <v>73</v>
      </c>
      <c r="AC1138" s="6">
        <v>66</v>
      </c>
      <c r="AD1138" s="6">
        <v>68</v>
      </c>
      <c r="AE1138" s="6">
        <v>65</v>
      </c>
      <c r="AF1138" s="6">
        <v>66</v>
      </c>
      <c r="AG1138" s="6" t="s">
        <v>7734</v>
      </c>
      <c r="AH1138" s="6" t="s">
        <v>6617</v>
      </c>
    </row>
    <row r="1139" spans="1:34" x14ac:dyDescent="0.2">
      <c r="A1139" t="s">
        <v>4002</v>
      </c>
      <c r="B1139" t="s">
        <v>2266</v>
      </c>
      <c r="C1139" t="s">
        <v>2880</v>
      </c>
      <c r="D1139" s="7" t="s">
        <v>149</v>
      </c>
      <c r="E1139" t="s">
        <v>58</v>
      </c>
      <c r="F1139">
        <v>30</v>
      </c>
      <c r="G1139">
        <v>68</v>
      </c>
      <c r="H1139">
        <v>70</v>
      </c>
      <c r="I1139" t="s">
        <v>8332</v>
      </c>
      <c r="J1139">
        <v>74</v>
      </c>
      <c r="K1139">
        <v>235</v>
      </c>
      <c r="L1139" t="s">
        <v>5696</v>
      </c>
      <c r="M1139" s="6" t="s">
        <v>6558</v>
      </c>
      <c r="N1139" s="6" t="s">
        <v>6565</v>
      </c>
      <c r="O1139" s="6">
        <v>72</v>
      </c>
      <c r="P1139" s="6">
        <v>78</v>
      </c>
      <c r="Q1139" s="6">
        <v>74</v>
      </c>
      <c r="R1139" s="6">
        <v>73</v>
      </c>
      <c r="S1139" s="6">
        <v>73</v>
      </c>
      <c r="T1139" s="6">
        <v>69</v>
      </c>
      <c r="U1139" s="6">
        <v>78</v>
      </c>
      <c r="V1139" s="6">
        <v>68</v>
      </c>
      <c r="W1139" s="6">
        <v>67</v>
      </c>
      <c r="X1139" s="6">
        <v>62</v>
      </c>
      <c r="Y1139" s="6">
        <v>63</v>
      </c>
      <c r="Z1139" s="6">
        <v>75</v>
      </c>
      <c r="AA1139" s="6">
        <v>66</v>
      </c>
      <c r="AB1139" s="6">
        <v>63</v>
      </c>
      <c r="AC1139" s="6">
        <v>69</v>
      </c>
      <c r="AD1139" s="6">
        <v>69</v>
      </c>
      <c r="AE1139" s="6">
        <v>59</v>
      </c>
      <c r="AF1139" s="6">
        <v>75</v>
      </c>
      <c r="AG1139" s="6" t="s">
        <v>7735</v>
      </c>
      <c r="AH1139" s="6" t="s">
        <v>6623</v>
      </c>
    </row>
    <row r="1140" spans="1:34" x14ac:dyDescent="0.2">
      <c r="A1140" t="s">
        <v>4004</v>
      </c>
      <c r="B1140" t="s">
        <v>2268</v>
      </c>
      <c r="C1140" t="s">
        <v>2881</v>
      </c>
      <c r="D1140" s="7" t="s">
        <v>149</v>
      </c>
      <c r="E1140" t="s">
        <v>38</v>
      </c>
      <c r="F1140">
        <v>26</v>
      </c>
      <c r="G1140">
        <v>63</v>
      </c>
      <c r="H1140">
        <v>70</v>
      </c>
      <c r="I1140" t="s">
        <v>6302</v>
      </c>
      <c r="J1140">
        <v>72</v>
      </c>
      <c r="K1140">
        <v>237</v>
      </c>
      <c r="L1140" t="s">
        <v>5698</v>
      </c>
      <c r="M1140" s="6" t="s">
        <v>6558</v>
      </c>
      <c r="N1140" s="6" t="s">
        <v>6559</v>
      </c>
      <c r="O1140" s="6">
        <v>80</v>
      </c>
      <c r="P1140" s="6">
        <v>77</v>
      </c>
      <c r="Q1140" s="6">
        <v>75</v>
      </c>
      <c r="R1140" s="6">
        <v>88</v>
      </c>
      <c r="S1140" s="6">
        <v>69</v>
      </c>
      <c r="T1140" s="6">
        <v>74</v>
      </c>
      <c r="U1140" s="6">
        <v>72</v>
      </c>
      <c r="V1140" s="6">
        <v>77</v>
      </c>
      <c r="W1140" s="6">
        <v>71</v>
      </c>
      <c r="X1140" s="6">
        <v>71</v>
      </c>
      <c r="Y1140" s="6">
        <v>74</v>
      </c>
      <c r="Z1140" s="6">
        <v>77</v>
      </c>
      <c r="AA1140" s="6">
        <v>76</v>
      </c>
      <c r="AB1140" s="6">
        <v>76</v>
      </c>
      <c r="AC1140" s="6">
        <v>72</v>
      </c>
      <c r="AD1140" s="6">
        <v>76</v>
      </c>
      <c r="AE1140" s="6">
        <v>69</v>
      </c>
      <c r="AF1140" s="6">
        <v>77</v>
      </c>
      <c r="AG1140" s="6" t="s">
        <v>7737</v>
      </c>
      <c r="AH1140" s="6" t="s">
        <v>6711</v>
      </c>
    </row>
    <row r="1141" spans="1:34" x14ac:dyDescent="0.2">
      <c r="A1141" t="s">
        <v>4009</v>
      </c>
      <c r="B1141" t="s">
        <v>2273</v>
      </c>
      <c r="C1141" t="s">
        <v>2882</v>
      </c>
      <c r="D1141" s="7" t="s">
        <v>149</v>
      </c>
      <c r="E1141" t="s">
        <v>38</v>
      </c>
      <c r="F1141">
        <v>27</v>
      </c>
      <c r="G1141">
        <v>91</v>
      </c>
      <c r="H1141">
        <v>70</v>
      </c>
      <c r="I1141" t="s">
        <v>6380</v>
      </c>
      <c r="J1141">
        <v>70</v>
      </c>
      <c r="K1141">
        <v>195</v>
      </c>
      <c r="L1141" t="s">
        <v>5703</v>
      </c>
      <c r="M1141" s="6" t="s">
        <v>6558</v>
      </c>
      <c r="N1141" s="6" t="s">
        <v>6559</v>
      </c>
      <c r="O1141" s="6">
        <v>84</v>
      </c>
      <c r="P1141" s="6">
        <v>82</v>
      </c>
      <c r="Q1141" s="6">
        <v>74</v>
      </c>
      <c r="R1141" s="6">
        <v>83</v>
      </c>
      <c r="S1141" s="6">
        <v>73</v>
      </c>
      <c r="T1141" s="6">
        <v>74</v>
      </c>
      <c r="U1141" s="6">
        <v>76</v>
      </c>
      <c r="V1141" s="6">
        <v>86</v>
      </c>
      <c r="W1141" s="6">
        <v>88</v>
      </c>
      <c r="X1141" s="6">
        <v>72</v>
      </c>
      <c r="Y1141" s="6">
        <v>89</v>
      </c>
      <c r="Z1141" s="6">
        <v>78</v>
      </c>
      <c r="AA1141" s="6">
        <v>77</v>
      </c>
      <c r="AB1141" s="6">
        <v>80</v>
      </c>
      <c r="AC1141" s="6">
        <v>76</v>
      </c>
      <c r="AD1141" s="6">
        <v>88</v>
      </c>
      <c r="AE1141" s="6">
        <v>78</v>
      </c>
      <c r="AF1141" s="6">
        <v>79</v>
      </c>
      <c r="AG1141" s="6" t="s">
        <v>7742</v>
      </c>
      <c r="AH1141" s="6" t="s">
        <v>6636</v>
      </c>
    </row>
    <row r="1142" spans="1:34" x14ac:dyDescent="0.2">
      <c r="A1142" t="s">
        <v>4015</v>
      </c>
      <c r="B1142" t="s">
        <v>2279</v>
      </c>
      <c r="C1142" t="s">
        <v>2885</v>
      </c>
      <c r="D1142" s="7" t="s">
        <v>149</v>
      </c>
      <c r="E1142" t="s">
        <v>38</v>
      </c>
      <c r="F1142">
        <v>25</v>
      </c>
      <c r="G1142">
        <v>87</v>
      </c>
      <c r="H1142">
        <v>70</v>
      </c>
      <c r="I1142" t="s">
        <v>8335</v>
      </c>
      <c r="J1142">
        <v>72</v>
      </c>
      <c r="K1142">
        <v>230</v>
      </c>
      <c r="L1142" t="s">
        <v>5709</v>
      </c>
      <c r="M1142" s="6" t="s">
        <v>6558</v>
      </c>
      <c r="N1142" s="6" t="s">
        <v>6565</v>
      </c>
      <c r="O1142" s="6">
        <v>75</v>
      </c>
      <c r="P1142" s="6">
        <v>74</v>
      </c>
      <c r="Q1142" s="6">
        <v>78</v>
      </c>
      <c r="R1142" s="6">
        <v>73</v>
      </c>
      <c r="S1142" s="6">
        <v>76</v>
      </c>
      <c r="T1142" s="6">
        <v>75</v>
      </c>
      <c r="U1142" s="6">
        <v>77</v>
      </c>
      <c r="V1142" s="6">
        <v>73</v>
      </c>
      <c r="W1142" s="6">
        <v>71</v>
      </c>
      <c r="X1142" s="6">
        <v>71</v>
      </c>
      <c r="Y1142" s="6">
        <v>68</v>
      </c>
      <c r="Z1142" s="6">
        <v>70</v>
      </c>
      <c r="AA1142" s="6">
        <v>72</v>
      </c>
      <c r="AB1142" s="6">
        <v>79</v>
      </c>
      <c r="AC1142" s="6">
        <v>76</v>
      </c>
      <c r="AD1142" s="6">
        <v>73</v>
      </c>
      <c r="AE1142" s="6">
        <v>73</v>
      </c>
      <c r="AF1142" s="6">
        <v>75</v>
      </c>
      <c r="AG1142" s="6" t="s">
        <v>7747</v>
      </c>
      <c r="AH1142" s="6" t="s">
        <v>6628</v>
      </c>
    </row>
    <row r="1143" spans="1:34" x14ac:dyDescent="0.2">
      <c r="A1143" t="s">
        <v>4017</v>
      </c>
      <c r="B1143" t="s">
        <v>2281</v>
      </c>
      <c r="C1143" t="s">
        <v>2890</v>
      </c>
      <c r="D1143" s="7" t="s">
        <v>149</v>
      </c>
      <c r="E1143" t="s">
        <v>58</v>
      </c>
      <c r="F1143">
        <v>30</v>
      </c>
      <c r="G1143">
        <v>79</v>
      </c>
      <c r="H1143">
        <v>70</v>
      </c>
      <c r="I1143" t="s">
        <v>6460</v>
      </c>
      <c r="J1143">
        <v>72</v>
      </c>
      <c r="K1143">
        <v>188</v>
      </c>
      <c r="L1143" t="s">
        <v>5711</v>
      </c>
      <c r="M1143" s="6" t="s">
        <v>6558</v>
      </c>
      <c r="N1143" s="6" t="s">
        <v>6614</v>
      </c>
      <c r="O1143" s="6">
        <v>64</v>
      </c>
      <c r="P1143" s="6">
        <v>71</v>
      </c>
      <c r="Q1143" s="6">
        <v>67</v>
      </c>
      <c r="R1143" s="6">
        <v>58</v>
      </c>
      <c r="S1143" s="6">
        <v>85</v>
      </c>
      <c r="T1143" s="6">
        <v>80</v>
      </c>
      <c r="U1143" s="6">
        <v>64</v>
      </c>
      <c r="V1143" s="6">
        <v>75</v>
      </c>
      <c r="W1143" s="6">
        <v>74</v>
      </c>
      <c r="X1143" s="6">
        <v>83</v>
      </c>
      <c r="Y1143" s="6">
        <v>79</v>
      </c>
      <c r="Z1143" s="6">
        <v>70</v>
      </c>
      <c r="AA1143" s="6">
        <v>65</v>
      </c>
      <c r="AB1143" s="6">
        <v>68</v>
      </c>
      <c r="AC1143" s="6">
        <v>65</v>
      </c>
      <c r="AD1143" s="6">
        <v>70</v>
      </c>
      <c r="AE1143" s="6">
        <v>74</v>
      </c>
      <c r="AF1143" s="6">
        <v>62</v>
      </c>
      <c r="AG1143" s="6" t="s">
        <v>7749</v>
      </c>
      <c r="AH1143" s="6" t="s">
        <v>7082</v>
      </c>
    </row>
    <row r="1144" spans="1:34" x14ac:dyDescent="0.2">
      <c r="A1144" t="s">
        <v>4030</v>
      </c>
      <c r="B1144" t="s">
        <v>2294</v>
      </c>
      <c r="C1144" t="s">
        <v>57</v>
      </c>
      <c r="D1144" s="7" t="s">
        <v>22</v>
      </c>
      <c r="E1144" t="s">
        <v>38</v>
      </c>
      <c r="F1144">
        <v>26</v>
      </c>
      <c r="G1144">
        <v>66</v>
      </c>
      <c r="H1144">
        <v>70</v>
      </c>
      <c r="I1144" t="s">
        <v>6379</v>
      </c>
      <c r="J1144">
        <v>73</v>
      </c>
      <c r="K1144">
        <v>183</v>
      </c>
      <c r="L1144" t="s">
        <v>5724</v>
      </c>
      <c r="M1144" s="6" t="s">
        <v>6558</v>
      </c>
      <c r="N1144" s="6" t="s">
        <v>6567</v>
      </c>
      <c r="O1144" s="6">
        <v>72</v>
      </c>
      <c r="P1144" s="6">
        <v>65</v>
      </c>
      <c r="Q1144" s="6">
        <v>69</v>
      </c>
      <c r="R1144" s="6">
        <v>67</v>
      </c>
      <c r="S1144" s="6">
        <v>65</v>
      </c>
      <c r="T1144" s="6">
        <v>75</v>
      </c>
      <c r="U1144" s="6">
        <v>71</v>
      </c>
      <c r="V1144" s="6">
        <v>71</v>
      </c>
      <c r="W1144" s="6">
        <v>65</v>
      </c>
      <c r="X1144" s="6">
        <v>67</v>
      </c>
      <c r="Y1144" s="6">
        <v>65</v>
      </c>
      <c r="Z1144" s="6">
        <v>65</v>
      </c>
      <c r="AA1144" s="6">
        <v>69</v>
      </c>
      <c r="AB1144" s="6">
        <v>70</v>
      </c>
      <c r="AC1144" s="6">
        <v>64</v>
      </c>
      <c r="AD1144" s="6">
        <v>62</v>
      </c>
      <c r="AE1144" s="6">
        <v>66</v>
      </c>
      <c r="AF1144" s="6">
        <v>67</v>
      </c>
      <c r="AG1144" s="6" t="s">
        <v>7762</v>
      </c>
      <c r="AH1144" s="6" t="s">
        <v>6574</v>
      </c>
    </row>
    <row r="1145" spans="1:34" x14ac:dyDescent="0.2">
      <c r="A1145" t="s">
        <v>4033</v>
      </c>
      <c r="B1145" t="s">
        <v>2297</v>
      </c>
      <c r="C1145" t="s">
        <v>2871</v>
      </c>
      <c r="D1145" s="7" t="s">
        <v>22</v>
      </c>
      <c r="E1145" t="s">
        <v>38</v>
      </c>
      <c r="F1145">
        <v>30</v>
      </c>
      <c r="G1145">
        <v>75</v>
      </c>
      <c r="H1145">
        <v>70</v>
      </c>
      <c r="I1145" t="s">
        <v>6304</v>
      </c>
      <c r="J1145">
        <v>75</v>
      </c>
      <c r="K1145">
        <v>250</v>
      </c>
      <c r="L1145" t="s">
        <v>5727</v>
      </c>
      <c r="M1145" s="6" t="s">
        <v>6558</v>
      </c>
      <c r="N1145" s="6" t="s">
        <v>6559</v>
      </c>
      <c r="O1145" s="6">
        <v>75</v>
      </c>
      <c r="P1145" s="6">
        <v>81</v>
      </c>
      <c r="Q1145" s="6">
        <v>80</v>
      </c>
      <c r="R1145" s="6">
        <v>82</v>
      </c>
      <c r="S1145" s="6">
        <v>73</v>
      </c>
      <c r="T1145" s="6">
        <v>68</v>
      </c>
      <c r="U1145" s="6">
        <v>88</v>
      </c>
      <c r="V1145" s="6">
        <v>77</v>
      </c>
      <c r="W1145" s="6">
        <v>67</v>
      </c>
      <c r="X1145" s="6">
        <v>78</v>
      </c>
      <c r="Y1145" s="6">
        <v>83</v>
      </c>
      <c r="Z1145" s="6">
        <v>87</v>
      </c>
      <c r="AA1145" s="6">
        <v>65</v>
      </c>
      <c r="AB1145" s="6">
        <v>74</v>
      </c>
      <c r="AC1145" s="6">
        <v>67</v>
      </c>
      <c r="AD1145" s="6">
        <v>74</v>
      </c>
      <c r="AE1145" s="6">
        <v>69</v>
      </c>
      <c r="AF1145" s="6">
        <v>79</v>
      </c>
      <c r="AG1145" s="6" t="s">
        <v>7765</v>
      </c>
      <c r="AH1145" s="6" t="s">
        <v>7219</v>
      </c>
    </row>
    <row r="1146" spans="1:34" x14ac:dyDescent="0.2">
      <c r="A1146" t="s">
        <v>4038</v>
      </c>
      <c r="B1146" t="s">
        <v>2302</v>
      </c>
      <c r="C1146" t="s">
        <v>2874</v>
      </c>
      <c r="D1146" s="7" t="s">
        <v>22</v>
      </c>
      <c r="E1146" t="s">
        <v>58</v>
      </c>
      <c r="F1146">
        <v>30</v>
      </c>
      <c r="G1146">
        <v>59</v>
      </c>
      <c r="H1146">
        <v>70</v>
      </c>
      <c r="I1146" t="s">
        <v>6359</v>
      </c>
      <c r="J1146">
        <v>75</v>
      </c>
      <c r="K1146">
        <v>312</v>
      </c>
      <c r="L1146" t="s">
        <v>5732</v>
      </c>
      <c r="M1146" s="6" t="s">
        <v>6558</v>
      </c>
      <c r="N1146" s="6" t="s">
        <v>6567</v>
      </c>
      <c r="O1146" s="6">
        <v>70</v>
      </c>
      <c r="P1146" s="6">
        <v>64</v>
      </c>
      <c r="Q1146" s="6">
        <v>73</v>
      </c>
      <c r="R1146" s="6">
        <v>65</v>
      </c>
      <c r="S1146" s="6">
        <v>67</v>
      </c>
      <c r="T1146" s="6">
        <v>63</v>
      </c>
      <c r="U1146" s="6">
        <v>73</v>
      </c>
      <c r="V1146" s="6">
        <v>76</v>
      </c>
      <c r="W1146" s="6">
        <v>76</v>
      </c>
      <c r="X1146" s="6">
        <v>71</v>
      </c>
      <c r="Y1146" s="6">
        <v>77</v>
      </c>
      <c r="Z1146" s="6">
        <v>73</v>
      </c>
      <c r="AA1146" s="6">
        <v>62</v>
      </c>
      <c r="AB1146" s="6">
        <v>68</v>
      </c>
      <c r="AC1146" s="6">
        <v>68</v>
      </c>
      <c r="AD1146" s="6">
        <v>62</v>
      </c>
      <c r="AE1146" s="6">
        <v>68</v>
      </c>
      <c r="AF1146" s="6">
        <v>67</v>
      </c>
      <c r="AG1146" s="6" t="s">
        <v>7770</v>
      </c>
      <c r="AH1146" s="6" t="s">
        <v>6598</v>
      </c>
    </row>
    <row r="1147" spans="1:34" x14ac:dyDescent="0.2">
      <c r="A1147" t="s">
        <v>4043</v>
      </c>
      <c r="B1147" t="s">
        <v>2307</v>
      </c>
      <c r="C1147" t="s">
        <v>2876</v>
      </c>
      <c r="D1147" s="7" t="s">
        <v>22</v>
      </c>
      <c r="E1147" t="s">
        <v>38</v>
      </c>
      <c r="F1147">
        <v>26</v>
      </c>
      <c r="G1147">
        <v>72</v>
      </c>
      <c r="H1147">
        <v>70</v>
      </c>
      <c r="I1147" t="s">
        <v>6328</v>
      </c>
      <c r="J1147">
        <v>75</v>
      </c>
      <c r="K1147">
        <v>329</v>
      </c>
      <c r="L1147" t="s">
        <v>5737</v>
      </c>
      <c r="M1147" s="6" t="s">
        <v>6558</v>
      </c>
      <c r="N1147" s="6" t="s">
        <v>6567</v>
      </c>
      <c r="O1147" s="6">
        <v>74</v>
      </c>
      <c r="P1147" s="6">
        <v>71</v>
      </c>
      <c r="Q1147" s="6">
        <v>76</v>
      </c>
      <c r="R1147" s="6">
        <v>66</v>
      </c>
      <c r="S1147" s="6">
        <v>84</v>
      </c>
      <c r="T1147" s="6">
        <v>70</v>
      </c>
      <c r="U1147" s="6">
        <v>71</v>
      </c>
      <c r="V1147" s="6">
        <v>71</v>
      </c>
      <c r="W1147" s="6">
        <v>71</v>
      </c>
      <c r="X1147" s="6">
        <v>76</v>
      </c>
      <c r="Y1147" s="6">
        <v>70</v>
      </c>
      <c r="Z1147" s="6">
        <v>80</v>
      </c>
      <c r="AA1147" s="6">
        <v>80</v>
      </c>
      <c r="AB1147" s="6">
        <v>70</v>
      </c>
      <c r="AC1147" s="6">
        <v>72</v>
      </c>
      <c r="AD1147" s="6">
        <v>68</v>
      </c>
      <c r="AE1147" s="6">
        <v>73</v>
      </c>
      <c r="AF1147" s="6">
        <v>76</v>
      </c>
      <c r="AG1147" s="6" t="s">
        <v>7775</v>
      </c>
      <c r="AH1147" s="6" t="s">
        <v>6600</v>
      </c>
    </row>
    <row r="1148" spans="1:34" x14ac:dyDescent="0.2">
      <c r="A1148" t="s">
        <v>4044</v>
      </c>
      <c r="B1148" t="s">
        <v>2308</v>
      </c>
      <c r="C1148" t="s">
        <v>2876</v>
      </c>
      <c r="D1148" s="7" t="s">
        <v>22</v>
      </c>
      <c r="E1148" t="s">
        <v>58</v>
      </c>
      <c r="F1148">
        <v>30</v>
      </c>
      <c r="G1148">
        <v>62</v>
      </c>
      <c r="H1148">
        <v>70</v>
      </c>
      <c r="I1148" t="s">
        <v>6382</v>
      </c>
      <c r="J1148">
        <v>76</v>
      </c>
      <c r="K1148">
        <v>319</v>
      </c>
      <c r="L1148" t="s">
        <v>5738</v>
      </c>
      <c r="M1148" s="6" t="s">
        <v>6558</v>
      </c>
      <c r="N1148" s="6" t="s">
        <v>6583</v>
      </c>
      <c r="O1148" s="6">
        <v>82</v>
      </c>
      <c r="P1148" s="6">
        <v>82</v>
      </c>
      <c r="Q1148" s="6">
        <v>75</v>
      </c>
      <c r="R1148" s="6">
        <v>77</v>
      </c>
      <c r="S1148" s="6">
        <v>69</v>
      </c>
      <c r="T1148" s="6">
        <v>78</v>
      </c>
      <c r="U1148" s="6">
        <v>76</v>
      </c>
      <c r="V1148" s="6">
        <v>81</v>
      </c>
      <c r="W1148" s="6">
        <v>70</v>
      </c>
      <c r="X1148" s="6">
        <v>80</v>
      </c>
      <c r="Y1148" s="6">
        <v>77</v>
      </c>
      <c r="Z1148" s="6">
        <v>83</v>
      </c>
      <c r="AA1148" s="6">
        <v>78</v>
      </c>
      <c r="AB1148" s="6">
        <v>71</v>
      </c>
      <c r="AC1148" s="6">
        <v>69</v>
      </c>
      <c r="AD1148" s="6">
        <v>76</v>
      </c>
      <c r="AE1148" s="6">
        <v>75</v>
      </c>
      <c r="AF1148" s="6">
        <v>69</v>
      </c>
      <c r="AG1148" s="6" t="s">
        <v>7776</v>
      </c>
      <c r="AH1148" s="6" t="s">
        <v>6598</v>
      </c>
    </row>
    <row r="1149" spans="1:34" x14ac:dyDescent="0.2">
      <c r="A1149" t="s">
        <v>4054</v>
      </c>
      <c r="B1149" t="s">
        <v>2318</v>
      </c>
      <c r="C1149" t="s">
        <v>2879</v>
      </c>
      <c r="D1149" s="7" t="s">
        <v>22</v>
      </c>
      <c r="E1149" t="s">
        <v>38</v>
      </c>
      <c r="F1149">
        <v>22</v>
      </c>
      <c r="G1149">
        <v>59</v>
      </c>
      <c r="H1149">
        <v>70</v>
      </c>
      <c r="I1149" t="s">
        <v>6464</v>
      </c>
      <c r="J1149">
        <v>74</v>
      </c>
      <c r="K1149">
        <v>318</v>
      </c>
      <c r="L1149" t="s">
        <v>5748</v>
      </c>
      <c r="M1149" s="6" t="s">
        <v>6558</v>
      </c>
      <c r="N1149" s="6" t="s">
        <v>6614</v>
      </c>
      <c r="O1149" s="6">
        <v>63</v>
      </c>
      <c r="P1149" s="6">
        <v>68</v>
      </c>
      <c r="Q1149" s="6">
        <v>72</v>
      </c>
      <c r="R1149" s="6">
        <v>50</v>
      </c>
      <c r="S1149" s="6">
        <v>59</v>
      </c>
      <c r="T1149" s="6">
        <v>65</v>
      </c>
      <c r="U1149" s="6">
        <v>68</v>
      </c>
      <c r="V1149" s="6">
        <v>68</v>
      </c>
      <c r="W1149" s="6">
        <v>52</v>
      </c>
      <c r="X1149" s="6">
        <v>65</v>
      </c>
      <c r="Y1149" s="6">
        <v>59</v>
      </c>
      <c r="Z1149" s="6">
        <v>64</v>
      </c>
      <c r="AA1149" s="6">
        <v>65</v>
      </c>
      <c r="AB1149" s="6">
        <v>78</v>
      </c>
      <c r="AC1149" s="6">
        <v>73</v>
      </c>
      <c r="AD1149" s="6">
        <v>64</v>
      </c>
      <c r="AE1149" s="6">
        <v>64</v>
      </c>
      <c r="AF1149" s="6">
        <v>60</v>
      </c>
      <c r="AG1149" s="6" t="s">
        <v>7786</v>
      </c>
      <c r="AH1149" s="6" t="s">
        <v>6617</v>
      </c>
    </row>
    <row r="1150" spans="1:34" x14ac:dyDescent="0.2">
      <c r="A1150" t="s">
        <v>4055</v>
      </c>
      <c r="B1150" t="s">
        <v>2319</v>
      </c>
      <c r="C1150" t="s">
        <v>2880</v>
      </c>
      <c r="D1150" s="7" t="s">
        <v>22</v>
      </c>
      <c r="E1150" t="s">
        <v>58</v>
      </c>
      <c r="F1150">
        <v>31</v>
      </c>
      <c r="G1150">
        <v>58</v>
      </c>
      <c r="H1150">
        <v>70</v>
      </c>
      <c r="I1150" t="s">
        <v>6506</v>
      </c>
      <c r="J1150">
        <v>74</v>
      </c>
      <c r="K1150">
        <v>241</v>
      </c>
      <c r="L1150" t="s">
        <v>5749</v>
      </c>
      <c r="M1150" s="6" t="s">
        <v>6558</v>
      </c>
      <c r="N1150" s="6" t="s">
        <v>6565</v>
      </c>
      <c r="O1150" s="6">
        <v>81</v>
      </c>
      <c r="P1150" s="6">
        <v>64</v>
      </c>
      <c r="Q1150" s="6">
        <v>71</v>
      </c>
      <c r="R1150" s="6">
        <v>74</v>
      </c>
      <c r="S1150" s="6">
        <v>71</v>
      </c>
      <c r="T1150" s="6">
        <v>61</v>
      </c>
      <c r="U1150" s="6">
        <v>71</v>
      </c>
      <c r="V1150" s="6">
        <v>69</v>
      </c>
      <c r="W1150" s="6">
        <v>83</v>
      </c>
      <c r="X1150" s="6">
        <v>57</v>
      </c>
      <c r="Y1150" s="6">
        <v>71</v>
      </c>
      <c r="Z1150" s="6">
        <v>77</v>
      </c>
      <c r="AA1150" s="6">
        <v>60</v>
      </c>
      <c r="AB1150" s="6">
        <v>59</v>
      </c>
      <c r="AC1150" s="6">
        <v>65</v>
      </c>
      <c r="AD1150" s="6">
        <v>61</v>
      </c>
      <c r="AE1150" s="6">
        <v>68</v>
      </c>
      <c r="AF1150" s="6">
        <v>67</v>
      </c>
      <c r="AG1150" s="6" t="s">
        <v>7787</v>
      </c>
      <c r="AH1150" s="6" t="s">
        <v>6623</v>
      </c>
    </row>
    <row r="1151" spans="1:34" x14ac:dyDescent="0.2">
      <c r="A1151" t="s">
        <v>4058</v>
      </c>
      <c r="B1151" t="s">
        <v>2322</v>
      </c>
      <c r="C1151" t="s">
        <v>61</v>
      </c>
      <c r="D1151" s="7" t="s">
        <v>22</v>
      </c>
      <c r="E1151" t="s">
        <v>38</v>
      </c>
      <c r="F1151">
        <v>28</v>
      </c>
      <c r="G1151">
        <v>82</v>
      </c>
      <c r="H1151">
        <v>70</v>
      </c>
      <c r="I1151" t="s">
        <v>6460</v>
      </c>
      <c r="J1151">
        <v>68</v>
      </c>
      <c r="K1151">
        <v>199</v>
      </c>
      <c r="L1151" t="s">
        <v>5752</v>
      </c>
      <c r="M1151" s="6" t="s">
        <v>6558</v>
      </c>
      <c r="N1151" s="6" t="s">
        <v>6565</v>
      </c>
      <c r="O1151" s="6">
        <v>79</v>
      </c>
      <c r="P1151" s="6">
        <v>71</v>
      </c>
      <c r="Q1151" s="6">
        <v>77</v>
      </c>
      <c r="R1151" s="6">
        <v>73</v>
      </c>
      <c r="S1151" s="6">
        <v>87</v>
      </c>
      <c r="T1151" s="6">
        <v>82</v>
      </c>
      <c r="U1151" s="6">
        <v>95</v>
      </c>
      <c r="V1151" s="6">
        <v>79</v>
      </c>
      <c r="W1151" s="6">
        <v>73</v>
      </c>
      <c r="X1151" s="6">
        <v>74</v>
      </c>
      <c r="Y1151" s="6">
        <v>81</v>
      </c>
      <c r="Z1151" s="6">
        <v>83</v>
      </c>
      <c r="AA1151" s="6">
        <v>77</v>
      </c>
      <c r="AB1151" s="6">
        <v>83</v>
      </c>
      <c r="AC1151" s="6">
        <v>67</v>
      </c>
      <c r="AD1151" s="6">
        <v>82</v>
      </c>
      <c r="AE1151" s="6">
        <v>79</v>
      </c>
      <c r="AF1151" s="6">
        <v>80</v>
      </c>
      <c r="AG1151" s="6" t="s">
        <v>7790</v>
      </c>
      <c r="AH1151" s="6" t="s">
        <v>6632</v>
      </c>
    </row>
    <row r="1152" spans="1:34" x14ac:dyDescent="0.2">
      <c r="A1152" t="s">
        <v>4066</v>
      </c>
      <c r="B1152" t="s">
        <v>2330</v>
      </c>
      <c r="C1152" t="s">
        <v>2888</v>
      </c>
      <c r="D1152" s="7" t="s">
        <v>22</v>
      </c>
      <c r="E1152" t="s">
        <v>38</v>
      </c>
      <c r="F1152">
        <v>27</v>
      </c>
      <c r="G1152">
        <v>68</v>
      </c>
      <c r="H1152">
        <v>70</v>
      </c>
      <c r="I1152" t="s">
        <v>6342</v>
      </c>
      <c r="J1152">
        <v>74</v>
      </c>
      <c r="K1152">
        <v>211</v>
      </c>
      <c r="L1152" t="s">
        <v>5760</v>
      </c>
      <c r="M1152" s="6" t="s">
        <v>6558</v>
      </c>
      <c r="N1152" s="6" t="s">
        <v>6565</v>
      </c>
      <c r="O1152" s="6">
        <v>69</v>
      </c>
      <c r="P1152" s="6">
        <v>77</v>
      </c>
      <c r="Q1152" s="6">
        <v>73</v>
      </c>
      <c r="R1152" s="6">
        <v>72</v>
      </c>
      <c r="S1152" s="6">
        <v>77</v>
      </c>
      <c r="T1152" s="6">
        <v>78</v>
      </c>
      <c r="U1152" s="6">
        <v>78</v>
      </c>
      <c r="V1152" s="6">
        <v>81</v>
      </c>
      <c r="W1152" s="6">
        <v>87</v>
      </c>
      <c r="X1152" s="6">
        <v>61</v>
      </c>
      <c r="Y1152" s="6">
        <v>73</v>
      </c>
      <c r="Z1152" s="6">
        <v>71</v>
      </c>
      <c r="AA1152" s="6">
        <v>70</v>
      </c>
      <c r="AB1152" s="6">
        <v>68</v>
      </c>
      <c r="AC1152" s="6">
        <v>77</v>
      </c>
      <c r="AD1152" s="6">
        <v>75</v>
      </c>
      <c r="AE1152" s="6">
        <v>73</v>
      </c>
      <c r="AF1152" s="6">
        <v>75</v>
      </c>
      <c r="AG1152" s="6" t="s">
        <v>7798</v>
      </c>
      <c r="AH1152" s="6" t="s">
        <v>6707</v>
      </c>
    </row>
    <row r="1153" spans="1:34" x14ac:dyDescent="0.2">
      <c r="A1153" t="s">
        <v>4078</v>
      </c>
      <c r="B1153" t="s">
        <v>2342</v>
      </c>
      <c r="C1153" t="s">
        <v>53</v>
      </c>
      <c r="D1153" s="7" t="s">
        <v>25</v>
      </c>
      <c r="E1153" t="s">
        <v>38</v>
      </c>
      <c r="F1153">
        <v>26</v>
      </c>
      <c r="G1153">
        <v>70</v>
      </c>
      <c r="H1153">
        <v>70</v>
      </c>
      <c r="I1153" t="s">
        <v>6347</v>
      </c>
      <c r="J1153">
        <v>75</v>
      </c>
      <c r="K1153">
        <v>233</v>
      </c>
      <c r="L1153" t="s">
        <v>5772</v>
      </c>
      <c r="M1153" s="6" t="s">
        <v>6558</v>
      </c>
      <c r="N1153" s="6" t="s">
        <v>6583</v>
      </c>
      <c r="O1153" s="6">
        <v>78</v>
      </c>
      <c r="P1153" s="6">
        <v>74</v>
      </c>
      <c r="Q1153" s="6">
        <v>78</v>
      </c>
      <c r="R1153" s="6">
        <v>78</v>
      </c>
      <c r="S1153" s="6">
        <v>92</v>
      </c>
      <c r="T1153" s="6">
        <v>72</v>
      </c>
      <c r="U1153" s="6">
        <v>73</v>
      </c>
      <c r="V1153" s="6">
        <v>66</v>
      </c>
      <c r="W1153" s="6">
        <v>73</v>
      </c>
      <c r="X1153" s="6">
        <v>77</v>
      </c>
      <c r="Y1153" s="6">
        <v>72</v>
      </c>
      <c r="Z1153" s="6">
        <v>79</v>
      </c>
      <c r="AA1153" s="6">
        <v>69</v>
      </c>
      <c r="AB1153" s="6">
        <v>65</v>
      </c>
      <c r="AC1153" s="6">
        <v>70</v>
      </c>
      <c r="AD1153" s="6">
        <v>62</v>
      </c>
      <c r="AE1153" s="6">
        <v>66</v>
      </c>
      <c r="AF1153" s="6">
        <v>72</v>
      </c>
      <c r="AG1153" s="6" t="s">
        <v>7809</v>
      </c>
      <c r="AH1153" s="6" t="s">
        <v>6564</v>
      </c>
    </row>
    <row r="1154" spans="1:34" x14ac:dyDescent="0.2">
      <c r="A1154" t="s">
        <v>4079</v>
      </c>
      <c r="B1154" t="s">
        <v>2343</v>
      </c>
      <c r="C1154" t="s">
        <v>53</v>
      </c>
      <c r="D1154" s="7" t="s">
        <v>25</v>
      </c>
      <c r="E1154" t="s">
        <v>38</v>
      </c>
      <c r="F1154">
        <v>22</v>
      </c>
      <c r="G1154">
        <v>69</v>
      </c>
      <c r="H1154">
        <v>70</v>
      </c>
      <c r="I1154" t="s">
        <v>6472</v>
      </c>
      <c r="J1154">
        <v>75</v>
      </c>
      <c r="K1154">
        <v>216</v>
      </c>
      <c r="L1154" t="s">
        <v>5773</v>
      </c>
      <c r="M1154" s="6" t="s">
        <v>6558</v>
      </c>
      <c r="N1154" s="6" t="s">
        <v>6565</v>
      </c>
      <c r="O1154" s="6">
        <v>81</v>
      </c>
      <c r="P1154" s="6">
        <v>76</v>
      </c>
      <c r="Q1154" s="6">
        <v>64</v>
      </c>
      <c r="R1154" s="6">
        <v>73</v>
      </c>
      <c r="S1154" s="6">
        <v>69</v>
      </c>
      <c r="T1154" s="6">
        <v>55</v>
      </c>
      <c r="U1154" s="6">
        <v>76</v>
      </c>
      <c r="V1154" s="6">
        <v>67</v>
      </c>
      <c r="W1154" s="6">
        <v>74</v>
      </c>
      <c r="X1154" s="6">
        <v>62</v>
      </c>
      <c r="Y1154" s="6">
        <v>73</v>
      </c>
      <c r="Z1154" s="6">
        <v>63</v>
      </c>
      <c r="AA1154" s="6">
        <v>71</v>
      </c>
      <c r="AB1154" s="6">
        <v>70</v>
      </c>
      <c r="AC1154" s="6">
        <v>62</v>
      </c>
      <c r="AD1154" s="6">
        <v>69</v>
      </c>
      <c r="AE1154" s="6">
        <v>64</v>
      </c>
      <c r="AF1154" s="6">
        <v>69</v>
      </c>
      <c r="AG1154" s="6" t="s">
        <v>7810</v>
      </c>
      <c r="AH1154" s="6" t="s">
        <v>6651</v>
      </c>
    </row>
    <row r="1155" spans="1:34" x14ac:dyDescent="0.2">
      <c r="A1155" t="s">
        <v>4081</v>
      </c>
      <c r="B1155" t="s">
        <v>2345</v>
      </c>
      <c r="C1155" t="s">
        <v>2870</v>
      </c>
      <c r="D1155" s="7" t="s">
        <v>25</v>
      </c>
      <c r="E1155" t="s">
        <v>38</v>
      </c>
      <c r="F1155">
        <v>23</v>
      </c>
      <c r="G1155">
        <v>80</v>
      </c>
      <c r="H1155">
        <v>70</v>
      </c>
      <c r="I1155" t="s">
        <v>6464</v>
      </c>
      <c r="J1155">
        <v>71</v>
      </c>
      <c r="K1155">
        <v>217</v>
      </c>
      <c r="L1155" t="s">
        <v>5775</v>
      </c>
      <c r="M1155" s="6" t="s">
        <v>6558</v>
      </c>
      <c r="N1155" s="6" t="s">
        <v>6567</v>
      </c>
      <c r="O1155" s="6">
        <v>77</v>
      </c>
      <c r="P1155" s="6">
        <v>67</v>
      </c>
      <c r="Q1155" s="6">
        <v>78</v>
      </c>
      <c r="R1155" s="6">
        <v>65</v>
      </c>
      <c r="S1155" s="6">
        <v>71</v>
      </c>
      <c r="T1155" s="6">
        <v>71</v>
      </c>
      <c r="U1155" s="6">
        <v>80</v>
      </c>
      <c r="V1155" s="6">
        <v>75</v>
      </c>
      <c r="W1155" s="6">
        <v>63</v>
      </c>
      <c r="X1155" s="6">
        <v>71</v>
      </c>
      <c r="Y1155" s="6">
        <v>76</v>
      </c>
      <c r="Z1155" s="6">
        <v>73</v>
      </c>
      <c r="AA1155" s="6">
        <v>71</v>
      </c>
      <c r="AB1155" s="6">
        <v>78</v>
      </c>
      <c r="AC1155" s="6">
        <v>67</v>
      </c>
      <c r="AD1155" s="6">
        <v>79</v>
      </c>
      <c r="AE1155" s="6">
        <v>76</v>
      </c>
      <c r="AF1155" s="6">
        <v>76</v>
      </c>
      <c r="AG1155" s="6" t="s">
        <v>7812</v>
      </c>
      <c r="AH1155" s="6" t="s">
        <v>6885</v>
      </c>
    </row>
    <row r="1156" spans="1:34" x14ac:dyDescent="0.2">
      <c r="A1156" t="s">
        <v>4086</v>
      </c>
      <c r="B1156" t="s">
        <v>2350</v>
      </c>
      <c r="C1156" t="s">
        <v>57</v>
      </c>
      <c r="D1156" s="7" t="s">
        <v>25</v>
      </c>
      <c r="E1156" t="s">
        <v>38</v>
      </c>
      <c r="F1156">
        <v>28</v>
      </c>
      <c r="G1156">
        <v>88</v>
      </c>
      <c r="H1156">
        <v>70</v>
      </c>
      <c r="I1156" t="s">
        <v>6380</v>
      </c>
      <c r="J1156">
        <v>74</v>
      </c>
      <c r="K1156">
        <v>185</v>
      </c>
      <c r="L1156" t="s">
        <v>5780</v>
      </c>
      <c r="M1156" s="6" t="s">
        <v>6558</v>
      </c>
      <c r="N1156" s="6" t="s">
        <v>6565</v>
      </c>
      <c r="O1156" s="6">
        <v>76</v>
      </c>
      <c r="P1156" s="6">
        <v>80</v>
      </c>
      <c r="Q1156" s="6">
        <v>85</v>
      </c>
      <c r="R1156" s="6">
        <v>75</v>
      </c>
      <c r="S1156" s="6">
        <v>78</v>
      </c>
      <c r="T1156" s="6">
        <v>75</v>
      </c>
      <c r="U1156" s="6">
        <v>72</v>
      </c>
      <c r="V1156" s="6">
        <v>74</v>
      </c>
      <c r="W1156" s="6">
        <v>88</v>
      </c>
      <c r="X1156" s="6">
        <v>83</v>
      </c>
      <c r="Y1156" s="6">
        <v>77</v>
      </c>
      <c r="Z1156" s="6">
        <v>85</v>
      </c>
      <c r="AA1156" s="6">
        <v>79</v>
      </c>
      <c r="AB1156" s="6">
        <v>77</v>
      </c>
      <c r="AC1156" s="6">
        <v>78</v>
      </c>
      <c r="AD1156" s="6">
        <v>75</v>
      </c>
      <c r="AE1156" s="6">
        <v>75</v>
      </c>
      <c r="AF1156" s="6">
        <v>81</v>
      </c>
      <c r="AG1156" s="6" t="s">
        <v>7817</v>
      </c>
      <c r="AH1156" s="6" t="s">
        <v>6578</v>
      </c>
    </row>
    <row r="1157" spans="1:34" x14ac:dyDescent="0.2">
      <c r="A1157" t="s">
        <v>4088</v>
      </c>
      <c r="B1157" t="s">
        <v>2352</v>
      </c>
      <c r="C1157" t="s">
        <v>57</v>
      </c>
      <c r="D1157" s="7" t="s">
        <v>25</v>
      </c>
      <c r="E1157" t="s">
        <v>38</v>
      </c>
      <c r="F1157">
        <v>24</v>
      </c>
      <c r="G1157">
        <v>73</v>
      </c>
      <c r="H1157">
        <v>70</v>
      </c>
      <c r="I1157" t="s">
        <v>8333</v>
      </c>
      <c r="J1157">
        <v>74</v>
      </c>
      <c r="K1157">
        <v>207</v>
      </c>
      <c r="L1157" t="s">
        <v>5782</v>
      </c>
      <c r="M1157" s="6" t="s">
        <v>6558</v>
      </c>
      <c r="N1157" s="6" t="s">
        <v>6583</v>
      </c>
      <c r="O1157" s="6">
        <v>73</v>
      </c>
      <c r="P1157" s="6">
        <v>68</v>
      </c>
      <c r="Q1157" s="6">
        <v>79</v>
      </c>
      <c r="R1157" s="6">
        <v>77</v>
      </c>
      <c r="S1157" s="6">
        <v>80</v>
      </c>
      <c r="T1157" s="6">
        <v>76</v>
      </c>
      <c r="U1157" s="6">
        <v>79</v>
      </c>
      <c r="V1157" s="6">
        <v>75</v>
      </c>
      <c r="W1157" s="6">
        <v>64</v>
      </c>
      <c r="X1157" s="6">
        <v>69</v>
      </c>
      <c r="Y1157" s="6">
        <v>82</v>
      </c>
      <c r="Z1157" s="6">
        <v>69</v>
      </c>
      <c r="AA1157" s="6">
        <v>77</v>
      </c>
      <c r="AB1157" s="6">
        <v>70</v>
      </c>
      <c r="AC1157" s="6">
        <v>69</v>
      </c>
      <c r="AD1157" s="6">
        <v>78</v>
      </c>
      <c r="AE1157" s="6">
        <v>75</v>
      </c>
      <c r="AF1157" s="6">
        <v>76</v>
      </c>
      <c r="AG1157" s="6" t="s">
        <v>7819</v>
      </c>
      <c r="AH1157" s="6" t="s">
        <v>6576</v>
      </c>
    </row>
    <row r="1158" spans="1:34" x14ac:dyDescent="0.2">
      <c r="A1158" t="s">
        <v>4092</v>
      </c>
      <c r="B1158" t="s">
        <v>2356</v>
      </c>
      <c r="C1158" t="s">
        <v>2871</v>
      </c>
      <c r="D1158" s="7" t="s">
        <v>25</v>
      </c>
      <c r="E1158" t="s">
        <v>38</v>
      </c>
      <c r="F1158">
        <v>25</v>
      </c>
      <c r="G1158">
        <v>80</v>
      </c>
      <c r="H1158">
        <v>70</v>
      </c>
      <c r="I1158" t="s">
        <v>6328</v>
      </c>
      <c r="J1158">
        <v>76</v>
      </c>
      <c r="K1158">
        <v>252</v>
      </c>
      <c r="L1158" t="s">
        <v>5786</v>
      </c>
      <c r="M1158" s="6" t="s">
        <v>6558</v>
      </c>
      <c r="N1158" s="6" t="s">
        <v>6565</v>
      </c>
      <c r="O1158" s="6">
        <v>77</v>
      </c>
      <c r="P1158" s="6">
        <v>79</v>
      </c>
      <c r="Q1158" s="6">
        <v>80</v>
      </c>
      <c r="R1158" s="6">
        <v>72</v>
      </c>
      <c r="S1158" s="6">
        <v>84</v>
      </c>
      <c r="T1158" s="6">
        <v>75</v>
      </c>
      <c r="U1158" s="6">
        <v>94</v>
      </c>
      <c r="V1158" s="6">
        <v>80</v>
      </c>
      <c r="W1158" s="6">
        <v>77</v>
      </c>
      <c r="X1158" s="6">
        <v>77</v>
      </c>
      <c r="Y1158" s="6">
        <v>75</v>
      </c>
      <c r="Z1158" s="6">
        <v>81</v>
      </c>
      <c r="AA1158" s="6">
        <v>74</v>
      </c>
      <c r="AB1158" s="6">
        <v>82</v>
      </c>
      <c r="AC1158" s="6">
        <v>78</v>
      </c>
      <c r="AD1158" s="6">
        <v>75</v>
      </c>
      <c r="AE1158" s="6">
        <v>83</v>
      </c>
      <c r="AF1158" s="6">
        <v>82</v>
      </c>
      <c r="AG1158" s="6" t="s">
        <v>7823</v>
      </c>
      <c r="AH1158" s="6" t="s">
        <v>6737</v>
      </c>
    </row>
    <row r="1159" spans="1:34" x14ac:dyDescent="0.2">
      <c r="A1159" t="s">
        <v>4103</v>
      </c>
      <c r="B1159" t="s">
        <v>2367</v>
      </c>
      <c r="C1159" t="s">
        <v>2878</v>
      </c>
      <c r="D1159" s="7" t="s">
        <v>25</v>
      </c>
      <c r="E1159" t="s">
        <v>38</v>
      </c>
      <c r="F1159">
        <v>28</v>
      </c>
      <c r="G1159">
        <v>79</v>
      </c>
      <c r="H1159">
        <v>70</v>
      </c>
      <c r="I1159" t="s">
        <v>6372</v>
      </c>
      <c r="J1159">
        <v>77</v>
      </c>
      <c r="K1159">
        <v>253</v>
      </c>
      <c r="L1159" t="s">
        <v>5797</v>
      </c>
      <c r="M1159" s="6" t="s">
        <v>6558</v>
      </c>
      <c r="N1159" s="6" t="s">
        <v>6567</v>
      </c>
      <c r="O1159" s="6">
        <v>80</v>
      </c>
      <c r="P1159" s="6">
        <v>77</v>
      </c>
      <c r="Q1159" s="6">
        <v>74</v>
      </c>
      <c r="R1159" s="6">
        <v>69</v>
      </c>
      <c r="S1159" s="6">
        <v>84</v>
      </c>
      <c r="T1159" s="6">
        <v>76</v>
      </c>
      <c r="U1159" s="6">
        <v>68</v>
      </c>
      <c r="V1159" s="6">
        <v>78</v>
      </c>
      <c r="W1159" s="6">
        <v>79</v>
      </c>
      <c r="X1159" s="6">
        <v>76</v>
      </c>
      <c r="Y1159" s="6">
        <v>82</v>
      </c>
      <c r="Z1159" s="6">
        <v>78</v>
      </c>
      <c r="AA1159" s="6">
        <v>76</v>
      </c>
      <c r="AB1159" s="6">
        <v>82</v>
      </c>
      <c r="AC1159" s="6">
        <v>76</v>
      </c>
      <c r="AD1159" s="6">
        <v>81</v>
      </c>
      <c r="AE1159" s="6">
        <v>70</v>
      </c>
      <c r="AF1159" s="6">
        <v>73</v>
      </c>
      <c r="AG1159" s="6" t="s">
        <v>7834</v>
      </c>
      <c r="AH1159" s="6" t="s">
        <v>6797</v>
      </c>
    </row>
    <row r="1160" spans="1:34" x14ac:dyDescent="0.2">
      <c r="A1160" t="s">
        <v>4104</v>
      </c>
      <c r="B1160" t="s">
        <v>2368</v>
      </c>
      <c r="C1160" t="s">
        <v>2878</v>
      </c>
      <c r="D1160" s="7" t="s">
        <v>25</v>
      </c>
      <c r="E1160" t="s">
        <v>58</v>
      </c>
      <c r="F1160">
        <v>33</v>
      </c>
      <c r="G1160">
        <v>74</v>
      </c>
      <c r="H1160">
        <v>70</v>
      </c>
      <c r="I1160" t="s">
        <v>6395</v>
      </c>
      <c r="J1160">
        <v>77</v>
      </c>
      <c r="K1160">
        <v>273</v>
      </c>
      <c r="L1160" t="s">
        <v>5798</v>
      </c>
      <c r="M1160" s="6" t="s">
        <v>6558</v>
      </c>
      <c r="N1160" s="6" t="s">
        <v>6583</v>
      </c>
      <c r="O1160" s="6">
        <v>69</v>
      </c>
      <c r="P1160" s="6">
        <v>83</v>
      </c>
      <c r="Q1160" s="6">
        <v>79</v>
      </c>
      <c r="R1160" s="6">
        <v>79</v>
      </c>
      <c r="S1160" s="6">
        <v>83</v>
      </c>
      <c r="T1160" s="6">
        <v>78</v>
      </c>
      <c r="U1160" s="6">
        <v>82</v>
      </c>
      <c r="V1160" s="6">
        <v>80</v>
      </c>
      <c r="W1160" s="6">
        <v>81</v>
      </c>
      <c r="X1160" s="6">
        <v>74</v>
      </c>
      <c r="Y1160" s="6">
        <v>86</v>
      </c>
      <c r="Z1160" s="6">
        <v>68</v>
      </c>
      <c r="AA1160" s="6">
        <v>65</v>
      </c>
      <c r="AB1160" s="6">
        <v>65</v>
      </c>
      <c r="AC1160" s="6">
        <v>63</v>
      </c>
      <c r="AD1160" s="6">
        <v>66</v>
      </c>
      <c r="AE1160" s="6">
        <v>66</v>
      </c>
      <c r="AF1160" s="6">
        <v>63</v>
      </c>
      <c r="AG1160" s="6" t="s">
        <v>7835</v>
      </c>
      <c r="AH1160" s="6" t="s">
        <v>6686</v>
      </c>
    </row>
    <row r="1161" spans="1:34" x14ac:dyDescent="0.2">
      <c r="A1161" t="s">
        <v>4116</v>
      </c>
      <c r="B1161" t="s">
        <v>2380</v>
      </c>
      <c r="C1161" t="s">
        <v>2882</v>
      </c>
      <c r="D1161" s="7" t="s">
        <v>25</v>
      </c>
      <c r="E1161" t="s">
        <v>38</v>
      </c>
      <c r="F1161">
        <v>23</v>
      </c>
      <c r="G1161">
        <v>74</v>
      </c>
      <c r="H1161">
        <v>70</v>
      </c>
      <c r="I1161" t="s">
        <v>6369</v>
      </c>
      <c r="J1161">
        <v>72</v>
      </c>
      <c r="K1161">
        <v>210</v>
      </c>
      <c r="L1161" t="s">
        <v>5810</v>
      </c>
      <c r="M1161" s="6" t="s">
        <v>6558</v>
      </c>
      <c r="N1161" s="6" t="s">
        <v>6583</v>
      </c>
      <c r="O1161" s="6">
        <v>69</v>
      </c>
      <c r="P1161" s="6">
        <v>68</v>
      </c>
      <c r="Q1161" s="6">
        <v>77</v>
      </c>
      <c r="R1161" s="6">
        <v>80</v>
      </c>
      <c r="S1161" s="6">
        <v>72</v>
      </c>
      <c r="T1161" s="6">
        <v>71</v>
      </c>
      <c r="U1161" s="6">
        <v>69</v>
      </c>
      <c r="V1161" s="6">
        <v>80</v>
      </c>
      <c r="W1161" s="6">
        <v>74</v>
      </c>
      <c r="X1161" s="6">
        <v>72</v>
      </c>
      <c r="Y1161" s="6">
        <v>76</v>
      </c>
      <c r="Z1161" s="6">
        <v>74</v>
      </c>
      <c r="AA1161" s="6">
        <v>78</v>
      </c>
      <c r="AB1161" s="6">
        <v>72</v>
      </c>
      <c r="AC1161" s="6">
        <v>76</v>
      </c>
      <c r="AD1161" s="6">
        <v>73</v>
      </c>
      <c r="AE1161" s="6">
        <v>68</v>
      </c>
      <c r="AF1161" s="6">
        <v>77</v>
      </c>
      <c r="AG1161" s="6" t="s">
        <v>7848</v>
      </c>
      <c r="AH1161" s="6" t="s">
        <v>6636</v>
      </c>
    </row>
    <row r="1162" spans="1:34" x14ac:dyDescent="0.2">
      <c r="A1162" t="s">
        <v>4118</v>
      </c>
      <c r="B1162" t="s">
        <v>2382</v>
      </c>
      <c r="C1162" t="s">
        <v>2883</v>
      </c>
      <c r="D1162" s="7" t="s">
        <v>25</v>
      </c>
      <c r="E1162" t="s">
        <v>38</v>
      </c>
      <c r="F1162">
        <v>25</v>
      </c>
      <c r="G1162">
        <v>87</v>
      </c>
      <c r="H1162">
        <v>70</v>
      </c>
      <c r="I1162" t="s">
        <v>6377</v>
      </c>
      <c r="J1162">
        <v>72</v>
      </c>
      <c r="K1162">
        <v>215</v>
      </c>
      <c r="L1162" t="s">
        <v>5812</v>
      </c>
      <c r="M1162" s="6" t="s">
        <v>6558</v>
      </c>
      <c r="N1162" s="6" t="s">
        <v>6583</v>
      </c>
      <c r="O1162" s="6">
        <v>82</v>
      </c>
      <c r="P1162" s="6">
        <v>68</v>
      </c>
      <c r="Q1162" s="6">
        <v>75</v>
      </c>
      <c r="R1162" s="6">
        <v>80</v>
      </c>
      <c r="S1162" s="6">
        <v>78</v>
      </c>
      <c r="T1162" s="6">
        <v>74</v>
      </c>
      <c r="U1162" s="6">
        <v>72</v>
      </c>
      <c r="V1162" s="6">
        <v>80</v>
      </c>
      <c r="W1162" s="6">
        <v>69</v>
      </c>
      <c r="X1162" s="6">
        <v>70</v>
      </c>
      <c r="Y1162" s="6">
        <v>80</v>
      </c>
      <c r="Z1162" s="6">
        <v>70</v>
      </c>
      <c r="AA1162" s="6">
        <v>76</v>
      </c>
      <c r="AB1162" s="6">
        <v>84</v>
      </c>
      <c r="AC1162" s="6">
        <v>70</v>
      </c>
      <c r="AD1162" s="6">
        <v>76</v>
      </c>
      <c r="AE1162" s="6">
        <v>75</v>
      </c>
      <c r="AF1162" s="6">
        <v>76</v>
      </c>
      <c r="AG1162" s="6" t="s">
        <v>7850</v>
      </c>
      <c r="AH1162" s="6" t="s">
        <v>6640</v>
      </c>
    </row>
    <row r="1163" spans="1:34" x14ac:dyDescent="0.2">
      <c r="A1163" t="s">
        <v>4124</v>
      </c>
      <c r="B1163" t="s">
        <v>2388</v>
      </c>
      <c r="C1163" t="s">
        <v>2890</v>
      </c>
      <c r="D1163" s="7" t="s">
        <v>25</v>
      </c>
      <c r="E1163" t="s">
        <v>58</v>
      </c>
      <c r="F1163">
        <v>31</v>
      </c>
      <c r="G1163">
        <v>73</v>
      </c>
      <c r="H1163">
        <v>70</v>
      </c>
      <c r="I1163" t="s">
        <v>6307</v>
      </c>
      <c r="J1163">
        <v>69</v>
      </c>
      <c r="K1163">
        <v>200</v>
      </c>
      <c r="L1163" t="s">
        <v>5818</v>
      </c>
      <c r="M1163" s="6" t="s">
        <v>6558</v>
      </c>
      <c r="N1163" s="6" t="s">
        <v>6567</v>
      </c>
      <c r="O1163" s="6">
        <v>70</v>
      </c>
      <c r="P1163" s="6">
        <v>67</v>
      </c>
      <c r="Q1163" s="6">
        <v>73</v>
      </c>
      <c r="R1163" s="6">
        <v>64</v>
      </c>
      <c r="S1163" s="6">
        <v>76</v>
      </c>
      <c r="T1163" s="6">
        <v>67</v>
      </c>
      <c r="U1163" s="6">
        <v>65</v>
      </c>
      <c r="V1163" s="6">
        <v>73</v>
      </c>
      <c r="W1163" s="6">
        <v>62</v>
      </c>
      <c r="X1163" s="6">
        <v>72</v>
      </c>
      <c r="Y1163" s="6">
        <v>75</v>
      </c>
      <c r="Z1163" s="6">
        <v>73</v>
      </c>
      <c r="AA1163" s="6">
        <v>64</v>
      </c>
      <c r="AB1163" s="6">
        <v>63</v>
      </c>
      <c r="AC1163" s="6">
        <v>65</v>
      </c>
      <c r="AD1163" s="6">
        <v>64</v>
      </c>
      <c r="AE1163" s="6">
        <v>63</v>
      </c>
      <c r="AF1163" s="6">
        <v>64</v>
      </c>
      <c r="AG1163" s="6" t="s">
        <v>7856</v>
      </c>
      <c r="AH1163" s="6" t="s">
        <v>6630</v>
      </c>
    </row>
    <row r="1164" spans="1:34" x14ac:dyDescent="0.2">
      <c r="A1164" t="s">
        <v>4126</v>
      </c>
      <c r="B1164" t="s">
        <v>2390</v>
      </c>
      <c r="C1164" t="s">
        <v>2886</v>
      </c>
      <c r="D1164" s="7" t="s">
        <v>25</v>
      </c>
      <c r="E1164" t="s">
        <v>38</v>
      </c>
      <c r="F1164">
        <v>24</v>
      </c>
      <c r="G1164">
        <v>74</v>
      </c>
      <c r="H1164">
        <v>70</v>
      </c>
      <c r="I1164" t="s">
        <v>8336</v>
      </c>
      <c r="J1164">
        <v>75</v>
      </c>
      <c r="K1164">
        <v>245</v>
      </c>
      <c r="L1164" t="s">
        <v>5820</v>
      </c>
      <c r="M1164" s="6" t="s">
        <v>6558</v>
      </c>
      <c r="N1164" s="6" t="s">
        <v>6565</v>
      </c>
      <c r="O1164" s="6">
        <v>83</v>
      </c>
      <c r="P1164" s="6">
        <v>68</v>
      </c>
      <c r="Q1164" s="6">
        <v>74</v>
      </c>
      <c r="R1164" s="6">
        <v>70</v>
      </c>
      <c r="S1164" s="6">
        <v>78</v>
      </c>
      <c r="T1164" s="6">
        <v>77</v>
      </c>
      <c r="U1164" s="6">
        <v>77</v>
      </c>
      <c r="V1164" s="6">
        <v>77</v>
      </c>
      <c r="W1164" s="6">
        <v>81</v>
      </c>
      <c r="X1164" s="6">
        <v>75</v>
      </c>
      <c r="Y1164" s="6">
        <v>73</v>
      </c>
      <c r="Z1164" s="6">
        <v>78</v>
      </c>
      <c r="AA1164" s="6">
        <v>69</v>
      </c>
      <c r="AB1164" s="6">
        <v>78</v>
      </c>
      <c r="AC1164" s="6">
        <v>73</v>
      </c>
      <c r="AD1164" s="6">
        <v>73</v>
      </c>
      <c r="AE1164" s="6">
        <v>75</v>
      </c>
      <c r="AF1164" s="6">
        <v>74</v>
      </c>
      <c r="AG1164" s="6" t="s">
        <v>7858</v>
      </c>
      <c r="AH1164" s="6" t="s">
        <v>6649</v>
      </c>
    </row>
    <row r="1165" spans="1:34" x14ac:dyDescent="0.2">
      <c r="A1165" t="s">
        <v>4127</v>
      </c>
      <c r="B1165" t="s">
        <v>2391</v>
      </c>
      <c r="C1165" t="s">
        <v>53</v>
      </c>
      <c r="D1165" s="7" t="s">
        <v>150</v>
      </c>
      <c r="E1165" t="s">
        <v>38</v>
      </c>
      <c r="F1165">
        <v>26</v>
      </c>
      <c r="G1165">
        <v>77</v>
      </c>
      <c r="H1165">
        <v>70</v>
      </c>
      <c r="I1165" t="s">
        <v>6368</v>
      </c>
      <c r="J1165">
        <v>74</v>
      </c>
      <c r="K1165">
        <v>220</v>
      </c>
      <c r="L1165" t="s">
        <v>5821</v>
      </c>
      <c r="M1165" s="6" t="s">
        <v>6558</v>
      </c>
      <c r="N1165" s="6" t="s">
        <v>6559</v>
      </c>
      <c r="O1165" s="6">
        <v>83</v>
      </c>
      <c r="P1165" s="6">
        <v>83</v>
      </c>
      <c r="Q1165" s="6">
        <v>76</v>
      </c>
      <c r="R1165" s="6">
        <v>90</v>
      </c>
      <c r="S1165" s="6">
        <v>77</v>
      </c>
      <c r="T1165" s="6">
        <v>80</v>
      </c>
      <c r="U1165" s="6">
        <v>79</v>
      </c>
      <c r="V1165" s="6">
        <v>68</v>
      </c>
      <c r="W1165" s="6">
        <v>84</v>
      </c>
      <c r="X1165" s="6">
        <v>76</v>
      </c>
      <c r="Y1165" s="6">
        <v>77</v>
      </c>
      <c r="Z1165" s="6">
        <v>76</v>
      </c>
      <c r="AA1165" s="6">
        <v>74</v>
      </c>
      <c r="AB1165" s="6">
        <v>72</v>
      </c>
      <c r="AC1165" s="6">
        <v>75</v>
      </c>
      <c r="AD1165" s="6">
        <v>73</v>
      </c>
      <c r="AE1165" s="6">
        <v>76</v>
      </c>
      <c r="AF1165" s="6">
        <v>79</v>
      </c>
      <c r="AG1165" s="6" t="s">
        <v>7859</v>
      </c>
      <c r="AH1165" s="6" t="s">
        <v>7149</v>
      </c>
    </row>
    <row r="1166" spans="1:34" x14ac:dyDescent="0.2">
      <c r="A1166" t="s">
        <v>4132</v>
      </c>
      <c r="B1166" t="s">
        <v>2396</v>
      </c>
      <c r="C1166" t="s">
        <v>57</v>
      </c>
      <c r="D1166" s="7" t="s">
        <v>150</v>
      </c>
      <c r="E1166" t="s">
        <v>38</v>
      </c>
      <c r="F1166">
        <v>24</v>
      </c>
      <c r="G1166">
        <v>79</v>
      </c>
      <c r="H1166">
        <v>70</v>
      </c>
      <c r="I1166" t="s">
        <v>6350</v>
      </c>
      <c r="J1166">
        <v>69</v>
      </c>
      <c r="K1166">
        <v>196</v>
      </c>
      <c r="L1166" t="s">
        <v>5826</v>
      </c>
      <c r="M1166" s="6" t="s">
        <v>6558</v>
      </c>
      <c r="N1166" s="6" t="s">
        <v>6567</v>
      </c>
      <c r="O1166" s="6">
        <v>81</v>
      </c>
      <c r="P1166" s="6">
        <v>73</v>
      </c>
      <c r="Q1166" s="6">
        <v>80</v>
      </c>
      <c r="R1166" s="6">
        <v>67</v>
      </c>
      <c r="S1166" s="6">
        <v>74</v>
      </c>
      <c r="T1166" s="6">
        <v>78</v>
      </c>
      <c r="U1166" s="6">
        <v>83</v>
      </c>
      <c r="V1166" s="6">
        <v>76</v>
      </c>
      <c r="W1166" s="6">
        <v>74</v>
      </c>
      <c r="X1166" s="6">
        <v>69</v>
      </c>
      <c r="Y1166" s="6">
        <v>68</v>
      </c>
      <c r="Z1166" s="6">
        <v>74</v>
      </c>
      <c r="AA1166" s="6">
        <v>77</v>
      </c>
      <c r="AB1166" s="6">
        <v>77</v>
      </c>
      <c r="AC1166" s="6">
        <v>76</v>
      </c>
      <c r="AD1166" s="6">
        <v>73</v>
      </c>
      <c r="AE1166" s="6">
        <v>69</v>
      </c>
      <c r="AF1166" s="6">
        <v>73</v>
      </c>
      <c r="AG1166" s="6" t="s">
        <v>7863</v>
      </c>
      <c r="AH1166" s="6" t="s">
        <v>6576</v>
      </c>
    </row>
    <row r="1167" spans="1:34" x14ac:dyDescent="0.2">
      <c r="A1167" t="s">
        <v>4133</v>
      </c>
      <c r="B1167" t="s">
        <v>2397</v>
      </c>
      <c r="C1167" t="s">
        <v>57</v>
      </c>
      <c r="D1167" s="7" t="s">
        <v>150</v>
      </c>
      <c r="E1167" t="s">
        <v>58</v>
      </c>
      <c r="F1167">
        <v>30</v>
      </c>
      <c r="G1167">
        <v>75</v>
      </c>
      <c r="H1167">
        <v>70</v>
      </c>
      <c r="I1167" t="s">
        <v>6326</v>
      </c>
      <c r="J1167">
        <v>74</v>
      </c>
      <c r="K1167">
        <v>185</v>
      </c>
      <c r="L1167" t="s">
        <v>5827</v>
      </c>
      <c r="M1167" s="6" t="s">
        <v>6558</v>
      </c>
      <c r="N1167" s="6" t="s">
        <v>6567</v>
      </c>
      <c r="O1167" s="6">
        <v>78</v>
      </c>
      <c r="P1167" s="6">
        <v>82</v>
      </c>
      <c r="Q1167" s="6">
        <v>82</v>
      </c>
      <c r="R1167" s="6">
        <v>67</v>
      </c>
      <c r="S1167" s="6">
        <v>73</v>
      </c>
      <c r="T1167" s="6">
        <v>72</v>
      </c>
      <c r="U1167" s="6">
        <v>77</v>
      </c>
      <c r="V1167" s="6">
        <v>78</v>
      </c>
      <c r="W1167" s="6">
        <v>70</v>
      </c>
      <c r="X1167" s="6">
        <v>75</v>
      </c>
      <c r="Y1167" s="6">
        <v>74</v>
      </c>
      <c r="Z1167" s="6">
        <v>78</v>
      </c>
      <c r="AA1167" s="6">
        <v>74</v>
      </c>
      <c r="AB1167" s="6">
        <v>74</v>
      </c>
      <c r="AC1167" s="6">
        <v>68</v>
      </c>
      <c r="AD1167" s="6">
        <v>74</v>
      </c>
      <c r="AE1167" s="6">
        <v>63</v>
      </c>
      <c r="AF1167" s="6">
        <v>71</v>
      </c>
      <c r="AG1167" s="6" t="s">
        <v>7864</v>
      </c>
      <c r="AH1167" s="6" t="s">
        <v>6578</v>
      </c>
    </row>
    <row r="1168" spans="1:34" x14ac:dyDescent="0.2">
      <c r="A1168" t="s">
        <v>4149</v>
      </c>
      <c r="B1168" t="s">
        <v>2413</v>
      </c>
      <c r="C1168" t="s">
        <v>2876</v>
      </c>
      <c r="D1168" s="7" t="s">
        <v>150</v>
      </c>
      <c r="E1168" t="s">
        <v>38</v>
      </c>
      <c r="F1168">
        <v>27</v>
      </c>
      <c r="G1168">
        <v>80</v>
      </c>
      <c r="H1168">
        <v>70</v>
      </c>
      <c r="I1168" t="s">
        <v>6374</v>
      </c>
      <c r="J1168">
        <v>74</v>
      </c>
      <c r="K1168">
        <v>313</v>
      </c>
      <c r="L1168" t="s">
        <v>5843</v>
      </c>
      <c r="M1168" s="6" t="s">
        <v>6558</v>
      </c>
      <c r="N1168" s="6" t="s">
        <v>6567</v>
      </c>
      <c r="O1168" s="6">
        <v>78</v>
      </c>
      <c r="P1168" s="6">
        <v>77</v>
      </c>
      <c r="Q1168" s="6">
        <v>84</v>
      </c>
      <c r="R1168" s="6">
        <v>69</v>
      </c>
      <c r="S1168" s="6">
        <v>66</v>
      </c>
      <c r="T1168" s="6">
        <v>79</v>
      </c>
      <c r="U1168" s="6">
        <v>87</v>
      </c>
      <c r="V1168" s="6">
        <v>73</v>
      </c>
      <c r="W1168" s="6">
        <v>76</v>
      </c>
      <c r="X1168" s="6">
        <v>77</v>
      </c>
      <c r="Y1168" s="6">
        <v>83</v>
      </c>
      <c r="Z1168" s="6">
        <v>81</v>
      </c>
      <c r="AA1168" s="6">
        <v>78</v>
      </c>
      <c r="AB1168" s="6">
        <v>67</v>
      </c>
      <c r="AC1168" s="6">
        <v>75</v>
      </c>
      <c r="AD1168" s="6">
        <v>84</v>
      </c>
      <c r="AE1168" s="6">
        <v>78</v>
      </c>
      <c r="AF1168" s="6">
        <v>76</v>
      </c>
      <c r="AG1168" s="6" t="s">
        <v>7880</v>
      </c>
      <c r="AH1168" s="6" t="s">
        <v>6598</v>
      </c>
    </row>
    <row r="1169" spans="1:34" x14ac:dyDescent="0.2">
      <c r="A1169" t="s">
        <v>4162</v>
      </c>
      <c r="B1169" t="s">
        <v>2426</v>
      </c>
      <c r="C1169" t="s">
        <v>61</v>
      </c>
      <c r="D1169" s="7" t="s">
        <v>150</v>
      </c>
      <c r="E1169" t="s">
        <v>38</v>
      </c>
      <c r="F1169">
        <v>27</v>
      </c>
      <c r="G1169">
        <v>80</v>
      </c>
      <c r="H1169">
        <v>70</v>
      </c>
      <c r="I1169" t="s">
        <v>8332</v>
      </c>
      <c r="J1169">
        <v>73</v>
      </c>
      <c r="K1169">
        <v>201</v>
      </c>
      <c r="L1169" t="s">
        <v>5856</v>
      </c>
      <c r="M1169" s="6" t="s">
        <v>6558</v>
      </c>
      <c r="N1169" s="6" t="s">
        <v>6583</v>
      </c>
      <c r="O1169" s="6">
        <v>92</v>
      </c>
      <c r="P1169" s="6">
        <v>77</v>
      </c>
      <c r="Q1169" s="6">
        <v>81</v>
      </c>
      <c r="R1169" s="6">
        <v>78</v>
      </c>
      <c r="S1169" s="6">
        <v>81</v>
      </c>
      <c r="T1169" s="6">
        <v>77</v>
      </c>
      <c r="U1169" s="6">
        <v>79</v>
      </c>
      <c r="V1169" s="6">
        <v>83</v>
      </c>
      <c r="W1169" s="6">
        <v>82</v>
      </c>
      <c r="X1169" s="6">
        <v>78</v>
      </c>
      <c r="Y1169" s="6">
        <v>83</v>
      </c>
      <c r="Z1169" s="6">
        <v>82</v>
      </c>
      <c r="AA1169" s="6">
        <v>75</v>
      </c>
      <c r="AB1169" s="6">
        <v>82</v>
      </c>
      <c r="AC1169" s="6">
        <v>77</v>
      </c>
      <c r="AD1169" s="6">
        <v>76</v>
      </c>
      <c r="AE1169" s="6">
        <v>80</v>
      </c>
      <c r="AF1169" s="6">
        <v>77</v>
      </c>
      <c r="AG1169" s="6" t="s">
        <v>7893</v>
      </c>
      <c r="AH1169" s="6" t="s">
        <v>7408</v>
      </c>
    </row>
    <row r="1170" spans="1:34" x14ac:dyDescent="0.2">
      <c r="A1170" t="s">
        <v>4168</v>
      </c>
      <c r="B1170" t="s">
        <v>2432</v>
      </c>
      <c r="C1170" t="s">
        <v>2882</v>
      </c>
      <c r="D1170" s="7" t="s">
        <v>150</v>
      </c>
      <c r="E1170" t="s">
        <v>58</v>
      </c>
      <c r="F1170">
        <v>30</v>
      </c>
      <c r="G1170">
        <v>60</v>
      </c>
      <c r="H1170">
        <v>70</v>
      </c>
      <c r="I1170" t="s">
        <v>6395</v>
      </c>
      <c r="J1170">
        <v>71</v>
      </c>
      <c r="K1170">
        <v>204</v>
      </c>
      <c r="L1170" t="s">
        <v>5862</v>
      </c>
      <c r="M1170" s="6" t="s">
        <v>6558</v>
      </c>
      <c r="N1170" s="6" t="s">
        <v>6583</v>
      </c>
      <c r="O1170" s="6">
        <v>80</v>
      </c>
      <c r="P1170" s="6">
        <v>65</v>
      </c>
      <c r="Q1170" s="6">
        <v>66</v>
      </c>
      <c r="R1170" s="6">
        <v>78</v>
      </c>
      <c r="S1170" s="6">
        <v>80</v>
      </c>
      <c r="T1170" s="6">
        <v>74</v>
      </c>
      <c r="U1170" s="6">
        <v>71</v>
      </c>
      <c r="V1170" s="6">
        <v>77</v>
      </c>
      <c r="W1170" s="6">
        <v>79</v>
      </c>
      <c r="X1170" s="6">
        <v>68</v>
      </c>
      <c r="Y1170" s="6">
        <v>71</v>
      </c>
      <c r="Z1170" s="6">
        <v>68</v>
      </c>
      <c r="AA1170" s="6">
        <v>63</v>
      </c>
      <c r="AB1170" s="6">
        <v>62</v>
      </c>
      <c r="AC1170" s="6">
        <v>67</v>
      </c>
      <c r="AD1170" s="6">
        <v>76</v>
      </c>
      <c r="AE1170" s="6">
        <v>67</v>
      </c>
      <c r="AF1170" s="6">
        <v>67</v>
      </c>
      <c r="AG1170" s="6" t="s">
        <v>7899</v>
      </c>
      <c r="AH1170" s="6" t="s">
        <v>6636</v>
      </c>
    </row>
    <row r="1171" spans="1:34" x14ac:dyDescent="0.2">
      <c r="A1171" t="s">
        <v>4180</v>
      </c>
      <c r="B1171" t="s">
        <v>2444</v>
      </c>
      <c r="C1171" t="s">
        <v>53</v>
      </c>
      <c r="D1171" s="7" t="s">
        <v>151</v>
      </c>
      <c r="E1171" t="s">
        <v>38</v>
      </c>
      <c r="F1171">
        <v>32</v>
      </c>
      <c r="G1171">
        <v>72</v>
      </c>
      <c r="H1171">
        <v>70</v>
      </c>
      <c r="I1171" t="s">
        <v>6427</v>
      </c>
      <c r="J1171">
        <v>78</v>
      </c>
      <c r="K1171">
        <v>223</v>
      </c>
      <c r="L1171" t="s">
        <v>5874</v>
      </c>
      <c r="M1171" s="6" t="s">
        <v>6558</v>
      </c>
      <c r="N1171" s="6" t="s">
        <v>6583</v>
      </c>
      <c r="O1171" s="6">
        <v>90</v>
      </c>
      <c r="P1171" s="6">
        <v>88</v>
      </c>
      <c r="Q1171" s="6">
        <v>80</v>
      </c>
      <c r="R1171" s="6">
        <v>80</v>
      </c>
      <c r="S1171" s="6">
        <v>78</v>
      </c>
      <c r="T1171" s="6">
        <v>78</v>
      </c>
      <c r="U1171" s="6">
        <v>66</v>
      </c>
      <c r="V1171" s="6">
        <v>80</v>
      </c>
      <c r="W1171" s="6">
        <v>78</v>
      </c>
      <c r="X1171" s="6">
        <v>76</v>
      </c>
      <c r="Y1171" s="6">
        <v>78</v>
      </c>
      <c r="Z1171" s="6">
        <v>78</v>
      </c>
      <c r="AA1171" s="6">
        <v>72</v>
      </c>
      <c r="AB1171" s="6">
        <v>67</v>
      </c>
      <c r="AC1171" s="6">
        <v>64</v>
      </c>
      <c r="AD1171" s="6">
        <v>69</v>
      </c>
      <c r="AE1171" s="6">
        <v>73</v>
      </c>
      <c r="AF1171" s="6">
        <v>71</v>
      </c>
      <c r="AG1171" s="6" t="s">
        <v>7911</v>
      </c>
      <c r="AH1171" s="6" t="s">
        <v>6990</v>
      </c>
    </row>
    <row r="1172" spans="1:34" x14ac:dyDescent="0.2">
      <c r="A1172" t="s">
        <v>4187</v>
      </c>
      <c r="B1172" t="s">
        <v>2451</v>
      </c>
      <c r="C1172" t="s">
        <v>57</v>
      </c>
      <c r="D1172" s="7" t="s">
        <v>151</v>
      </c>
      <c r="E1172" t="s">
        <v>38</v>
      </c>
      <c r="F1172">
        <v>27</v>
      </c>
      <c r="G1172">
        <v>84</v>
      </c>
      <c r="H1172">
        <v>70</v>
      </c>
      <c r="I1172" t="s">
        <v>6341</v>
      </c>
      <c r="J1172">
        <v>74</v>
      </c>
      <c r="K1172">
        <v>195</v>
      </c>
      <c r="L1172" t="s">
        <v>5881</v>
      </c>
      <c r="M1172" s="6" t="s">
        <v>6558</v>
      </c>
      <c r="N1172" s="6" t="s">
        <v>6567</v>
      </c>
      <c r="O1172" s="6">
        <v>74</v>
      </c>
      <c r="P1172" s="6">
        <v>70</v>
      </c>
      <c r="Q1172" s="6">
        <v>79</v>
      </c>
      <c r="R1172" s="6">
        <v>66</v>
      </c>
      <c r="S1172" s="6">
        <v>80</v>
      </c>
      <c r="T1172" s="6">
        <v>82</v>
      </c>
      <c r="U1172" s="6">
        <v>83</v>
      </c>
      <c r="V1172" s="6">
        <v>77</v>
      </c>
      <c r="W1172" s="6">
        <v>90</v>
      </c>
      <c r="X1172" s="6">
        <v>69</v>
      </c>
      <c r="Y1172" s="6">
        <v>89</v>
      </c>
      <c r="Z1172" s="6">
        <v>75</v>
      </c>
      <c r="AA1172" s="6">
        <v>78</v>
      </c>
      <c r="AB1172" s="6">
        <v>79</v>
      </c>
      <c r="AC1172" s="6">
        <v>67</v>
      </c>
      <c r="AD1172" s="6">
        <v>79</v>
      </c>
      <c r="AE1172" s="6">
        <v>72</v>
      </c>
      <c r="AF1172" s="6">
        <v>74</v>
      </c>
      <c r="AG1172" s="6" t="s">
        <v>7918</v>
      </c>
      <c r="AH1172" s="6" t="s">
        <v>6578</v>
      </c>
    </row>
    <row r="1173" spans="1:34" x14ac:dyDescent="0.2">
      <c r="A1173" t="s">
        <v>4193</v>
      </c>
      <c r="B1173" t="s">
        <v>2457</v>
      </c>
      <c r="C1173" t="s">
        <v>2871</v>
      </c>
      <c r="D1173" s="7" t="s">
        <v>151</v>
      </c>
      <c r="E1173" t="s">
        <v>38</v>
      </c>
      <c r="F1173">
        <v>26</v>
      </c>
      <c r="G1173">
        <v>61</v>
      </c>
      <c r="H1173">
        <v>70</v>
      </c>
      <c r="I1173" t="s">
        <v>6388</v>
      </c>
      <c r="J1173">
        <v>75</v>
      </c>
      <c r="K1173">
        <v>246</v>
      </c>
      <c r="L1173" t="s">
        <v>5887</v>
      </c>
      <c r="M1173" s="6" t="s">
        <v>6558</v>
      </c>
      <c r="N1173" s="6" t="s">
        <v>6567</v>
      </c>
      <c r="O1173" s="6">
        <v>68</v>
      </c>
      <c r="P1173" s="6">
        <v>71</v>
      </c>
      <c r="Q1173" s="6">
        <v>73</v>
      </c>
      <c r="R1173" s="6">
        <v>68</v>
      </c>
      <c r="S1173" s="6">
        <v>68</v>
      </c>
      <c r="T1173" s="6">
        <v>72</v>
      </c>
      <c r="U1173" s="6">
        <v>72</v>
      </c>
      <c r="V1173" s="6">
        <v>78</v>
      </c>
      <c r="W1173" s="6">
        <v>76</v>
      </c>
      <c r="X1173" s="6">
        <v>73</v>
      </c>
      <c r="Y1173" s="6">
        <v>75</v>
      </c>
      <c r="Z1173" s="6">
        <v>65</v>
      </c>
      <c r="AA1173" s="6">
        <v>74</v>
      </c>
      <c r="AB1173" s="6">
        <v>70</v>
      </c>
      <c r="AC1173" s="6">
        <v>64</v>
      </c>
      <c r="AD1173" s="6">
        <v>69</v>
      </c>
      <c r="AE1173" s="6">
        <v>75</v>
      </c>
      <c r="AF1173" s="6">
        <v>71</v>
      </c>
      <c r="AG1173" s="6" t="s">
        <v>7925</v>
      </c>
      <c r="AH1173" s="6" t="s">
        <v>6587</v>
      </c>
    </row>
    <row r="1174" spans="1:34" x14ac:dyDescent="0.2">
      <c r="A1174" t="s">
        <v>4202</v>
      </c>
      <c r="B1174" t="s">
        <v>2466</v>
      </c>
      <c r="C1174" t="s">
        <v>2876</v>
      </c>
      <c r="D1174" s="7" t="s">
        <v>151</v>
      </c>
      <c r="E1174" t="s">
        <v>38</v>
      </c>
      <c r="F1174">
        <v>26</v>
      </c>
      <c r="G1174">
        <v>85</v>
      </c>
      <c r="H1174">
        <v>70</v>
      </c>
      <c r="I1174" t="s">
        <v>6410</v>
      </c>
      <c r="J1174">
        <v>77</v>
      </c>
      <c r="K1174">
        <v>311</v>
      </c>
      <c r="L1174" t="s">
        <v>5896</v>
      </c>
      <c r="M1174" s="6" t="s">
        <v>6558</v>
      </c>
      <c r="N1174" s="6" t="s">
        <v>6565</v>
      </c>
      <c r="O1174" s="6">
        <v>81</v>
      </c>
      <c r="P1174" s="6">
        <v>79</v>
      </c>
      <c r="Q1174" s="6">
        <v>78</v>
      </c>
      <c r="R1174" s="6">
        <v>75</v>
      </c>
      <c r="S1174" s="6">
        <v>74</v>
      </c>
      <c r="T1174" s="6">
        <v>79</v>
      </c>
      <c r="U1174" s="6">
        <v>77</v>
      </c>
      <c r="V1174" s="6">
        <v>76</v>
      </c>
      <c r="W1174" s="6">
        <v>74</v>
      </c>
      <c r="X1174" s="6">
        <v>74</v>
      </c>
      <c r="Y1174" s="6">
        <v>82</v>
      </c>
      <c r="Z1174" s="6">
        <v>86</v>
      </c>
      <c r="AA1174" s="6">
        <v>73</v>
      </c>
      <c r="AB1174" s="6">
        <v>86</v>
      </c>
      <c r="AC1174" s="6">
        <v>80</v>
      </c>
      <c r="AD1174" s="6">
        <v>81</v>
      </c>
      <c r="AE1174" s="6">
        <v>73</v>
      </c>
      <c r="AF1174" s="6">
        <v>77</v>
      </c>
      <c r="AG1174" s="6" t="s">
        <v>7934</v>
      </c>
      <c r="AH1174" s="6" t="s">
        <v>6598</v>
      </c>
    </row>
    <row r="1175" spans="1:34" x14ac:dyDescent="0.2">
      <c r="A1175" t="s">
        <v>4207</v>
      </c>
      <c r="B1175" t="s">
        <v>2471</v>
      </c>
      <c r="C1175" t="s">
        <v>2878</v>
      </c>
      <c r="D1175" s="7" t="s">
        <v>151</v>
      </c>
      <c r="E1175" t="s">
        <v>38</v>
      </c>
      <c r="F1175">
        <v>28</v>
      </c>
      <c r="G1175">
        <v>76</v>
      </c>
      <c r="H1175">
        <v>70</v>
      </c>
      <c r="I1175" t="s">
        <v>6303</v>
      </c>
      <c r="J1175">
        <v>78</v>
      </c>
      <c r="K1175">
        <v>255</v>
      </c>
      <c r="L1175" t="s">
        <v>5901</v>
      </c>
      <c r="M1175" s="6" t="s">
        <v>6558</v>
      </c>
      <c r="N1175" s="6" t="s">
        <v>6614</v>
      </c>
      <c r="O1175" s="6">
        <v>67</v>
      </c>
      <c r="P1175" s="6">
        <v>71</v>
      </c>
      <c r="Q1175" s="6">
        <v>72</v>
      </c>
      <c r="R1175" s="6">
        <v>62</v>
      </c>
      <c r="S1175" s="6">
        <v>75</v>
      </c>
      <c r="T1175" s="6">
        <v>68</v>
      </c>
      <c r="U1175" s="6">
        <v>80</v>
      </c>
      <c r="V1175" s="6">
        <v>73</v>
      </c>
      <c r="W1175" s="6">
        <v>76</v>
      </c>
      <c r="X1175" s="6">
        <v>73</v>
      </c>
      <c r="Y1175" s="6">
        <v>78</v>
      </c>
      <c r="Z1175" s="6">
        <v>71</v>
      </c>
      <c r="AA1175" s="6">
        <v>73</v>
      </c>
      <c r="AB1175" s="6">
        <v>74</v>
      </c>
      <c r="AC1175" s="6">
        <v>72</v>
      </c>
      <c r="AD1175" s="6">
        <v>77</v>
      </c>
      <c r="AE1175" s="6">
        <v>67</v>
      </c>
      <c r="AF1175" s="6">
        <v>71</v>
      </c>
      <c r="AG1175" s="6" t="s">
        <v>7939</v>
      </c>
      <c r="AH1175" s="6" t="s">
        <v>6686</v>
      </c>
    </row>
    <row r="1176" spans="1:34" x14ac:dyDescent="0.2">
      <c r="A1176" t="s">
        <v>4216</v>
      </c>
      <c r="B1176" t="s">
        <v>2480</v>
      </c>
      <c r="C1176" t="s">
        <v>2880</v>
      </c>
      <c r="D1176" s="7" t="s">
        <v>151</v>
      </c>
      <c r="E1176" t="s">
        <v>58</v>
      </c>
      <c r="F1176">
        <v>25</v>
      </c>
      <c r="G1176">
        <v>70</v>
      </c>
      <c r="H1176">
        <v>70</v>
      </c>
      <c r="I1176" t="s">
        <v>6309</v>
      </c>
      <c r="J1176">
        <v>73</v>
      </c>
      <c r="K1176">
        <v>235</v>
      </c>
      <c r="L1176" t="s">
        <v>5910</v>
      </c>
      <c r="M1176" s="6" t="s">
        <v>6558</v>
      </c>
      <c r="N1176" s="6" t="s">
        <v>6565</v>
      </c>
      <c r="O1176" s="6">
        <v>68</v>
      </c>
      <c r="P1176" s="6">
        <v>72</v>
      </c>
      <c r="Q1176" s="6">
        <v>69</v>
      </c>
      <c r="R1176" s="6">
        <v>72</v>
      </c>
      <c r="S1176" s="6">
        <v>73</v>
      </c>
      <c r="T1176" s="6">
        <v>69</v>
      </c>
      <c r="U1176" s="6">
        <v>70</v>
      </c>
      <c r="V1176" s="6">
        <v>72</v>
      </c>
      <c r="W1176" s="6">
        <v>70</v>
      </c>
      <c r="X1176" s="6">
        <v>73</v>
      </c>
      <c r="Y1176" s="6">
        <v>74</v>
      </c>
      <c r="Z1176" s="6">
        <v>74</v>
      </c>
      <c r="AA1176" s="6">
        <v>68</v>
      </c>
      <c r="AB1176" s="6">
        <v>76</v>
      </c>
      <c r="AC1176" s="6">
        <v>63</v>
      </c>
      <c r="AD1176" s="6">
        <v>62</v>
      </c>
      <c r="AE1176" s="6">
        <v>70</v>
      </c>
      <c r="AF1176" s="6">
        <v>73</v>
      </c>
      <c r="AG1176" s="6" t="s">
        <v>7948</v>
      </c>
      <c r="AH1176" s="6" t="s">
        <v>6623</v>
      </c>
    </row>
    <row r="1177" spans="1:34" x14ac:dyDescent="0.2">
      <c r="A1177" t="s">
        <v>4219</v>
      </c>
      <c r="B1177" t="s">
        <v>2483</v>
      </c>
      <c r="C1177" t="s">
        <v>61</v>
      </c>
      <c r="D1177" s="7" t="s">
        <v>151</v>
      </c>
      <c r="E1177" t="s">
        <v>38</v>
      </c>
      <c r="F1177">
        <v>24</v>
      </c>
      <c r="G1177">
        <v>82</v>
      </c>
      <c r="H1177">
        <v>70</v>
      </c>
      <c r="I1177" t="s">
        <v>6395</v>
      </c>
      <c r="J1177">
        <v>70</v>
      </c>
      <c r="K1177">
        <v>208</v>
      </c>
      <c r="L1177" t="s">
        <v>5913</v>
      </c>
      <c r="M1177" s="6" t="s">
        <v>6558</v>
      </c>
      <c r="N1177" s="6" t="s">
        <v>6565</v>
      </c>
      <c r="O1177" s="6">
        <v>86</v>
      </c>
      <c r="P1177" s="6">
        <v>64</v>
      </c>
      <c r="Q1177" s="6">
        <v>84</v>
      </c>
      <c r="R1177" s="6">
        <v>74</v>
      </c>
      <c r="S1177" s="6">
        <v>82</v>
      </c>
      <c r="T1177" s="6">
        <v>79</v>
      </c>
      <c r="U1177" s="6">
        <v>83</v>
      </c>
      <c r="V1177" s="6">
        <v>82</v>
      </c>
      <c r="W1177" s="6">
        <v>70</v>
      </c>
      <c r="X1177" s="6">
        <v>70</v>
      </c>
      <c r="Y1177" s="6">
        <v>84</v>
      </c>
      <c r="Z1177" s="6">
        <v>79</v>
      </c>
      <c r="AA1177" s="6">
        <v>76</v>
      </c>
      <c r="AB1177" s="6">
        <v>78</v>
      </c>
      <c r="AC1177" s="6">
        <v>72</v>
      </c>
      <c r="AD1177" s="6">
        <v>89</v>
      </c>
      <c r="AE1177" s="6">
        <v>67</v>
      </c>
      <c r="AF1177" s="6">
        <v>80</v>
      </c>
      <c r="AG1177" s="6" t="s">
        <v>7951</v>
      </c>
      <c r="AH1177" s="6" t="s">
        <v>6694</v>
      </c>
    </row>
    <row r="1178" spans="1:34" x14ac:dyDescent="0.2">
      <c r="A1178" t="s">
        <v>4221</v>
      </c>
      <c r="B1178" t="s">
        <v>2485</v>
      </c>
      <c r="C1178" t="s">
        <v>61</v>
      </c>
      <c r="D1178" s="7" t="s">
        <v>151</v>
      </c>
      <c r="E1178" t="s">
        <v>58</v>
      </c>
      <c r="F1178">
        <v>30</v>
      </c>
      <c r="G1178">
        <v>67</v>
      </c>
      <c r="H1178">
        <v>70</v>
      </c>
      <c r="I1178" t="s">
        <v>6389</v>
      </c>
      <c r="J1178">
        <v>70</v>
      </c>
      <c r="K1178">
        <v>199</v>
      </c>
      <c r="L1178" t="s">
        <v>5915</v>
      </c>
      <c r="M1178" s="6" t="s">
        <v>6558</v>
      </c>
      <c r="N1178" s="6" t="s">
        <v>6583</v>
      </c>
      <c r="O1178" s="6">
        <v>74</v>
      </c>
      <c r="P1178" s="6">
        <v>72</v>
      </c>
      <c r="Q1178" s="6">
        <v>78</v>
      </c>
      <c r="R1178" s="6">
        <v>77</v>
      </c>
      <c r="S1178" s="6">
        <v>79</v>
      </c>
      <c r="T1178" s="6">
        <v>70</v>
      </c>
      <c r="U1178" s="6">
        <v>83</v>
      </c>
      <c r="V1178" s="6">
        <v>73</v>
      </c>
      <c r="W1178" s="6">
        <v>72</v>
      </c>
      <c r="X1178" s="6">
        <v>72</v>
      </c>
      <c r="Y1178" s="6">
        <v>76</v>
      </c>
      <c r="Z1178" s="6">
        <v>72</v>
      </c>
      <c r="AA1178" s="6">
        <v>61</v>
      </c>
      <c r="AB1178" s="6">
        <v>73</v>
      </c>
      <c r="AC1178" s="6">
        <v>72</v>
      </c>
      <c r="AD1178" s="6">
        <v>77</v>
      </c>
      <c r="AE1178" s="6">
        <v>67</v>
      </c>
      <c r="AF1178" s="6">
        <v>79</v>
      </c>
      <c r="AG1178" s="6" t="s">
        <v>7953</v>
      </c>
      <c r="AH1178" s="6" t="s">
        <v>6630</v>
      </c>
    </row>
    <row r="1179" spans="1:34" x14ac:dyDescent="0.2">
      <c r="A1179" t="s">
        <v>4223</v>
      </c>
      <c r="B1179" t="s">
        <v>2487</v>
      </c>
      <c r="C1179" t="s">
        <v>2882</v>
      </c>
      <c r="D1179" s="7" t="s">
        <v>151</v>
      </c>
      <c r="E1179" t="s">
        <v>38</v>
      </c>
      <c r="F1179">
        <v>26</v>
      </c>
      <c r="G1179">
        <v>83</v>
      </c>
      <c r="H1179">
        <v>70</v>
      </c>
      <c r="I1179" t="s">
        <v>6322</v>
      </c>
      <c r="J1179">
        <v>70</v>
      </c>
      <c r="K1179">
        <v>194</v>
      </c>
      <c r="L1179" t="s">
        <v>5917</v>
      </c>
      <c r="M1179" s="6" t="s">
        <v>6558</v>
      </c>
      <c r="N1179" s="6" t="s">
        <v>6565</v>
      </c>
      <c r="O1179" s="6">
        <v>90</v>
      </c>
      <c r="P1179" s="6">
        <v>82</v>
      </c>
      <c r="Q1179" s="6">
        <v>81</v>
      </c>
      <c r="R1179" s="6">
        <v>73</v>
      </c>
      <c r="S1179" s="6">
        <v>83</v>
      </c>
      <c r="T1179" s="6">
        <v>84</v>
      </c>
      <c r="U1179" s="6">
        <v>86</v>
      </c>
      <c r="V1179" s="6">
        <v>75</v>
      </c>
      <c r="W1179" s="6">
        <v>87</v>
      </c>
      <c r="X1179" s="6">
        <v>73</v>
      </c>
      <c r="Y1179" s="6">
        <v>80</v>
      </c>
      <c r="Z1179" s="6">
        <v>69</v>
      </c>
      <c r="AA1179" s="6">
        <v>70</v>
      </c>
      <c r="AB1179" s="6">
        <v>81</v>
      </c>
      <c r="AC1179" s="6">
        <v>77</v>
      </c>
      <c r="AD1179" s="6">
        <v>72</v>
      </c>
      <c r="AE1179" s="6">
        <v>73</v>
      </c>
      <c r="AF1179" s="6">
        <v>80</v>
      </c>
      <c r="AG1179" s="6" t="s">
        <v>7955</v>
      </c>
      <c r="AH1179" s="6" t="s">
        <v>7030</v>
      </c>
    </row>
    <row r="1180" spans="1:34" x14ac:dyDescent="0.2">
      <c r="A1180" t="s">
        <v>4226</v>
      </c>
      <c r="B1180" t="s">
        <v>2490</v>
      </c>
      <c r="C1180" t="s">
        <v>2883</v>
      </c>
      <c r="D1180" s="7" t="s">
        <v>151</v>
      </c>
      <c r="E1180" t="s">
        <v>58</v>
      </c>
      <c r="F1180">
        <v>30</v>
      </c>
      <c r="G1180">
        <v>70</v>
      </c>
      <c r="H1180">
        <v>70</v>
      </c>
      <c r="I1180" t="s">
        <v>6338</v>
      </c>
      <c r="J1180">
        <v>73</v>
      </c>
      <c r="K1180">
        <v>208</v>
      </c>
      <c r="L1180" t="s">
        <v>5920</v>
      </c>
      <c r="M1180" s="6" t="s">
        <v>6558</v>
      </c>
      <c r="N1180" s="6" t="s">
        <v>6567</v>
      </c>
      <c r="O1180" s="6">
        <v>74</v>
      </c>
      <c r="P1180" s="6">
        <v>74</v>
      </c>
      <c r="Q1180" s="6">
        <v>67</v>
      </c>
      <c r="R1180" s="6">
        <v>64</v>
      </c>
      <c r="S1180" s="6">
        <v>81</v>
      </c>
      <c r="T1180" s="6">
        <v>64</v>
      </c>
      <c r="U1180" s="6">
        <v>67</v>
      </c>
      <c r="V1180" s="6">
        <v>73</v>
      </c>
      <c r="W1180" s="6">
        <v>72</v>
      </c>
      <c r="X1180" s="6">
        <v>71</v>
      </c>
      <c r="Y1180" s="6">
        <v>73</v>
      </c>
      <c r="Z1180" s="6">
        <v>69</v>
      </c>
      <c r="AA1180" s="6">
        <v>65</v>
      </c>
      <c r="AB1180" s="6">
        <v>72</v>
      </c>
      <c r="AC1180" s="6">
        <v>70</v>
      </c>
      <c r="AD1180" s="6">
        <v>64</v>
      </c>
      <c r="AE1180" s="6">
        <v>65</v>
      </c>
      <c r="AF1180" s="6">
        <v>57</v>
      </c>
      <c r="AG1180" s="6" t="s">
        <v>7958</v>
      </c>
      <c r="AH1180" s="6" t="s">
        <v>6640</v>
      </c>
    </row>
    <row r="1181" spans="1:34" x14ac:dyDescent="0.2">
      <c r="A1181" t="s">
        <v>4233</v>
      </c>
      <c r="B1181" t="s">
        <v>2497</v>
      </c>
      <c r="C1181" t="s">
        <v>2890</v>
      </c>
      <c r="D1181" s="7" t="s">
        <v>151</v>
      </c>
      <c r="E1181" t="s">
        <v>58</v>
      </c>
      <c r="F1181">
        <v>30</v>
      </c>
      <c r="G1181">
        <v>58</v>
      </c>
      <c r="H1181">
        <v>70</v>
      </c>
      <c r="I1181" t="s">
        <v>6310</v>
      </c>
      <c r="J1181">
        <v>70</v>
      </c>
      <c r="K1181">
        <v>196</v>
      </c>
      <c r="L1181" t="s">
        <v>5927</v>
      </c>
      <c r="M1181" s="6" t="s">
        <v>6558</v>
      </c>
      <c r="N1181" s="6" t="s">
        <v>6565</v>
      </c>
      <c r="O1181" s="6">
        <v>75</v>
      </c>
      <c r="P1181" s="6">
        <v>73</v>
      </c>
      <c r="Q1181" s="6">
        <v>62</v>
      </c>
      <c r="R1181" s="6">
        <v>73</v>
      </c>
      <c r="S1181" s="6">
        <v>73</v>
      </c>
      <c r="T1181" s="6">
        <v>75</v>
      </c>
      <c r="U1181" s="6">
        <v>63</v>
      </c>
      <c r="V1181" s="6">
        <v>74</v>
      </c>
      <c r="W1181" s="6">
        <v>64</v>
      </c>
      <c r="X1181" s="6">
        <v>69</v>
      </c>
      <c r="Y1181" s="6">
        <v>65</v>
      </c>
      <c r="Z1181" s="6">
        <v>66</v>
      </c>
      <c r="AA1181" s="6">
        <v>61</v>
      </c>
      <c r="AB1181" s="6">
        <v>66</v>
      </c>
      <c r="AC1181" s="6">
        <v>63</v>
      </c>
      <c r="AD1181" s="6">
        <v>58</v>
      </c>
      <c r="AE1181" s="6">
        <v>63</v>
      </c>
      <c r="AF1181" s="6">
        <v>72</v>
      </c>
      <c r="AG1181" s="6" t="s">
        <v>7965</v>
      </c>
      <c r="AH1181" s="6" t="s">
        <v>6694</v>
      </c>
    </row>
    <row r="1182" spans="1:34" x14ac:dyDescent="0.2">
      <c r="A1182" t="s">
        <v>4234</v>
      </c>
      <c r="B1182" t="s">
        <v>2498</v>
      </c>
      <c r="C1182" t="s">
        <v>2891</v>
      </c>
      <c r="D1182" s="7" t="s">
        <v>151</v>
      </c>
      <c r="E1182" t="s">
        <v>38</v>
      </c>
      <c r="F1182">
        <v>28</v>
      </c>
      <c r="G1182">
        <v>71</v>
      </c>
      <c r="H1182">
        <v>70</v>
      </c>
      <c r="I1182" t="s">
        <v>6339</v>
      </c>
      <c r="J1182">
        <v>75</v>
      </c>
      <c r="K1182">
        <v>232</v>
      </c>
      <c r="L1182" t="s">
        <v>5928</v>
      </c>
      <c r="M1182" s="6" t="s">
        <v>6558</v>
      </c>
      <c r="N1182" s="6" t="s">
        <v>6583</v>
      </c>
      <c r="O1182" s="6">
        <v>73</v>
      </c>
      <c r="P1182" s="6">
        <v>65</v>
      </c>
      <c r="Q1182" s="6">
        <v>69</v>
      </c>
      <c r="R1182" s="6">
        <v>77</v>
      </c>
      <c r="S1182" s="6">
        <v>70</v>
      </c>
      <c r="T1182" s="6">
        <v>71</v>
      </c>
      <c r="U1182" s="6">
        <v>74</v>
      </c>
      <c r="V1182" s="6">
        <v>69</v>
      </c>
      <c r="W1182" s="6">
        <v>79</v>
      </c>
      <c r="X1182" s="6">
        <v>70</v>
      </c>
      <c r="Y1182" s="6">
        <v>85</v>
      </c>
      <c r="Z1182" s="6">
        <v>71</v>
      </c>
      <c r="AA1182" s="6">
        <v>75</v>
      </c>
      <c r="AB1182" s="6">
        <v>69</v>
      </c>
      <c r="AC1182" s="6">
        <v>70</v>
      </c>
      <c r="AD1182" s="6">
        <v>67</v>
      </c>
      <c r="AE1182" s="6">
        <v>78</v>
      </c>
      <c r="AF1182" s="6">
        <v>64</v>
      </c>
      <c r="AG1182" s="6" t="s">
        <v>7966</v>
      </c>
      <c r="AH1182" s="6" t="s">
        <v>7093</v>
      </c>
    </row>
    <row r="1183" spans="1:34" x14ac:dyDescent="0.2">
      <c r="A1183" t="s">
        <v>4236</v>
      </c>
      <c r="B1183" t="s">
        <v>2500</v>
      </c>
      <c r="C1183" t="s">
        <v>53</v>
      </c>
      <c r="D1183" s="7" t="s">
        <v>152</v>
      </c>
      <c r="E1183" t="s">
        <v>38</v>
      </c>
      <c r="F1183">
        <v>26</v>
      </c>
      <c r="G1183">
        <v>81</v>
      </c>
      <c r="H1183">
        <v>70</v>
      </c>
      <c r="I1183" t="s">
        <v>6312</v>
      </c>
      <c r="J1183">
        <v>74</v>
      </c>
      <c r="K1183">
        <v>229</v>
      </c>
      <c r="L1183" t="s">
        <v>5930</v>
      </c>
      <c r="M1183" s="6" t="s">
        <v>6558</v>
      </c>
      <c r="N1183" s="6" t="s">
        <v>6559</v>
      </c>
      <c r="O1183" s="6">
        <v>80</v>
      </c>
      <c r="P1183" s="6">
        <v>85</v>
      </c>
      <c r="Q1183" s="6">
        <v>80</v>
      </c>
      <c r="R1183" s="6">
        <v>84</v>
      </c>
      <c r="S1183" s="6">
        <v>77</v>
      </c>
      <c r="T1183" s="6">
        <v>78</v>
      </c>
      <c r="U1183" s="6">
        <v>76</v>
      </c>
      <c r="V1183" s="6">
        <v>84</v>
      </c>
      <c r="W1183" s="6">
        <v>92</v>
      </c>
      <c r="X1183" s="6">
        <v>79</v>
      </c>
      <c r="Y1183" s="6">
        <v>83</v>
      </c>
      <c r="Z1183" s="6">
        <v>77</v>
      </c>
      <c r="AA1183" s="6">
        <v>70</v>
      </c>
      <c r="AB1183" s="6">
        <v>80</v>
      </c>
      <c r="AC1183" s="6">
        <v>78</v>
      </c>
      <c r="AD1183" s="6">
        <v>70</v>
      </c>
      <c r="AE1183" s="6">
        <v>82</v>
      </c>
      <c r="AF1183" s="6">
        <v>76</v>
      </c>
      <c r="AG1183" s="6" t="s">
        <v>7968</v>
      </c>
      <c r="AH1183" s="6" t="s">
        <v>6770</v>
      </c>
    </row>
    <row r="1184" spans="1:34" x14ac:dyDescent="0.2">
      <c r="A1184" t="s">
        <v>4243</v>
      </c>
      <c r="B1184" t="s">
        <v>2507</v>
      </c>
      <c r="C1184" t="s">
        <v>57</v>
      </c>
      <c r="D1184" s="7" t="s">
        <v>152</v>
      </c>
      <c r="E1184" t="s">
        <v>58</v>
      </c>
      <c r="F1184">
        <v>27</v>
      </c>
      <c r="G1184">
        <v>72</v>
      </c>
      <c r="H1184">
        <v>70</v>
      </c>
      <c r="I1184" t="s">
        <v>6334</v>
      </c>
      <c r="J1184">
        <v>73</v>
      </c>
      <c r="K1184">
        <v>184</v>
      </c>
      <c r="L1184" t="s">
        <v>5937</v>
      </c>
      <c r="M1184" s="6" t="s">
        <v>6558</v>
      </c>
      <c r="N1184" s="6" t="s">
        <v>6583</v>
      </c>
      <c r="O1184" s="6">
        <v>72</v>
      </c>
      <c r="P1184" s="6">
        <v>68</v>
      </c>
      <c r="Q1184" s="6">
        <v>74</v>
      </c>
      <c r="R1184" s="6">
        <v>77</v>
      </c>
      <c r="S1184" s="6">
        <v>80</v>
      </c>
      <c r="T1184" s="6">
        <v>83</v>
      </c>
      <c r="U1184" s="6">
        <v>82</v>
      </c>
      <c r="V1184" s="6">
        <v>76</v>
      </c>
      <c r="W1184" s="6">
        <v>80</v>
      </c>
      <c r="X1184" s="6">
        <v>72</v>
      </c>
      <c r="Y1184" s="6">
        <v>76</v>
      </c>
      <c r="Z1184" s="6">
        <v>79</v>
      </c>
      <c r="AA1184" s="6">
        <v>74</v>
      </c>
      <c r="AB1184" s="6">
        <v>75</v>
      </c>
      <c r="AC1184" s="6">
        <v>66</v>
      </c>
      <c r="AD1184" s="6">
        <v>76</v>
      </c>
      <c r="AE1184" s="6">
        <v>67</v>
      </c>
      <c r="AF1184" s="6">
        <v>69</v>
      </c>
      <c r="AG1184" s="6" t="s">
        <v>7974</v>
      </c>
      <c r="AH1184" s="6" t="s">
        <v>6661</v>
      </c>
    </row>
    <row r="1185" spans="1:34" x14ac:dyDescent="0.2">
      <c r="A1185" t="s">
        <v>4252</v>
      </c>
      <c r="B1185" t="s">
        <v>2516</v>
      </c>
      <c r="C1185" t="s">
        <v>2872</v>
      </c>
      <c r="D1185" s="7" t="s">
        <v>152</v>
      </c>
      <c r="E1185" t="s">
        <v>38</v>
      </c>
      <c r="F1185">
        <v>23</v>
      </c>
      <c r="G1185">
        <v>75</v>
      </c>
      <c r="H1185">
        <v>70</v>
      </c>
      <c r="I1185" t="s">
        <v>6307</v>
      </c>
      <c r="J1185">
        <v>76</v>
      </c>
      <c r="K1185">
        <v>335</v>
      </c>
      <c r="L1185" t="s">
        <v>5946</v>
      </c>
      <c r="M1185" s="6" t="s">
        <v>6558</v>
      </c>
      <c r="N1185" s="6" t="s">
        <v>6565</v>
      </c>
      <c r="O1185" s="6">
        <v>70</v>
      </c>
      <c r="P1185" s="6">
        <v>62</v>
      </c>
      <c r="Q1185" s="6">
        <v>69</v>
      </c>
      <c r="R1185" s="6">
        <v>72</v>
      </c>
      <c r="S1185" s="6">
        <v>66</v>
      </c>
      <c r="T1185" s="6">
        <v>68</v>
      </c>
      <c r="U1185" s="6">
        <v>67</v>
      </c>
      <c r="V1185" s="6">
        <v>65</v>
      </c>
      <c r="W1185" s="6">
        <v>61</v>
      </c>
      <c r="X1185" s="6">
        <v>64</v>
      </c>
      <c r="Y1185" s="6">
        <v>72</v>
      </c>
      <c r="Z1185" s="6">
        <v>64</v>
      </c>
      <c r="AA1185" s="6">
        <v>69</v>
      </c>
      <c r="AB1185" s="6">
        <v>70</v>
      </c>
      <c r="AC1185" s="6">
        <v>69</v>
      </c>
      <c r="AD1185" s="6">
        <v>72</v>
      </c>
      <c r="AE1185" s="6">
        <v>71</v>
      </c>
      <c r="AF1185" s="6">
        <v>70</v>
      </c>
      <c r="AG1185" s="6" t="s">
        <v>7224</v>
      </c>
      <c r="AH1185" s="6" t="s">
        <v>6610</v>
      </c>
    </row>
    <row r="1186" spans="1:34" x14ac:dyDescent="0.2">
      <c r="A1186" t="s">
        <v>4254</v>
      </c>
      <c r="B1186" t="s">
        <v>2518</v>
      </c>
      <c r="C1186" t="s">
        <v>2887</v>
      </c>
      <c r="D1186" s="7" t="s">
        <v>152</v>
      </c>
      <c r="E1186" t="s">
        <v>38</v>
      </c>
      <c r="F1186">
        <v>32</v>
      </c>
      <c r="G1186">
        <v>74</v>
      </c>
      <c r="H1186">
        <v>70</v>
      </c>
      <c r="I1186" t="s">
        <v>6380</v>
      </c>
      <c r="J1186">
        <v>73</v>
      </c>
      <c r="K1186">
        <v>310</v>
      </c>
      <c r="L1186" t="s">
        <v>5948</v>
      </c>
      <c r="M1186" s="6" t="s">
        <v>6558</v>
      </c>
      <c r="N1186" s="6" t="s">
        <v>6567</v>
      </c>
      <c r="O1186" s="6">
        <v>81</v>
      </c>
      <c r="P1186" s="6">
        <v>79</v>
      </c>
      <c r="Q1186" s="6">
        <v>77</v>
      </c>
      <c r="R1186" s="6">
        <v>64</v>
      </c>
      <c r="S1186" s="6">
        <v>82</v>
      </c>
      <c r="T1186" s="6">
        <v>82</v>
      </c>
      <c r="U1186" s="6">
        <v>87</v>
      </c>
      <c r="V1186" s="6">
        <v>74</v>
      </c>
      <c r="W1186" s="6">
        <v>69</v>
      </c>
      <c r="X1186" s="6">
        <v>79</v>
      </c>
      <c r="Y1186" s="6">
        <v>81</v>
      </c>
      <c r="Z1186" s="6">
        <v>73</v>
      </c>
      <c r="AA1186" s="6">
        <v>76</v>
      </c>
      <c r="AB1186" s="6">
        <v>71</v>
      </c>
      <c r="AC1186" s="6">
        <v>69</v>
      </c>
      <c r="AD1186" s="6">
        <v>63</v>
      </c>
      <c r="AE1186" s="6">
        <v>69</v>
      </c>
      <c r="AF1186" s="6">
        <v>78</v>
      </c>
      <c r="AG1186" s="6" t="s">
        <v>7984</v>
      </c>
      <c r="AH1186" s="6" t="s">
        <v>6598</v>
      </c>
    </row>
    <row r="1187" spans="1:34" x14ac:dyDescent="0.2">
      <c r="A1187" t="s">
        <v>4256</v>
      </c>
      <c r="B1187" t="s">
        <v>2520</v>
      </c>
      <c r="C1187" t="s">
        <v>2876</v>
      </c>
      <c r="D1187" s="7" t="s">
        <v>152</v>
      </c>
      <c r="E1187" t="s">
        <v>38</v>
      </c>
      <c r="F1187">
        <v>25</v>
      </c>
      <c r="G1187">
        <v>65</v>
      </c>
      <c r="H1187">
        <v>70</v>
      </c>
      <c r="I1187" t="s">
        <v>6384</v>
      </c>
      <c r="J1187">
        <v>77</v>
      </c>
      <c r="K1187">
        <v>324</v>
      </c>
      <c r="L1187" t="s">
        <v>5950</v>
      </c>
      <c r="M1187" s="6" t="s">
        <v>6558</v>
      </c>
      <c r="N1187" s="6" t="s">
        <v>6583</v>
      </c>
      <c r="O1187" s="6">
        <v>76</v>
      </c>
      <c r="P1187" s="6">
        <v>75</v>
      </c>
      <c r="Q1187" s="6">
        <v>76</v>
      </c>
      <c r="R1187" s="6">
        <v>79</v>
      </c>
      <c r="S1187" s="6">
        <v>81</v>
      </c>
      <c r="T1187" s="6">
        <v>77</v>
      </c>
      <c r="U1187" s="6">
        <v>69</v>
      </c>
      <c r="V1187" s="6">
        <v>75</v>
      </c>
      <c r="W1187" s="6">
        <v>71</v>
      </c>
      <c r="X1187" s="6">
        <v>70</v>
      </c>
      <c r="Y1187" s="6">
        <v>70</v>
      </c>
      <c r="Z1187" s="6">
        <v>80</v>
      </c>
      <c r="AA1187" s="6">
        <v>77</v>
      </c>
      <c r="AB1187" s="6">
        <v>75</v>
      </c>
      <c r="AC1187" s="6">
        <v>69</v>
      </c>
      <c r="AD1187" s="6">
        <v>85</v>
      </c>
      <c r="AE1187" s="6">
        <v>69</v>
      </c>
      <c r="AF1187" s="6">
        <v>73</v>
      </c>
      <c r="AG1187" s="6" t="s">
        <v>7986</v>
      </c>
      <c r="AH1187" s="6" t="s">
        <v>6674</v>
      </c>
    </row>
    <row r="1188" spans="1:34" x14ac:dyDescent="0.2">
      <c r="A1188" t="s">
        <v>4263</v>
      </c>
      <c r="B1188" t="s">
        <v>2527</v>
      </c>
      <c r="C1188" t="s">
        <v>2878</v>
      </c>
      <c r="D1188" s="7" t="s">
        <v>152</v>
      </c>
      <c r="E1188" t="s">
        <v>58</v>
      </c>
      <c r="F1188">
        <v>22</v>
      </c>
      <c r="G1188">
        <v>63</v>
      </c>
      <c r="H1188">
        <v>70</v>
      </c>
      <c r="I1188" t="s">
        <v>6356</v>
      </c>
      <c r="J1188">
        <v>76</v>
      </c>
      <c r="K1188">
        <v>281</v>
      </c>
      <c r="L1188" t="s">
        <v>5957</v>
      </c>
      <c r="M1188" s="6" t="s">
        <v>6558</v>
      </c>
      <c r="N1188" s="6" t="s">
        <v>6567</v>
      </c>
      <c r="O1188" s="6">
        <v>63</v>
      </c>
      <c r="P1188" s="6">
        <v>58</v>
      </c>
      <c r="Q1188" s="6">
        <v>65</v>
      </c>
      <c r="R1188" s="6">
        <v>67</v>
      </c>
      <c r="S1188" s="6">
        <v>74</v>
      </c>
      <c r="T1188" s="6">
        <v>66</v>
      </c>
      <c r="U1188" s="6">
        <v>73</v>
      </c>
      <c r="V1188" s="6">
        <v>67</v>
      </c>
      <c r="W1188" s="6">
        <v>68</v>
      </c>
      <c r="X1188" s="6">
        <v>68</v>
      </c>
      <c r="Y1188" s="6">
        <v>68</v>
      </c>
      <c r="Z1188" s="6">
        <v>60</v>
      </c>
      <c r="AA1188" s="6">
        <v>73</v>
      </c>
      <c r="AB1188" s="6">
        <v>71</v>
      </c>
      <c r="AC1188" s="6">
        <v>68</v>
      </c>
      <c r="AD1188" s="6">
        <v>72</v>
      </c>
      <c r="AE1188" s="6">
        <v>72</v>
      </c>
      <c r="AF1188" s="6">
        <v>64</v>
      </c>
      <c r="AG1188" s="6" t="s">
        <v>7993</v>
      </c>
      <c r="AH1188" s="6" t="s">
        <v>6686</v>
      </c>
    </row>
    <row r="1189" spans="1:34" x14ac:dyDescent="0.2">
      <c r="A1189" t="s">
        <v>4266</v>
      </c>
      <c r="B1189" t="s">
        <v>2530</v>
      </c>
      <c r="C1189" t="s">
        <v>2879</v>
      </c>
      <c r="D1189" s="7" t="s">
        <v>152</v>
      </c>
      <c r="E1189" t="s">
        <v>38</v>
      </c>
      <c r="F1189">
        <v>25</v>
      </c>
      <c r="G1189">
        <v>76</v>
      </c>
      <c r="H1189">
        <v>70</v>
      </c>
      <c r="I1189" t="s">
        <v>6385</v>
      </c>
      <c r="J1189">
        <v>75</v>
      </c>
      <c r="K1189">
        <v>332</v>
      </c>
      <c r="L1189" t="s">
        <v>5960</v>
      </c>
      <c r="M1189" s="6" t="s">
        <v>6558</v>
      </c>
      <c r="N1189" s="6" t="s">
        <v>6567</v>
      </c>
      <c r="O1189" s="6">
        <v>67</v>
      </c>
      <c r="P1189" s="6">
        <v>65</v>
      </c>
      <c r="Q1189" s="6">
        <v>70</v>
      </c>
      <c r="R1189" s="6">
        <v>69</v>
      </c>
      <c r="S1189" s="6">
        <v>70</v>
      </c>
      <c r="T1189" s="6">
        <v>57</v>
      </c>
      <c r="U1189" s="6">
        <v>68</v>
      </c>
      <c r="V1189" s="6">
        <v>67</v>
      </c>
      <c r="W1189" s="6">
        <v>72</v>
      </c>
      <c r="X1189" s="6">
        <v>79</v>
      </c>
      <c r="Y1189" s="6">
        <v>75</v>
      </c>
      <c r="Z1189" s="6">
        <v>81</v>
      </c>
      <c r="AA1189" s="6">
        <v>70</v>
      </c>
      <c r="AB1189" s="6">
        <v>79</v>
      </c>
      <c r="AC1189" s="6">
        <v>72</v>
      </c>
      <c r="AD1189" s="6">
        <v>74</v>
      </c>
      <c r="AE1189" s="6">
        <v>70</v>
      </c>
      <c r="AF1189" s="6">
        <v>72</v>
      </c>
      <c r="AG1189" s="6" t="s">
        <v>7996</v>
      </c>
      <c r="AH1189" s="6" t="s">
        <v>6752</v>
      </c>
    </row>
    <row r="1190" spans="1:34" x14ac:dyDescent="0.2">
      <c r="A1190" t="s">
        <v>4271</v>
      </c>
      <c r="B1190" t="s">
        <v>412</v>
      </c>
      <c r="C1190" t="s">
        <v>2881</v>
      </c>
      <c r="D1190" s="7" t="s">
        <v>152</v>
      </c>
      <c r="E1190" t="s">
        <v>38</v>
      </c>
      <c r="F1190">
        <v>25</v>
      </c>
      <c r="G1190">
        <v>73</v>
      </c>
      <c r="H1190">
        <v>70</v>
      </c>
      <c r="I1190" t="s">
        <v>6308</v>
      </c>
      <c r="J1190">
        <v>73</v>
      </c>
      <c r="K1190">
        <v>245</v>
      </c>
      <c r="L1190" t="s">
        <v>5965</v>
      </c>
      <c r="M1190" s="6" t="s">
        <v>6558</v>
      </c>
      <c r="N1190" s="6" t="s">
        <v>6559</v>
      </c>
      <c r="O1190" s="6">
        <v>69</v>
      </c>
      <c r="P1190" s="6">
        <v>68</v>
      </c>
      <c r="Q1190" s="6">
        <v>71</v>
      </c>
      <c r="R1190" s="6">
        <v>91</v>
      </c>
      <c r="S1190" s="6">
        <v>77</v>
      </c>
      <c r="T1190" s="6">
        <v>76</v>
      </c>
      <c r="U1190" s="6">
        <v>81</v>
      </c>
      <c r="V1190" s="6">
        <v>73</v>
      </c>
      <c r="W1190" s="6">
        <v>79</v>
      </c>
      <c r="X1190" s="6">
        <v>74</v>
      </c>
      <c r="Y1190" s="6">
        <v>83</v>
      </c>
      <c r="Z1190" s="6">
        <v>76</v>
      </c>
      <c r="AA1190" s="6">
        <v>75</v>
      </c>
      <c r="AB1190" s="6">
        <v>78</v>
      </c>
      <c r="AC1190" s="6">
        <v>68</v>
      </c>
      <c r="AD1190" s="6">
        <v>71</v>
      </c>
      <c r="AE1190" s="6">
        <v>76</v>
      </c>
      <c r="AF1190" s="6">
        <v>73</v>
      </c>
      <c r="AG1190" s="6" t="s">
        <v>8001</v>
      </c>
      <c r="AH1190" s="6" t="s">
        <v>6692</v>
      </c>
    </row>
    <row r="1191" spans="1:34" x14ac:dyDescent="0.2">
      <c r="A1191" t="s">
        <v>4279</v>
      </c>
      <c r="B1191" t="s">
        <v>2542</v>
      </c>
      <c r="C1191" t="s">
        <v>2884</v>
      </c>
      <c r="D1191" s="7" t="s">
        <v>152</v>
      </c>
      <c r="E1191" t="s">
        <v>38</v>
      </c>
      <c r="F1191">
        <v>27</v>
      </c>
      <c r="G1191">
        <v>66</v>
      </c>
      <c r="H1191">
        <v>70</v>
      </c>
      <c r="I1191" t="s">
        <v>6464</v>
      </c>
      <c r="J1191">
        <v>69</v>
      </c>
      <c r="K1191">
        <v>199</v>
      </c>
      <c r="L1191" t="s">
        <v>5973</v>
      </c>
      <c r="M1191" s="6" t="s">
        <v>6558</v>
      </c>
      <c r="N1191" s="6" t="s">
        <v>6565</v>
      </c>
      <c r="O1191" s="6">
        <v>68</v>
      </c>
      <c r="P1191" s="6">
        <v>63</v>
      </c>
      <c r="Q1191" s="6">
        <v>67</v>
      </c>
      <c r="R1191" s="6">
        <v>70</v>
      </c>
      <c r="S1191" s="6">
        <v>76</v>
      </c>
      <c r="T1191" s="6">
        <v>70</v>
      </c>
      <c r="U1191" s="6">
        <v>75</v>
      </c>
      <c r="V1191" s="6">
        <v>77</v>
      </c>
      <c r="W1191" s="6">
        <v>71</v>
      </c>
      <c r="X1191" s="6">
        <v>70</v>
      </c>
      <c r="Y1191" s="6">
        <v>73</v>
      </c>
      <c r="Z1191" s="6">
        <v>82</v>
      </c>
      <c r="AA1191" s="6">
        <v>68</v>
      </c>
      <c r="AB1191" s="6">
        <v>68</v>
      </c>
      <c r="AC1191" s="6">
        <v>70</v>
      </c>
      <c r="AD1191" s="6">
        <v>72</v>
      </c>
      <c r="AE1191" s="6">
        <v>68</v>
      </c>
      <c r="AF1191" s="6">
        <v>69</v>
      </c>
      <c r="AG1191" s="6" t="s">
        <v>8009</v>
      </c>
      <c r="AH1191" s="6" t="s">
        <v>6644</v>
      </c>
    </row>
    <row r="1192" spans="1:34" x14ac:dyDescent="0.2">
      <c r="A1192" t="s">
        <v>4280</v>
      </c>
      <c r="B1192" t="s">
        <v>2543</v>
      </c>
      <c r="C1192" t="s">
        <v>2889</v>
      </c>
      <c r="D1192" s="7" t="s">
        <v>152</v>
      </c>
      <c r="E1192" t="s">
        <v>38</v>
      </c>
      <c r="F1192">
        <v>26</v>
      </c>
      <c r="G1192">
        <v>81</v>
      </c>
      <c r="H1192">
        <v>70</v>
      </c>
      <c r="I1192" t="s">
        <v>6401</v>
      </c>
      <c r="J1192">
        <v>74</v>
      </c>
      <c r="K1192">
        <v>235</v>
      </c>
      <c r="L1192" t="s">
        <v>5974</v>
      </c>
      <c r="M1192" s="6" t="s">
        <v>6558</v>
      </c>
      <c r="N1192" s="6" t="s">
        <v>6565</v>
      </c>
      <c r="O1192" s="6">
        <v>88</v>
      </c>
      <c r="P1192" s="6">
        <v>82</v>
      </c>
      <c r="Q1192" s="6">
        <v>81</v>
      </c>
      <c r="R1192" s="6">
        <v>74</v>
      </c>
      <c r="S1192" s="6">
        <v>78</v>
      </c>
      <c r="T1192" s="6">
        <v>83</v>
      </c>
      <c r="U1192" s="6">
        <v>72</v>
      </c>
      <c r="V1192" s="6">
        <v>78</v>
      </c>
      <c r="W1192" s="6">
        <v>82</v>
      </c>
      <c r="X1192" s="6">
        <v>74</v>
      </c>
      <c r="Y1192" s="6">
        <v>79</v>
      </c>
      <c r="Z1192" s="6">
        <v>68</v>
      </c>
      <c r="AA1192" s="6">
        <v>70</v>
      </c>
      <c r="AB1192" s="6">
        <v>68</v>
      </c>
      <c r="AC1192" s="6">
        <v>68</v>
      </c>
      <c r="AD1192" s="6">
        <v>71</v>
      </c>
      <c r="AE1192" s="6">
        <v>74</v>
      </c>
      <c r="AF1192" s="6">
        <v>64</v>
      </c>
      <c r="AG1192" s="6" t="s">
        <v>8010</v>
      </c>
      <c r="AH1192" s="6" t="s">
        <v>6709</v>
      </c>
    </row>
    <row r="1193" spans="1:34" x14ac:dyDescent="0.2">
      <c r="A1193" t="s">
        <v>4283</v>
      </c>
      <c r="B1193" t="s">
        <v>2546</v>
      </c>
      <c r="C1193" t="s">
        <v>2885</v>
      </c>
      <c r="D1193" s="7" t="s">
        <v>152</v>
      </c>
      <c r="E1193" t="s">
        <v>38</v>
      </c>
      <c r="F1193">
        <v>23</v>
      </c>
      <c r="G1193">
        <v>79</v>
      </c>
      <c r="H1193">
        <v>70</v>
      </c>
      <c r="I1193" t="s">
        <v>6301</v>
      </c>
      <c r="J1193">
        <v>74</v>
      </c>
      <c r="K1193">
        <v>255</v>
      </c>
      <c r="L1193" t="s">
        <v>5977</v>
      </c>
      <c r="M1193" s="6" t="s">
        <v>6558</v>
      </c>
      <c r="N1193" s="6" t="s">
        <v>6567</v>
      </c>
      <c r="O1193" s="6">
        <v>79</v>
      </c>
      <c r="P1193" s="6">
        <v>64</v>
      </c>
      <c r="Q1193" s="6">
        <v>70</v>
      </c>
      <c r="R1193" s="6">
        <v>67</v>
      </c>
      <c r="S1193" s="6">
        <v>79</v>
      </c>
      <c r="T1193" s="6">
        <v>62</v>
      </c>
      <c r="U1193" s="6">
        <v>68</v>
      </c>
      <c r="V1193" s="6">
        <v>74</v>
      </c>
      <c r="W1193" s="6">
        <v>77</v>
      </c>
      <c r="X1193" s="6">
        <v>68</v>
      </c>
      <c r="Y1193" s="6">
        <v>64</v>
      </c>
      <c r="Z1193" s="6">
        <v>72</v>
      </c>
      <c r="AA1193" s="6">
        <v>74</v>
      </c>
      <c r="AB1193" s="6">
        <v>78</v>
      </c>
      <c r="AC1193" s="6">
        <v>63</v>
      </c>
      <c r="AD1193" s="6">
        <v>69</v>
      </c>
      <c r="AE1193" s="6">
        <v>70</v>
      </c>
      <c r="AF1193" s="6">
        <v>78</v>
      </c>
      <c r="AG1193" s="6" t="s">
        <v>8012</v>
      </c>
      <c r="AH1193" s="6" t="s">
        <v>6711</v>
      </c>
    </row>
    <row r="1194" spans="1:34" x14ac:dyDescent="0.2">
      <c r="A1194" t="s">
        <v>4284</v>
      </c>
      <c r="B1194" t="s">
        <v>2547</v>
      </c>
      <c r="C1194" t="s">
        <v>2885</v>
      </c>
      <c r="D1194" s="7" t="s">
        <v>152</v>
      </c>
      <c r="E1194" t="s">
        <v>58</v>
      </c>
      <c r="F1194">
        <v>22</v>
      </c>
      <c r="G1194">
        <v>77</v>
      </c>
      <c r="H1194">
        <v>70</v>
      </c>
      <c r="I1194" t="s">
        <v>6492</v>
      </c>
      <c r="J1194">
        <v>72</v>
      </c>
      <c r="K1194">
        <v>243</v>
      </c>
      <c r="L1194" t="s">
        <v>5978</v>
      </c>
      <c r="M1194" s="6" t="s">
        <v>6558</v>
      </c>
      <c r="N1194" s="6" t="s">
        <v>6567</v>
      </c>
      <c r="O1194" s="6">
        <v>80</v>
      </c>
      <c r="P1194" s="6">
        <v>76</v>
      </c>
      <c r="Q1194" s="6">
        <v>68</v>
      </c>
      <c r="R1194" s="6">
        <v>68</v>
      </c>
      <c r="S1194" s="6">
        <v>69</v>
      </c>
      <c r="T1194" s="6">
        <v>64</v>
      </c>
      <c r="U1194" s="6">
        <v>72</v>
      </c>
      <c r="V1194" s="6">
        <v>62</v>
      </c>
      <c r="W1194" s="6">
        <v>56</v>
      </c>
      <c r="X1194" s="6">
        <v>74</v>
      </c>
      <c r="Y1194" s="6">
        <v>65</v>
      </c>
      <c r="Z1194" s="6">
        <v>66</v>
      </c>
      <c r="AA1194" s="6">
        <v>71</v>
      </c>
      <c r="AB1194" s="6">
        <v>72</v>
      </c>
      <c r="AC1194" s="6">
        <v>68</v>
      </c>
      <c r="AD1194" s="6">
        <v>71</v>
      </c>
      <c r="AE1194" s="6">
        <v>70</v>
      </c>
      <c r="AF1194" s="6">
        <v>69</v>
      </c>
      <c r="AG1194" s="6" t="s">
        <v>8013</v>
      </c>
      <c r="AH1194" s="6" t="s">
        <v>6628</v>
      </c>
    </row>
    <row r="1195" spans="1:34" x14ac:dyDescent="0.2">
      <c r="A1195" t="s">
        <v>4286</v>
      </c>
      <c r="B1195" t="s">
        <v>2549</v>
      </c>
      <c r="C1195" t="s">
        <v>2885</v>
      </c>
      <c r="D1195" s="7" t="s">
        <v>152</v>
      </c>
      <c r="E1195" t="s">
        <v>58</v>
      </c>
      <c r="F1195">
        <v>33</v>
      </c>
      <c r="G1195">
        <v>70</v>
      </c>
      <c r="H1195">
        <v>70</v>
      </c>
      <c r="I1195" t="s">
        <v>6349</v>
      </c>
      <c r="J1195">
        <v>73</v>
      </c>
      <c r="K1195">
        <v>242</v>
      </c>
      <c r="L1195" t="s">
        <v>5980</v>
      </c>
      <c r="M1195" s="6" t="s">
        <v>6558</v>
      </c>
      <c r="N1195" s="6" t="s">
        <v>6565</v>
      </c>
      <c r="O1195" s="6">
        <v>69</v>
      </c>
      <c r="P1195" s="6">
        <v>69</v>
      </c>
      <c r="Q1195" s="6">
        <v>70</v>
      </c>
      <c r="R1195" s="6">
        <v>70</v>
      </c>
      <c r="S1195" s="6">
        <v>83</v>
      </c>
      <c r="T1195" s="6">
        <v>69</v>
      </c>
      <c r="U1195" s="6">
        <v>82</v>
      </c>
      <c r="V1195" s="6">
        <v>78</v>
      </c>
      <c r="W1195" s="6">
        <v>68</v>
      </c>
      <c r="X1195" s="6">
        <v>67</v>
      </c>
      <c r="Y1195" s="6">
        <v>71</v>
      </c>
      <c r="Z1195" s="6">
        <v>71</v>
      </c>
      <c r="AA1195" s="6">
        <v>60</v>
      </c>
      <c r="AB1195" s="6">
        <v>65</v>
      </c>
      <c r="AC1195" s="6">
        <v>59</v>
      </c>
      <c r="AD1195" s="6">
        <v>65</v>
      </c>
      <c r="AE1195" s="6">
        <v>59</v>
      </c>
      <c r="AF1195" s="6">
        <v>61</v>
      </c>
      <c r="AG1195" s="6" t="s">
        <v>8015</v>
      </c>
      <c r="AH1195" s="6" t="s">
        <v>6692</v>
      </c>
    </row>
    <row r="1196" spans="1:34" x14ac:dyDescent="0.2">
      <c r="A1196" t="s">
        <v>4289</v>
      </c>
      <c r="B1196" t="s">
        <v>2552</v>
      </c>
      <c r="C1196" t="s">
        <v>53</v>
      </c>
      <c r="D1196" s="7" t="s">
        <v>153</v>
      </c>
      <c r="E1196" t="s">
        <v>38</v>
      </c>
      <c r="F1196">
        <v>34</v>
      </c>
      <c r="G1196">
        <v>76</v>
      </c>
      <c r="H1196">
        <v>70</v>
      </c>
      <c r="I1196" t="s">
        <v>6339</v>
      </c>
      <c r="J1196">
        <v>75</v>
      </c>
      <c r="K1196">
        <v>237</v>
      </c>
      <c r="L1196" t="s">
        <v>5983</v>
      </c>
      <c r="M1196" s="6" t="s">
        <v>6558</v>
      </c>
      <c r="N1196" s="6" t="s">
        <v>6562</v>
      </c>
      <c r="O1196" s="6">
        <v>85</v>
      </c>
      <c r="P1196" s="6">
        <v>84</v>
      </c>
      <c r="Q1196" s="6">
        <v>70</v>
      </c>
      <c r="R1196" s="6">
        <v>87</v>
      </c>
      <c r="S1196" s="6">
        <v>84</v>
      </c>
      <c r="T1196" s="6">
        <v>88</v>
      </c>
      <c r="U1196" s="6">
        <v>76</v>
      </c>
      <c r="V1196" s="6">
        <v>83</v>
      </c>
      <c r="W1196" s="6">
        <v>90</v>
      </c>
      <c r="X1196" s="6">
        <v>80</v>
      </c>
      <c r="Y1196" s="6">
        <v>77</v>
      </c>
      <c r="Z1196" s="6">
        <v>77</v>
      </c>
      <c r="AA1196" s="6">
        <v>73</v>
      </c>
      <c r="AB1196" s="6">
        <v>69</v>
      </c>
      <c r="AC1196" s="6">
        <v>68</v>
      </c>
      <c r="AD1196" s="6">
        <v>65</v>
      </c>
      <c r="AE1196" s="6">
        <v>62</v>
      </c>
      <c r="AF1196" s="6">
        <v>73</v>
      </c>
      <c r="AG1196" s="6" t="s">
        <v>8018</v>
      </c>
      <c r="AH1196" s="6" t="s">
        <v>7149</v>
      </c>
    </row>
    <row r="1197" spans="1:34" x14ac:dyDescent="0.2">
      <c r="A1197" t="s">
        <v>4290</v>
      </c>
      <c r="B1197" t="s">
        <v>2553</v>
      </c>
      <c r="C1197" t="s">
        <v>53</v>
      </c>
      <c r="D1197" s="7" t="s">
        <v>153</v>
      </c>
      <c r="E1197" t="s">
        <v>58</v>
      </c>
      <c r="F1197">
        <v>34</v>
      </c>
      <c r="G1197">
        <v>74</v>
      </c>
      <c r="H1197">
        <v>70</v>
      </c>
      <c r="I1197" t="s">
        <v>6365</v>
      </c>
      <c r="J1197">
        <v>77</v>
      </c>
      <c r="K1197">
        <v>234</v>
      </c>
      <c r="L1197" t="s">
        <v>5984</v>
      </c>
      <c r="M1197" s="6" t="s">
        <v>6558</v>
      </c>
      <c r="N1197" s="6" t="s">
        <v>6559</v>
      </c>
      <c r="O1197" s="6">
        <v>85</v>
      </c>
      <c r="P1197" s="6">
        <v>78</v>
      </c>
      <c r="Q1197" s="6">
        <v>74</v>
      </c>
      <c r="R1197" s="6">
        <v>84</v>
      </c>
      <c r="S1197" s="6">
        <v>80</v>
      </c>
      <c r="T1197" s="6">
        <v>66</v>
      </c>
      <c r="U1197" s="6">
        <v>84</v>
      </c>
      <c r="V1197" s="6">
        <v>78</v>
      </c>
      <c r="W1197" s="6">
        <v>83</v>
      </c>
      <c r="X1197" s="6">
        <v>65</v>
      </c>
      <c r="Y1197" s="6">
        <v>77</v>
      </c>
      <c r="Z1197" s="6">
        <v>80</v>
      </c>
      <c r="AA1197" s="6">
        <v>66</v>
      </c>
      <c r="AB1197" s="6">
        <v>68</v>
      </c>
      <c r="AC1197" s="6">
        <v>64</v>
      </c>
      <c r="AD1197" s="6">
        <v>62</v>
      </c>
      <c r="AE1197" s="6">
        <v>65</v>
      </c>
      <c r="AF1197" s="6">
        <v>66</v>
      </c>
      <c r="AG1197" s="6" t="s">
        <v>8019</v>
      </c>
      <c r="AH1197" s="6" t="s">
        <v>6651</v>
      </c>
    </row>
    <row r="1198" spans="1:34" x14ac:dyDescent="0.2">
      <c r="A1198" t="s">
        <v>4294</v>
      </c>
      <c r="B1198" t="s">
        <v>2557</v>
      </c>
      <c r="C1198" t="s">
        <v>2870</v>
      </c>
      <c r="D1198" s="7" t="s">
        <v>153</v>
      </c>
      <c r="E1198" t="s">
        <v>58</v>
      </c>
      <c r="F1198">
        <v>24</v>
      </c>
      <c r="G1198">
        <v>72</v>
      </c>
      <c r="H1198">
        <v>70</v>
      </c>
      <c r="I1198" t="s">
        <v>6396</v>
      </c>
      <c r="J1198">
        <v>70</v>
      </c>
      <c r="K1198">
        <v>202</v>
      </c>
      <c r="L1198" t="s">
        <v>5988</v>
      </c>
      <c r="M1198" s="6" t="s">
        <v>6603</v>
      </c>
      <c r="N1198" s="6" t="s">
        <v>6614</v>
      </c>
      <c r="O1198" s="6">
        <v>63</v>
      </c>
      <c r="P1198" s="6">
        <v>66</v>
      </c>
      <c r="Q1198" s="6">
        <v>73</v>
      </c>
      <c r="R1198" s="6">
        <v>59</v>
      </c>
      <c r="S1198" s="6">
        <v>79</v>
      </c>
      <c r="T1198" s="6">
        <v>69</v>
      </c>
      <c r="U1198" s="6">
        <v>57</v>
      </c>
      <c r="V1198" s="6">
        <v>61</v>
      </c>
      <c r="W1198" s="6">
        <v>64</v>
      </c>
      <c r="X1198" s="6">
        <v>68</v>
      </c>
      <c r="Y1198" s="6">
        <v>69</v>
      </c>
      <c r="Z1198" s="6">
        <v>66</v>
      </c>
      <c r="AA1198" s="6">
        <v>69</v>
      </c>
      <c r="AB1198" s="6">
        <v>68</v>
      </c>
      <c r="AC1198" s="6">
        <v>67</v>
      </c>
      <c r="AD1198" s="6">
        <v>71</v>
      </c>
      <c r="AE1198" s="6">
        <v>72</v>
      </c>
      <c r="AF1198" s="6">
        <v>71</v>
      </c>
      <c r="AG1198" s="6" t="s">
        <v>8023</v>
      </c>
      <c r="AH1198" s="6" t="s">
        <v>6725</v>
      </c>
    </row>
    <row r="1199" spans="1:34" x14ac:dyDescent="0.2">
      <c r="A1199" t="s">
        <v>4297</v>
      </c>
      <c r="B1199" t="s">
        <v>2560</v>
      </c>
      <c r="C1199" t="s">
        <v>57</v>
      </c>
      <c r="D1199" s="7" t="s">
        <v>153</v>
      </c>
      <c r="E1199" t="s">
        <v>38</v>
      </c>
      <c r="F1199">
        <v>28</v>
      </c>
      <c r="G1199">
        <v>91</v>
      </c>
      <c r="H1199">
        <v>70</v>
      </c>
      <c r="I1199" t="s">
        <v>6349</v>
      </c>
      <c r="J1199">
        <v>75</v>
      </c>
      <c r="K1199">
        <v>196</v>
      </c>
      <c r="L1199" t="s">
        <v>5991</v>
      </c>
      <c r="M1199" s="6" t="s">
        <v>6558</v>
      </c>
      <c r="N1199" s="6" t="s">
        <v>6583</v>
      </c>
      <c r="O1199" s="6">
        <v>76</v>
      </c>
      <c r="P1199" s="6">
        <v>83</v>
      </c>
      <c r="Q1199" s="6">
        <v>78</v>
      </c>
      <c r="R1199" s="6">
        <v>76</v>
      </c>
      <c r="S1199" s="6">
        <v>79</v>
      </c>
      <c r="T1199" s="6">
        <v>84</v>
      </c>
      <c r="U1199" s="6">
        <v>81</v>
      </c>
      <c r="V1199" s="6">
        <v>76</v>
      </c>
      <c r="W1199" s="6">
        <v>77</v>
      </c>
      <c r="X1199" s="6">
        <v>77</v>
      </c>
      <c r="Y1199" s="6">
        <v>94</v>
      </c>
      <c r="Z1199" s="6">
        <v>71</v>
      </c>
      <c r="AA1199" s="6">
        <v>79</v>
      </c>
      <c r="AB1199" s="6">
        <v>78</v>
      </c>
      <c r="AC1199" s="6">
        <v>74</v>
      </c>
      <c r="AD1199" s="6">
        <v>83</v>
      </c>
      <c r="AE1199" s="6">
        <v>75</v>
      </c>
      <c r="AF1199" s="6">
        <v>79</v>
      </c>
      <c r="AG1199" s="6" t="s">
        <v>8026</v>
      </c>
      <c r="AH1199" s="6" t="s">
        <v>6578</v>
      </c>
    </row>
    <row r="1200" spans="1:34" x14ac:dyDescent="0.2">
      <c r="A1200" t="s">
        <v>4299</v>
      </c>
      <c r="B1200" t="s">
        <v>2562</v>
      </c>
      <c r="C1200" t="s">
        <v>57</v>
      </c>
      <c r="D1200" s="7" t="s">
        <v>153</v>
      </c>
      <c r="E1200" t="s">
        <v>38</v>
      </c>
      <c r="F1200">
        <v>22</v>
      </c>
      <c r="G1200">
        <v>76</v>
      </c>
      <c r="H1200">
        <v>70</v>
      </c>
      <c r="I1200" t="s">
        <v>6387</v>
      </c>
      <c r="J1200">
        <v>69</v>
      </c>
      <c r="K1200">
        <v>188</v>
      </c>
      <c r="L1200" t="s">
        <v>5993</v>
      </c>
      <c r="M1200" s="6" t="s">
        <v>6558</v>
      </c>
      <c r="N1200" s="6" t="s">
        <v>6567</v>
      </c>
      <c r="O1200" s="6">
        <v>72</v>
      </c>
      <c r="P1200" s="6">
        <v>71</v>
      </c>
      <c r="Q1200" s="6">
        <v>73</v>
      </c>
      <c r="R1200" s="6">
        <v>64</v>
      </c>
      <c r="S1200" s="6">
        <v>89</v>
      </c>
      <c r="T1200" s="6">
        <v>58</v>
      </c>
      <c r="U1200" s="6">
        <v>75</v>
      </c>
      <c r="V1200" s="6">
        <v>81</v>
      </c>
      <c r="W1200" s="6">
        <v>91</v>
      </c>
      <c r="X1200" s="6">
        <v>67</v>
      </c>
      <c r="Y1200" s="6">
        <v>82</v>
      </c>
      <c r="Z1200" s="6">
        <v>80</v>
      </c>
      <c r="AA1200" s="6">
        <v>78</v>
      </c>
      <c r="AB1200" s="6">
        <v>76</v>
      </c>
      <c r="AC1200" s="6">
        <v>61</v>
      </c>
      <c r="AD1200" s="6">
        <v>76</v>
      </c>
      <c r="AE1200" s="6">
        <v>73</v>
      </c>
      <c r="AF1200" s="6">
        <v>74</v>
      </c>
      <c r="AG1200" s="6" t="s">
        <v>8028</v>
      </c>
      <c r="AH1200" s="6" t="s">
        <v>6658</v>
      </c>
    </row>
    <row r="1201" spans="1:34" x14ac:dyDescent="0.2">
      <c r="A1201" t="s">
        <v>4301</v>
      </c>
      <c r="B1201" t="s">
        <v>2564</v>
      </c>
      <c r="C1201" t="s">
        <v>57</v>
      </c>
      <c r="D1201" s="7" t="s">
        <v>153</v>
      </c>
      <c r="E1201" t="s">
        <v>58</v>
      </c>
      <c r="F1201">
        <v>27</v>
      </c>
      <c r="G1201">
        <v>61</v>
      </c>
      <c r="H1201">
        <v>70</v>
      </c>
      <c r="I1201" t="s">
        <v>6319</v>
      </c>
      <c r="J1201">
        <v>71</v>
      </c>
      <c r="K1201">
        <v>221</v>
      </c>
      <c r="L1201" t="s">
        <v>5995</v>
      </c>
      <c r="M1201" s="6" t="s">
        <v>6558</v>
      </c>
      <c r="N1201" s="6" t="s">
        <v>6614</v>
      </c>
      <c r="O1201" s="6">
        <v>71</v>
      </c>
      <c r="P1201" s="6">
        <v>72</v>
      </c>
      <c r="Q1201" s="6">
        <v>52</v>
      </c>
      <c r="R1201" s="6">
        <v>60</v>
      </c>
      <c r="S1201" s="6">
        <v>66</v>
      </c>
      <c r="T1201" s="6">
        <v>71</v>
      </c>
      <c r="U1201" s="6">
        <v>72</v>
      </c>
      <c r="V1201" s="6">
        <v>69</v>
      </c>
      <c r="W1201" s="6">
        <v>74</v>
      </c>
      <c r="X1201" s="6">
        <v>70</v>
      </c>
      <c r="Y1201" s="6">
        <v>64</v>
      </c>
      <c r="Z1201" s="6">
        <v>67</v>
      </c>
      <c r="AA1201" s="6">
        <v>70</v>
      </c>
      <c r="AB1201" s="6">
        <v>71</v>
      </c>
      <c r="AC1201" s="6">
        <v>66</v>
      </c>
      <c r="AD1201" s="6">
        <v>76</v>
      </c>
      <c r="AE1201" s="6">
        <v>73</v>
      </c>
      <c r="AF1201" s="6">
        <v>58</v>
      </c>
      <c r="AG1201" s="6" t="s">
        <v>8030</v>
      </c>
      <c r="AH1201" s="6" t="s">
        <v>6782</v>
      </c>
    </row>
    <row r="1202" spans="1:34" x14ac:dyDescent="0.2">
      <c r="A1202" t="s">
        <v>4305</v>
      </c>
      <c r="B1202" t="s">
        <v>2568</v>
      </c>
      <c r="C1202" t="s">
        <v>2872</v>
      </c>
      <c r="D1202" s="7" t="s">
        <v>153</v>
      </c>
      <c r="E1202" t="s">
        <v>38</v>
      </c>
      <c r="F1202">
        <v>27</v>
      </c>
      <c r="G1202">
        <v>90</v>
      </c>
      <c r="H1202">
        <v>70</v>
      </c>
      <c r="I1202" t="s">
        <v>6507</v>
      </c>
      <c r="J1202">
        <v>76</v>
      </c>
      <c r="K1202">
        <v>340</v>
      </c>
      <c r="L1202" t="s">
        <v>5999</v>
      </c>
      <c r="M1202" s="6" t="s">
        <v>6558</v>
      </c>
      <c r="N1202" s="6" t="s">
        <v>6583</v>
      </c>
      <c r="O1202" s="6">
        <v>85</v>
      </c>
      <c r="P1202" s="6">
        <v>80</v>
      </c>
      <c r="Q1202" s="6">
        <v>79</v>
      </c>
      <c r="R1202" s="6">
        <v>76</v>
      </c>
      <c r="S1202" s="6">
        <v>82</v>
      </c>
      <c r="T1202" s="6">
        <v>77</v>
      </c>
      <c r="U1202" s="6">
        <v>72</v>
      </c>
      <c r="V1202" s="6">
        <v>74</v>
      </c>
      <c r="W1202" s="6">
        <v>79</v>
      </c>
      <c r="X1202" s="6">
        <v>74</v>
      </c>
      <c r="Y1202" s="6">
        <v>82</v>
      </c>
      <c r="Z1202" s="6">
        <v>72</v>
      </c>
      <c r="AA1202" s="6">
        <v>75</v>
      </c>
      <c r="AB1202" s="6">
        <v>74</v>
      </c>
      <c r="AC1202" s="6">
        <v>76</v>
      </c>
      <c r="AD1202" s="6">
        <v>68</v>
      </c>
      <c r="AE1202" s="6">
        <v>78</v>
      </c>
      <c r="AF1202" s="6">
        <v>72</v>
      </c>
      <c r="AG1202" s="6" t="s">
        <v>8034</v>
      </c>
      <c r="AH1202" s="6" t="s">
        <v>6593</v>
      </c>
    </row>
    <row r="1203" spans="1:34" x14ac:dyDescent="0.2">
      <c r="A1203" t="s">
        <v>4312</v>
      </c>
      <c r="B1203" t="s">
        <v>2575</v>
      </c>
      <c r="C1203" t="s">
        <v>2887</v>
      </c>
      <c r="D1203" s="7" t="s">
        <v>153</v>
      </c>
      <c r="E1203" t="s">
        <v>38</v>
      </c>
      <c r="F1203">
        <v>27</v>
      </c>
      <c r="G1203">
        <v>63</v>
      </c>
      <c r="H1203">
        <v>70</v>
      </c>
      <c r="I1203" t="s">
        <v>6318</v>
      </c>
      <c r="J1203">
        <v>75</v>
      </c>
      <c r="K1203">
        <v>302</v>
      </c>
      <c r="L1203" t="s">
        <v>6006</v>
      </c>
      <c r="M1203" s="6" t="s">
        <v>6558</v>
      </c>
      <c r="N1203" s="6" t="s">
        <v>6567</v>
      </c>
      <c r="O1203" s="6">
        <v>80</v>
      </c>
      <c r="P1203" s="6">
        <v>73</v>
      </c>
      <c r="Q1203" s="6">
        <v>75</v>
      </c>
      <c r="R1203" s="6">
        <v>69</v>
      </c>
      <c r="S1203" s="6">
        <v>81</v>
      </c>
      <c r="T1203" s="6">
        <v>69</v>
      </c>
      <c r="U1203" s="6">
        <v>74</v>
      </c>
      <c r="V1203" s="6">
        <v>80</v>
      </c>
      <c r="W1203" s="6">
        <v>76</v>
      </c>
      <c r="X1203" s="6">
        <v>72</v>
      </c>
      <c r="Y1203" s="6">
        <v>71</v>
      </c>
      <c r="Z1203" s="6">
        <v>70</v>
      </c>
      <c r="AA1203" s="6">
        <v>81</v>
      </c>
      <c r="AB1203" s="6">
        <v>68</v>
      </c>
      <c r="AC1203" s="6">
        <v>84</v>
      </c>
      <c r="AD1203" s="6">
        <v>70</v>
      </c>
      <c r="AE1203" s="6">
        <v>72</v>
      </c>
      <c r="AF1203" s="6">
        <v>79</v>
      </c>
      <c r="AG1203" s="6" t="s">
        <v>8041</v>
      </c>
      <c r="AH1203" s="6" t="s">
        <v>6674</v>
      </c>
    </row>
    <row r="1204" spans="1:34" x14ac:dyDescent="0.2">
      <c r="A1204" t="s">
        <v>4313</v>
      </c>
      <c r="B1204" t="s">
        <v>2576</v>
      </c>
      <c r="C1204" t="s">
        <v>2876</v>
      </c>
      <c r="D1204" s="7" t="s">
        <v>153</v>
      </c>
      <c r="E1204" t="s">
        <v>38</v>
      </c>
      <c r="F1204">
        <v>31</v>
      </c>
      <c r="G1204">
        <v>84</v>
      </c>
      <c r="H1204">
        <v>70</v>
      </c>
      <c r="I1204" t="s">
        <v>8334</v>
      </c>
      <c r="J1204">
        <v>73</v>
      </c>
      <c r="K1204">
        <v>317</v>
      </c>
      <c r="L1204" t="s">
        <v>6007</v>
      </c>
      <c r="M1204" s="6" t="s">
        <v>6558</v>
      </c>
      <c r="N1204" s="6" t="s">
        <v>6565</v>
      </c>
      <c r="O1204" s="6">
        <v>88</v>
      </c>
      <c r="P1204" s="6">
        <v>85</v>
      </c>
      <c r="Q1204" s="6">
        <v>82</v>
      </c>
      <c r="R1204" s="6">
        <v>72</v>
      </c>
      <c r="S1204" s="6">
        <v>84</v>
      </c>
      <c r="T1204" s="6">
        <v>79</v>
      </c>
      <c r="U1204" s="6">
        <v>74</v>
      </c>
      <c r="V1204" s="6">
        <v>80</v>
      </c>
      <c r="W1204" s="6">
        <v>83</v>
      </c>
      <c r="X1204" s="6">
        <v>80</v>
      </c>
      <c r="Y1204" s="6">
        <v>80</v>
      </c>
      <c r="Z1204" s="6">
        <v>90</v>
      </c>
      <c r="AA1204" s="6">
        <v>70</v>
      </c>
      <c r="AB1204" s="6">
        <v>78</v>
      </c>
      <c r="AC1204" s="6">
        <v>75</v>
      </c>
      <c r="AD1204" s="6">
        <v>74</v>
      </c>
      <c r="AE1204" s="6">
        <v>75</v>
      </c>
      <c r="AF1204" s="6">
        <v>77</v>
      </c>
      <c r="AG1204" s="6" t="s">
        <v>8042</v>
      </c>
      <c r="AH1204" s="6" t="s">
        <v>6598</v>
      </c>
    </row>
    <row r="1205" spans="1:34" x14ac:dyDescent="0.2">
      <c r="A1205" t="s">
        <v>4315</v>
      </c>
      <c r="B1205" t="s">
        <v>2578</v>
      </c>
      <c r="C1205" t="s">
        <v>2878</v>
      </c>
      <c r="D1205" s="7" t="s">
        <v>153</v>
      </c>
      <c r="E1205" t="s">
        <v>38</v>
      </c>
      <c r="F1205">
        <v>30</v>
      </c>
      <c r="G1205">
        <v>81</v>
      </c>
      <c r="H1205">
        <v>70</v>
      </c>
      <c r="I1205" t="s">
        <v>6362</v>
      </c>
      <c r="J1205">
        <v>77</v>
      </c>
      <c r="K1205">
        <v>271</v>
      </c>
      <c r="L1205" t="s">
        <v>6009</v>
      </c>
      <c r="M1205" s="6" t="s">
        <v>6558</v>
      </c>
      <c r="N1205" s="6" t="s">
        <v>6583</v>
      </c>
      <c r="O1205" s="6">
        <v>85</v>
      </c>
      <c r="P1205" s="6">
        <v>72</v>
      </c>
      <c r="Q1205" s="6">
        <v>88</v>
      </c>
      <c r="R1205" s="6">
        <v>76</v>
      </c>
      <c r="S1205" s="6">
        <v>81</v>
      </c>
      <c r="T1205" s="6">
        <v>79</v>
      </c>
      <c r="U1205" s="6">
        <v>88</v>
      </c>
      <c r="V1205" s="6">
        <v>82</v>
      </c>
      <c r="W1205" s="6">
        <v>83</v>
      </c>
      <c r="X1205" s="6">
        <v>87</v>
      </c>
      <c r="Y1205" s="6">
        <v>82</v>
      </c>
      <c r="Z1205" s="6">
        <v>86</v>
      </c>
      <c r="AA1205" s="6">
        <v>75</v>
      </c>
      <c r="AB1205" s="6">
        <v>69</v>
      </c>
      <c r="AC1205" s="6">
        <v>68</v>
      </c>
      <c r="AD1205" s="6">
        <v>70</v>
      </c>
      <c r="AE1205" s="6">
        <v>75</v>
      </c>
      <c r="AF1205" s="6">
        <v>72</v>
      </c>
      <c r="AG1205" s="6" t="s">
        <v>8044</v>
      </c>
      <c r="AH1205" s="6" t="s">
        <v>6682</v>
      </c>
    </row>
    <row r="1206" spans="1:34" x14ac:dyDescent="0.2">
      <c r="A1206" t="s">
        <v>4317</v>
      </c>
      <c r="B1206" t="s">
        <v>2580</v>
      </c>
      <c r="C1206" t="s">
        <v>2878</v>
      </c>
      <c r="D1206" s="7" t="s">
        <v>153</v>
      </c>
      <c r="E1206" t="s">
        <v>38</v>
      </c>
      <c r="F1206">
        <v>25</v>
      </c>
      <c r="G1206">
        <v>73</v>
      </c>
      <c r="H1206">
        <v>70</v>
      </c>
      <c r="I1206" t="s">
        <v>6330</v>
      </c>
      <c r="J1206">
        <v>77</v>
      </c>
      <c r="K1206">
        <v>253</v>
      </c>
      <c r="L1206" t="s">
        <v>6011</v>
      </c>
      <c r="M1206" s="6" t="s">
        <v>6558</v>
      </c>
      <c r="N1206" s="6" t="s">
        <v>6567</v>
      </c>
      <c r="O1206" s="6">
        <v>69</v>
      </c>
      <c r="P1206" s="6">
        <v>63</v>
      </c>
      <c r="Q1206" s="6">
        <v>71</v>
      </c>
      <c r="R1206" s="6">
        <v>65</v>
      </c>
      <c r="S1206" s="6">
        <v>79</v>
      </c>
      <c r="T1206" s="6">
        <v>65</v>
      </c>
      <c r="U1206" s="6">
        <v>76</v>
      </c>
      <c r="V1206" s="6">
        <v>72</v>
      </c>
      <c r="W1206" s="6">
        <v>71</v>
      </c>
      <c r="X1206" s="6">
        <v>76</v>
      </c>
      <c r="Y1206" s="6">
        <v>80</v>
      </c>
      <c r="Z1206" s="6">
        <v>74</v>
      </c>
      <c r="AA1206" s="6">
        <v>74</v>
      </c>
      <c r="AB1206" s="6">
        <v>81</v>
      </c>
      <c r="AC1206" s="6">
        <v>74</v>
      </c>
      <c r="AD1206" s="6">
        <v>70</v>
      </c>
      <c r="AE1206" s="6">
        <v>66</v>
      </c>
      <c r="AF1206" s="6">
        <v>77</v>
      </c>
      <c r="AG1206" s="6" t="s">
        <v>8046</v>
      </c>
      <c r="AH1206" s="6" t="s">
        <v>6686</v>
      </c>
    </row>
    <row r="1207" spans="1:34" x14ac:dyDescent="0.2">
      <c r="A1207" t="s">
        <v>4319</v>
      </c>
      <c r="B1207" t="s">
        <v>2582</v>
      </c>
      <c r="C1207" t="s">
        <v>2879</v>
      </c>
      <c r="D1207" s="7" t="s">
        <v>153</v>
      </c>
      <c r="E1207" t="s">
        <v>58</v>
      </c>
      <c r="F1207">
        <v>30</v>
      </c>
      <c r="G1207">
        <v>77</v>
      </c>
      <c r="H1207">
        <v>70</v>
      </c>
      <c r="I1207" t="s">
        <v>6430</v>
      </c>
      <c r="J1207">
        <v>73</v>
      </c>
      <c r="K1207">
        <v>325</v>
      </c>
      <c r="L1207" t="s">
        <v>6013</v>
      </c>
      <c r="M1207" s="6" t="s">
        <v>6558</v>
      </c>
      <c r="N1207" s="6" t="s">
        <v>6567</v>
      </c>
      <c r="O1207" s="6">
        <v>73</v>
      </c>
      <c r="P1207" s="6">
        <v>83</v>
      </c>
      <c r="Q1207" s="6">
        <v>78</v>
      </c>
      <c r="R1207" s="6">
        <v>63</v>
      </c>
      <c r="S1207" s="6">
        <v>81</v>
      </c>
      <c r="T1207" s="6">
        <v>77</v>
      </c>
      <c r="U1207" s="6">
        <v>83</v>
      </c>
      <c r="V1207" s="6">
        <v>68</v>
      </c>
      <c r="W1207" s="6">
        <v>71</v>
      </c>
      <c r="X1207" s="6">
        <v>81</v>
      </c>
      <c r="Y1207" s="6">
        <v>86</v>
      </c>
      <c r="Z1207" s="6">
        <v>84</v>
      </c>
      <c r="AA1207" s="6">
        <v>71</v>
      </c>
      <c r="AB1207" s="6">
        <v>72</v>
      </c>
      <c r="AC1207" s="6">
        <v>64</v>
      </c>
      <c r="AD1207" s="6">
        <v>72</v>
      </c>
      <c r="AE1207" s="6">
        <v>69</v>
      </c>
      <c r="AF1207" s="6">
        <v>75</v>
      </c>
      <c r="AG1207" s="6" t="s">
        <v>8048</v>
      </c>
      <c r="AH1207" s="6" t="s">
        <v>6619</v>
      </c>
    </row>
    <row r="1208" spans="1:34" x14ac:dyDescent="0.2">
      <c r="A1208" t="s">
        <v>4324</v>
      </c>
      <c r="B1208" t="s">
        <v>2587</v>
      </c>
      <c r="C1208" t="s">
        <v>2880</v>
      </c>
      <c r="D1208" s="7" t="s">
        <v>153</v>
      </c>
      <c r="E1208" t="s">
        <v>58</v>
      </c>
      <c r="F1208">
        <v>26</v>
      </c>
      <c r="G1208">
        <v>64</v>
      </c>
      <c r="H1208">
        <v>70</v>
      </c>
      <c r="I1208" t="s">
        <v>6307</v>
      </c>
      <c r="J1208">
        <v>75</v>
      </c>
      <c r="K1208">
        <v>247</v>
      </c>
      <c r="L1208" t="s">
        <v>6018</v>
      </c>
      <c r="M1208" s="6" t="s">
        <v>6558</v>
      </c>
      <c r="N1208" s="6" t="s">
        <v>6567</v>
      </c>
      <c r="O1208" s="6">
        <v>67</v>
      </c>
      <c r="P1208" s="6">
        <v>79</v>
      </c>
      <c r="Q1208" s="6">
        <v>69</v>
      </c>
      <c r="R1208" s="6">
        <v>68</v>
      </c>
      <c r="S1208" s="6">
        <v>72</v>
      </c>
      <c r="T1208" s="6">
        <v>73</v>
      </c>
      <c r="U1208" s="6">
        <v>79</v>
      </c>
      <c r="V1208" s="6">
        <v>72</v>
      </c>
      <c r="W1208" s="6">
        <v>70</v>
      </c>
      <c r="X1208" s="6">
        <v>69</v>
      </c>
      <c r="Y1208" s="6">
        <v>83</v>
      </c>
      <c r="Z1208" s="6">
        <v>74</v>
      </c>
      <c r="AA1208" s="6">
        <v>69</v>
      </c>
      <c r="AB1208" s="6">
        <v>73</v>
      </c>
      <c r="AC1208" s="6">
        <v>72</v>
      </c>
      <c r="AD1208" s="6">
        <v>78</v>
      </c>
      <c r="AE1208" s="6">
        <v>69</v>
      </c>
      <c r="AF1208" s="6">
        <v>71</v>
      </c>
      <c r="AG1208" s="6" t="s">
        <v>8053</v>
      </c>
      <c r="AH1208" s="6" t="s">
        <v>6623</v>
      </c>
    </row>
    <row r="1209" spans="1:34" x14ac:dyDescent="0.2">
      <c r="A1209" t="s">
        <v>4326</v>
      </c>
      <c r="B1209" t="s">
        <v>2589</v>
      </c>
      <c r="C1209" t="s">
        <v>61</v>
      </c>
      <c r="D1209" s="7" t="s">
        <v>153</v>
      </c>
      <c r="E1209" t="s">
        <v>38</v>
      </c>
      <c r="F1209">
        <v>24</v>
      </c>
      <c r="G1209">
        <v>85</v>
      </c>
      <c r="H1209">
        <v>70</v>
      </c>
      <c r="I1209" t="s">
        <v>6492</v>
      </c>
      <c r="J1209">
        <v>72</v>
      </c>
      <c r="K1209">
        <v>188</v>
      </c>
      <c r="L1209" t="s">
        <v>6020</v>
      </c>
      <c r="M1209" s="6" t="s">
        <v>6558</v>
      </c>
      <c r="N1209" s="6" t="s">
        <v>6565</v>
      </c>
      <c r="O1209" s="6">
        <v>68</v>
      </c>
      <c r="P1209" s="6">
        <v>74</v>
      </c>
      <c r="Q1209" s="6">
        <v>80</v>
      </c>
      <c r="R1209" s="6">
        <v>75</v>
      </c>
      <c r="S1209" s="6">
        <v>82</v>
      </c>
      <c r="T1209" s="6">
        <v>77</v>
      </c>
      <c r="U1209" s="6">
        <v>79</v>
      </c>
      <c r="V1209" s="6">
        <v>81</v>
      </c>
      <c r="W1209" s="6">
        <v>82</v>
      </c>
      <c r="X1209" s="6">
        <v>78</v>
      </c>
      <c r="Y1209" s="6">
        <v>76</v>
      </c>
      <c r="Z1209" s="6">
        <v>72</v>
      </c>
      <c r="AA1209" s="6">
        <v>77</v>
      </c>
      <c r="AB1209" s="6">
        <v>73</v>
      </c>
      <c r="AC1209" s="6">
        <v>75</v>
      </c>
      <c r="AD1209" s="6">
        <v>68</v>
      </c>
      <c r="AE1209" s="6">
        <v>79</v>
      </c>
      <c r="AF1209" s="6">
        <v>82</v>
      </c>
      <c r="AG1209" s="6" t="s">
        <v>8055</v>
      </c>
      <c r="AH1209" s="6" t="s">
        <v>6811</v>
      </c>
    </row>
    <row r="1210" spans="1:34" x14ac:dyDescent="0.2">
      <c r="A1210" t="s">
        <v>4329</v>
      </c>
      <c r="B1210" t="s">
        <v>2592</v>
      </c>
      <c r="C1210" t="s">
        <v>61</v>
      </c>
      <c r="D1210" s="7" t="s">
        <v>153</v>
      </c>
      <c r="E1210" t="s">
        <v>38</v>
      </c>
      <c r="F1210">
        <v>27</v>
      </c>
      <c r="G1210">
        <v>67</v>
      </c>
      <c r="H1210">
        <v>70</v>
      </c>
      <c r="I1210" t="s">
        <v>6321</v>
      </c>
      <c r="J1210">
        <v>72</v>
      </c>
      <c r="K1210">
        <v>191</v>
      </c>
      <c r="L1210" t="s">
        <v>6023</v>
      </c>
      <c r="M1210" s="6" t="s">
        <v>6558</v>
      </c>
      <c r="N1210" s="6" t="s">
        <v>6614</v>
      </c>
      <c r="O1210" s="6">
        <v>72</v>
      </c>
      <c r="P1210" s="6">
        <v>59</v>
      </c>
      <c r="Q1210" s="6">
        <v>79</v>
      </c>
      <c r="R1210" s="6">
        <v>58</v>
      </c>
      <c r="S1210" s="6">
        <v>73</v>
      </c>
      <c r="T1210" s="6">
        <v>66</v>
      </c>
      <c r="U1210" s="6">
        <v>73</v>
      </c>
      <c r="V1210" s="6">
        <v>65</v>
      </c>
      <c r="W1210" s="6">
        <v>74</v>
      </c>
      <c r="X1210" s="6">
        <v>71</v>
      </c>
      <c r="Y1210" s="6">
        <v>68</v>
      </c>
      <c r="Z1210" s="6">
        <v>72</v>
      </c>
      <c r="AA1210" s="6">
        <v>73</v>
      </c>
      <c r="AB1210" s="6">
        <v>75</v>
      </c>
      <c r="AC1210" s="6">
        <v>79</v>
      </c>
      <c r="AD1210" s="6">
        <v>75</v>
      </c>
      <c r="AE1210" s="6">
        <v>63</v>
      </c>
      <c r="AF1210" s="6">
        <v>74</v>
      </c>
      <c r="AG1210" s="6" t="s">
        <v>8058</v>
      </c>
      <c r="AH1210" s="6" t="s">
        <v>6694</v>
      </c>
    </row>
    <row r="1211" spans="1:34" x14ac:dyDescent="0.2">
      <c r="A1211" t="s">
        <v>4331</v>
      </c>
      <c r="B1211" t="s">
        <v>2594</v>
      </c>
      <c r="C1211" t="s">
        <v>2883</v>
      </c>
      <c r="D1211" s="7" t="s">
        <v>153</v>
      </c>
      <c r="E1211" t="s">
        <v>38</v>
      </c>
      <c r="F1211">
        <v>27</v>
      </c>
      <c r="G1211">
        <v>73</v>
      </c>
      <c r="H1211">
        <v>70</v>
      </c>
      <c r="I1211" t="s">
        <v>6381</v>
      </c>
      <c r="J1211">
        <v>74</v>
      </c>
      <c r="K1211">
        <v>206</v>
      </c>
      <c r="L1211" t="s">
        <v>6025</v>
      </c>
      <c r="M1211" s="6" t="s">
        <v>6558</v>
      </c>
      <c r="N1211" s="6" t="s">
        <v>6565</v>
      </c>
      <c r="O1211" s="6">
        <v>62</v>
      </c>
      <c r="P1211" s="6">
        <v>72</v>
      </c>
      <c r="Q1211" s="6">
        <v>79</v>
      </c>
      <c r="R1211" s="6">
        <v>75</v>
      </c>
      <c r="S1211" s="6">
        <v>73</v>
      </c>
      <c r="T1211" s="6">
        <v>77</v>
      </c>
      <c r="U1211" s="6">
        <v>79</v>
      </c>
      <c r="V1211" s="6">
        <v>78</v>
      </c>
      <c r="W1211" s="6">
        <v>80</v>
      </c>
      <c r="X1211" s="6">
        <v>68</v>
      </c>
      <c r="Y1211" s="6">
        <v>85</v>
      </c>
      <c r="Z1211" s="6">
        <v>73</v>
      </c>
      <c r="AA1211" s="6">
        <v>69</v>
      </c>
      <c r="AB1211" s="6">
        <v>66</v>
      </c>
      <c r="AC1211" s="6">
        <v>66</v>
      </c>
      <c r="AD1211" s="6">
        <v>74</v>
      </c>
      <c r="AE1211" s="6">
        <v>74</v>
      </c>
      <c r="AF1211" s="6">
        <v>77</v>
      </c>
      <c r="AG1211" s="6" t="s">
        <v>8060</v>
      </c>
      <c r="AH1211" s="6" t="s">
        <v>6640</v>
      </c>
    </row>
    <row r="1212" spans="1:34" x14ac:dyDescent="0.2">
      <c r="A1212" t="s">
        <v>4333</v>
      </c>
      <c r="B1212" t="s">
        <v>2596</v>
      </c>
      <c r="C1212" t="s">
        <v>2883</v>
      </c>
      <c r="D1212" s="7" t="s">
        <v>153</v>
      </c>
      <c r="E1212" t="s">
        <v>58</v>
      </c>
      <c r="F1212">
        <v>32</v>
      </c>
      <c r="G1212">
        <v>67</v>
      </c>
      <c r="H1212">
        <v>70</v>
      </c>
      <c r="I1212" t="s">
        <v>6333</v>
      </c>
      <c r="J1212">
        <v>71</v>
      </c>
      <c r="K1212">
        <v>201</v>
      </c>
      <c r="L1212" t="s">
        <v>6027</v>
      </c>
      <c r="M1212" s="6" t="s">
        <v>6558</v>
      </c>
      <c r="N1212" s="6" t="s">
        <v>6565</v>
      </c>
      <c r="O1212" s="6">
        <v>77</v>
      </c>
      <c r="P1212" s="6">
        <v>71</v>
      </c>
      <c r="Q1212" s="6">
        <v>74</v>
      </c>
      <c r="R1212" s="6">
        <v>73</v>
      </c>
      <c r="S1212" s="6">
        <v>71</v>
      </c>
      <c r="T1212" s="6">
        <v>79</v>
      </c>
      <c r="U1212" s="6">
        <v>81</v>
      </c>
      <c r="V1212" s="6">
        <v>79</v>
      </c>
      <c r="W1212" s="6">
        <v>70</v>
      </c>
      <c r="X1212" s="6">
        <v>64</v>
      </c>
      <c r="Y1212" s="6">
        <v>82</v>
      </c>
      <c r="Z1212" s="6">
        <v>76</v>
      </c>
      <c r="AA1212" s="6">
        <v>64</v>
      </c>
      <c r="AB1212" s="6">
        <v>64</v>
      </c>
      <c r="AC1212" s="6">
        <v>59</v>
      </c>
      <c r="AD1212" s="6">
        <v>56</v>
      </c>
      <c r="AE1212" s="6">
        <v>69</v>
      </c>
      <c r="AF1212" s="6">
        <v>68</v>
      </c>
      <c r="AG1212" s="6" t="s">
        <v>8062</v>
      </c>
      <c r="AH1212" s="6" t="s">
        <v>7417</v>
      </c>
    </row>
    <row r="1213" spans="1:34" x14ac:dyDescent="0.2">
      <c r="A1213" t="s">
        <v>4338</v>
      </c>
      <c r="B1213" t="s">
        <v>2601</v>
      </c>
      <c r="C1213" t="s">
        <v>2885</v>
      </c>
      <c r="D1213" s="7" t="s">
        <v>153</v>
      </c>
      <c r="E1213" t="s">
        <v>58</v>
      </c>
      <c r="F1213">
        <v>29</v>
      </c>
      <c r="G1213">
        <v>71</v>
      </c>
      <c r="H1213">
        <v>70</v>
      </c>
      <c r="I1213" t="s">
        <v>6349</v>
      </c>
      <c r="J1213">
        <v>73</v>
      </c>
      <c r="K1213">
        <v>255</v>
      </c>
      <c r="L1213" t="s">
        <v>6032</v>
      </c>
      <c r="M1213" s="6" t="s">
        <v>6558</v>
      </c>
      <c r="N1213" s="6" t="s">
        <v>6567</v>
      </c>
      <c r="O1213" s="6">
        <v>82</v>
      </c>
      <c r="P1213" s="6">
        <v>66</v>
      </c>
      <c r="Q1213" s="6">
        <v>65</v>
      </c>
      <c r="R1213" s="6">
        <v>67</v>
      </c>
      <c r="S1213" s="6">
        <v>68</v>
      </c>
      <c r="T1213" s="6">
        <v>68</v>
      </c>
      <c r="U1213" s="6">
        <v>73</v>
      </c>
      <c r="V1213" s="6">
        <v>73</v>
      </c>
      <c r="W1213" s="6">
        <v>69</v>
      </c>
      <c r="X1213" s="6">
        <v>78</v>
      </c>
      <c r="Y1213" s="6">
        <v>78</v>
      </c>
      <c r="Z1213" s="6">
        <v>84</v>
      </c>
      <c r="AA1213" s="6">
        <v>69</v>
      </c>
      <c r="AB1213" s="6">
        <v>65</v>
      </c>
      <c r="AC1213" s="6">
        <v>70</v>
      </c>
      <c r="AD1213" s="6">
        <v>65</v>
      </c>
      <c r="AE1213" s="6">
        <v>61</v>
      </c>
      <c r="AF1213" s="6">
        <v>68</v>
      </c>
      <c r="AG1213" s="6" t="s">
        <v>8066</v>
      </c>
      <c r="AH1213" s="6" t="s">
        <v>6628</v>
      </c>
    </row>
    <row r="1214" spans="1:34" x14ac:dyDescent="0.2">
      <c r="A1214" t="s">
        <v>4343</v>
      </c>
      <c r="B1214" t="s">
        <v>2606</v>
      </c>
      <c r="C1214" t="s">
        <v>53</v>
      </c>
      <c r="D1214" s="7" t="s">
        <v>156</v>
      </c>
      <c r="E1214" t="s">
        <v>38</v>
      </c>
      <c r="F1214">
        <v>21</v>
      </c>
      <c r="G1214">
        <v>66</v>
      </c>
      <c r="H1214">
        <v>70</v>
      </c>
      <c r="I1214" t="s">
        <v>6408</v>
      </c>
      <c r="J1214">
        <v>73</v>
      </c>
      <c r="K1214">
        <v>237</v>
      </c>
      <c r="L1214" t="s">
        <v>6037</v>
      </c>
      <c r="M1214" s="6" t="s">
        <v>6558</v>
      </c>
      <c r="N1214" s="6" t="s">
        <v>6565</v>
      </c>
      <c r="O1214" s="6">
        <v>76</v>
      </c>
      <c r="P1214" s="6">
        <v>56</v>
      </c>
      <c r="Q1214" s="6">
        <v>67</v>
      </c>
      <c r="R1214" s="6">
        <v>72</v>
      </c>
      <c r="S1214" s="6">
        <v>63</v>
      </c>
      <c r="T1214" s="6">
        <v>58</v>
      </c>
      <c r="U1214" s="6">
        <v>60</v>
      </c>
      <c r="V1214" s="6">
        <v>69</v>
      </c>
      <c r="W1214" s="6">
        <v>65</v>
      </c>
      <c r="X1214" s="6">
        <v>69</v>
      </c>
      <c r="Y1214" s="6">
        <v>64</v>
      </c>
      <c r="Z1214" s="6">
        <v>67</v>
      </c>
      <c r="AA1214" s="6">
        <v>69</v>
      </c>
      <c r="AB1214" s="6">
        <v>62</v>
      </c>
      <c r="AC1214" s="6">
        <v>65</v>
      </c>
      <c r="AD1214" s="6">
        <v>60</v>
      </c>
      <c r="AE1214" s="6">
        <v>69</v>
      </c>
      <c r="AF1214" s="6">
        <v>67</v>
      </c>
      <c r="AG1214" s="6" t="s">
        <v>8071</v>
      </c>
      <c r="AH1214" s="6" t="s">
        <v>6570</v>
      </c>
    </row>
    <row r="1215" spans="1:34" x14ac:dyDescent="0.2">
      <c r="A1215" t="s">
        <v>4349</v>
      </c>
      <c r="B1215" t="s">
        <v>2612</v>
      </c>
      <c r="C1215" t="s">
        <v>2871</v>
      </c>
      <c r="D1215" s="7" t="s">
        <v>156</v>
      </c>
      <c r="E1215" t="s">
        <v>38</v>
      </c>
      <c r="F1215">
        <v>27</v>
      </c>
      <c r="G1215">
        <v>78</v>
      </c>
      <c r="H1215">
        <v>70</v>
      </c>
      <c r="I1215" t="s">
        <v>6472</v>
      </c>
      <c r="J1215">
        <v>77</v>
      </c>
      <c r="K1215">
        <v>256</v>
      </c>
      <c r="L1215" t="s">
        <v>6043</v>
      </c>
      <c r="M1215" s="6" t="s">
        <v>6558</v>
      </c>
      <c r="N1215" s="6" t="s">
        <v>6583</v>
      </c>
      <c r="O1215" s="6">
        <v>79</v>
      </c>
      <c r="P1215" s="6">
        <v>76</v>
      </c>
      <c r="Q1215" s="6">
        <v>79</v>
      </c>
      <c r="R1215" s="6">
        <v>78</v>
      </c>
      <c r="S1215" s="6">
        <v>78</v>
      </c>
      <c r="T1215" s="6">
        <v>79</v>
      </c>
      <c r="U1215" s="6">
        <v>89</v>
      </c>
      <c r="V1215" s="6">
        <v>80</v>
      </c>
      <c r="W1215" s="6">
        <v>82</v>
      </c>
      <c r="X1215" s="6">
        <v>78</v>
      </c>
      <c r="Y1215" s="6">
        <v>75</v>
      </c>
      <c r="Z1215" s="6">
        <v>82</v>
      </c>
      <c r="AA1215" s="6">
        <v>77</v>
      </c>
      <c r="AB1215" s="6">
        <v>81</v>
      </c>
      <c r="AC1215" s="6">
        <v>71</v>
      </c>
      <c r="AD1215" s="6">
        <v>79</v>
      </c>
      <c r="AE1215" s="6">
        <v>81</v>
      </c>
      <c r="AF1215" s="6">
        <v>79</v>
      </c>
      <c r="AG1215" s="6" t="s">
        <v>8076</v>
      </c>
      <c r="AH1215" s="6" t="s">
        <v>6587</v>
      </c>
    </row>
    <row r="1216" spans="1:34" x14ac:dyDescent="0.2">
      <c r="A1216" t="s">
        <v>4351</v>
      </c>
      <c r="B1216" t="s">
        <v>2614</v>
      </c>
      <c r="C1216" t="s">
        <v>2871</v>
      </c>
      <c r="D1216" s="7" t="s">
        <v>156</v>
      </c>
      <c r="E1216" t="s">
        <v>38</v>
      </c>
      <c r="F1216">
        <v>33</v>
      </c>
      <c r="G1216">
        <v>73</v>
      </c>
      <c r="H1216">
        <v>70</v>
      </c>
      <c r="I1216" t="s">
        <v>6350</v>
      </c>
      <c r="J1216">
        <v>74</v>
      </c>
      <c r="K1216">
        <v>270</v>
      </c>
      <c r="L1216" t="s">
        <v>6045</v>
      </c>
      <c r="M1216" s="6" t="s">
        <v>6558</v>
      </c>
      <c r="N1216" s="6" t="s">
        <v>6559</v>
      </c>
      <c r="O1216" s="6">
        <v>70</v>
      </c>
      <c r="P1216" s="6">
        <v>85</v>
      </c>
      <c r="Q1216" s="6">
        <v>83</v>
      </c>
      <c r="R1216" s="6">
        <v>84</v>
      </c>
      <c r="S1216" s="6">
        <v>71</v>
      </c>
      <c r="T1216" s="6">
        <v>79</v>
      </c>
      <c r="U1216" s="6">
        <v>77</v>
      </c>
      <c r="V1216" s="6">
        <v>69</v>
      </c>
      <c r="W1216" s="6">
        <v>72</v>
      </c>
      <c r="X1216" s="6">
        <v>66</v>
      </c>
      <c r="Y1216" s="6">
        <v>75</v>
      </c>
      <c r="Z1216" s="6">
        <v>72</v>
      </c>
      <c r="AA1216" s="6">
        <v>67</v>
      </c>
      <c r="AB1216" s="6">
        <v>64</v>
      </c>
      <c r="AC1216" s="6">
        <v>66</v>
      </c>
      <c r="AD1216" s="6">
        <v>70</v>
      </c>
      <c r="AE1216" s="6">
        <v>65</v>
      </c>
      <c r="AF1216" s="6">
        <v>63</v>
      </c>
      <c r="AG1216" s="6" t="s">
        <v>8078</v>
      </c>
      <c r="AH1216" s="6" t="s">
        <v>7219</v>
      </c>
    </row>
    <row r="1217" spans="1:34" x14ac:dyDescent="0.2">
      <c r="A1217" t="s">
        <v>4353</v>
      </c>
      <c r="B1217" t="s">
        <v>2616</v>
      </c>
      <c r="C1217" t="s">
        <v>2872</v>
      </c>
      <c r="D1217" s="7" t="s">
        <v>156</v>
      </c>
      <c r="E1217" t="s">
        <v>58</v>
      </c>
      <c r="F1217">
        <v>32</v>
      </c>
      <c r="G1217">
        <v>85</v>
      </c>
      <c r="H1217">
        <v>70</v>
      </c>
      <c r="I1217" t="s">
        <v>6369</v>
      </c>
      <c r="J1217">
        <v>78</v>
      </c>
      <c r="K1217">
        <v>314</v>
      </c>
      <c r="L1217" t="s">
        <v>6047</v>
      </c>
      <c r="M1217" s="6" t="s">
        <v>6558</v>
      </c>
      <c r="N1217" s="6" t="s">
        <v>6565</v>
      </c>
      <c r="O1217" s="6">
        <v>88</v>
      </c>
      <c r="P1217" s="6">
        <v>76</v>
      </c>
      <c r="Q1217" s="6">
        <v>85</v>
      </c>
      <c r="R1217" s="6">
        <v>74</v>
      </c>
      <c r="S1217" s="6">
        <v>77</v>
      </c>
      <c r="T1217" s="6">
        <v>69</v>
      </c>
      <c r="U1217" s="6">
        <v>79</v>
      </c>
      <c r="V1217" s="6">
        <v>82</v>
      </c>
      <c r="W1217" s="6">
        <v>81</v>
      </c>
      <c r="X1217" s="6">
        <v>79</v>
      </c>
      <c r="Y1217" s="6">
        <v>86</v>
      </c>
      <c r="Z1217" s="6">
        <v>81</v>
      </c>
      <c r="AA1217" s="6">
        <v>69</v>
      </c>
      <c r="AB1217" s="6">
        <v>71</v>
      </c>
      <c r="AC1217" s="6">
        <v>66</v>
      </c>
      <c r="AD1217" s="6">
        <v>69</v>
      </c>
      <c r="AE1217" s="6">
        <v>65</v>
      </c>
      <c r="AF1217" s="6">
        <v>66</v>
      </c>
      <c r="AG1217" s="6" t="s">
        <v>8080</v>
      </c>
      <c r="AH1217" s="6" t="s">
        <v>6610</v>
      </c>
    </row>
    <row r="1218" spans="1:34" x14ac:dyDescent="0.2">
      <c r="A1218" t="s">
        <v>4354</v>
      </c>
      <c r="B1218" t="s">
        <v>2617</v>
      </c>
      <c r="C1218" t="s">
        <v>2872</v>
      </c>
      <c r="D1218" s="7" t="s">
        <v>156</v>
      </c>
      <c r="E1218" t="s">
        <v>58</v>
      </c>
      <c r="F1218">
        <v>22</v>
      </c>
      <c r="G1218">
        <v>83</v>
      </c>
      <c r="H1218">
        <v>70</v>
      </c>
      <c r="I1218" t="s">
        <v>6502</v>
      </c>
      <c r="J1218">
        <v>77</v>
      </c>
      <c r="K1218">
        <v>306</v>
      </c>
      <c r="L1218" t="s">
        <v>6048</v>
      </c>
      <c r="M1218" s="6" t="s">
        <v>6558</v>
      </c>
      <c r="N1218" s="6" t="s">
        <v>6567</v>
      </c>
      <c r="O1218" s="6">
        <v>77</v>
      </c>
      <c r="P1218" s="6">
        <v>74</v>
      </c>
      <c r="Q1218" s="6">
        <v>75</v>
      </c>
      <c r="R1218" s="6">
        <v>64</v>
      </c>
      <c r="S1218" s="6">
        <v>72</v>
      </c>
      <c r="T1218" s="6">
        <v>64</v>
      </c>
      <c r="U1218" s="6">
        <v>79</v>
      </c>
      <c r="V1218" s="6">
        <v>69</v>
      </c>
      <c r="W1218" s="6">
        <v>76</v>
      </c>
      <c r="X1218" s="6">
        <v>73</v>
      </c>
      <c r="Y1218" s="6">
        <v>72</v>
      </c>
      <c r="Z1218" s="6">
        <v>72</v>
      </c>
      <c r="AA1218" s="6">
        <v>78</v>
      </c>
      <c r="AB1218" s="6">
        <v>69</v>
      </c>
      <c r="AC1218" s="6">
        <v>67</v>
      </c>
      <c r="AD1218" s="6">
        <v>68</v>
      </c>
      <c r="AE1218" s="6">
        <v>68</v>
      </c>
      <c r="AF1218" s="6">
        <v>78</v>
      </c>
      <c r="AG1218" s="6" t="s">
        <v>8081</v>
      </c>
      <c r="AH1218" s="6" t="s">
        <v>6593</v>
      </c>
    </row>
    <row r="1219" spans="1:34" x14ac:dyDescent="0.2">
      <c r="A1219" t="s">
        <v>4355</v>
      </c>
      <c r="B1219" t="s">
        <v>2618</v>
      </c>
      <c r="C1219" t="s">
        <v>2872</v>
      </c>
      <c r="D1219" s="7" t="s">
        <v>156</v>
      </c>
      <c r="E1219" t="s">
        <v>58</v>
      </c>
      <c r="F1219">
        <v>25</v>
      </c>
      <c r="G1219">
        <v>77</v>
      </c>
      <c r="H1219">
        <v>70</v>
      </c>
      <c r="I1219" t="s">
        <v>6387</v>
      </c>
      <c r="J1219">
        <v>75</v>
      </c>
      <c r="K1219">
        <v>325</v>
      </c>
      <c r="L1219" t="s">
        <v>6049</v>
      </c>
      <c r="M1219" s="6" t="s">
        <v>6558</v>
      </c>
      <c r="N1219" s="6" t="s">
        <v>6567</v>
      </c>
      <c r="O1219" s="6">
        <v>60</v>
      </c>
      <c r="P1219" s="6">
        <v>76</v>
      </c>
      <c r="Q1219" s="6">
        <v>63</v>
      </c>
      <c r="R1219" s="6">
        <v>67</v>
      </c>
      <c r="S1219" s="6">
        <v>74</v>
      </c>
      <c r="T1219" s="6">
        <v>72</v>
      </c>
      <c r="U1219" s="6">
        <v>79</v>
      </c>
      <c r="V1219" s="6">
        <v>71</v>
      </c>
      <c r="W1219" s="6">
        <v>68</v>
      </c>
      <c r="X1219" s="6">
        <v>72</v>
      </c>
      <c r="Y1219" s="6">
        <v>70</v>
      </c>
      <c r="Z1219" s="6">
        <v>70</v>
      </c>
      <c r="AA1219" s="6">
        <v>65</v>
      </c>
      <c r="AB1219" s="6">
        <v>69</v>
      </c>
      <c r="AC1219" s="6">
        <v>67</v>
      </c>
      <c r="AD1219" s="6">
        <v>72</v>
      </c>
      <c r="AE1219" s="6">
        <v>73</v>
      </c>
      <c r="AF1219" s="6">
        <v>69</v>
      </c>
      <c r="AG1219" s="6" t="s">
        <v>8082</v>
      </c>
      <c r="AH1219" s="6" t="s">
        <v>6593</v>
      </c>
    </row>
    <row r="1220" spans="1:34" x14ac:dyDescent="0.2">
      <c r="A1220" t="s">
        <v>4360</v>
      </c>
      <c r="B1220" t="s">
        <v>2623</v>
      </c>
      <c r="C1220" t="s">
        <v>2876</v>
      </c>
      <c r="D1220" s="7" t="s">
        <v>156</v>
      </c>
      <c r="E1220" t="s">
        <v>38</v>
      </c>
      <c r="F1220">
        <v>25</v>
      </c>
      <c r="G1220">
        <v>78</v>
      </c>
      <c r="H1220">
        <v>70</v>
      </c>
      <c r="I1220" t="s">
        <v>6367</v>
      </c>
      <c r="J1220">
        <v>75</v>
      </c>
      <c r="K1220">
        <v>311</v>
      </c>
      <c r="L1220" t="s">
        <v>6054</v>
      </c>
      <c r="M1220" s="6" t="s">
        <v>6558</v>
      </c>
      <c r="N1220" s="6" t="s">
        <v>6565</v>
      </c>
      <c r="O1220" s="6">
        <v>72</v>
      </c>
      <c r="P1220" s="6">
        <v>75</v>
      </c>
      <c r="Q1220" s="6">
        <v>83</v>
      </c>
      <c r="R1220" s="6">
        <v>70</v>
      </c>
      <c r="S1220" s="6">
        <v>81</v>
      </c>
      <c r="T1220" s="6">
        <v>80</v>
      </c>
      <c r="U1220" s="6">
        <v>67</v>
      </c>
      <c r="V1220" s="6">
        <v>84</v>
      </c>
      <c r="W1220" s="6">
        <v>80</v>
      </c>
      <c r="X1220" s="6">
        <v>71</v>
      </c>
      <c r="Y1220" s="6">
        <v>74</v>
      </c>
      <c r="Z1220" s="6">
        <v>73</v>
      </c>
      <c r="AA1220" s="6">
        <v>78</v>
      </c>
      <c r="AB1220" s="6">
        <v>73</v>
      </c>
      <c r="AC1220" s="6">
        <v>72</v>
      </c>
      <c r="AD1220" s="6">
        <v>65</v>
      </c>
      <c r="AE1220" s="6">
        <v>74</v>
      </c>
      <c r="AF1220" s="6">
        <v>73</v>
      </c>
      <c r="AG1220" s="6" t="s">
        <v>8087</v>
      </c>
      <c r="AH1220" s="6" t="s">
        <v>6598</v>
      </c>
    </row>
    <row r="1221" spans="1:34" x14ac:dyDescent="0.2">
      <c r="A1221" t="s">
        <v>4365</v>
      </c>
      <c r="B1221" t="s">
        <v>2628</v>
      </c>
      <c r="C1221" t="s">
        <v>2878</v>
      </c>
      <c r="D1221" s="7" t="s">
        <v>156</v>
      </c>
      <c r="E1221" t="s">
        <v>38</v>
      </c>
      <c r="F1221">
        <v>24</v>
      </c>
      <c r="G1221">
        <v>70</v>
      </c>
      <c r="H1221">
        <v>70</v>
      </c>
      <c r="I1221" t="s">
        <v>6370</v>
      </c>
      <c r="J1221">
        <v>78</v>
      </c>
      <c r="K1221">
        <v>271</v>
      </c>
      <c r="L1221" t="s">
        <v>6059</v>
      </c>
      <c r="M1221" s="6" t="s">
        <v>6558</v>
      </c>
      <c r="N1221" s="6" t="s">
        <v>6567</v>
      </c>
      <c r="O1221" s="6">
        <v>72</v>
      </c>
      <c r="P1221" s="6">
        <v>64</v>
      </c>
      <c r="Q1221" s="6">
        <v>65</v>
      </c>
      <c r="R1221" s="6">
        <v>69</v>
      </c>
      <c r="S1221" s="6">
        <v>75</v>
      </c>
      <c r="T1221" s="6">
        <v>66</v>
      </c>
      <c r="U1221" s="6">
        <v>82</v>
      </c>
      <c r="V1221" s="6">
        <v>67</v>
      </c>
      <c r="W1221" s="6">
        <v>57</v>
      </c>
      <c r="X1221" s="6">
        <v>62</v>
      </c>
      <c r="Y1221" s="6">
        <v>79</v>
      </c>
      <c r="Z1221" s="6">
        <v>74</v>
      </c>
      <c r="AA1221" s="6">
        <v>70</v>
      </c>
      <c r="AB1221" s="6">
        <v>71</v>
      </c>
      <c r="AC1221" s="6">
        <v>71</v>
      </c>
      <c r="AD1221" s="6">
        <v>70</v>
      </c>
      <c r="AE1221" s="6">
        <v>71</v>
      </c>
      <c r="AF1221" s="6">
        <v>73</v>
      </c>
      <c r="AG1221" s="6" t="s">
        <v>8092</v>
      </c>
      <c r="AH1221" s="6" t="s">
        <v>6684</v>
      </c>
    </row>
    <row r="1222" spans="1:34" x14ac:dyDescent="0.2">
      <c r="A1222" t="s">
        <v>4367</v>
      </c>
      <c r="B1222" t="s">
        <v>2630</v>
      </c>
      <c r="C1222" t="s">
        <v>2879</v>
      </c>
      <c r="D1222" s="7" t="s">
        <v>156</v>
      </c>
      <c r="E1222" t="s">
        <v>38</v>
      </c>
      <c r="F1222">
        <v>24</v>
      </c>
      <c r="G1222">
        <v>78</v>
      </c>
      <c r="H1222">
        <v>70</v>
      </c>
      <c r="I1222" t="s">
        <v>6332</v>
      </c>
      <c r="J1222">
        <v>73</v>
      </c>
      <c r="K1222">
        <v>313</v>
      </c>
      <c r="L1222" t="s">
        <v>6061</v>
      </c>
      <c r="M1222" s="6" t="s">
        <v>6558</v>
      </c>
      <c r="N1222" s="6" t="s">
        <v>6567</v>
      </c>
      <c r="O1222" s="6">
        <v>77</v>
      </c>
      <c r="P1222" s="6">
        <v>72</v>
      </c>
      <c r="Q1222" s="6">
        <v>76</v>
      </c>
      <c r="R1222" s="6">
        <v>67</v>
      </c>
      <c r="S1222" s="6">
        <v>78</v>
      </c>
      <c r="T1222" s="6">
        <v>74</v>
      </c>
      <c r="U1222" s="6">
        <v>81</v>
      </c>
      <c r="V1222" s="6">
        <v>73</v>
      </c>
      <c r="W1222" s="6">
        <v>86</v>
      </c>
      <c r="X1222" s="6">
        <v>79</v>
      </c>
      <c r="Y1222" s="6">
        <v>76</v>
      </c>
      <c r="Z1222" s="6">
        <v>76</v>
      </c>
      <c r="AA1222" s="6">
        <v>76</v>
      </c>
      <c r="AB1222" s="6">
        <v>70</v>
      </c>
      <c r="AC1222" s="6">
        <v>73</v>
      </c>
      <c r="AD1222" s="6">
        <v>72</v>
      </c>
      <c r="AE1222" s="6">
        <v>74</v>
      </c>
      <c r="AF1222" s="6">
        <v>74</v>
      </c>
      <c r="AG1222" s="6" t="s">
        <v>8094</v>
      </c>
      <c r="AH1222" s="6" t="s">
        <v>6855</v>
      </c>
    </row>
    <row r="1223" spans="1:34" x14ac:dyDescent="0.2">
      <c r="A1223" t="s">
        <v>4370</v>
      </c>
      <c r="B1223" t="s">
        <v>2633</v>
      </c>
      <c r="C1223" t="s">
        <v>2879</v>
      </c>
      <c r="D1223" s="7" t="s">
        <v>156</v>
      </c>
      <c r="E1223" t="s">
        <v>58</v>
      </c>
      <c r="F1223">
        <v>33</v>
      </c>
      <c r="G1223">
        <v>70</v>
      </c>
      <c r="H1223">
        <v>70</v>
      </c>
      <c r="I1223" t="s">
        <v>6387</v>
      </c>
      <c r="J1223">
        <v>74</v>
      </c>
      <c r="K1223">
        <v>310</v>
      </c>
      <c r="L1223" t="s">
        <v>6064</v>
      </c>
      <c r="M1223" s="6" t="s">
        <v>6558</v>
      </c>
      <c r="N1223" s="6" t="s">
        <v>6583</v>
      </c>
      <c r="O1223" s="6">
        <v>70</v>
      </c>
      <c r="P1223" s="6">
        <v>75</v>
      </c>
      <c r="Q1223" s="6">
        <v>78</v>
      </c>
      <c r="R1223" s="6">
        <v>76</v>
      </c>
      <c r="S1223" s="6">
        <v>79</v>
      </c>
      <c r="T1223" s="6">
        <v>78</v>
      </c>
      <c r="U1223" s="6">
        <v>83</v>
      </c>
      <c r="V1223" s="6">
        <v>84</v>
      </c>
      <c r="W1223" s="6">
        <v>73</v>
      </c>
      <c r="X1223" s="6">
        <v>81</v>
      </c>
      <c r="Y1223" s="6">
        <v>82</v>
      </c>
      <c r="Z1223" s="6">
        <v>77</v>
      </c>
      <c r="AA1223" s="6">
        <v>67</v>
      </c>
      <c r="AB1223" s="6">
        <v>64</v>
      </c>
      <c r="AC1223" s="6">
        <v>53</v>
      </c>
      <c r="AD1223" s="6">
        <v>73</v>
      </c>
      <c r="AE1223" s="6">
        <v>71</v>
      </c>
      <c r="AF1223" s="6">
        <v>59</v>
      </c>
      <c r="AG1223" s="6" t="s">
        <v>8097</v>
      </c>
      <c r="AH1223" s="6" t="s">
        <v>6617</v>
      </c>
    </row>
    <row r="1224" spans="1:34" x14ac:dyDescent="0.2">
      <c r="A1224" t="s">
        <v>4373</v>
      </c>
      <c r="B1224" t="s">
        <v>2636</v>
      </c>
      <c r="C1224" t="s">
        <v>2880</v>
      </c>
      <c r="D1224" s="7" t="s">
        <v>156</v>
      </c>
      <c r="E1224" t="s">
        <v>58</v>
      </c>
      <c r="F1224">
        <v>32</v>
      </c>
      <c r="G1224">
        <v>76</v>
      </c>
      <c r="H1224">
        <v>70</v>
      </c>
      <c r="I1224" t="s">
        <v>6466</v>
      </c>
      <c r="J1224">
        <v>74</v>
      </c>
      <c r="K1224">
        <v>258</v>
      </c>
      <c r="L1224" t="s">
        <v>6067</v>
      </c>
      <c r="M1224" s="6" t="s">
        <v>6558</v>
      </c>
      <c r="N1224" s="6" t="s">
        <v>6565</v>
      </c>
      <c r="O1224" s="6">
        <v>79</v>
      </c>
      <c r="P1224" s="6">
        <v>79</v>
      </c>
      <c r="Q1224" s="6">
        <v>71</v>
      </c>
      <c r="R1224" s="6">
        <v>74</v>
      </c>
      <c r="S1224" s="6">
        <v>79</v>
      </c>
      <c r="T1224" s="6">
        <v>77</v>
      </c>
      <c r="U1224" s="6">
        <v>82</v>
      </c>
      <c r="V1224" s="6">
        <v>78</v>
      </c>
      <c r="W1224" s="6">
        <v>69</v>
      </c>
      <c r="X1224" s="6">
        <v>71</v>
      </c>
      <c r="Y1224" s="6">
        <v>81</v>
      </c>
      <c r="Z1224" s="6">
        <v>79</v>
      </c>
      <c r="AA1224" s="6">
        <v>64</v>
      </c>
      <c r="AB1224" s="6">
        <v>70</v>
      </c>
      <c r="AC1224" s="6">
        <v>69</v>
      </c>
      <c r="AD1224" s="6">
        <v>62</v>
      </c>
      <c r="AE1224" s="6">
        <v>64</v>
      </c>
      <c r="AF1224" s="6">
        <v>67</v>
      </c>
      <c r="AG1224" s="6" t="s">
        <v>8100</v>
      </c>
      <c r="AH1224" s="6" t="s">
        <v>6623</v>
      </c>
    </row>
    <row r="1225" spans="1:34" x14ac:dyDescent="0.2">
      <c r="A1225" t="s">
        <v>4376</v>
      </c>
      <c r="B1225" t="s">
        <v>2639</v>
      </c>
      <c r="C1225" t="s">
        <v>61</v>
      </c>
      <c r="D1225" s="7" t="s">
        <v>156</v>
      </c>
      <c r="E1225" t="s">
        <v>38</v>
      </c>
      <c r="F1225">
        <v>27</v>
      </c>
      <c r="G1225">
        <v>86</v>
      </c>
      <c r="H1225">
        <v>70</v>
      </c>
      <c r="I1225" t="s">
        <v>6409</v>
      </c>
      <c r="J1225">
        <v>71</v>
      </c>
      <c r="K1225">
        <v>198</v>
      </c>
      <c r="L1225" t="s">
        <v>6070</v>
      </c>
      <c r="M1225" s="6" t="s">
        <v>6558</v>
      </c>
      <c r="N1225" s="6" t="s">
        <v>6583</v>
      </c>
      <c r="O1225" s="6">
        <v>76</v>
      </c>
      <c r="P1225" s="6">
        <v>76</v>
      </c>
      <c r="Q1225" s="6">
        <v>79</v>
      </c>
      <c r="R1225" s="6">
        <v>76</v>
      </c>
      <c r="S1225" s="6">
        <v>94</v>
      </c>
      <c r="T1225" s="6">
        <v>91</v>
      </c>
      <c r="U1225" s="6">
        <v>83</v>
      </c>
      <c r="V1225" s="6">
        <v>79</v>
      </c>
      <c r="W1225" s="6">
        <v>74</v>
      </c>
      <c r="X1225" s="6">
        <v>77</v>
      </c>
      <c r="Y1225" s="6">
        <v>82</v>
      </c>
      <c r="Z1225" s="6">
        <v>80</v>
      </c>
      <c r="AA1225" s="6">
        <v>77</v>
      </c>
      <c r="AB1225" s="6">
        <v>81</v>
      </c>
      <c r="AC1225" s="6">
        <v>79</v>
      </c>
      <c r="AD1225" s="6">
        <v>81</v>
      </c>
      <c r="AE1225" s="6">
        <v>65</v>
      </c>
      <c r="AF1225" s="6">
        <v>74</v>
      </c>
      <c r="AG1225" s="6" t="s">
        <v>8103</v>
      </c>
      <c r="AH1225" s="6" t="s">
        <v>7408</v>
      </c>
    </row>
    <row r="1226" spans="1:34" x14ac:dyDescent="0.2">
      <c r="A1226" t="s">
        <v>4378</v>
      </c>
      <c r="B1226" t="s">
        <v>2641</v>
      </c>
      <c r="C1226" t="s">
        <v>2882</v>
      </c>
      <c r="D1226" s="7" t="s">
        <v>156</v>
      </c>
      <c r="E1226" t="s">
        <v>38</v>
      </c>
      <c r="F1226">
        <v>22</v>
      </c>
      <c r="G1226">
        <v>77</v>
      </c>
      <c r="H1226">
        <v>70</v>
      </c>
      <c r="I1226" t="s">
        <v>6464</v>
      </c>
      <c r="J1226">
        <v>70</v>
      </c>
      <c r="K1226">
        <v>204</v>
      </c>
      <c r="L1226" t="s">
        <v>6072</v>
      </c>
      <c r="M1226" s="6" t="s">
        <v>6558</v>
      </c>
      <c r="N1226" s="6" t="s">
        <v>6565</v>
      </c>
      <c r="O1226" s="6">
        <v>77</v>
      </c>
      <c r="P1226" s="6">
        <v>66</v>
      </c>
      <c r="Q1226" s="6">
        <v>72</v>
      </c>
      <c r="R1226" s="6">
        <v>70</v>
      </c>
      <c r="S1226" s="6">
        <v>66</v>
      </c>
      <c r="T1226" s="6">
        <v>64</v>
      </c>
      <c r="U1226" s="6">
        <v>69</v>
      </c>
      <c r="V1226" s="6">
        <v>74</v>
      </c>
      <c r="W1226" s="6">
        <v>79</v>
      </c>
      <c r="X1226" s="6">
        <v>76</v>
      </c>
      <c r="Y1226" s="6">
        <v>68</v>
      </c>
      <c r="Z1226" s="6">
        <v>76</v>
      </c>
      <c r="AA1226" s="6">
        <v>71</v>
      </c>
      <c r="AB1226" s="6">
        <v>74</v>
      </c>
      <c r="AC1226" s="6">
        <v>64</v>
      </c>
      <c r="AD1226" s="6">
        <v>82</v>
      </c>
      <c r="AE1226" s="6">
        <v>75</v>
      </c>
      <c r="AF1226" s="6">
        <v>82</v>
      </c>
      <c r="AG1226" s="6" t="s">
        <v>8105</v>
      </c>
      <c r="AH1226" s="6" t="s">
        <v>6636</v>
      </c>
    </row>
    <row r="1227" spans="1:34" x14ac:dyDescent="0.2">
      <c r="A1227" t="s">
        <v>4381</v>
      </c>
      <c r="B1227" t="s">
        <v>2644</v>
      </c>
      <c r="C1227" t="s">
        <v>2883</v>
      </c>
      <c r="D1227" s="7" t="s">
        <v>156</v>
      </c>
      <c r="E1227" t="s">
        <v>38</v>
      </c>
      <c r="F1227">
        <v>29</v>
      </c>
      <c r="G1227">
        <v>76</v>
      </c>
      <c r="H1227">
        <v>70</v>
      </c>
      <c r="I1227" t="s">
        <v>6420</v>
      </c>
      <c r="J1227">
        <v>72</v>
      </c>
      <c r="K1227">
        <v>203</v>
      </c>
      <c r="L1227" t="s">
        <v>6075</v>
      </c>
      <c r="M1227" s="6" t="s">
        <v>6558</v>
      </c>
      <c r="N1227" s="6" t="s">
        <v>6559</v>
      </c>
      <c r="O1227" s="6">
        <v>73</v>
      </c>
      <c r="P1227" s="6">
        <v>80</v>
      </c>
      <c r="Q1227" s="6">
        <v>87</v>
      </c>
      <c r="R1227" s="6">
        <v>83</v>
      </c>
      <c r="S1227" s="6">
        <v>77</v>
      </c>
      <c r="T1227" s="6">
        <v>78</v>
      </c>
      <c r="U1227" s="6">
        <v>94</v>
      </c>
      <c r="V1227" s="6">
        <v>74</v>
      </c>
      <c r="W1227" s="6">
        <v>80</v>
      </c>
      <c r="X1227" s="6">
        <v>76</v>
      </c>
      <c r="Y1227" s="6">
        <v>73</v>
      </c>
      <c r="Z1227" s="6">
        <v>81</v>
      </c>
      <c r="AA1227" s="6">
        <v>78</v>
      </c>
      <c r="AB1227" s="6">
        <v>69</v>
      </c>
      <c r="AC1227" s="6">
        <v>73</v>
      </c>
      <c r="AD1227" s="6">
        <v>61</v>
      </c>
      <c r="AE1227" s="6">
        <v>72</v>
      </c>
      <c r="AF1227" s="6">
        <v>68</v>
      </c>
      <c r="AG1227" s="6" t="s">
        <v>8107</v>
      </c>
      <c r="AH1227" s="6" t="s">
        <v>6640</v>
      </c>
    </row>
    <row r="1228" spans="1:34" x14ac:dyDescent="0.2">
      <c r="A1228" t="s">
        <v>4384</v>
      </c>
      <c r="B1228" t="s">
        <v>2647</v>
      </c>
      <c r="C1228" t="s">
        <v>2884</v>
      </c>
      <c r="D1228" s="7" t="s">
        <v>156</v>
      </c>
      <c r="E1228" t="s">
        <v>38</v>
      </c>
      <c r="F1228">
        <v>26</v>
      </c>
      <c r="G1228">
        <v>62</v>
      </c>
      <c r="H1228">
        <v>70</v>
      </c>
      <c r="I1228" t="s">
        <v>6316</v>
      </c>
      <c r="J1228">
        <v>69</v>
      </c>
      <c r="K1228">
        <v>207</v>
      </c>
      <c r="L1228" t="s">
        <v>6078</v>
      </c>
      <c r="M1228" s="6" t="s">
        <v>6558</v>
      </c>
      <c r="N1228" s="6" t="s">
        <v>6567</v>
      </c>
      <c r="O1228" s="6">
        <v>77</v>
      </c>
      <c r="P1228" s="6">
        <v>75</v>
      </c>
      <c r="Q1228" s="6">
        <v>75</v>
      </c>
      <c r="R1228" s="6">
        <v>65</v>
      </c>
      <c r="S1228" s="6">
        <v>73</v>
      </c>
      <c r="T1228" s="6">
        <v>88</v>
      </c>
      <c r="U1228" s="6">
        <v>61</v>
      </c>
      <c r="V1228" s="6">
        <v>70</v>
      </c>
      <c r="W1228" s="6">
        <v>73</v>
      </c>
      <c r="X1228" s="6">
        <v>63</v>
      </c>
      <c r="Y1228" s="6">
        <v>71</v>
      </c>
      <c r="Z1228" s="6">
        <v>71</v>
      </c>
      <c r="AA1228" s="6">
        <v>68</v>
      </c>
      <c r="AB1228" s="6">
        <v>71</v>
      </c>
      <c r="AC1228" s="6">
        <v>68</v>
      </c>
      <c r="AD1228" s="6">
        <v>75</v>
      </c>
      <c r="AE1228" s="6">
        <v>70</v>
      </c>
      <c r="AF1228" s="6">
        <v>73</v>
      </c>
      <c r="AG1228" s="6" t="s">
        <v>8110</v>
      </c>
      <c r="AH1228" s="6" t="s">
        <v>7253</v>
      </c>
    </row>
    <row r="1229" spans="1:34" x14ac:dyDescent="0.2">
      <c r="A1229" t="s">
        <v>4389</v>
      </c>
      <c r="B1229" t="s">
        <v>2652</v>
      </c>
      <c r="C1229" t="s">
        <v>2890</v>
      </c>
      <c r="D1229" s="7" t="s">
        <v>156</v>
      </c>
      <c r="E1229" t="s">
        <v>58</v>
      </c>
      <c r="F1229">
        <v>26</v>
      </c>
      <c r="G1229">
        <v>66</v>
      </c>
      <c r="H1229">
        <v>70</v>
      </c>
      <c r="I1229" t="s">
        <v>6305</v>
      </c>
      <c r="J1229">
        <v>70</v>
      </c>
      <c r="K1229">
        <v>180</v>
      </c>
      <c r="L1229" t="s">
        <v>6083</v>
      </c>
      <c r="M1229" s="6" t="s">
        <v>6603</v>
      </c>
      <c r="N1229" s="6" t="s">
        <v>6583</v>
      </c>
      <c r="O1229" s="6">
        <v>76</v>
      </c>
      <c r="P1229" s="6">
        <v>68</v>
      </c>
      <c r="Q1229" s="6">
        <v>75</v>
      </c>
      <c r="R1229" s="6">
        <v>79</v>
      </c>
      <c r="S1229" s="6">
        <v>75</v>
      </c>
      <c r="T1229" s="6">
        <v>73</v>
      </c>
      <c r="U1229" s="6">
        <v>55</v>
      </c>
      <c r="V1229" s="6">
        <v>69</v>
      </c>
      <c r="W1229" s="6">
        <v>77</v>
      </c>
      <c r="X1229" s="6">
        <v>69</v>
      </c>
      <c r="Y1229" s="6">
        <v>69</v>
      </c>
      <c r="Z1229" s="6">
        <v>67</v>
      </c>
      <c r="AA1229" s="6">
        <v>64</v>
      </c>
      <c r="AB1229" s="6">
        <v>72</v>
      </c>
      <c r="AC1229" s="6">
        <v>74</v>
      </c>
      <c r="AD1229" s="6">
        <v>70</v>
      </c>
      <c r="AE1229" s="6">
        <v>65</v>
      </c>
      <c r="AF1229" s="6">
        <v>68</v>
      </c>
      <c r="AG1229" s="6" t="s">
        <v>8115</v>
      </c>
      <c r="AH1229" s="6" t="s">
        <v>6630</v>
      </c>
    </row>
    <row r="1230" spans="1:34" x14ac:dyDescent="0.2">
      <c r="A1230" t="s">
        <v>4392</v>
      </c>
      <c r="B1230" t="s">
        <v>2655</v>
      </c>
      <c r="C1230" t="s">
        <v>53</v>
      </c>
      <c r="D1230" s="7" t="s">
        <v>158</v>
      </c>
      <c r="E1230" t="s">
        <v>38</v>
      </c>
      <c r="F1230">
        <v>30</v>
      </c>
      <c r="G1230">
        <v>75</v>
      </c>
      <c r="H1230">
        <v>70</v>
      </c>
      <c r="I1230" t="s">
        <v>6368</v>
      </c>
      <c r="J1230">
        <v>74</v>
      </c>
      <c r="K1230">
        <v>213</v>
      </c>
      <c r="L1230" t="s">
        <v>6086</v>
      </c>
      <c r="M1230" s="6" t="s">
        <v>6558</v>
      </c>
      <c r="N1230" s="6" t="s">
        <v>6583</v>
      </c>
      <c r="O1230" s="6">
        <v>74</v>
      </c>
      <c r="P1230" s="6">
        <v>79</v>
      </c>
      <c r="Q1230" s="6">
        <v>77</v>
      </c>
      <c r="R1230" s="6">
        <v>77</v>
      </c>
      <c r="S1230" s="6">
        <v>80</v>
      </c>
      <c r="T1230" s="6">
        <v>74</v>
      </c>
      <c r="U1230" s="6">
        <v>73</v>
      </c>
      <c r="V1230" s="6">
        <v>84</v>
      </c>
      <c r="W1230" s="6">
        <v>82</v>
      </c>
      <c r="X1230" s="6">
        <v>72</v>
      </c>
      <c r="Y1230" s="6">
        <v>72</v>
      </c>
      <c r="Z1230" s="6">
        <v>77</v>
      </c>
      <c r="AA1230" s="6">
        <v>71</v>
      </c>
      <c r="AB1230" s="6">
        <v>71</v>
      </c>
      <c r="AC1230" s="6">
        <v>69</v>
      </c>
      <c r="AD1230" s="6">
        <v>79</v>
      </c>
      <c r="AE1230" s="6">
        <v>69</v>
      </c>
      <c r="AF1230" s="6">
        <v>73</v>
      </c>
      <c r="AG1230" s="6" t="s">
        <v>8118</v>
      </c>
      <c r="AH1230" s="6" t="s">
        <v>7041</v>
      </c>
    </row>
    <row r="1231" spans="1:34" x14ac:dyDescent="0.2">
      <c r="A1231" t="s">
        <v>4395</v>
      </c>
      <c r="B1231" t="s">
        <v>2658</v>
      </c>
      <c r="C1231" t="s">
        <v>53</v>
      </c>
      <c r="D1231" s="7" t="s">
        <v>158</v>
      </c>
      <c r="E1231" t="s">
        <v>38</v>
      </c>
      <c r="F1231">
        <v>29</v>
      </c>
      <c r="G1231">
        <v>72</v>
      </c>
      <c r="H1231">
        <v>70</v>
      </c>
      <c r="I1231" t="s">
        <v>6466</v>
      </c>
      <c r="J1231">
        <v>76</v>
      </c>
      <c r="K1231">
        <v>210</v>
      </c>
      <c r="L1231" t="s">
        <v>6089</v>
      </c>
      <c r="M1231" s="6" t="s">
        <v>6558</v>
      </c>
      <c r="N1231" s="6" t="s">
        <v>6583</v>
      </c>
      <c r="O1231" s="6">
        <v>90</v>
      </c>
      <c r="P1231" s="6">
        <v>77</v>
      </c>
      <c r="Q1231" s="6">
        <v>73</v>
      </c>
      <c r="R1231" s="6">
        <v>79</v>
      </c>
      <c r="S1231" s="6">
        <v>80</v>
      </c>
      <c r="T1231" s="6">
        <v>79</v>
      </c>
      <c r="U1231" s="6">
        <v>74</v>
      </c>
      <c r="V1231" s="6">
        <v>80</v>
      </c>
      <c r="W1231" s="6">
        <v>89</v>
      </c>
      <c r="X1231" s="6">
        <v>78</v>
      </c>
      <c r="Y1231" s="6">
        <v>81</v>
      </c>
      <c r="Z1231" s="6">
        <v>77</v>
      </c>
      <c r="AA1231" s="6">
        <v>74</v>
      </c>
      <c r="AB1231" s="6">
        <v>76</v>
      </c>
      <c r="AC1231" s="6">
        <v>68</v>
      </c>
      <c r="AD1231" s="6">
        <v>70</v>
      </c>
      <c r="AE1231" s="6">
        <v>71</v>
      </c>
      <c r="AF1231" s="6">
        <v>78</v>
      </c>
      <c r="AG1231" s="6" t="s">
        <v>8120</v>
      </c>
      <c r="AH1231" s="6" t="s">
        <v>7149</v>
      </c>
    </row>
    <row r="1232" spans="1:34" x14ac:dyDescent="0.2">
      <c r="A1232" t="s">
        <v>4397</v>
      </c>
      <c r="B1232" t="s">
        <v>2660</v>
      </c>
      <c r="C1232" t="s">
        <v>2870</v>
      </c>
      <c r="D1232" s="7" t="s">
        <v>158</v>
      </c>
      <c r="E1232" t="s">
        <v>38</v>
      </c>
      <c r="F1232">
        <v>28</v>
      </c>
      <c r="G1232">
        <v>75</v>
      </c>
      <c r="H1232">
        <v>70</v>
      </c>
      <c r="I1232" t="s">
        <v>6396</v>
      </c>
      <c r="J1232">
        <v>70</v>
      </c>
      <c r="K1232">
        <v>214</v>
      </c>
      <c r="L1232" t="s">
        <v>6091</v>
      </c>
      <c r="M1232" s="6" t="s">
        <v>6558</v>
      </c>
      <c r="N1232" s="6" t="s">
        <v>6565</v>
      </c>
      <c r="O1232" s="6">
        <v>73</v>
      </c>
      <c r="P1232" s="6">
        <v>83</v>
      </c>
      <c r="Q1232" s="6">
        <v>75</v>
      </c>
      <c r="R1232" s="6">
        <v>74</v>
      </c>
      <c r="S1232" s="6">
        <v>78</v>
      </c>
      <c r="T1232" s="6">
        <v>75</v>
      </c>
      <c r="U1232" s="6">
        <v>93</v>
      </c>
      <c r="V1232" s="6">
        <v>73</v>
      </c>
      <c r="W1232" s="6">
        <v>81</v>
      </c>
      <c r="X1232" s="6">
        <v>77</v>
      </c>
      <c r="Y1232" s="6">
        <v>78</v>
      </c>
      <c r="Z1232" s="6">
        <v>80</v>
      </c>
      <c r="AA1232" s="6">
        <v>71</v>
      </c>
      <c r="AB1232" s="6">
        <v>76</v>
      </c>
      <c r="AC1232" s="6">
        <v>69</v>
      </c>
      <c r="AD1232" s="6">
        <v>70</v>
      </c>
      <c r="AE1232" s="6">
        <v>73</v>
      </c>
      <c r="AF1232" s="6">
        <v>69</v>
      </c>
      <c r="AG1232" s="6" t="s">
        <v>8122</v>
      </c>
      <c r="AH1232" s="6" t="s">
        <v>6656</v>
      </c>
    </row>
    <row r="1233" spans="1:34" x14ac:dyDescent="0.2">
      <c r="A1233" t="s">
        <v>4398</v>
      </c>
      <c r="B1233" t="s">
        <v>2661</v>
      </c>
      <c r="C1233" t="s">
        <v>2870</v>
      </c>
      <c r="D1233" s="7" t="s">
        <v>158</v>
      </c>
      <c r="E1233" t="s">
        <v>58</v>
      </c>
      <c r="F1233">
        <v>25</v>
      </c>
      <c r="G1233">
        <v>75</v>
      </c>
      <c r="H1233">
        <v>70</v>
      </c>
      <c r="I1233" t="s">
        <v>6318</v>
      </c>
      <c r="J1233">
        <v>68</v>
      </c>
      <c r="K1233">
        <v>210</v>
      </c>
      <c r="L1233" t="s">
        <v>6092</v>
      </c>
      <c r="M1233" s="6" t="s">
        <v>6558</v>
      </c>
      <c r="N1233" s="6" t="s">
        <v>6567</v>
      </c>
      <c r="O1233" s="6">
        <v>75</v>
      </c>
      <c r="P1233" s="6">
        <v>75</v>
      </c>
      <c r="Q1233" s="6">
        <v>72</v>
      </c>
      <c r="R1233" s="6">
        <v>68</v>
      </c>
      <c r="S1233" s="6">
        <v>72</v>
      </c>
      <c r="T1233" s="6">
        <v>72</v>
      </c>
      <c r="U1233" s="6">
        <v>81</v>
      </c>
      <c r="V1233" s="6">
        <v>70</v>
      </c>
      <c r="W1233" s="6">
        <v>82</v>
      </c>
      <c r="X1233" s="6">
        <v>73</v>
      </c>
      <c r="Y1233" s="6">
        <v>71</v>
      </c>
      <c r="Z1233" s="6">
        <v>72</v>
      </c>
      <c r="AA1233" s="6">
        <v>71</v>
      </c>
      <c r="AB1233" s="6">
        <v>70</v>
      </c>
      <c r="AC1233" s="6">
        <v>74</v>
      </c>
      <c r="AD1233" s="6">
        <v>78</v>
      </c>
      <c r="AE1233" s="6">
        <v>69</v>
      </c>
      <c r="AF1233" s="6">
        <v>76</v>
      </c>
      <c r="AG1233" s="6" t="s">
        <v>8123</v>
      </c>
      <c r="AH1233" s="6" t="s">
        <v>6885</v>
      </c>
    </row>
    <row r="1234" spans="1:34" x14ac:dyDescent="0.2">
      <c r="A1234" t="s">
        <v>4399</v>
      </c>
      <c r="B1234" t="s">
        <v>2662</v>
      </c>
      <c r="C1234" t="s">
        <v>2870</v>
      </c>
      <c r="D1234" s="7" t="s">
        <v>158</v>
      </c>
      <c r="E1234" t="s">
        <v>38</v>
      </c>
      <c r="F1234">
        <v>25</v>
      </c>
      <c r="G1234">
        <v>74</v>
      </c>
      <c r="H1234">
        <v>70</v>
      </c>
      <c r="I1234" t="s">
        <v>6419</v>
      </c>
      <c r="J1234">
        <v>70</v>
      </c>
      <c r="K1234">
        <v>210</v>
      </c>
      <c r="L1234" t="s">
        <v>6093</v>
      </c>
      <c r="M1234" s="6" t="s">
        <v>6603</v>
      </c>
      <c r="N1234" s="6" t="s">
        <v>6567</v>
      </c>
      <c r="O1234" s="6">
        <v>73</v>
      </c>
      <c r="P1234" s="6">
        <v>70</v>
      </c>
      <c r="Q1234" s="6">
        <v>76</v>
      </c>
      <c r="R1234" s="6">
        <v>67</v>
      </c>
      <c r="S1234" s="6">
        <v>79</v>
      </c>
      <c r="T1234" s="6">
        <v>68</v>
      </c>
      <c r="U1234" s="6">
        <v>54</v>
      </c>
      <c r="V1234" s="6">
        <v>75</v>
      </c>
      <c r="W1234" s="6">
        <v>63</v>
      </c>
      <c r="X1234" s="6">
        <v>76</v>
      </c>
      <c r="Y1234" s="6">
        <v>78</v>
      </c>
      <c r="Z1234" s="6">
        <v>76</v>
      </c>
      <c r="AA1234" s="6">
        <v>73</v>
      </c>
      <c r="AB1234" s="6">
        <v>75</v>
      </c>
      <c r="AC1234" s="6">
        <v>64</v>
      </c>
      <c r="AD1234" s="6">
        <v>74</v>
      </c>
      <c r="AE1234" s="6">
        <v>73</v>
      </c>
      <c r="AF1234" s="6">
        <v>73</v>
      </c>
      <c r="AG1234" s="6" t="s">
        <v>8124</v>
      </c>
      <c r="AH1234" s="6" t="s">
        <v>6887</v>
      </c>
    </row>
    <row r="1235" spans="1:34" x14ac:dyDescent="0.2">
      <c r="A1235" t="s">
        <v>4402</v>
      </c>
      <c r="B1235" t="s">
        <v>2665</v>
      </c>
      <c r="C1235" t="s">
        <v>57</v>
      </c>
      <c r="D1235" s="7" t="s">
        <v>158</v>
      </c>
      <c r="E1235" t="s">
        <v>38</v>
      </c>
      <c r="F1235">
        <v>22</v>
      </c>
      <c r="G1235">
        <v>78</v>
      </c>
      <c r="H1235">
        <v>70</v>
      </c>
      <c r="I1235" t="s">
        <v>59</v>
      </c>
      <c r="J1235">
        <v>75</v>
      </c>
      <c r="K1235">
        <v>219</v>
      </c>
      <c r="L1235" t="s">
        <v>6096</v>
      </c>
      <c r="M1235" s="6" t="s">
        <v>6558</v>
      </c>
      <c r="N1235" s="6" t="s">
        <v>6567</v>
      </c>
      <c r="O1235" s="6">
        <v>77</v>
      </c>
      <c r="P1235" s="6">
        <v>78</v>
      </c>
      <c r="Q1235" s="6">
        <v>68</v>
      </c>
      <c r="R1235" s="6">
        <v>63</v>
      </c>
      <c r="S1235" s="6">
        <v>71</v>
      </c>
      <c r="T1235" s="6">
        <v>71</v>
      </c>
      <c r="U1235" s="6">
        <v>65</v>
      </c>
      <c r="V1235" s="6">
        <v>72</v>
      </c>
      <c r="W1235" s="6">
        <v>75</v>
      </c>
      <c r="X1235" s="6">
        <v>69</v>
      </c>
      <c r="Y1235" s="6">
        <v>75</v>
      </c>
      <c r="Z1235" s="6">
        <v>67</v>
      </c>
      <c r="AA1235" s="6">
        <v>74</v>
      </c>
      <c r="AB1235" s="6">
        <v>71</v>
      </c>
      <c r="AC1235" s="6">
        <v>74</v>
      </c>
      <c r="AD1235" s="6">
        <v>73</v>
      </c>
      <c r="AE1235" s="6">
        <v>71</v>
      </c>
      <c r="AF1235" s="6">
        <v>77</v>
      </c>
      <c r="AG1235" s="6" t="s">
        <v>8127</v>
      </c>
      <c r="AH1235" s="6" t="s">
        <v>6664</v>
      </c>
    </row>
    <row r="1236" spans="1:34" x14ac:dyDescent="0.2">
      <c r="A1236" t="s">
        <v>4404</v>
      </c>
      <c r="B1236" t="s">
        <v>2667</v>
      </c>
      <c r="C1236" t="s">
        <v>57</v>
      </c>
      <c r="D1236" s="7" t="s">
        <v>158</v>
      </c>
      <c r="E1236" t="s">
        <v>38</v>
      </c>
      <c r="F1236">
        <v>29</v>
      </c>
      <c r="G1236">
        <v>72</v>
      </c>
      <c r="H1236">
        <v>70</v>
      </c>
      <c r="I1236" t="s">
        <v>6338</v>
      </c>
      <c r="J1236">
        <v>69</v>
      </c>
      <c r="K1236">
        <v>217</v>
      </c>
      <c r="L1236" t="s">
        <v>6098</v>
      </c>
      <c r="M1236" s="6" t="s">
        <v>6558</v>
      </c>
      <c r="N1236" s="6" t="s">
        <v>6567</v>
      </c>
      <c r="O1236" s="6">
        <v>80</v>
      </c>
      <c r="P1236" s="6">
        <v>74</v>
      </c>
      <c r="Q1236" s="6">
        <v>76</v>
      </c>
      <c r="R1236" s="6">
        <v>69</v>
      </c>
      <c r="S1236" s="6">
        <v>78</v>
      </c>
      <c r="T1236" s="6">
        <v>71</v>
      </c>
      <c r="U1236" s="6">
        <v>84</v>
      </c>
      <c r="V1236" s="6">
        <v>75</v>
      </c>
      <c r="W1236" s="6">
        <v>79</v>
      </c>
      <c r="X1236" s="6">
        <v>66</v>
      </c>
      <c r="Y1236" s="6">
        <v>80</v>
      </c>
      <c r="Z1236" s="6">
        <v>78</v>
      </c>
      <c r="AA1236" s="6">
        <v>70</v>
      </c>
      <c r="AB1236" s="6">
        <v>75</v>
      </c>
      <c r="AC1236" s="6">
        <v>59</v>
      </c>
      <c r="AD1236" s="6">
        <v>82</v>
      </c>
      <c r="AE1236" s="6">
        <v>66</v>
      </c>
      <c r="AF1236" s="6">
        <v>70</v>
      </c>
      <c r="AG1236" s="6" t="s">
        <v>8129</v>
      </c>
      <c r="AH1236" s="6" t="s">
        <v>6670</v>
      </c>
    </row>
    <row r="1237" spans="1:34" x14ac:dyDescent="0.2">
      <c r="A1237" t="s">
        <v>4405</v>
      </c>
      <c r="B1237" t="s">
        <v>2668</v>
      </c>
      <c r="C1237" t="s">
        <v>57</v>
      </c>
      <c r="D1237" s="7" t="s">
        <v>158</v>
      </c>
      <c r="E1237" t="s">
        <v>38</v>
      </c>
      <c r="F1237">
        <v>28</v>
      </c>
      <c r="G1237">
        <v>64</v>
      </c>
      <c r="H1237">
        <v>70</v>
      </c>
      <c r="I1237" t="s">
        <v>6456</v>
      </c>
      <c r="J1237">
        <v>72</v>
      </c>
      <c r="K1237">
        <v>195</v>
      </c>
      <c r="L1237" t="s">
        <v>6099</v>
      </c>
      <c r="M1237" s="6" t="s">
        <v>6558</v>
      </c>
      <c r="N1237" s="6" t="s">
        <v>6567</v>
      </c>
      <c r="O1237" s="6">
        <v>70</v>
      </c>
      <c r="P1237" s="6">
        <v>72</v>
      </c>
      <c r="Q1237" s="6">
        <v>72</v>
      </c>
      <c r="R1237" s="6">
        <v>67</v>
      </c>
      <c r="S1237" s="6">
        <v>72</v>
      </c>
      <c r="T1237" s="6">
        <v>71</v>
      </c>
      <c r="U1237" s="6">
        <v>75</v>
      </c>
      <c r="V1237" s="6">
        <v>63</v>
      </c>
      <c r="W1237" s="6">
        <v>62</v>
      </c>
      <c r="X1237" s="6">
        <v>69</v>
      </c>
      <c r="Y1237" s="6">
        <v>81</v>
      </c>
      <c r="Z1237" s="6">
        <v>68</v>
      </c>
      <c r="AA1237" s="6">
        <v>63</v>
      </c>
      <c r="AB1237" s="6">
        <v>74</v>
      </c>
      <c r="AC1237" s="6">
        <v>70</v>
      </c>
      <c r="AD1237" s="6">
        <v>75</v>
      </c>
      <c r="AE1237" s="6">
        <v>68</v>
      </c>
      <c r="AF1237" s="6">
        <v>71</v>
      </c>
      <c r="AG1237" s="6" t="s">
        <v>8130</v>
      </c>
      <c r="AH1237" s="6" t="s">
        <v>6658</v>
      </c>
    </row>
    <row r="1238" spans="1:34" x14ac:dyDescent="0.2">
      <c r="A1238" t="s">
        <v>4408</v>
      </c>
      <c r="B1238" t="s">
        <v>2671</v>
      </c>
      <c r="C1238" t="s">
        <v>2871</v>
      </c>
      <c r="D1238" s="7" t="s">
        <v>158</v>
      </c>
      <c r="E1238" t="s">
        <v>38</v>
      </c>
      <c r="F1238">
        <v>24</v>
      </c>
      <c r="G1238">
        <v>69</v>
      </c>
      <c r="H1238">
        <v>70</v>
      </c>
      <c r="I1238" t="s">
        <v>6466</v>
      </c>
      <c r="J1238">
        <v>74</v>
      </c>
      <c r="K1238">
        <v>240</v>
      </c>
      <c r="L1238" t="s">
        <v>6102</v>
      </c>
      <c r="M1238" s="6" t="s">
        <v>6558</v>
      </c>
      <c r="N1238" s="6" t="s">
        <v>6567</v>
      </c>
      <c r="O1238" s="6">
        <v>78</v>
      </c>
      <c r="P1238" s="6">
        <v>70</v>
      </c>
      <c r="Q1238" s="6">
        <v>59</v>
      </c>
      <c r="R1238" s="6">
        <v>68</v>
      </c>
      <c r="S1238" s="6">
        <v>70</v>
      </c>
      <c r="T1238" s="6">
        <v>64</v>
      </c>
      <c r="U1238" s="6">
        <v>69</v>
      </c>
      <c r="V1238" s="6">
        <v>66</v>
      </c>
      <c r="W1238" s="6">
        <v>64</v>
      </c>
      <c r="X1238" s="6">
        <v>70</v>
      </c>
      <c r="Y1238" s="6">
        <v>83</v>
      </c>
      <c r="Z1238" s="6">
        <v>66</v>
      </c>
      <c r="AA1238" s="6">
        <v>71</v>
      </c>
      <c r="AB1238" s="6">
        <v>71</v>
      </c>
      <c r="AC1238" s="6">
        <v>75</v>
      </c>
      <c r="AD1238" s="6">
        <v>67</v>
      </c>
      <c r="AE1238" s="6">
        <v>68</v>
      </c>
      <c r="AF1238" s="6">
        <v>69</v>
      </c>
      <c r="AG1238" s="6" t="s">
        <v>8132</v>
      </c>
      <c r="AH1238" s="6" t="s">
        <v>6587</v>
      </c>
    </row>
    <row r="1239" spans="1:34" x14ac:dyDescent="0.2">
      <c r="A1239" t="s">
        <v>4409</v>
      </c>
      <c r="B1239" t="s">
        <v>2672</v>
      </c>
      <c r="C1239" t="s">
        <v>2871</v>
      </c>
      <c r="D1239" s="7" t="s">
        <v>158</v>
      </c>
      <c r="E1239" t="s">
        <v>38</v>
      </c>
      <c r="F1239">
        <v>26</v>
      </c>
      <c r="G1239">
        <v>68</v>
      </c>
      <c r="H1239">
        <v>70</v>
      </c>
      <c r="I1239" t="s">
        <v>6342</v>
      </c>
      <c r="J1239">
        <v>77</v>
      </c>
      <c r="K1239">
        <v>259</v>
      </c>
      <c r="L1239" t="s">
        <v>6103</v>
      </c>
      <c r="M1239" s="6" t="s">
        <v>6558</v>
      </c>
      <c r="N1239" s="6" t="s">
        <v>6583</v>
      </c>
      <c r="O1239" s="6">
        <v>64</v>
      </c>
      <c r="P1239" s="6">
        <v>83</v>
      </c>
      <c r="Q1239" s="6">
        <v>70</v>
      </c>
      <c r="R1239" s="6">
        <v>76</v>
      </c>
      <c r="S1239" s="6">
        <v>67</v>
      </c>
      <c r="T1239" s="6">
        <v>72</v>
      </c>
      <c r="U1239" s="6">
        <v>68</v>
      </c>
      <c r="V1239" s="6">
        <v>70</v>
      </c>
      <c r="W1239" s="6">
        <v>67</v>
      </c>
      <c r="X1239" s="6">
        <v>72</v>
      </c>
      <c r="Y1239" s="6">
        <v>72</v>
      </c>
      <c r="Z1239" s="6">
        <v>66</v>
      </c>
      <c r="AA1239" s="6">
        <v>80</v>
      </c>
      <c r="AB1239" s="6">
        <v>74</v>
      </c>
      <c r="AC1239" s="6">
        <v>65</v>
      </c>
      <c r="AD1239" s="6">
        <v>63</v>
      </c>
      <c r="AE1239" s="6">
        <v>68</v>
      </c>
      <c r="AF1239" s="6">
        <v>73</v>
      </c>
      <c r="AG1239" s="6" t="s">
        <v>8133</v>
      </c>
      <c r="AH1239" s="6" t="s">
        <v>6587</v>
      </c>
    </row>
    <row r="1240" spans="1:34" x14ac:dyDescent="0.2">
      <c r="A1240" t="s">
        <v>4411</v>
      </c>
      <c r="B1240" t="s">
        <v>2674</v>
      </c>
      <c r="C1240" t="s">
        <v>2871</v>
      </c>
      <c r="D1240" s="7" t="s">
        <v>158</v>
      </c>
      <c r="E1240" t="s">
        <v>58</v>
      </c>
      <c r="F1240">
        <v>27</v>
      </c>
      <c r="G1240">
        <v>58</v>
      </c>
      <c r="H1240">
        <v>70</v>
      </c>
      <c r="I1240" t="s">
        <v>6323</v>
      </c>
      <c r="J1240">
        <v>76</v>
      </c>
      <c r="K1240">
        <v>251</v>
      </c>
      <c r="L1240" t="s">
        <v>6105</v>
      </c>
      <c r="M1240" s="6" t="s">
        <v>6558</v>
      </c>
      <c r="N1240" s="6" t="s">
        <v>6567</v>
      </c>
      <c r="O1240" s="6">
        <v>78</v>
      </c>
      <c r="P1240" s="6">
        <v>72</v>
      </c>
      <c r="Q1240" s="6">
        <v>75</v>
      </c>
      <c r="R1240" s="6">
        <v>69</v>
      </c>
      <c r="S1240" s="6">
        <v>68</v>
      </c>
      <c r="T1240" s="6">
        <v>69</v>
      </c>
      <c r="U1240" s="6">
        <v>70</v>
      </c>
      <c r="V1240" s="6">
        <v>71</v>
      </c>
      <c r="W1240" s="6">
        <v>64</v>
      </c>
      <c r="X1240" s="6">
        <v>70</v>
      </c>
      <c r="Y1240" s="6">
        <v>68</v>
      </c>
      <c r="Z1240" s="6">
        <v>69</v>
      </c>
      <c r="AA1240" s="6">
        <v>71</v>
      </c>
      <c r="AB1240" s="6">
        <v>75</v>
      </c>
      <c r="AC1240" s="6">
        <v>67</v>
      </c>
      <c r="AD1240" s="6">
        <v>70</v>
      </c>
      <c r="AE1240" s="6">
        <v>65</v>
      </c>
      <c r="AF1240" s="6">
        <v>67</v>
      </c>
      <c r="AG1240" s="6" t="s">
        <v>7710</v>
      </c>
      <c r="AH1240" s="6" t="s">
        <v>6737</v>
      </c>
    </row>
    <row r="1241" spans="1:34" x14ac:dyDescent="0.2">
      <c r="A1241" t="s">
        <v>4415</v>
      </c>
      <c r="B1241" t="s">
        <v>2678</v>
      </c>
      <c r="C1241" t="s">
        <v>2874</v>
      </c>
      <c r="D1241" s="7" t="s">
        <v>158</v>
      </c>
      <c r="E1241" t="s">
        <v>38</v>
      </c>
      <c r="F1241">
        <v>28</v>
      </c>
      <c r="G1241">
        <v>80</v>
      </c>
      <c r="H1241">
        <v>70</v>
      </c>
      <c r="I1241" t="s">
        <v>6428</v>
      </c>
      <c r="J1241">
        <v>75</v>
      </c>
      <c r="K1241">
        <v>319</v>
      </c>
      <c r="L1241" t="s">
        <v>6109</v>
      </c>
      <c r="M1241" s="6" t="s">
        <v>6558</v>
      </c>
      <c r="N1241" s="6" t="s">
        <v>6567</v>
      </c>
      <c r="O1241" s="6">
        <v>80</v>
      </c>
      <c r="P1241" s="6">
        <v>74</v>
      </c>
      <c r="Q1241" s="6">
        <v>83</v>
      </c>
      <c r="R1241" s="6">
        <v>67</v>
      </c>
      <c r="S1241" s="6">
        <v>78</v>
      </c>
      <c r="T1241" s="6">
        <v>71</v>
      </c>
      <c r="U1241" s="6">
        <v>84</v>
      </c>
      <c r="V1241" s="6">
        <v>75</v>
      </c>
      <c r="W1241" s="6">
        <v>61</v>
      </c>
      <c r="X1241" s="6">
        <v>77</v>
      </c>
      <c r="Y1241" s="6">
        <v>81</v>
      </c>
      <c r="Z1241" s="6">
        <v>77</v>
      </c>
      <c r="AA1241" s="6">
        <v>77</v>
      </c>
      <c r="AB1241" s="6">
        <v>65</v>
      </c>
      <c r="AC1241" s="6">
        <v>64</v>
      </c>
      <c r="AD1241" s="6">
        <v>86</v>
      </c>
      <c r="AE1241" s="6">
        <v>69</v>
      </c>
      <c r="AF1241" s="6">
        <v>80</v>
      </c>
      <c r="AG1241" s="6" t="s">
        <v>8138</v>
      </c>
      <c r="AH1241" s="6" t="s">
        <v>6598</v>
      </c>
    </row>
    <row r="1242" spans="1:34" x14ac:dyDescent="0.2">
      <c r="A1242" t="s">
        <v>4416</v>
      </c>
      <c r="B1242" t="s">
        <v>2679</v>
      </c>
      <c r="C1242" t="s">
        <v>2874</v>
      </c>
      <c r="D1242" s="7" t="s">
        <v>158</v>
      </c>
      <c r="E1242" t="s">
        <v>38</v>
      </c>
      <c r="F1242">
        <v>29</v>
      </c>
      <c r="G1242">
        <v>76</v>
      </c>
      <c r="H1242">
        <v>70</v>
      </c>
      <c r="I1242" t="s">
        <v>6404</v>
      </c>
      <c r="J1242">
        <v>75</v>
      </c>
      <c r="K1242">
        <v>316</v>
      </c>
      <c r="L1242" t="s">
        <v>6110</v>
      </c>
      <c r="M1242" s="6" t="s">
        <v>6558</v>
      </c>
      <c r="N1242" s="6" t="s">
        <v>6567</v>
      </c>
      <c r="O1242" s="6">
        <v>74</v>
      </c>
      <c r="P1242" s="6">
        <v>68</v>
      </c>
      <c r="Q1242" s="6">
        <v>71</v>
      </c>
      <c r="R1242" s="6">
        <v>67</v>
      </c>
      <c r="S1242" s="6">
        <v>73</v>
      </c>
      <c r="T1242" s="6">
        <v>66</v>
      </c>
      <c r="U1242" s="6">
        <v>70</v>
      </c>
      <c r="V1242" s="6">
        <v>71</v>
      </c>
      <c r="W1242" s="6">
        <v>72</v>
      </c>
      <c r="X1242" s="6">
        <v>73</v>
      </c>
      <c r="Y1242" s="6">
        <v>67</v>
      </c>
      <c r="Z1242" s="6">
        <v>75</v>
      </c>
      <c r="AA1242" s="6">
        <v>64</v>
      </c>
      <c r="AB1242" s="6">
        <v>64</v>
      </c>
      <c r="AC1242" s="6">
        <v>62</v>
      </c>
      <c r="AD1242" s="6">
        <v>69</v>
      </c>
      <c r="AE1242" s="6">
        <v>67</v>
      </c>
      <c r="AF1242" s="6">
        <v>70</v>
      </c>
      <c r="AG1242" s="6" t="s">
        <v>8139</v>
      </c>
      <c r="AH1242" s="6" t="s">
        <v>6598</v>
      </c>
    </row>
    <row r="1243" spans="1:34" x14ac:dyDescent="0.2">
      <c r="A1243" t="s">
        <v>4417</v>
      </c>
      <c r="B1243" t="s">
        <v>2680</v>
      </c>
      <c r="C1243" t="s">
        <v>2874</v>
      </c>
      <c r="D1243" s="7" t="s">
        <v>158</v>
      </c>
      <c r="E1243" t="s">
        <v>58</v>
      </c>
      <c r="F1243">
        <v>33</v>
      </c>
      <c r="G1243">
        <v>70</v>
      </c>
      <c r="H1243">
        <v>70</v>
      </c>
      <c r="I1243" t="s">
        <v>6309</v>
      </c>
      <c r="J1243">
        <v>75</v>
      </c>
      <c r="K1243">
        <v>333</v>
      </c>
      <c r="L1243" t="s">
        <v>6111</v>
      </c>
      <c r="M1243" s="6" t="s">
        <v>6558</v>
      </c>
      <c r="N1243" s="6" t="s">
        <v>6567</v>
      </c>
      <c r="O1243" s="6">
        <v>62</v>
      </c>
      <c r="P1243" s="6">
        <v>71</v>
      </c>
      <c r="Q1243" s="6">
        <v>75</v>
      </c>
      <c r="R1243" s="6">
        <v>63</v>
      </c>
      <c r="S1243" s="6">
        <v>72</v>
      </c>
      <c r="T1243" s="6">
        <v>65</v>
      </c>
      <c r="U1243" s="6">
        <v>65</v>
      </c>
      <c r="V1243" s="6">
        <v>76</v>
      </c>
      <c r="W1243" s="6">
        <v>65</v>
      </c>
      <c r="X1243" s="6">
        <v>65</v>
      </c>
      <c r="Y1243" s="6">
        <v>70</v>
      </c>
      <c r="Z1243" s="6">
        <v>72</v>
      </c>
      <c r="AA1243" s="6">
        <v>61</v>
      </c>
      <c r="AB1243" s="6">
        <v>55</v>
      </c>
      <c r="AC1243" s="6">
        <v>61</v>
      </c>
      <c r="AD1243" s="6">
        <v>58</v>
      </c>
      <c r="AE1243" s="6">
        <v>55</v>
      </c>
      <c r="AF1243" s="6">
        <v>63</v>
      </c>
      <c r="AG1243" s="6" t="s">
        <v>8140</v>
      </c>
      <c r="AH1243" s="6" t="s">
        <v>6598</v>
      </c>
    </row>
    <row r="1244" spans="1:34" x14ac:dyDescent="0.2">
      <c r="A1244" t="s">
        <v>4420</v>
      </c>
      <c r="B1244" t="s">
        <v>2683</v>
      </c>
      <c r="C1244" t="s">
        <v>2876</v>
      </c>
      <c r="D1244" s="7" t="s">
        <v>158</v>
      </c>
      <c r="E1244" t="s">
        <v>38</v>
      </c>
      <c r="F1244">
        <v>28</v>
      </c>
      <c r="G1244">
        <v>59</v>
      </c>
      <c r="H1244">
        <v>70</v>
      </c>
      <c r="I1244" t="s">
        <v>6463</v>
      </c>
      <c r="J1244">
        <v>74</v>
      </c>
      <c r="K1244">
        <v>307</v>
      </c>
      <c r="L1244" t="s">
        <v>6114</v>
      </c>
      <c r="M1244" s="6" t="s">
        <v>6558</v>
      </c>
      <c r="N1244" s="6" t="s">
        <v>6583</v>
      </c>
      <c r="O1244" s="6">
        <v>75</v>
      </c>
      <c r="P1244" s="6">
        <v>62</v>
      </c>
      <c r="Q1244" s="6">
        <v>59</v>
      </c>
      <c r="R1244" s="6">
        <v>77</v>
      </c>
      <c r="S1244" s="6">
        <v>69</v>
      </c>
      <c r="T1244" s="6">
        <v>68</v>
      </c>
      <c r="U1244" s="6">
        <v>85</v>
      </c>
      <c r="V1244" s="6">
        <v>84</v>
      </c>
      <c r="W1244" s="6">
        <v>72</v>
      </c>
      <c r="X1244" s="6">
        <v>59</v>
      </c>
      <c r="Y1244" s="6">
        <v>73</v>
      </c>
      <c r="Z1244" s="6">
        <v>73</v>
      </c>
      <c r="AA1244" s="6">
        <v>70</v>
      </c>
      <c r="AB1244" s="6">
        <v>66</v>
      </c>
      <c r="AC1244" s="6">
        <v>71</v>
      </c>
      <c r="AD1244" s="6">
        <v>76</v>
      </c>
      <c r="AE1244" s="6">
        <v>59</v>
      </c>
      <c r="AF1244" s="6">
        <v>67</v>
      </c>
      <c r="AG1244" s="6" t="s">
        <v>8143</v>
      </c>
      <c r="AH1244" s="6" t="s">
        <v>6674</v>
      </c>
    </row>
    <row r="1245" spans="1:34" x14ac:dyDescent="0.2">
      <c r="A1245" t="s">
        <v>4421</v>
      </c>
      <c r="B1245" t="s">
        <v>2684</v>
      </c>
      <c r="C1245" t="s">
        <v>2878</v>
      </c>
      <c r="D1245" s="7" t="s">
        <v>158</v>
      </c>
      <c r="E1245" t="s">
        <v>38</v>
      </c>
      <c r="F1245">
        <v>28</v>
      </c>
      <c r="G1245">
        <v>84</v>
      </c>
      <c r="H1245">
        <v>70</v>
      </c>
      <c r="I1245" t="s">
        <v>6343</v>
      </c>
      <c r="J1245">
        <v>77</v>
      </c>
      <c r="K1245">
        <v>273</v>
      </c>
      <c r="L1245" t="s">
        <v>6115</v>
      </c>
      <c r="M1245" s="6" t="s">
        <v>6558</v>
      </c>
      <c r="N1245" s="6" t="s">
        <v>6565</v>
      </c>
      <c r="O1245" s="6">
        <v>80</v>
      </c>
      <c r="P1245" s="6">
        <v>83</v>
      </c>
      <c r="Q1245" s="6">
        <v>79</v>
      </c>
      <c r="R1245" s="6">
        <v>73</v>
      </c>
      <c r="S1245" s="6">
        <v>87</v>
      </c>
      <c r="T1245" s="6">
        <v>67</v>
      </c>
      <c r="U1245" s="6">
        <v>69</v>
      </c>
      <c r="V1245" s="6">
        <v>76</v>
      </c>
      <c r="W1245" s="6">
        <v>85</v>
      </c>
      <c r="X1245" s="6">
        <v>76</v>
      </c>
      <c r="Y1245" s="6">
        <v>78</v>
      </c>
      <c r="Z1245" s="6">
        <v>83</v>
      </c>
      <c r="AA1245" s="6">
        <v>76</v>
      </c>
      <c r="AB1245" s="6">
        <v>85</v>
      </c>
      <c r="AC1245" s="6">
        <v>83</v>
      </c>
      <c r="AD1245" s="6">
        <v>83</v>
      </c>
      <c r="AE1245" s="6">
        <v>74</v>
      </c>
      <c r="AF1245" s="6">
        <v>73</v>
      </c>
      <c r="AG1245" s="6" t="s">
        <v>8144</v>
      </c>
      <c r="AH1245" s="6" t="s">
        <v>6612</v>
      </c>
    </row>
    <row r="1246" spans="1:34" x14ac:dyDescent="0.2">
      <c r="A1246" t="s">
        <v>4422</v>
      </c>
      <c r="B1246" t="s">
        <v>2685</v>
      </c>
      <c r="C1246" t="s">
        <v>2878</v>
      </c>
      <c r="D1246" s="7" t="s">
        <v>158</v>
      </c>
      <c r="E1246" t="s">
        <v>38</v>
      </c>
      <c r="F1246">
        <v>29</v>
      </c>
      <c r="G1246">
        <v>79</v>
      </c>
      <c r="H1246">
        <v>70</v>
      </c>
      <c r="I1246" t="s">
        <v>8329</v>
      </c>
      <c r="J1246">
        <v>77</v>
      </c>
      <c r="K1246">
        <v>257</v>
      </c>
      <c r="L1246" t="s">
        <v>6116</v>
      </c>
      <c r="M1246" s="6" t="s">
        <v>6558</v>
      </c>
      <c r="N1246" s="6" t="s">
        <v>6583</v>
      </c>
      <c r="O1246" s="6">
        <v>75</v>
      </c>
      <c r="P1246" s="6">
        <v>73</v>
      </c>
      <c r="Q1246" s="6">
        <v>74</v>
      </c>
      <c r="R1246" s="6">
        <v>77</v>
      </c>
      <c r="S1246" s="6">
        <v>87</v>
      </c>
      <c r="T1246" s="6">
        <v>74</v>
      </c>
      <c r="U1246" s="6">
        <v>71</v>
      </c>
      <c r="V1246" s="6">
        <v>73</v>
      </c>
      <c r="W1246" s="6">
        <v>73</v>
      </c>
      <c r="X1246" s="6">
        <v>78</v>
      </c>
      <c r="Y1246" s="6">
        <v>75</v>
      </c>
      <c r="Z1246" s="6">
        <v>83</v>
      </c>
      <c r="AA1246" s="6">
        <v>70</v>
      </c>
      <c r="AB1246" s="6">
        <v>63</v>
      </c>
      <c r="AC1246" s="6">
        <v>59</v>
      </c>
      <c r="AD1246" s="6">
        <v>72</v>
      </c>
      <c r="AE1246" s="6">
        <v>73</v>
      </c>
      <c r="AF1246" s="6">
        <v>76</v>
      </c>
      <c r="AG1246" s="6" t="s">
        <v>8145</v>
      </c>
      <c r="AH1246" s="6" t="s">
        <v>6684</v>
      </c>
    </row>
    <row r="1247" spans="1:34" x14ac:dyDescent="0.2">
      <c r="A1247" t="s">
        <v>4423</v>
      </c>
      <c r="B1247" t="s">
        <v>2686</v>
      </c>
      <c r="C1247" t="s">
        <v>2878</v>
      </c>
      <c r="D1247" s="7" t="s">
        <v>158</v>
      </c>
      <c r="E1247" t="s">
        <v>38</v>
      </c>
      <c r="F1247">
        <v>25</v>
      </c>
      <c r="G1247">
        <v>64</v>
      </c>
      <c r="H1247">
        <v>70</v>
      </c>
      <c r="I1247" t="s">
        <v>6307</v>
      </c>
      <c r="J1247">
        <v>74</v>
      </c>
      <c r="K1247">
        <v>250</v>
      </c>
      <c r="L1247" t="s">
        <v>6117</v>
      </c>
      <c r="M1247" s="6" t="s">
        <v>6558</v>
      </c>
      <c r="N1247" s="6" t="s">
        <v>6565</v>
      </c>
      <c r="O1247" s="6">
        <v>80</v>
      </c>
      <c r="P1247" s="6">
        <v>67</v>
      </c>
      <c r="Q1247" s="6">
        <v>64</v>
      </c>
      <c r="R1247" s="6">
        <v>71</v>
      </c>
      <c r="S1247" s="6">
        <v>70</v>
      </c>
      <c r="T1247" s="6">
        <v>72</v>
      </c>
      <c r="U1247" s="6">
        <v>60</v>
      </c>
      <c r="V1247" s="6">
        <v>71</v>
      </c>
      <c r="W1247" s="6">
        <v>73</v>
      </c>
      <c r="X1247" s="6">
        <v>70</v>
      </c>
      <c r="Y1247" s="6">
        <v>70</v>
      </c>
      <c r="Z1247" s="6">
        <v>76</v>
      </c>
      <c r="AA1247" s="6">
        <v>67</v>
      </c>
      <c r="AB1247" s="6">
        <v>71</v>
      </c>
      <c r="AC1247" s="6">
        <v>75</v>
      </c>
      <c r="AD1247" s="6">
        <v>64</v>
      </c>
      <c r="AE1247" s="6">
        <v>68</v>
      </c>
      <c r="AF1247" s="6">
        <v>67</v>
      </c>
      <c r="AG1247" s="6" t="s">
        <v>8146</v>
      </c>
      <c r="AH1247" s="6" t="s">
        <v>6686</v>
      </c>
    </row>
    <row r="1248" spans="1:34" x14ac:dyDescent="0.2">
      <c r="A1248" t="s">
        <v>4427</v>
      </c>
      <c r="B1248" t="s">
        <v>2690</v>
      </c>
      <c r="C1248" t="s">
        <v>2879</v>
      </c>
      <c r="D1248" s="7" t="s">
        <v>158</v>
      </c>
      <c r="E1248" t="s">
        <v>38</v>
      </c>
      <c r="F1248">
        <v>28</v>
      </c>
      <c r="G1248">
        <v>69</v>
      </c>
      <c r="H1248">
        <v>70</v>
      </c>
      <c r="I1248" t="s">
        <v>6307</v>
      </c>
      <c r="J1248">
        <v>73</v>
      </c>
      <c r="K1248">
        <v>319</v>
      </c>
      <c r="L1248" t="s">
        <v>6121</v>
      </c>
      <c r="M1248" s="6" t="s">
        <v>6558</v>
      </c>
      <c r="N1248" s="6" t="s">
        <v>6614</v>
      </c>
      <c r="O1248" s="6">
        <v>75</v>
      </c>
      <c r="P1248" s="6">
        <v>72</v>
      </c>
      <c r="Q1248" s="6">
        <v>65</v>
      </c>
      <c r="R1248" s="6">
        <v>59</v>
      </c>
      <c r="S1248" s="6">
        <v>67</v>
      </c>
      <c r="T1248" s="6">
        <v>66</v>
      </c>
      <c r="U1248" s="6">
        <v>62</v>
      </c>
      <c r="V1248" s="6">
        <v>78</v>
      </c>
      <c r="W1248" s="6">
        <v>71</v>
      </c>
      <c r="X1248" s="6">
        <v>63</v>
      </c>
      <c r="Y1248" s="6">
        <v>85</v>
      </c>
      <c r="Z1248" s="6">
        <v>77</v>
      </c>
      <c r="AA1248" s="6">
        <v>70</v>
      </c>
      <c r="AB1248" s="6">
        <v>71</v>
      </c>
      <c r="AC1248" s="6">
        <v>66</v>
      </c>
      <c r="AD1248" s="6">
        <v>70</v>
      </c>
      <c r="AE1248" s="6">
        <v>68</v>
      </c>
      <c r="AF1248" s="6">
        <v>71</v>
      </c>
      <c r="AG1248" s="6" t="s">
        <v>8150</v>
      </c>
      <c r="AH1248" s="6" t="s">
        <v>6617</v>
      </c>
    </row>
    <row r="1249" spans="1:34" x14ac:dyDescent="0.2">
      <c r="A1249" t="s">
        <v>4430</v>
      </c>
      <c r="B1249" t="s">
        <v>2693</v>
      </c>
      <c r="C1249" t="s">
        <v>2880</v>
      </c>
      <c r="D1249" s="7" t="s">
        <v>158</v>
      </c>
      <c r="E1249" t="s">
        <v>38</v>
      </c>
      <c r="F1249">
        <v>23</v>
      </c>
      <c r="G1249">
        <v>77</v>
      </c>
      <c r="H1249">
        <v>70</v>
      </c>
      <c r="I1249" t="s">
        <v>6318</v>
      </c>
      <c r="J1249">
        <v>73</v>
      </c>
      <c r="K1249">
        <v>263</v>
      </c>
      <c r="L1249" t="s">
        <v>6124</v>
      </c>
      <c r="M1249" s="6" t="s">
        <v>6558</v>
      </c>
      <c r="N1249" s="6" t="s">
        <v>6565</v>
      </c>
      <c r="O1249" s="6">
        <v>77</v>
      </c>
      <c r="P1249" s="6">
        <v>71</v>
      </c>
      <c r="Q1249" s="6">
        <v>62</v>
      </c>
      <c r="R1249" s="6">
        <v>70</v>
      </c>
      <c r="S1249" s="6">
        <v>68</v>
      </c>
      <c r="T1249" s="6">
        <v>67</v>
      </c>
      <c r="U1249" s="6">
        <v>73</v>
      </c>
      <c r="V1249" s="6">
        <v>75</v>
      </c>
      <c r="W1249" s="6">
        <v>65</v>
      </c>
      <c r="X1249" s="6">
        <v>58</v>
      </c>
      <c r="Y1249" s="6">
        <v>73</v>
      </c>
      <c r="Z1249" s="6">
        <v>73</v>
      </c>
      <c r="AA1249" s="6">
        <v>78</v>
      </c>
      <c r="AB1249" s="6">
        <v>76</v>
      </c>
      <c r="AC1249" s="6">
        <v>72</v>
      </c>
      <c r="AD1249" s="6">
        <v>70</v>
      </c>
      <c r="AE1249" s="6">
        <v>75</v>
      </c>
      <c r="AF1249" s="6">
        <v>77</v>
      </c>
      <c r="AG1249" s="6" t="s">
        <v>8153</v>
      </c>
      <c r="AH1249" s="6" t="s">
        <v>6623</v>
      </c>
    </row>
    <row r="1250" spans="1:34" x14ac:dyDescent="0.2">
      <c r="A1250" t="s">
        <v>4431</v>
      </c>
      <c r="B1250" t="s">
        <v>2694</v>
      </c>
      <c r="C1250" t="s">
        <v>2880</v>
      </c>
      <c r="D1250" s="7" t="s">
        <v>158</v>
      </c>
      <c r="E1250" t="s">
        <v>58</v>
      </c>
      <c r="F1250">
        <v>30</v>
      </c>
      <c r="G1250">
        <v>69</v>
      </c>
      <c r="H1250">
        <v>70</v>
      </c>
      <c r="I1250" t="s">
        <v>6382</v>
      </c>
      <c r="J1250">
        <v>74</v>
      </c>
      <c r="K1250">
        <v>242</v>
      </c>
      <c r="L1250" t="s">
        <v>6125</v>
      </c>
      <c r="M1250" s="6" t="s">
        <v>6558</v>
      </c>
      <c r="N1250" s="6" t="s">
        <v>6583</v>
      </c>
      <c r="O1250" s="6">
        <v>75</v>
      </c>
      <c r="P1250" s="6">
        <v>76</v>
      </c>
      <c r="Q1250" s="6">
        <v>71</v>
      </c>
      <c r="R1250" s="6">
        <v>78</v>
      </c>
      <c r="S1250" s="6">
        <v>78</v>
      </c>
      <c r="T1250" s="6">
        <v>70</v>
      </c>
      <c r="U1250" s="6">
        <v>75</v>
      </c>
      <c r="V1250" s="6">
        <v>75</v>
      </c>
      <c r="W1250" s="6">
        <v>71</v>
      </c>
      <c r="X1250" s="6">
        <v>77</v>
      </c>
      <c r="Y1250" s="6">
        <v>75</v>
      </c>
      <c r="Z1250" s="6">
        <v>66</v>
      </c>
      <c r="AA1250" s="6">
        <v>70</v>
      </c>
      <c r="AB1250" s="6">
        <v>65</v>
      </c>
      <c r="AC1250" s="6">
        <v>59</v>
      </c>
      <c r="AD1250" s="6">
        <v>73</v>
      </c>
      <c r="AE1250" s="6">
        <v>62</v>
      </c>
      <c r="AF1250" s="6">
        <v>64</v>
      </c>
      <c r="AG1250" s="6" t="s">
        <v>8154</v>
      </c>
      <c r="AH1250" s="6" t="s">
        <v>6623</v>
      </c>
    </row>
    <row r="1251" spans="1:34" x14ac:dyDescent="0.2">
      <c r="A1251" t="s">
        <v>4432</v>
      </c>
      <c r="B1251" t="s">
        <v>2695</v>
      </c>
      <c r="C1251" t="s">
        <v>2881</v>
      </c>
      <c r="D1251" s="7" t="s">
        <v>158</v>
      </c>
      <c r="E1251" t="s">
        <v>38</v>
      </c>
      <c r="F1251">
        <v>24</v>
      </c>
      <c r="G1251">
        <v>65</v>
      </c>
      <c r="H1251">
        <v>70</v>
      </c>
      <c r="I1251" t="s">
        <v>6460</v>
      </c>
      <c r="J1251">
        <v>72</v>
      </c>
      <c r="K1251">
        <v>243</v>
      </c>
      <c r="L1251" t="s">
        <v>6126</v>
      </c>
      <c r="M1251" s="6" t="s">
        <v>6603</v>
      </c>
      <c r="N1251" s="6" t="s">
        <v>6559</v>
      </c>
      <c r="O1251" s="6">
        <v>72</v>
      </c>
      <c r="P1251" s="6">
        <v>73</v>
      </c>
      <c r="Q1251" s="6">
        <v>69</v>
      </c>
      <c r="R1251" s="6">
        <v>83</v>
      </c>
      <c r="S1251" s="6">
        <v>79</v>
      </c>
      <c r="T1251" s="6">
        <v>75</v>
      </c>
      <c r="U1251" s="6">
        <v>56</v>
      </c>
      <c r="V1251" s="6">
        <v>72</v>
      </c>
      <c r="W1251" s="6">
        <v>65</v>
      </c>
      <c r="X1251" s="6">
        <v>58</v>
      </c>
      <c r="Y1251" s="6">
        <v>76</v>
      </c>
      <c r="Z1251" s="6">
        <v>71</v>
      </c>
      <c r="AA1251" s="6">
        <v>73</v>
      </c>
      <c r="AB1251" s="6">
        <v>67</v>
      </c>
      <c r="AC1251" s="6">
        <v>76</v>
      </c>
      <c r="AD1251" s="6">
        <v>73</v>
      </c>
      <c r="AE1251" s="6">
        <v>68</v>
      </c>
      <c r="AF1251" s="6">
        <v>74</v>
      </c>
      <c r="AG1251" s="6" t="s">
        <v>8155</v>
      </c>
      <c r="AH1251" s="6" t="s">
        <v>6692</v>
      </c>
    </row>
    <row r="1252" spans="1:34" x14ac:dyDescent="0.2">
      <c r="A1252" t="s">
        <v>4434</v>
      </c>
      <c r="B1252" t="s">
        <v>2697</v>
      </c>
      <c r="C1252" t="s">
        <v>61</v>
      </c>
      <c r="D1252" s="7" t="s">
        <v>158</v>
      </c>
      <c r="E1252" t="s">
        <v>38</v>
      </c>
      <c r="F1252">
        <v>26</v>
      </c>
      <c r="G1252">
        <v>84</v>
      </c>
      <c r="H1252">
        <v>70</v>
      </c>
      <c r="I1252" t="s">
        <v>6310</v>
      </c>
      <c r="J1252">
        <v>69</v>
      </c>
      <c r="K1252">
        <v>199</v>
      </c>
      <c r="L1252" t="s">
        <v>6128</v>
      </c>
      <c r="M1252" s="6" t="s">
        <v>6558</v>
      </c>
      <c r="N1252" s="6" t="s">
        <v>6565</v>
      </c>
      <c r="O1252" s="6">
        <v>72</v>
      </c>
      <c r="P1252" s="6">
        <v>77</v>
      </c>
      <c r="Q1252" s="6">
        <v>71</v>
      </c>
      <c r="R1252" s="6">
        <v>71</v>
      </c>
      <c r="S1252" s="6">
        <v>87</v>
      </c>
      <c r="T1252" s="6">
        <v>67</v>
      </c>
      <c r="U1252" s="6">
        <v>71</v>
      </c>
      <c r="V1252" s="6">
        <v>80</v>
      </c>
      <c r="W1252" s="6">
        <v>68</v>
      </c>
      <c r="X1252" s="6">
        <v>77</v>
      </c>
      <c r="Y1252" s="6">
        <v>76</v>
      </c>
      <c r="Z1252" s="6">
        <v>84</v>
      </c>
      <c r="AA1252" s="6">
        <v>78</v>
      </c>
      <c r="AB1252" s="6">
        <v>77</v>
      </c>
      <c r="AC1252" s="6">
        <v>78</v>
      </c>
      <c r="AD1252" s="6">
        <v>71</v>
      </c>
      <c r="AE1252" s="6">
        <v>80</v>
      </c>
      <c r="AF1252" s="6">
        <v>81</v>
      </c>
      <c r="AG1252" s="6" t="s">
        <v>8157</v>
      </c>
      <c r="AH1252" s="6" t="s">
        <v>7082</v>
      </c>
    </row>
    <row r="1253" spans="1:34" x14ac:dyDescent="0.2">
      <c r="A1253" t="s">
        <v>4436</v>
      </c>
      <c r="B1253" t="s">
        <v>2699</v>
      </c>
      <c r="C1253" t="s">
        <v>61</v>
      </c>
      <c r="D1253" s="7" t="s">
        <v>158</v>
      </c>
      <c r="E1253" t="s">
        <v>58</v>
      </c>
      <c r="F1253">
        <v>24</v>
      </c>
      <c r="G1253">
        <v>59</v>
      </c>
      <c r="H1253">
        <v>70</v>
      </c>
      <c r="I1253" t="s">
        <v>6397</v>
      </c>
      <c r="J1253">
        <v>70</v>
      </c>
      <c r="K1253">
        <v>191</v>
      </c>
      <c r="L1253" t="s">
        <v>6130</v>
      </c>
      <c r="M1253" s="6" t="s">
        <v>6558</v>
      </c>
      <c r="N1253" s="6" t="s">
        <v>6567</v>
      </c>
      <c r="O1253" s="6">
        <v>64</v>
      </c>
      <c r="P1253" s="6">
        <v>71</v>
      </c>
      <c r="Q1253" s="6">
        <v>73</v>
      </c>
      <c r="R1253" s="6">
        <v>65</v>
      </c>
      <c r="S1253" s="6">
        <v>84</v>
      </c>
      <c r="T1253" s="6">
        <v>68</v>
      </c>
      <c r="U1253" s="6">
        <v>73</v>
      </c>
      <c r="V1253" s="6">
        <v>74</v>
      </c>
      <c r="W1253" s="6">
        <v>68</v>
      </c>
      <c r="X1253" s="6">
        <v>72</v>
      </c>
      <c r="Y1253" s="6">
        <v>65</v>
      </c>
      <c r="Z1253" s="6">
        <v>69</v>
      </c>
      <c r="AA1253" s="6">
        <v>69</v>
      </c>
      <c r="AB1253" s="6">
        <v>70</v>
      </c>
      <c r="AC1253" s="6">
        <v>72</v>
      </c>
      <c r="AD1253" s="6">
        <v>68</v>
      </c>
      <c r="AE1253" s="6">
        <v>76</v>
      </c>
      <c r="AF1253" s="6">
        <v>74</v>
      </c>
      <c r="AG1253" s="6" t="s">
        <v>8159</v>
      </c>
      <c r="AH1253" s="6" t="s">
        <v>6694</v>
      </c>
    </row>
    <row r="1254" spans="1:34" x14ac:dyDescent="0.2">
      <c r="A1254" t="s">
        <v>4437</v>
      </c>
      <c r="B1254" t="s">
        <v>2700</v>
      </c>
      <c r="C1254" t="s">
        <v>2882</v>
      </c>
      <c r="D1254" s="7" t="s">
        <v>158</v>
      </c>
      <c r="E1254" t="s">
        <v>38</v>
      </c>
      <c r="F1254">
        <v>22</v>
      </c>
      <c r="G1254">
        <v>80</v>
      </c>
      <c r="H1254">
        <v>70</v>
      </c>
      <c r="I1254" t="s">
        <v>6502</v>
      </c>
      <c r="J1254">
        <v>70</v>
      </c>
      <c r="K1254">
        <v>199</v>
      </c>
      <c r="L1254" t="s">
        <v>6131</v>
      </c>
      <c r="M1254" s="6" t="s">
        <v>6558</v>
      </c>
      <c r="N1254" s="6" t="s">
        <v>6583</v>
      </c>
      <c r="O1254" s="6">
        <v>81</v>
      </c>
      <c r="P1254" s="6">
        <v>85</v>
      </c>
      <c r="Q1254" s="6">
        <v>75</v>
      </c>
      <c r="R1254" s="6">
        <v>78</v>
      </c>
      <c r="S1254" s="6">
        <v>86</v>
      </c>
      <c r="T1254" s="6">
        <v>79</v>
      </c>
      <c r="U1254" s="6">
        <v>72</v>
      </c>
      <c r="V1254" s="6">
        <v>79</v>
      </c>
      <c r="W1254" s="6">
        <v>76</v>
      </c>
      <c r="X1254" s="6">
        <v>82</v>
      </c>
      <c r="Y1254" s="6">
        <v>81</v>
      </c>
      <c r="Z1254" s="6">
        <v>69</v>
      </c>
      <c r="AA1254" s="6">
        <v>75</v>
      </c>
      <c r="AB1254" s="6">
        <v>73</v>
      </c>
      <c r="AC1254" s="6">
        <v>76</v>
      </c>
      <c r="AD1254" s="6">
        <v>70</v>
      </c>
      <c r="AE1254" s="6">
        <v>80</v>
      </c>
      <c r="AF1254" s="6">
        <v>81</v>
      </c>
      <c r="AG1254" s="6" t="s">
        <v>8160</v>
      </c>
      <c r="AH1254" s="6" t="s">
        <v>7030</v>
      </c>
    </row>
    <row r="1255" spans="1:34" x14ac:dyDescent="0.2">
      <c r="A1255" t="s">
        <v>4439</v>
      </c>
      <c r="B1255" t="s">
        <v>2702</v>
      </c>
      <c r="C1255" t="s">
        <v>2883</v>
      </c>
      <c r="D1255" s="7" t="s">
        <v>158</v>
      </c>
      <c r="E1255" t="s">
        <v>38</v>
      </c>
      <c r="F1255">
        <v>23</v>
      </c>
      <c r="G1255">
        <v>73</v>
      </c>
      <c r="H1255">
        <v>70</v>
      </c>
      <c r="I1255" t="s">
        <v>6388</v>
      </c>
      <c r="J1255">
        <v>71</v>
      </c>
      <c r="K1255">
        <v>204</v>
      </c>
      <c r="L1255" t="s">
        <v>6133</v>
      </c>
      <c r="M1255" s="6" t="s">
        <v>6558</v>
      </c>
      <c r="N1255" s="6" t="s">
        <v>6567</v>
      </c>
      <c r="O1255" s="6">
        <v>69</v>
      </c>
      <c r="P1255" s="6">
        <v>67</v>
      </c>
      <c r="Q1255" s="6">
        <v>72</v>
      </c>
      <c r="R1255" s="6">
        <v>65</v>
      </c>
      <c r="S1255" s="6">
        <v>67</v>
      </c>
      <c r="T1255" s="6">
        <v>63</v>
      </c>
      <c r="U1255" s="6">
        <v>67</v>
      </c>
      <c r="V1255" s="6">
        <v>62</v>
      </c>
      <c r="W1255" s="6">
        <v>72</v>
      </c>
      <c r="X1255" s="6">
        <v>69</v>
      </c>
      <c r="Y1255" s="6">
        <v>69</v>
      </c>
      <c r="Z1255" s="6">
        <v>71</v>
      </c>
      <c r="AA1255" s="6">
        <v>74</v>
      </c>
      <c r="AB1255" s="6">
        <v>74</v>
      </c>
      <c r="AC1255" s="6">
        <v>67</v>
      </c>
      <c r="AD1255" s="6">
        <v>66</v>
      </c>
      <c r="AE1255" s="6">
        <v>66</v>
      </c>
      <c r="AF1255" s="6">
        <v>68</v>
      </c>
      <c r="AG1255" s="6" t="s">
        <v>8162</v>
      </c>
      <c r="AH1255" s="6" t="s">
        <v>6640</v>
      </c>
    </row>
    <row r="1256" spans="1:34" x14ac:dyDescent="0.2">
      <c r="A1256" t="s">
        <v>4440</v>
      </c>
      <c r="B1256" t="s">
        <v>2703</v>
      </c>
      <c r="C1256" t="s">
        <v>2888</v>
      </c>
      <c r="D1256" s="7" t="s">
        <v>158</v>
      </c>
      <c r="E1256" t="s">
        <v>58</v>
      </c>
      <c r="F1256">
        <v>35</v>
      </c>
      <c r="G1256">
        <v>74</v>
      </c>
      <c r="H1256">
        <v>70</v>
      </c>
      <c r="I1256" t="s">
        <v>6460</v>
      </c>
      <c r="J1256">
        <v>71</v>
      </c>
      <c r="K1256">
        <v>202</v>
      </c>
      <c r="L1256" t="s">
        <v>6134</v>
      </c>
      <c r="M1256" s="6" t="s">
        <v>6558</v>
      </c>
      <c r="N1256" s="6" t="s">
        <v>6559</v>
      </c>
      <c r="O1256" s="6">
        <v>81</v>
      </c>
      <c r="P1256" s="6">
        <v>79</v>
      </c>
      <c r="Q1256" s="6">
        <v>83</v>
      </c>
      <c r="R1256" s="6">
        <v>82</v>
      </c>
      <c r="S1256" s="6">
        <v>88</v>
      </c>
      <c r="T1256" s="6">
        <v>86</v>
      </c>
      <c r="U1256" s="6">
        <v>82</v>
      </c>
      <c r="V1256" s="6">
        <v>79</v>
      </c>
      <c r="W1256" s="6">
        <v>82</v>
      </c>
      <c r="X1256" s="6">
        <v>77</v>
      </c>
      <c r="Y1256" s="6">
        <v>79</v>
      </c>
      <c r="Z1256" s="6">
        <v>90</v>
      </c>
      <c r="AA1256" s="6">
        <v>67</v>
      </c>
      <c r="AB1256" s="6">
        <v>63</v>
      </c>
      <c r="AC1256" s="6">
        <v>62</v>
      </c>
      <c r="AD1256" s="6">
        <v>73</v>
      </c>
      <c r="AE1256" s="6">
        <v>76</v>
      </c>
      <c r="AF1256" s="6">
        <v>67</v>
      </c>
      <c r="AG1256" s="6" t="s">
        <v>8163</v>
      </c>
      <c r="AH1256" s="6" t="s">
        <v>6707</v>
      </c>
    </row>
    <row r="1257" spans="1:34" x14ac:dyDescent="0.2">
      <c r="A1257" t="s">
        <v>4442</v>
      </c>
      <c r="B1257" t="s">
        <v>2705</v>
      </c>
      <c r="C1257" t="s">
        <v>2884</v>
      </c>
      <c r="D1257" s="7" t="s">
        <v>158</v>
      </c>
      <c r="E1257" t="s">
        <v>58</v>
      </c>
      <c r="F1257">
        <v>33</v>
      </c>
      <c r="G1257">
        <v>55</v>
      </c>
      <c r="H1257">
        <v>70</v>
      </c>
      <c r="I1257" t="s">
        <v>6410</v>
      </c>
      <c r="J1257">
        <v>71</v>
      </c>
      <c r="K1257">
        <v>225</v>
      </c>
      <c r="L1257" t="s">
        <v>6136</v>
      </c>
      <c r="M1257" s="6" t="s">
        <v>6558</v>
      </c>
      <c r="N1257" s="6" t="s">
        <v>6565</v>
      </c>
      <c r="O1257" s="6">
        <v>77</v>
      </c>
      <c r="P1257" s="6">
        <v>82</v>
      </c>
      <c r="Q1257" s="6">
        <v>62</v>
      </c>
      <c r="R1257" s="6">
        <v>71</v>
      </c>
      <c r="S1257" s="6">
        <v>77</v>
      </c>
      <c r="T1257" s="6">
        <v>78</v>
      </c>
      <c r="U1257" s="6">
        <v>73</v>
      </c>
      <c r="V1257" s="6">
        <v>75</v>
      </c>
      <c r="W1257" s="6">
        <v>80</v>
      </c>
      <c r="X1257" s="6">
        <v>72</v>
      </c>
      <c r="Y1257" s="6">
        <v>74</v>
      </c>
      <c r="Z1257" s="6">
        <v>74</v>
      </c>
      <c r="AA1257" s="6">
        <v>68</v>
      </c>
      <c r="AB1257" s="6">
        <v>61</v>
      </c>
      <c r="AC1257" s="6">
        <v>59</v>
      </c>
      <c r="AD1257" s="6">
        <v>61</v>
      </c>
      <c r="AE1257" s="6">
        <v>58</v>
      </c>
      <c r="AF1257" s="6">
        <v>60</v>
      </c>
      <c r="AG1257" s="6" t="s">
        <v>8165</v>
      </c>
      <c r="AH1257" s="6" t="s">
        <v>6644</v>
      </c>
    </row>
    <row r="1258" spans="1:34" x14ac:dyDescent="0.2">
      <c r="A1258" t="s">
        <v>4444</v>
      </c>
      <c r="B1258" t="s">
        <v>2707</v>
      </c>
      <c r="C1258" t="s">
        <v>2885</v>
      </c>
      <c r="D1258" s="7" t="s">
        <v>158</v>
      </c>
      <c r="E1258" t="s">
        <v>58</v>
      </c>
      <c r="F1258">
        <v>31</v>
      </c>
      <c r="G1258">
        <v>75</v>
      </c>
      <c r="H1258">
        <v>70</v>
      </c>
      <c r="I1258" t="s">
        <v>6329</v>
      </c>
      <c r="J1258">
        <v>76</v>
      </c>
      <c r="K1258">
        <v>235</v>
      </c>
      <c r="L1258" t="s">
        <v>6138</v>
      </c>
      <c r="M1258" s="6" t="s">
        <v>6558</v>
      </c>
      <c r="N1258" s="6" t="s">
        <v>6565</v>
      </c>
      <c r="O1258" s="6">
        <v>78</v>
      </c>
      <c r="P1258" s="6">
        <v>79</v>
      </c>
      <c r="Q1258" s="6">
        <v>76</v>
      </c>
      <c r="R1258" s="6">
        <v>74</v>
      </c>
      <c r="S1258" s="6">
        <v>69</v>
      </c>
      <c r="T1258" s="6">
        <v>75</v>
      </c>
      <c r="U1258" s="6">
        <v>76</v>
      </c>
      <c r="V1258" s="6">
        <v>71</v>
      </c>
      <c r="W1258" s="6">
        <v>82</v>
      </c>
      <c r="X1258" s="6">
        <v>76</v>
      </c>
      <c r="Y1258" s="6">
        <v>75</v>
      </c>
      <c r="Z1258" s="6">
        <v>73</v>
      </c>
      <c r="AA1258" s="6">
        <v>71</v>
      </c>
      <c r="AB1258" s="6">
        <v>69</v>
      </c>
      <c r="AC1258" s="6">
        <v>65</v>
      </c>
      <c r="AD1258" s="6">
        <v>68</v>
      </c>
      <c r="AE1258" s="6">
        <v>62</v>
      </c>
      <c r="AF1258" s="6">
        <v>66</v>
      </c>
      <c r="AG1258" s="6" t="s">
        <v>8167</v>
      </c>
      <c r="AH1258" s="6" t="s">
        <v>6628</v>
      </c>
    </row>
    <row r="1259" spans="1:34" x14ac:dyDescent="0.2">
      <c r="A1259" t="s">
        <v>4446</v>
      </c>
      <c r="B1259" t="s">
        <v>2709</v>
      </c>
      <c r="C1259" t="s">
        <v>2890</v>
      </c>
      <c r="D1259" s="7" t="s">
        <v>158</v>
      </c>
      <c r="E1259" t="s">
        <v>58</v>
      </c>
      <c r="F1259">
        <v>31</v>
      </c>
      <c r="G1259">
        <v>80</v>
      </c>
      <c r="H1259">
        <v>70</v>
      </c>
      <c r="I1259" t="s">
        <v>6312</v>
      </c>
      <c r="J1259">
        <v>71</v>
      </c>
      <c r="K1259">
        <v>189</v>
      </c>
      <c r="L1259" t="s">
        <v>6140</v>
      </c>
      <c r="M1259" s="6" t="s">
        <v>6558</v>
      </c>
      <c r="N1259" s="6" t="s">
        <v>6614</v>
      </c>
      <c r="O1259" s="6">
        <v>78</v>
      </c>
      <c r="P1259" s="6">
        <v>70</v>
      </c>
      <c r="Q1259" s="6">
        <v>80</v>
      </c>
      <c r="R1259" s="6">
        <v>60</v>
      </c>
      <c r="S1259" s="6">
        <v>70</v>
      </c>
      <c r="T1259" s="6">
        <v>86</v>
      </c>
      <c r="U1259" s="6">
        <v>64</v>
      </c>
      <c r="V1259" s="6">
        <v>74</v>
      </c>
      <c r="W1259" s="6">
        <v>77</v>
      </c>
      <c r="X1259" s="6">
        <v>64</v>
      </c>
      <c r="Y1259" s="6">
        <v>78</v>
      </c>
      <c r="Z1259" s="6">
        <v>66</v>
      </c>
      <c r="AA1259" s="6">
        <v>71</v>
      </c>
      <c r="AB1259" s="6">
        <v>64</v>
      </c>
      <c r="AC1259" s="6">
        <v>68</v>
      </c>
      <c r="AD1259" s="6">
        <v>74</v>
      </c>
      <c r="AE1259" s="6">
        <v>66</v>
      </c>
      <c r="AF1259" s="6">
        <v>62</v>
      </c>
      <c r="AG1259" s="6" t="s">
        <v>8168</v>
      </c>
      <c r="AH1259" s="6" t="s">
        <v>6630</v>
      </c>
    </row>
    <row r="1260" spans="1:34" x14ac:dyDescent="0.2">
      <c r="A1260" t="s">
        <v>4448</v>
      </c>
      <c r="B1260" t="s">
        <v>2711</v>
      </c>
      <c r="C1260" t="s">
        <v>2891</v>
      </c>
      <c r="D1260" s="7" t="s">
        <v>158</v>
      </c>
      <c r="E1260" t="s">
        <v>58</v>
      </c>
      <c r="F1260">
        <v>31</v>
      </c>
      <c r="G1260">
        <v>72</v>
      </c>
      <c r="H1260">
        <v>70</v>
      </c>
      <c r="I1260" t="s">
        <v>6382</v>
      </c>
      <c r="J1260">
        <v>73</v>
      </c>
      <c r="K1260">
        <v>239</v>
      </c>
      <c r="L1260" t="s">
        <v>6142</v>
      </c>
      <c r="M1260" s="6" t="s">
        <v>6558</v>
      </c>
      <c r="N1260" s="6" t="s">
        <v>6559</v>
      </c>
      <c r="O1260" s="6">
        <v>84</v>
      </c>
      <c r="P1260" s="6">
        <v>72</v>
      </c>
      <c r="Q1260" s="6">
        <v>86</v>
      </c>
      <c r="R1260" s="6">
        <v>83</v>
      </c>
      <c r="S1260" s="6">
        <v>76</v>
      </c>
      <c r="T1260" s="6">
        <v>70</v>
      </c>
      <c r="U1260" s="6">
        <v>92</v>
      </c>
      <c r="V1260" s="6">
        <v>79</v>
      </c>
      <c r="W1260" s="6">
        <v>75</v>
      </c>
      <c r="X1260" s="6">
        <v>66</v>
      </c>
      <c r="Y1260" s="6">
        <v>79</v>
      </c>
      <c r="Z1260" s="6">
        <v>81</v>
      </c>
      <c r="AA1260" s="6">
        <v>71</v>
      </c>
      <c r="AB1260" s="6">
        <v>72</v>
      </c>
      <c r="AC1260" s="6">
        <v>75</v>
      </c>
      <c r="AD1260" s="6">
        <v>74</v>
      </c>
      <c r="AE1260" s="6">
        <v>74</v>
      </c>
      <c r="AF1260" s="6">
        <v>74</v>
      </c>
      <c r="AG1260" s="6" t="s">
        <v>8170</v>
      </c>
      <c r="AH1260" s="6" t="s">
        <v>6824</v>
      </c>
    </row>
    <row r="1261" spans="1:34" x14ac:dyDescent="0.2">
      <c r="A1261" t="s">
        <v>4450</v>
      </c>
      <c r="B1261" t="s">
        <v>2713</v>
      </c>
      <c r="C1261" t="s">
        <v>53</v>
      </c>
      <c r="D1261" s="7" t="s">
        <v>145</v>
      </c>
      <c r="E1261" t="s">
        <v>38</v>
      </c>
      <c r="F1261">
        <v>30</v>
      </c>
      <c r="G1261">
        <v>80</v>
      </c>
      <c r="H1261">
        <v>70</v>
      </c>
      <c r="I1261" t="s">
        <v>6460</v>
      </c>
      <c r="J1261">
        <v>73</v>
      </c>
      <c r="K1261">
        <v>233</v>
      </c>
      <c r="L1261" t="s">
        <v>6144</v>
      </c>
      <c r="M1261" s="6" t="s">
        <v>6558</v>
      </c>
      <c r="N1261" s="6" t="s">
        <v>6562</v>
      </c>
      <c r="O1261" s="6">
        <v>80</v>
      </c>
      <c r="P1261" s="6">
        <v>75</v>
      </c>
      <c r="Q1261" s="6">
        <v>80</v>
      </c>
      <c r="R1261" s="6">
        <v>93</v>
      </c>
      <c r="S1261" s="6">
        <v>81</v>
      </c>
      <c r="T1261" s="6">
        <v>85</v>
      </c>
      <c r="U1261" s="6">
        <v>75</v>
      </c>
      <c r="V1261" s="6">
        <v>85</v>
      </c>
      <c r="W1261" s="6">
        <v>89</v>
      </c>
      <c r="X1261" s="6">
        <v>80</v>
      </c>
      <c r="Y1261" s="6">
        <v>85</v>
      </c>
      <c r="Z1261" s="6">
        <v>81</v>
      </c>
      <c r="AA1261" s="6">
        <v>76</v>
      </c>
      <c r="AB1261" s="6">
        <v>74</v>
      </c>
      <c r="AC1261" s="6">
        <v>76</v>
      </c>
      <c r="AD1261" s="6">
        <v>65</v>
      </c>
      <c r="AE1261" s="6">
        <v>73</v>
      </c>
      <c r="AF1261" s="6">
        <v>78</v>
      </c>
      <c r="AG1261" s="6" t="s">
        <v>8172</v>
      </c>
      <c r="AH1261" s="6" t="s">
        <v>6936</v>
      </c>
    </row>
    <row r="1262" spans="1:34" x14ac:dyDescent="0.2">
      <c r="A1262" t="s">
        <v>4452</v>
      </c>
      <c r="B1262" t="s">
        <v>2715</v>
      </c>
      <c r="C1262" t="s">
        <v>2870</v>
      </c>
      <c r="D1262" s="7" t="s">
        <v>145</v>
      </c>
      <c r="E1262" t="s">
        <v>58</v>
      </c>
      <c r="F1262">
        <v>27</v>
      </c>
      <c r="G1262">
        <v>85</v>
      </c>
      <c r="H1262">
        <v>70</v>
      </c>
      <c r="I1262" t="s">
        <v>6506</v>
      </c>
      <c r="J1262">
        <v>70</v>
      </c>
      <c r="K1262">
        <v>199</v>
      </c>
      <c r="L1262" t="s">
        <v>6146</v>
      </c>
      <c r="M1262" s="6" t="s">
        <v>6558</v>
      </c>
      <c r="N1262" s="6" t="s">
        <v>6565</v>
      </c>
      <c r="O1262" s="6">
        <v>85</v>
      </c>
      <c r="P1262" s="6">
        <v>77</v>
      </c>
      <c r="Q1262" s="6">
        <v>71</v>
      </c>
      <c r="R1262" s="6">
        <v>73</v>
      </c>
      <c r="S1262" s="6">
        <v>84</v>
      </c>
      <c r="T1262" s="6">
        <v>80</v>
      </c>
      <c r="U1262" s="6">
        <v>64</v>
      </c>
      <c r="V1262" s="6">
        <v>85</v>
      </c>
      <c r="W1262" s="6">
        <v>73</v>
      </c>
      <c r="X1262" s="6">
        <v>68</v>
      </c>
      <c r="Y1262" s="6">
        <v>76</v>
      </c>
      <c r="Z1262" s="6">
        <v>88</v>
      </c>
      <c r="AA1262" s="6">
        <v>79</v>
      </c>
      <c r="AB1262" s="6">
        <v>74</v>
      </c>
      <c r="AC1262" s="6">
        <v>76</v>
      </c>
      <c r="AD1262" s="6">
        <v>81</v>
      </c>
      <c r="AE1262" s="6">
        <v>77</v>
      </c>
      <c r="AF1262" s="6">
        <v>76</v>
      </c>
      <c r="AG1262" s="6" t="s">
        <v>8174</v>
      </c>
      <c r="AH1262" s="6" t="s">
        <v>6723</v>
      </c>
    </row>
    <row r="1263" spans="1:34" x14ac:dyDescent="0.2">
      <c r="A1263" t="s">
        <v>4454</v>
      </c>
      <c r="B1263" t="s">
        <v>2717</v>
      </c>
      <c r="C1263" t="s">
        <v>2870</v>
      </c>
      <c r="D1263" s="7" t="s">
        <v>145</v>
      </c>
      <c r="E1263" t="s">
        <v>38</v>
      </c>
      <c r="F1263">
        <v>27</v>
      </c>
      <c r="G1263">
        <v>70</v>
      </c>
      <c r="H1263">
        <v>70</v>
      </c>
      <c r="I1263" t="s">
        <v>6314</v>
      </c>
      <c r="J1263">
        <v>68</v>
      </c>
      <c r="K1263">
        <v>216</v>
      </c>
      <c r="L1263" t="s">
        <v>6148</v>
      </c>
      <c r="M1263" s="6" t="s">
        <v>6558</v>
      </c>
      <c r="N1263" s="6" t="s">
        <v>6565</v>
      </c>
      <c r="O1263" s="6">
        <v>64</v>
      </c>
      <c r="P1263" s="6">
        <v>73</v>
      </c>
      <c r="Q1263" s="6">
        <v>75</v>
      </c>
      <c r="R1263" s="6">
        <v>74</v>
      </c>
      <c r="S1263" s="6">
        <v>76</v>
      </c>
      <c r="T1263" s="6">
        <v>66</v>
      </c>
      <c r="U1263" s="6">
        <v>67</v>
      </c>
      <c r="V1263" s="6">
        <v>75</v>
      </c>
      <c r="W1263" s="6">
        <v>62</v>
      </c>
      <c r="X1263" s="6">
        <v>66</v>
      </c>
      <c r="Y1263" s="6">
        <v>90</v>
      </c>
      <c r="Z1263" s="6">
        <v>71</v>
      </c>
      <c r="AA1263" s="6">
        <v>77</v>
      </c>
      <c r="AB1263" s="6">
        <v>76</v>
      </c>
      <c r="AC1263" s="6">
        <v>62</v>
      </c>
      <c r="AD1263" s="6">
        <v>69</v>
      </c>
      <c r="AE1263" s="6">
        <v>64</v>
      </c>
      <c r="AF1263" s="6">
        <v>81</v>
      </c>
      <c r="AG1263" s="6" t="s">
        <v>8176</v>
      </c>
      <c r="AH1263" s="6" t="s">
        <v>6887</v>
      </c>
    </row>
    <row r="1264" spans="1:34" x14ac:dyDescent="0.2">
      <c r="A1264" t="s">
        <v>4456</v>
      </c>
      <c r="B1264" t="s">
        <v>2719</v>
      </c>
      <c r="C1264" t="s">
        <v>57</v>
      </c>
      <c r="D1264" s="7" t="s">
        <v>145</v>
      </c>
      <c r="E1264" t="s">
        <v>38</v>
      </c>
      <c r="F1264">
        <v>24</v>
      </c>
      <c r="G1264">
        <v>82</v>
      </c>
      <c r="H1264">
        <v>70</v>
      </c>
      <c r="I1264" t="s">
        <v>6350</v>
      </c>
      <c r="J1264">
        <v>72</v>
      </c>
      <c r="K1264">
        <v>208</v>
      </c>
      <c r="L1264" t="s">
        <v>6150</v>
      </c>
      <c r="M1264" s="6" t="s">
        <v>6558</v>
      </c>
      <c r="N1264" s="6" t="s">
        <v>6567</v>
      </c>
      <c r="O1264" s="6">
        <v>82</v>
      </c>
      <c r="P1264" s="6">
        <v>66</v>
      </c>
      <c r="Q1264" s="6">
        <v>72</v>
      </c>
      <c r="R1264" s="6">
        <v>69</v>
      </c>
      <c r="S1264" s="6">
        <v>81</v>
      </c>
      <c r="T1264" s="6">
        <v>68</v>
      </c>
      <c r="U1264" s="6">
        <v>67</v>
      </c>
      <c r="V1264" s="6">
        <v>79</v>
      </c>
      <c r="W1264" s="6">
        <v>72</v>
      </c>
      <c r="X1264" s="6">
        <v>78</v>
      </c>
      <c r="Y1264" s="6">
        <v>69</v>
      </c>
      <c r="Z1264" s="6">
        <v>74</v>
      </c>
      <c r="AA1264" s="6">
        <v>76</v>
      </c>
      <c r="AB1264" s="6">
        <v>69</v>
      </c>
      <c r="AC1264" s="6">
        <v>76</v>
      </c>
      <c r="AD1264" s="6">
        <v>76</v>
      </c>
      <c r="AE1264" s="6">
        <v>79</v>
      </c>
      <c r="AF1264" s="6">
        <v>73</v>
      </c>
      <c r="AG1264" s="6" t="s">
        <v>8178</v>
      </c>
      <c r="AH1264" s="6" t="s">
        <v>6574</v>
      </c>
    </row>
    <row r="1265" spans="1:34" x14ac:dyDescent="0.2">
      <c r="A1265" t="s">
        <v>4458</v>
      </c>
      <c r="B1265" t="s">
        <v>2721</v>
      </c>
      <c r="C1265" t="s">
        <v>57</v>
      </c>
      <c r="D1265" s="7" t="s">
        <v>145</v>
      </c>
      <c r="E1265" t="s">
        <v>38</v>
      </c>
      <c r="F1265">
        <v>27</v>
      </c>
      <c r="G1265">
        <v>75</v>
      </c>
      <c r="H1265">
        <v>70</v>
      </c>
      <c r="I1265" t="s">
        <v>6492</v>
      </c>
      <c r="J1265">
        <v>77</v>
      </c>
      <c r="K1265">
        <v>192</v>
      </c>
      <c r="L1265" t="s">
        <v>6152</v>
      </c>
      <c r="M1265" s="6" t="s">
        <v>6558</v>
      </c>
      <c r="N1265" s="6" t="s">
        <v>6565</v>
      </c>
      <c r="O1265" s="6">
        <v>84</v>
      </c>
      <c r="P1265" s="6">
        <v>80</v>
      </c>
      <c r="Q1265" s="6">
        <v>89</v>
      </c>
      <c r="R1265" s="6">
        <v>75</v>
      </c>
      <c r="S1265" s="6">
        <v>76</v>
      </c>
      <c r="T1265" s="6">
        <v>79</v>
      </c>
      <c r="U1265" s="6">
        <v>80</v>
      </c>
      <c r="V1265" s="6">
        <v>77</v>
      </c>
      <c r="W1265" s="6">
        <v>76</v>
      </c>
      <c r="X1265" s="6">
        <v>84</v>
      </c>
      <c r="Y1265" s="6">
        <v>78</v>
      </c>
      <c r="Z1265" s="6">
        <v>68</v>
      </c>
      <c r="AA1265" s="6">
        <v>76</v>
      </c>
      <c r="AB1265" s="6">
        <v>76</v>
      </c>
      <c r="AC1265" s="6">
        <v>72</v>
      </c>
      <c r="AD1265" s="6">
        <v>72</v>
      </c>
      <c r="AE1265" s="6">
        <v>71</v>
      </c>
      <c r="AF1265" s="6">
        <v>74</v>
      </c>
      <c r="AG1265" s="6" t="s">
        <v>8180</v>
      </c>
      <c r="AH1265" s="6" t="s">
        <v>6578</v>
      </c>
    </row>
    <row r="1266" spans="1:34" x14ac:dyDescent="0.2">
      <c r="A1266" t="s">
        <v>4460</v>
      </c>
      <c r="B1266" t="s">
        <v>2723</v>
      </c>
      <c r="C1266" t="s">
        <v>57</v>
      </c>
      <c r="D1266" s="7" t="s">
        <v>145</v>
      </c>
      <c r="E1266" t="s">
        <v>58</v>
      </c>
      <c r="F1266">
        <v>29</v>
      </c>
      <c r="G1266">
        <v>70</v>
      </c>
      <c r="H1266">
        <v>70</v>
      </c>
      <c r="I1266" t="s">
        <v>6371</v>
      </c>
      <c r="J1266">
        <v>76</v>
      </c>
      <c r="K1266">
        <v>195</v>
      </c>
      <c r="L1266" t="s">
        <v>6154</v>
      </c>
      <c r="M1266" s="6" t="s">
        <v>6558</v>
      </c>
      <c r="N1266" s="6" t="s">
        <v>6567</v>
      </c>
      <c r="O1266" s="6">
        <v>76</v>
      </c>
      <c r="P1266" s="6">
        <v>69</v>
      </c>
      <c r="Q1266" s="6">
        <v>71</v>
      </c>
      <c r="R1266" s="6">
        <v>64</v>
      </c>
      <c r="S1266" s="6">
        <v>81</v>
      </c>
      <c r="T1266" s="6">
        <v>64</v>
      </c>
      <c r="U1266" s="6">
        <v>64</v>
      </c>
      <c r="V1266" s="6">
        <v>70</v>
      </c>
      <c r="W1266" s="6">
        <v>75</v>
      </c>
      <c r="X1266" s="6">
        <v>69</v>
      </c>
      <c r="Y1266" s="6">
        <v>85</v>
      </c>
      <c r="Z1266" s="6">
        <v>72</v>
      </c>
      <c r="AA1266" s="6">
        <v>68</v>
      </c>
      <c r="AB1266" s="6">
        <v>69</v>
      </c>
      <c r="AC1266" s="6">
        <v>69</v>
      </c>
      <c r="AD1266" s="6">
        <v>68</v>
      </c>
      <c r="AE1266" s="6">
        <v>67</v>
      </c>
      <c r="AF1266" s="6">
        <v>65</v>
      </c>
      <c r="AG1266" s="6" t="s">
        <v>8182</v>
      </c>
      <c r="AH1266" s="6" t="s">
        <v>6576</v>
      </c>
    </row>
    <row r="1267" spans="1:34" x14ac:dyDescent="0.2">
      <c r="A1267" t="s">
        <v>4462</v>
      </c>
      <c r="B1267" t="s">
        <v>2725</v>
      </c>
      <c r="C1267" t="s">
        <v>57</v>
      </c>
      <c r="D1267" s="7" t="s">
        <v>145</v>
      </c>
      <c r="E1267" t="s">
        <v>38</v>
      </c>
      <c r="F1267">
        <v>26</v>
      </c>
      <c r="G1267">
        <v>64</v>
      </c>
      <c r="H1267">
        <v>70</v>
      </c>
      <c r="I1267" t="s">
        <v>6356</v>
      </c>
      <c r="J1267">
        <v>71</v>
      </c>
      <c r="K1267">
        <v>214</v>
      </c>
      <c r="L1267" t="s">
        <v>6156</v>
      </c>
      <c r="M1267" s="6" t="s">
        <v>6558</v>
      </c>
      <c r="N1267" s="6" t="s">
        <v>6567</v>
      </c>
      <c r="O1267" s="6">
        <v>76</v>
      </c>
      <c r="P1267" s="6">
        <v>70</v>
      </c>
      <c r="Q1267" s="6">
        <v>75</v>
      </c>
      <c r="R1267" s="6">
        <v>69</v>
      </c>
      <c r="S1267" s="6">
        <v>79</v>
      </c>
      <c r="T1267" s="6">
        <v>78</v>
      </c>
      <c r="U1267" s="6">
        <v>77</v>
      </c>
      <c r="V1267" s="6">
        <v>78</v>
      </c>
      <c r="W1267" s="6">
        <v>81</v>
      </c>
      <c r="X1267" s="6">
        <v>77</v>
      </c>
      <c r="Y1267" s="6">
        <v>75</v>
      </c>
      <c r="Z1267" s="6">
        <v>77</v>
      </c>
      <c r="AA1267" s="6">
        <v>74</v>
      </c>
      <c r="AB1267" s="6">
        <v>76</v>
      </c>
      <c r="AC1267" s="6">
        <v>70</v>
      </c>
      <c r="AD1267" s="6">
        <v>78</v>
      </c>
      <c r="AE1267" s="6">
        <v>76</v>
      </c>
      <c r="AF1267" s="6">
        <v>70</v>
      </c>
      <c r="AG1267" s="6" t="s">
        <v>8184</v>
      </c>
      <c r="AH1267" s="6" t="s">
        <v>6670</v>
      </c>
    </row>
    <row r="1268" spans="1:34" x14ac:dyDescent="0.2">
      <c r="A1268" t="s">
        <v>4464</v>
      </c>
      <c r="B1268" t="s">
        <v>2727</v>
      </c>
      <c r="C1268" t="s">
        <v>2871</v>
      </c>
      <c r="D1268" s="7" t="s">
        <v>145</v>
      </c>
      <c r="E1268" t="s">
        <v>38</v>
      </c>
      <c r="F1268">
        <v>29</v>
      </c>
      <c r="G1268">
        <v>78</v>
      </c>
      <c r="H1268">
        <v>70</v>
      </c>
      <c r="I1268" t="s">
        <v>6326</v>
      </c>
      <c r="J1268">
        <v>77</v>
      </c>
      <c r="K1268">
        <v>240</v>
      </c>
      <c r="L1268" t="s">
        <v>6158</v>
      </c>
      <c r="M1268" s="6" t="s">
        <v>6558</v>
      </c>
      <c r="N1268" s="6" t="s">
        <v>6614</v>
      </c>
      <c r="O1268" s="6">
        <v>71</v>
      </c>
      <c r="P1268" s="6">
        <v>75</v>
      </c>
      <c r="Q1268" s="6">
        <v>75</v>
      </c>
      <c r="R1268" s="6">
        <v>61</v>
      </c>
      <c r="S1268" s="6">
        <v>78</v>
      </c>
      <c r="T1268" s="6">
        <v>67</v>
      </c>
      <c r="U1268" s="6">
        <v>78</v>
      </c>
      <c r="V1268" s="6">
        <v>72</v>
      </c>
      <c r="W1268" s="6">
        <v>71</v>
      </c>
      <c r="X1268" s="6">
        <v>74</v>
      </c>
      <c r="Y1268" s="6">
        <v>81</v>
      </c>
      <c r="Z1268" s="6">
        <v>80</v>
      </c>
      <c r="AA1268" s="6">
        <v>62</v>
      </c>
      <c r="AB1268" s="6">
        <v>70</v>
      </c>
      <c r="AC1268" s="6">
        <v>69</v>
      </c>
      <c r="AD1268" s="6">
        <v>73</v>
      </c>
      <c r="AE1268" s="6">
        <v>69</v>
      </c>
      <c r="AF1268" s="6">
        <v>73</v>
      </c>
      <c r="AG1268" s="6" t="s">
        <v>8186</v>
      </c>
      <c r="AH1268" s="6" t="s">
        <v>6587</v>
      </c>
    </row>
    <row r="1269" spans="1:34" x14ac:dyDescent="0.2">
      <c r="A1269" t="s">
        <v>4466</v>
      </c>
      <c r="B1269" t="s">
        <v>2729</v>
      </c>
      <c r="C1269" t="s">
        <v>2871</v>
      </c>
      <c r="D1269" s="7" t="s">
        <v>145</v>
      </c>
      <c r="E1269" t="s">
        <v>38</v>
      </c>
      <c r="F1269">
        <v>28</v>
      </c>
      <c r="G1269">
        <v>66</v>
      </c>
      <c r="H1269">
        <v>70</v>
      </c>
      <c r="I1269" t="s">
        <v>6502</v>
      </c>
      <c r="J1269">
        <v>74</v>
      </c>
      <c r="K1269">
        <v>265</v>
      </c>
      <c r="L1269" t="s">
        <v>6160</v>
      </c>
      <c r="M1269" s="6" t="s">
        <v>6558</v>
      </c>
      <c r="N1269" s="6" t="s">
        <v>6614</v>
      </c>
      <c r="O1269" s="6">
        <v>65</v>
      </c>
      <c r="P1269" s="6">
        <v>67</v>
      </c>
      <c r="Q1269" s="6">
        <v>66</v>
      </c>
      <c r="R1269" s="6">
        <v>62</v>
      </c>
      <c r="S1269" s="6">
        <v>70</v>
      </c>
      <c r="T1269" s="6">
        <v>71</v>
      </c>
      <c r="U1269" s="6">
        <v>79</v>
      </c>
      <c r="V1269" s="6">
        <v>75</v>
      </c>
      <c r="W1269" s="6">
        <v>66</v>
      </c>
      <c r="X1269" s="6">
        <v>68</v>
      </c>
      <c r="Y1269" s="6">
        <v>80</v>
      </c>
      <c r="Z1269" s="6">
        <v>74</v>
      </c>
      <c r="AA1269" s="6">
        <v>69</v>
      </c>
      <c r="AB1269" s="6">
        <v>73</v>
      </c>
      <c r="AC1269" s="6">
        <v>63</v>
      </c>
      <c r="AD1269" s="6">
        <v>66</v>
      </c>
      <c r="AE1269" s="6">
        <v>73</v>
      </c>
      <c r="AF1269" s="6">
        <v>72</v>
      </c>
      <c r="AG1269" s="6" t="s">
        <v>8188</v>
      </c>
      <c r="AH1269" s="6" t="s">
        <v>6587</v>
      </c>
    </row>
    <row r="1270" spans="1:34" x14ac:dyDescent="0.2">
      <c r="A1270" t="s">
        <v>4468</v>
      </c>
      <c r="B1270" t="s">
        <v>2731</v>
      </c>
      <c r="C1270" t="s">
        <v>2874</v>
      </c>
      <c r="D1270" s="7" t="s">
        <v>145</v>
      </c>
      <c r="E1270" t="s">
        <v>58</v>
      </c>
      <c r="F1270">
        <v>31</v>
      </c>
      <c r="G1270">
        <v>68</v>
      </c>
      <c r="H1270">
        <v>70</v>
      </c>
      <c r="I1270" t="s">
        <v>6343</v>
      </c>
      <c r="J1270">
        <v>74</v>
      </c>
      <c r="K1270">
        <v>304</v>
      </c>
      <c r="L1270" t="s">
        <v>6162</v>
      </c>
      <c r="M1270" s="6" t="s">
        <v>6558</v>
      </c>
      <c r="N1270" s="6" t="s">
        <v>6565</v>
      </c>
      <c r="O1270" s="6">
        <v>73</v>
      </c>
      <c r="P1270" s="6">
        <v>77</v>
      </c>
      <c r="Q1270" s="6">
        <v>73</v>
      </c>
      <c r="R1270" s="6">
        <v>70</v>
      </c>
      <c r="S1270" s="6">
        <v>73</v>
      </c>
      <c r="T1270" s="6">
        <v>69</v>
      </c>
      <c r="U1270" s="6">
        <v>80</v>
      </c>
      <c r="V1270" s="6">
        <v>72</v>
      </c>
      <c r="W1270" s="6">
        <v>67</v>
      </c>
      <c r="X1270" s="6">
        <v>61</v>
      </c>
      <c r="Y1270" s="6">
        <v>66</v>
      </c>
      <c r="Z1270" s="6">
        <v>79</v>
      </c>
      <c r="AA1270" s="6">
        <v>66</v>
      </c>
      <c r="AB1270" s="6">
        <v>65</v>
      </c>
      <c r="AC1270" s="6">
        <v>58</v>
      </c>
      <c r="AD1270" s="6">
        <v>67</v>
      </c>
      <c r="AE1270" s="6">
        <v>59</v>
      </c>
      <c r="AF1270" s="6">
        <v>61</v>
      </c>
      <c r="AG1270" s="6" t="s">
        <v>8190</v>
      </c>
      <c r="AH1270" s="6" t="s">
        <v>6598</v>
      </c>
    </row>
    <row r="1271" spans="1:34" x14ac:dyDescent="0.2">
      <c r="A1271" t="s">
        <v>4470</v>
      </c>
      <c r="B1271" t="s">
        <v>2733</v>
      </c>
      <c r="C1271" t="s">
        <v>2875</v>
      </c>
      <c r="D1271" s="7" t="s">
        <v>145</v>
      </c>
      <c r="E1271" t="s">
        <v>38</v>
      </c>
      <c r="F1271">
        <v>29</v>
      </c>
      <c r="G1271">
        <v>64</v>
      </c>
      <c r="H1271">
        <v>70</v>
      </c>
      <c r="I1271" t="s">
        <v>6382</v>
      </c>
      <c r="J1271">
        <v>72</v>
      </c>
      <c r="K1271">
        <v>299</v>
      </c>
      <c r="L1271" t="s">
        <v>6164</v>
      </c>
      <c r="M1271" s="6" t="s">
        <v>6558</v>
      </c>
      <c r="N1271" s="6" t="s">
        <v>6583</v>
      </c>
      <c r="O1271" s="6">
        <v>83</v>
      </c>
      <c r="P1271" s="6">
        <v>82</v>
      </c>
      <c r="Q1271" s="6">
        <v>84</v>
      </c>
      <c r="R1271" s="6">
        <v>78</v>
      </c>
      <c r="S1271" s="6">
        <v>69</v>
      </c>
      <c r="T1271" s="6">
        <v>76</v>
      </c>
      <c r="U1271" s="6">
        <v>76</v>
      </c>
      <c r="V1271" s="6">
        <v>76</v>
      </c>
      <c r="W1271" s="6">
        <v>76</v>
      </c>
      <c r="X1271" s="6">
        <v>83</v>
      </c>
      <c r="Y1271" s="6">
        <v>68</v>
      </c>
      <c r="Z1271" s="6">
        <v>71</v>
      </c>
      <c r="AA1271" s="6">
        <v>74</v>
      </c>
      <c r="AB1271" s="6">
        <v>73</v>
      </c>
      <c r="AC1271" s="6">
        <v>73</v>
      </c>
      <c r="AD1271" s="6">
        <v>70</v>
      </c>
      <c r="AE1271" s="6">
        <v>65</v>
      </c>
      <c r="AF1271" s="6">
        <v>70</v>
      </c>
      <c r="AG1271" s="6" t="s">
        <v>8192</v>
      </c>
      <c r="AH1271" s="6" t="s">
        <v>6606</v>
      </c>
    </row>
    <row r="1272" spans="1:34" x14ac:dyDescent="0.2">
      <c r="A1272" t="s">
        <v>4472</v>
      </c>
      <c r="B1272" t="s">
        <v>2735</v>
      </c>
      <c r="C1272" t="s">
        <v>2877</v>
      </c>
      <c r="D1272" s="7" t="s">
        <v>145</v>
      </c>
      <c r="E1272" t="s">
        <v>38</v>
      </c>
      <c r="F1272">
        <v>29</v>
      </c>
      <c r="G1272">
        <v>87</v>
      </c>
      <c r="H1272">
        <v>70</v>
      </c>
      <c r="I1272" t="s">
        <v>6324</v>
      </c>
      <c r="J1272">
        <v>78</v>
      </c>
      <c r="K1272">
        <v>321</v>
      </c>
      <c r="L1272" t="s">
        <v>6166</v>
      </c>
      <c r="M1272" s="6" t="s">
        <v>6558</v>
      </c>
      <c r="N1272" s="6" t="s">
        <v>6583</v>
      </c>
      <c r="O1272" s="6">
        <v>81</v>
      </c>
      <c r="P1272" s="6">
        <v>86</v>
      </c>
      <c r="Q1272" s="6">
        <v>79</v>
      </c>
      <c r="R1272" s="6">
        <v>80</v>
      </c>
      <c r="S1272" s="6">
        <v>84</v>
      </c>
      <c r="T1272" s="6">
        <v>81</v>
      </c>
      <c r="U1272" s="6">
        <v>83</v>
      </c>
      <c r="V1272" s="6">
        <v>85</v>
      </c>
      <c r="W1272" s="6">
        <v>89</v>
      </c>
      <c r="X1272" s="6">
        <v>80</v>
      </c>
      <c r="Y1272" s="6">
        <v>78</v>
      </c>
      <c r="Z1272" s="6">
        <v>77</v>
      </c>
      <c r="AA1272" s="6">
        <v>73</v>
      </c>
      <c r="AB1272" s="6">
        <v>73</v>
      </c>
      <c r="AC1272" s="6">
        <v>76</v>
      </c>
      <c r="AD1272" s="6">
        <v>74</v>
      </c>
      <c r="AE1272" s="6">
        <v>74</v>
      </c>
      <c r="AF1272" s="6">
        <v>80</v>
      </c>
      <c r="AG1272" s="6" t="s">
        <v>8194</v>
      </c>
      <c r="AH1272" s="6" t="s">
        <v>6596</v>
      </c>
    </row>
    <row r="1273" spans="1:34" x14ac:dyDescent="0.2">
      <c r="A1273" t="s">
        <v>4474</v>
      </c>
      <c r="B1273" t="s">
        <v>2737</v>
      </c>
      <c r="C1273" t="s">
        <v>2878</v>
      </c>
      <c r="D1273" s="7" t="s">
        <v>145</v>
      </c>
      <c r="E1273" t="s">
        <v>38</v>
      </c>
      <c r="F1273">
        <v>28</v>
      </c>
      <c r="G1273">
        <v>74</v>
      </c>
      <c r="H1273">
        <v>70</v>
      </c>
      <c r="I1273" t="s">
        <v>6368</v>
      </c>
      <c r="J1273">
        <v>75</v>
      </c>
      <c r="K1273">
        <v>261</v>
      </c>
      <c r="L1273" t="s">
        <v>6168</v>
      </c>
      <c r="M1273" s="6" t="s">
        <v>6558</v>
      </c>
      <c r="N1273" s="6" t="s">
        <v>6567</v>
      </c>
      <c r="O1273" s="6">
        <v>88</v>
      </c>
      <c r="P1273" s="6">
        <v>64</v>
      </c>
      <c r="Q1273" s="6">
        <v>79</v>
      </c>
      <c r="R1273" s="6">
        <v>64</v>
      </c>
      <c r="S1273" s="6">
        <v>79</v>
      </c>
      <c r="T1273" s="6">
        <v>70</v>
      </c>
      <c r="U1273" s="6">
        <v>78</v>
      </c>
      <c r="V1273" s="6">
        <v>78</v>
      </c>
      <c r="W1273" s="6">
        <v>78</v>
      </c>
      <c r="X1273" s="6">
        <v>77</v>
      </c>
      <c r="Y1273" s="6">
        <v>75</v>
      </c>
      <c r="Z1273" s="6">
        <v>77</v>
      </c>
      <c r="AA1273" s="6">
        <v>77</v>
      </c>
      <c r="AB1273" s="6">
        <v>75</v>
      </c>
      <c r="AC1273" s="6">
        <v>67</v>
      </c>
      <c r="AD1273" s="6">
        <v>84</v>
      </c>
      <c r="AE1273" s="6">
        <v>73</v>
      </c>
      <c r="AF1273" s="6">
        <v>73</v>
      </c>
      <c r="AG1273" s="6" t="s">
        <v>8196</v>
      </c>
      <c r="AH1273" s="6" t="s">
        <v>6684</v>
      </c>
    </row>
    <row r="1274" spans="1:34" x14ac:dyDescent="0.2">
      <c r="A1274" t="s">
        <v>4476</v>
      </c>
      <c r="B1274" t="s">
        <v>2739</v>
      </c>
      <c r="C1274" t="s">
        <v>2878</v>
      </c>
      <c r="D1274" s="7" t="s">
        <v>145</v>
      </c>
      <c r="E1274" t="s">
        <v>38</v>
      </c>
      <c r="F1274">
        <v>32</v>
      </c>
      <c r="G1274">
        <v>70</v>
      </c>
      <c r="H1274">
        <v>70</v>
      </c>
      <c r="I1274" t="s">
        <v>6411</v>
      </c>
      <c r="J1274">
        <v>75</v>
      </c>
      <c r="K1274">
        <v>250</v>
      </c>
      <c r="L1274" t="s">
        <v>6170</v>
      </c>
      <c r="M1274" s="6" t="s">
        <v>6558</v>
      </c>
      <c r="N1274" s="6" t="s">
        <v>6583</v>
      </c>
      <c r="O1274" s="6">
        <v>72</v>
      </c>
      <c r="P1274" s="6">
        <v>74</v>
      </c>
      <c r="Q1274" s="6">
        <v>79</v>
      </c>
      <c r="R1274" s="6">
        <v>79</v>
      </c>
      <c r="S1274" s="6">
        <v>87</v>
      </c>
      <c r="T1274" s="6">
        <v>69</v>
      </c>
      <c r="U1274" s="6">
        <v>74</v>
      </c>
      <c r="V1274" s="6">
        <v>72</v>
      </c>
      <c r="W1274" s="6">
        <v>76</v>
      </c>
      <c r="X1274" s="6">
        <v>75</v>
      </c>
      <c r="Y1274" s="6">
        <v>82</v>
      </c>
      <c r="Z1274" s="6">
        <v>76</v>
      </c>
      <c r="AA1274" s="6">
        <v>67</v>
      </c>
      <c r="AB1274" s="6">
        <v>68</v>
      </c>
      <c r="AC1274" s="6">
        <v>69</v>
      </c>
      <c r="AD1274" s="6">
        <v>71</v>
      </c>
      <c r="AE1274" s="6">
        <v>68</v>
      </c>
      <c r="AF1274" s="6">
        <v>63</v>
      </c>
      <c r="AG1274" s="6" t="s">
        <v>8198</v>
      </c>
      <c r="AH1274" s="6" t="s">
        <v>6797</v>
      </c>
    </row>
    <row r="1275" spans="1:34" x14ac:dyDescent="0.2">
      <c r="A1275" t="s">
        <v>4478</v>
      </c>
      <c r="B1275" t="s">
        <v>2741</v>
      </c>
      <c r="C1275" t="s">
        <v>2878</v>
      </c>
      <c r="D1275" s="7" t="s">
        <v>145</v>
      </c>
      <c r="E1275" t="s">
        <v>38</v>
      </c>
      <c r="F1275">
        <v>29</v>
      </c>
      <c r="G1275">
        <v>63</v>
      </c>
      <c r="H1275">
        <v>70</v>
      </c>
      <c r="I1275" t="s">
        <v>6409</v>
      </c>
      <c r="J1275">
        <v>77</v>
      </c>
      <c r="K1275">
        <v>261</v>
      </c>
      <c r="L1275" t="s">
        <v>6172</v>
      </c>
      <c r="M1275" s="6" t="s">
        <v>6558</v>
      </c>
      <c r="N1275" s="6" t="s">
        <v>6567</v>
      </c>
      <c r="O1275" s="6">
        <v>66</v>
      </c>
      <c r="P1275" s="6">
        <v>65</v>
      </c>
      <c r="Q1275" s="6">
        <v>87</v>
      </c>
      <c r="R1275" s="6">
        <v>65</v>
      </c>
      <c r="S1275" s="6">
        <v>74</v>
      </c>
      <c r="T1275" s="6">
        <v>65</v>
      </c>
      <c r="U1275" s="6">
        <v>79</v>
      </c>
      <c r="V1275" s="6">
        <v>75</v>
      </c>
      <c r="W1275" s="6">
        <v>60</v>
      </c>
      <c r="X1275" s="6">
        <v>80</v>
      </c>
      <c r="Y1275" s="6">
        <v>74</v>
      </c>
      <c r="Z1275" s="6">
        <v>82</v>
      </c>
      <c r="AA1275" s="6">
        <v>67</v>
      </c>
      <c r="AB1275" s="6">
        <v>70</v>
      </c>
      <c r="AC1275" s="6">
        <v>64</v>
      </c>
      <c r="AD1275" s="6">
        <v>68</v>
      </c>
      <c r="AE1275" s="6">
        <v>62</v>
      </c>
      <c r="AF1275" s="6">
        <v>68</v>
      </c>
      <c r="AG1275" s="6" t="s">
        <v>8200</v>
      </c>
      <c r="AH1275" s="6" t="s">
        <v>6686</v>
      </c>
    </row>
    <row r="1276" spans="1:34" x14ac:dyDescent="0.2">
      <c r="A1276" t="s">
        <v>4480</v>
      </c>
      <c r="B1276" t="s">
        <v>2743</v>
      </c>
      <c r="C1276" t="s">
        <v>2879</v>
      </c>
      <c r="D1276" s="7" t="s">
        <v>145</v>
      </c>
      <c r="E1276" t="s">
        <v>38</v>
      </c>
      <c r="F1276">
        <v>23</v>
      </c>
      <c r="G1276">
        <v>70</v>
      </c>
      <c r="H1276">
        <v>70</v>
      </c>
      <c r="I1276" t="s">
        <v>6332</v>
      </c>
      <c r="J1276">
        <v>76</v>
      </c>
      <c r="K1276">
        <v>320</v>
      </c>
      <c r="L1276" t="s">
        <v>6174</v>
      </c>
      <c r="M1276" s="6" t="s">
        <v>6558</v>
      </c>
      <c r="N1276" s="6" t="s">
        <v>6614</v>
      </c>
      <c r="O1276" s="6">
        <v>66</v>
      </c>
      <c r="P1276" s="6">
        <v>76</v>
      </c>
      <c r="Q1276" s="6">
        <v>76</v>
      </c>
      <c r="R1276" s="6">
        <v>62</v>
      </c>
      <c r="S1276" s="6">
        <v>72</v>
      </c>
      <c r="T1276" s="6">
        <v>64</v>
      </c>
      <c r="U1276" s="6">
        <v>70</v>
      </c>
      <c r="V1276" s="6">
        <v>81</v>
      </c>
      <c r="W1276" s="6">
        <v>73</v>
      </c>
      <c r="X1276" s="6">
        <v>67</v>
      </c>
      <c r="Y1276" s="6">
        <v>68</v>
      </c>
      <c r="Z1276" s="6">
        <v>75</v>
      </c>
      <c r="AA1276" s="6">
        <v>63</v>
      </c>
      <c r="AB1276" s="6">
        <v>72</v>
      </c>
      <c r="AC1276" s="6">
        <v>70</v>
      </c>
      <c r="AD1276" s="6">
        <v>68</v>
      </c>
      <c r="AE1276" s="6">
        <v>75</v>
      </c>
      <c r="AF1276" s="6">
        <v>73</v>
      </c>
      <c r="AG1276" s="6" t="s">
        <v>8202</v>
      </c>
      <c r="AH1276" s="6" t="s">
        <v>6806</v>
      </c>
    </row>
    <row r="1277" spans="1:34" x14ac:dyDescent="0.2">
      <c r="A1277" t="s">
        <v>4482</v>
      </c>
      <c r="B1277" t="s">
        <v>2745</v>
      </c>
      <c r="C1277" t="s">
        <v>2879</v>
      </c>
      <c r="D1277" s="7" t="s">
        <v>145</v>
      </c>
      <c r="E1277" t="s">
        <v>58</v>
      </c>
      <c r="F1277">
        <v>33</v>
      </c>
      <c r="G1277">
        <v>58</v>
      </c>
      <c r="H1277">
        <v>70</v>
      </c>
      <c r="I1277" t="s">
        <v>6461</v>
      </c>
      <c r="J1277">
        <v>73</v>
      </c>
      <c r="K1277">
        <v>290</v>
      </c>
      <c r="L1277" t="s">
        <v>6176</v>
      </c>
      <c r="M1277" s="6" t="s">
        <v>6558</v>
      </c>
      <c r="N1277" s="6" t="s">
        <v>6567</v>
      </c>
      <c r="O1277" s="6">
        <v>71</v>
      </c>
      <c r="P1277" s="6">
        <v>75</v>
      </c>
      <c r="Q1277" s="6">
        <v>67</v>
      </c>
      <c r="R1277" s="6">
        <v>69</v>
      </c>
      <c r="S1277" s="6">
        <v>74</v>
      </c>
      <c r="T1277" s="6">
        <v>80</v>
      </c>
      <c r="U1277" s="6">
        <v>80</v>
      </c>
      <c r="V1277" s="6">
        <v>66</v>
      </c>
      <c r="W1277" s="6">
        <v>65</v>
      </c>
      <c r="X1277" s="6">
        <v>70</v>
      </c>
      <c r="Y1277" s="6">
        <v>71</v>
      </c>
      <c r="Z1277" s="6">
        <v>65</v>
      </c>
      <c r="AA1277" s="6">
        <v>51</v>
      </c>
      <c r="AB1277" s="6">
        <v>57</v>
      </c>
      <c r="AC1277" s="6">
        <v>52</v>
      </c>
      <c r="AD1277" s="6">
        <v>67</v>
      </c>
      <c r="AE1277" s="6">
        <v>60</v>
      </c>
      <c r="AF1277" s="6">
        <v>58</v>
      </c>
      <c r="AG1277" s="6" t="s">
        <v>8204</v>
      </c>
      <c r="AH1277" s="6" t="s">
        <v>6617</v>
      </c>
    </row>
    <row r="1278" spans="1:34" x14ac:dyDescent="0.2">
      <c r="A1278" t="s">
        <v>4484</v>
      </c>
      <c r="B1278" t="s">
        <v>2747</v>
      </c>
      <c r="C1278" t="s">
        <v>2880</v>
      </c>
      <c r="D1278" s="7" t="s">
        <v>145</v>
      </c>
      <c r="E1278" t="s">
        <v>58</v>
      </c>
      <c r="F1278">
        <v>31</v>
      </c>
      <c r="G1278">
        <v>78</v>
      </c>
      <c r="H1278">
        <v>70</v>
      </c>
      <c r="I1278" t="s">
        <v>6301</v>
      </c>
      <c r="J1278">
        <v>74</v>
      </c>
      <c r="K1278">
        <v>258</v>
      </c>
      <c r="L1278" t="s">
        <v>6178</v>
      </c>
      <c r="M1278" s="6" t="s">
        <v>6558</v>
      </c>
      <c r="N1278" s="6" t="s">
        <v>6559</v>
      </c>
      <c r="O1278" s="6">
        <v>83</v>
      </c>
      <c r="P1278" s="6">
        <v>77</v>
      </c>
      <c r="Q1278" s="6">
        <v>79</v>
      </c>
      <c r="R1278" s="6">
        <v>83</v>
      </c>
      <c r="S1278" s="6">
        <v>77</v>
      </c>
      <c r="T1278" s="6">
        <v>72</v>
      </c>
      <c r="U1278" s="6">
        <v>67</v>
      </c>
      <c r="V1278" s="6">
        <v>82</v>
      </c>
      <c r="W1278" s="6">
        <v>61</v>
      </c>
      <c r="X1278" s="6">
        <v>78</v>
      </c>
      <c r="Y1278" s="6">
        <v>78</v>
      </c>
      <c r="Z1278" s="6">
        <v>73</v>
      </c>
      <c r="AA1278" s="6">
        <v>67</v>
      </c>
      <c r="AB1278" s="6">
        <v>74</v>
      </c>
      <c r="AC1278" s="6">
        <v>75</v>
      </c>
      <c r="AD1278" s="6">
        <v>77</v>
      </c>
      <c r="AE1278" s="6">
        <v>72</v>
      </c>
      <c r="AF1278" s="6">
        <v>71</v>
      </c>
      <c r="AG1278" s="6" t="s">
        <v>8206</v>
      </c>
      <c r="AH1278" s="6" t="s">
        <v>6623</v>
      </c>
    </row>
    <row r="1279" spans="1:34" x14ac:dyDescent="0.2">
      <c r="A1279" t="s">
        <v>4486</v>
      </c>
      <c r="B1279" t="s">
        <v>2749</v>
      </c>
      <c r="C1279" t="s">
        <v>2880</v>
      </c>
      <c r="D1279" s="7" t="s">
        <v>145</v>
      </c>
      <c r="E1279" t="s">
        <v>38</v>
      </c>
      <c r="F1279">
        <v>23</v>
      </c>
      <c r="G1279">
        <v>69</v>
      </c>
      <c r="H1279">
        <v>70</v>
      </c>
      <c r="I1279" t="s">
        <v>6359</v>
      </c>
      <c r="J1279">
        <v>75</v>
      </c>
      <c r="K1279">
        <v>235</v>
      </c>
      <c r="L1279" t="s">
        <v>6180</v>
      </c>
      <c r="M1279" s="6" t="s">
        <v>6558</v>
      </c>
      <c r="N1279" s="6" t="s">
        <v>6614</v>
      </c>
      <c r="O1279" s="6">
        <v>67</v>
      </c>
      <c r="P1279" s="6">
        <v>68</v>
      </c>
      <c r="Q1279" s="6">
        <v>64</v>
      </c>
      <c r="R1279" s="6">
        <v>62</v>
      </c>
      <c r="S1279" s="6">
        <v>72</v>
      </c>
      <c r="T1279" s="6">
        <v>63</v>
      </c>
      <c r="U1279" s="6">
        <v>70</v>
      </c>
      <c r="V1279" s="6">
        <v>64</v>
      </c>
      <c r="W1279" s="6">
        <v>68</v>
      </c>
      <c r="X1279" s="6">
        <v>73</v>
      </c>
      <c r="Y1279" s="6">
        <v>67</v>
      </c>
      <c r="Z1279" s="6">
        <v>74</v>
      </c>
      <c r="AA1279" s="6">
        <v>64</v>
      </c>
      <c r="AB1279" s="6">
        <v>70</v>
      </c>
      <c r="AC1279" s="6">
        <v>66</v>
      </c>
      <c r="AD1279" s="6">
        <v>66</v>
      </c>
      <c r="AE1279" s="6">
        <v>68</v>
      </c>
      <c r="AF1279" s="6">
        <v>66</v>
      </c>
      <c r="AG1279" s="6" t="s">
        <v>8208</v>
      </c>
      <c r="AH1279" s="6" t="s">
        <v>6623</v>
      </c>
    </row>
    <row r="1280" spans="1:34" x14ac:dyDescent="0.2">
      <c r="A1280" t="s">
        <v>4488</v>
      </c>
      <c r="B1280" t="s">
        <v>2751</v>
      </c>
      <c r="C1280" t="s">
        <v>61</v>
      </c>
      <c r="D1280" s="7" t="s">
        <v>145</v>
      </c>
      <c r="E1280" t="s">
        <v>38</v>
      </c>
      <c r="F1280">
        <v>22</v>
      </c>
      <c r="G1280">
        <v>78</v>
      </c>
      <c r="H1280">
        <v>70</v>
      </c>
      <c r="I1280" t="s">
        <v>6409</v>
      </c>
      <c r="J1280">
        <v>69</v>
      </c>
      <c r="K1280">
        <v>192</v>
      </c>
      <c r="L1280" t="s">
        <v>6182</v>
      </c>
      <c r="M1280" s="6" t="s">
        <v>6558</v>
      </c>
      <c r="N1280" s="6" t="s">
        <v>6567</v>
      </c>
      <c r="O1280" s="6">
        <v>78</v>
      </c>
      <c r="P1280" s="6">
        <v>69</v>
      </c>
      <c r="Q1280" s="6">
        <v>75</v>
      </c>
      <c r="R1280" s="6">
        <v>63</v>
      </c>
      <c r="S1280" s="6">
        <v>85</v>
      </c>
      <c r="T1280" s="6">
        <v>76</v>
      </c>
      <c r="U1280" s="6">
        <v>71</v>
      </c>
      <c r="V1280" s="6">
        <v>73</v>
      </c>
      <c r="W1280" s="6">
        <v>82</v>
      </c>
      <c r="X1280" s="6">
        <v>67</v>
      </c>
      <c r="Y1280" s="6">
        <v>73</v>
      </c>
      <c r="Z1280" s="6">
        <v>72</v>
      </c>
      <c r="AA1280" s="6">
        <v>75</v>
      </c>
      <c r="AB1280" s="6">
        <v>76</v>
      </c>
      <c r="AC1280" s="6">
        <v>74</v>
      </c>
      <c r="AD1280" s="6">
        <v>77</v>
      </c>
      <c r="AE1280" s="6">
        <v>76</v>
      </c>
      <c r="AF1280" s="6">
        <v>76</v>
      </c>
      <c r="AG1280" s="6" t="s">
        <v>8210</v>
      </c>
      <c r="AH1280" s="6" t="s">
        <v>6630</v>
      </c>
    </row>
    <row r="1281" spans="1:34" x14ac:dyDescent="0.2">
      <c r="A1281" t="s">
        <v>4490</v>
      </c>
      <c r="B1281" t="s">
        <v>2753</v>
      </c>
      <c r="C1281" t="s">
        <v>61</v>
      </c>
      <c r="D1281" s="7" t="s">
        <v>145</v>
      </c>
      <c r="E1281" t="s">
        <v>38</v>
      </c>
      <c r="F1281">
        <v>25</v>
      </c>
      <c r="G1281">
        <v>69</v>
      </c>
      <c r="H1281">
        <v>70</v>
      </c>
      <c r="I1281" t="s">
        <v>6412</v>
      </c>
      <c r="J1281">
        <v>72</v>
      </c>
      <c r="K1281">
        <v>184</v>
      </c>
      <c r="L1281" t="s">
        <v>6184</v>
      </c>
      <c r="M1281" s="6" t="s">
        <v>6558</v>
      </c>
      <c r="N1281" s="6" t="s">
        <v>6567</v>
      </c>
      <c r="O1281" s="6">
        <v>61</v>
      </c>
      <c r="P1281" s="6">
        <v>69</v>
      </c>
      <c r="Q1281" s="6">
        <v>72</v>
      </c>
      <c r="R1281" s="6">
        <v>67</v>
      </c>
      <c r="S1281" s="6">
        <v>71</v>
      </c>
      <c r="T1281" s="6">
        <v>65</v>
      </c>
      <c r="U1281" s="6">
        <v>70</v>
      </c>
      <c r="V1281" s="6">
        <v>75</v>
      </c>
      <c r="W1281" s="6">
        <v>78</v>
      </c>
      <c r="X1281" s="6">
        <v>66</v>
      </c>
      <c r="Y1281" s="6">
        <v>79</v>
      </c>
      <c r="Z1281" s="6">
        <v>69</v>
      </c>
      <c r="AA1281" s="6">
        <v>73</v>
      </c>
      <c r="AB1281" s="6">
        <v>68</v>
      </c>
      <c r="AC1281" s="6">
        <v>77</v>
      </c>
      <c r="AD1281" s="6">
        <v>62</v>
      </c>
      <c r="AE1281" s="6">
        <v>74</v>
      </c>
      <c r="AF1281" s="6">
        <v>70</v>
      </c>
      <c r="AG1281" s="6" t="s">
        <v>8212</v>
      </c>
      <c r="AH1281" s="6" t="s">
        <v>6696</v>
      </c>
    </row>
    <row r="1282" spans="1:34" x14ac:dyDescent="0.2">
      <c r="A1282" t="s">
        <v>4492</v>
      </c>
      <c r="B1282" t="s">
        <v>2755</v>
      </c>
      <c r="C1282" t="s">
        <v>61</v>
      </c>
      <c r="D1282" s="7" t="s">
        <v>145</v>
      </c>
      <c r="E1282" t="s">
        <v>58</v>
      </c>
      <c r="F1282">
        <v>24</v>
      </c>
      <c r="G1282">
        <v>57</v>
      </c>
      <c r="H1282">
        <v>70</v>
      </c>
      <c r="I1282" t="s">
        <v>6456</v>
      </c>
      <c r="J1282">
        <v>71</v>
      </c>
      <c r="K1282">
        <v>196</v>
      </c>
      <c r="L1282" t="s">
        <v>6186</v>
      </c>
      <c r="M1282" s="6" t="s">
        <v>6558</v>
      </c>
      <c r="N1282" s="6" t="s">
        <v>6614</v>
      </c>
      <c r="O1282" s="6">
        <v>59</v>
      </c>
      <c r="P1282" s="6">
        <v>70</v>
      </c>
      <c r="Q1282" s="6">
        <v>59</v>
      </c>
      <c r="R1282" s="6">
        <v>58</v>
      </c>
      <c r="S1282" s="6">
        <v>71</v>
      </c>
      <c r="T1282" s="6">
        <v>62</v>
      </c>
      <c r="U1282" s="6">
        <v>63</v>
      </c>
      <c r="V1282" s="6">
        <v>67</v>
      </c>
      <c r="W1282" s="6">
        <v>65</v>
      </c>
      <c r="X1282" s="6">
        <v>68</v>
      </c>
      <c r="Y1282" s="6">
        <v>70</v>
      </c>
      <c r="Z1282" s="6">
        <v>65</v>
      </c>
      <c r="AA1282" s="6">
        <v>63</v>
      </c>
      <c r="AB1282" s="6">
        <v>66</v>
      </c>
      <c r="AC1282" s="6">
        <v>63</v>
      </c>
      <c r="AD1282" s="6">
        <v>66</v>
      </c>
      <c r="AE1282" s="6">
        <v>66</v>
      </c>
      <c r="AF1282" s="6">
        <v>67</v>
      </c>
      <c r="AG1282" s="6" t="s">
        <v>8214</v>
      </c>
      <c r="AH1282" s="6" t="s">
        <v>6630</v>
      </c>
    </row>
    <row r="1283" spans="1:34" x14ac:dyDescent="0.2">
      <c r="A1283" t="s">
        <v>4494</v>
      </c>
      <c r="B1283" t="s">
        <v>2757</v>
      </c>
      <c r="C1283" t="s">
        <v>2883</v>
      </c>
      <c r="D1283" s="7" t="s">
        <v>145</v>
      </c>
      <c r="E1283" t="s">
        <v>38</v>
      </c>
      <c r="F1283">
        <v>25</v>
      </c>
      <c r="G1283">
        <v>83</v>
      </c>
      <c r="H1283">
        <v>70</v>
      </c>
      <c r="I1283" t="s">
        <v>6317</v>
      </c>
      <c r="J1283">
        <v>71</v>
      </c>
      <c r="K1283">
        <v>213</v>
      </c>
      <c r="L1283" t="s">
        <v>6188</v>
      </c>
      <c r="M1283" s="6" t="s">
        <v>6558</v>
      </c>
      <c r="N1283" s="6" t="s">
        <v>6559</v>
      </c>
      <c r="O1283" s="6">
        <v>75</v>
      </c>
      <c r="P1283" s="6">
        <v>74</v>
      </c>
      <c r="Q1283" s="6">
        <v>67</v>
      </c>
      <c r="R1283" s="6">
        <v>84</v>
      </c>
      <c r="S1283" s="6">
        <v>73</v>
      </c>
      <c r="T1283" s="6">
        <v>77</v>
      </c>
      <c r="U1283" s="6">
        <v>84</v>
      </c>
      <c r="V1283" s="6">
        <v>73</v>
      </c>
      <c r="W1283" s="6">
        <v>69</v>
      </c>
      <c r="X1283" s="6">
        <v>71</v>
      </c>
      <c r="Y1283" s="6">
        <v>79</v>
      </c>
      <c r="Z1283" s="6">
        <v>77</v>
      </c>
      <c r="AA1283" s="6">
        <v>74</v>
      </c>
      <c r="AB1283" s="6">
        <v>73</v>
      </c>
      <c r="AC1283" s="6">
        <v>68</v>
      </c>
      <c r="AD1283" s="6">
        <v>71</v>
      </c>
      <c r="AE1283" s="6">
        <v>76</v>
      </c>
      <c r="AF1283" s="6">
        <v>69</v>
      </c>
      <c r="AG1283" s="6" t="s">
        <v>8216</v>
      </c>
      <c r="AH1283" s="6" t="s">
        <v>6640</v>
      </c>
    </row>
    <row r="1284" spans="1:34" x14ac:dyDescent="0.2">
      <c r="A1284" t="s">
        <v>4496</v>
      </c>
      <c r="B1284" t="s">
        <v>2759</v>
      </c>
      <c r="C1284" t="s">
        <v>2883</v>
      </c>
      <c r="D1284" s="7" t="s">
        <v>145</v>
      </c>
      <c r="E1284" t="s">
        <v>58</v>
      </c>
      <c r="F1284">
        <v>22</v>
      </c>
      <c r="G1284">
        <v>78</v>
      </c>
      <c r="H1284">
        <v>70</v>
      </c>
      <c r="I1284" t="s">
        <v>6326</v>
      </c>
      <c r="J1284">
        <v>73</v>
      </c>
      <c r="K1284">
        <v>212</v>
      </c>
      <c r="L1284" t="s">
        <v>6190</v>
      </c>
      <c r="M1284" s="6" t="s">
        <v>6558</v>
      </c>
      <c r="N1284" s="6" t="s">
        <v>6614</v>
      </c>
      <c r="O1284" s="6">
        <v>77</v>
      </c>
      <c r="P1284" s="6">
        <v>80</v>
      </c>
      <c r="Q1284" s="6">
        <v>73</v>
      </c>
      <c r="R1284" s="6">
        <v>57</v>
      </c>
      <c r="S1284" s="6">
        <v>75</v>
      </c>
      <c r="T1284" s="6">
        <v>71</v>
      </c>
      <c r="U1284" s="6">
        <v>79</v>
      </c>
      <c r="V1284" s="6">
        <v>74</v>
      </c>
      <c r="W1284" s="6">
        <v>69</v>
      </c>
      <c r="X1284" s="6">
        <v>66</v>
      </c>
      <c r="Y1284" s="6">
        <v>68</v>
      </c>
      <c r="Z1284" s="6">
        <v>70</v>
      </c>
      <c r="AA1284" s="6">
        <v>77</v>
      </c>
      <c r="AB1284" s="6">
        <v>64</v>
      </c>
      <c r="AC1284" s="6">
        <v>69</v>
      </c>
      <c r="AD1284" s="6">
        <v>78</v>
      </c>
      <c r="AE1284" s="6">
        <v>70</v>
      </c>
      <c r="AF1284" s="6">
        <v>72</v>
      </c>
      <c r="AG1284" s="6" t="s">
        <v>8218</v>
      </c>
      <c r="AH1284" s="6" t="s">
        <v>6640</v>
      </c>
    </row>
    <row r="1285" spans="1:34" x14ac:dyDescent="0.2">
      <c r="A1285" t="s">
        <v>4498</v>
      </c>
      <c r="B1285" t="s">
        <v>2761</v>
      </c>
      <c r="C1285" t="s">
        <v>2884</v>
      </c>
      <c r="D1285" s="7" t="s">
        <v>145</v>
      </c>
      <c r="E1285" t="s">
        <v>38</v>
      </c>
      <c r="F1285">
        <v>26</v>
      </c>
      <c r="G1285">
        <v>62</v>
      </c>
      <c r="H1285">
        <v>70</v>
      </c>
      <c r="I1285" t="s">
        <v>6502</v>
      </c>
      <c r="J1285">
        <v>73</v>
      </c>
      <c r="K1285">
        <v>219</v>
      </c>
      <c r="L1285" t="s">
        <v>6192</v>
      </c>
      <c r="M1285" s="6" t="s">
        <v>6558</v>
      </c>
      <c r="N1285" s="6" t="s">
        <v>6565</v>
      </c>
      <c r="O1285" s="6">
        <v>65</v>
      </c>
      <c r="P1285" s="6">
        <v>74</v>
      </c>
      <c r="Q1285" s="6">
        <v>67</v>
      </c>
      <c r="R1285" s="6">
        <v>71</v>
      </c>
      <c r="S1285" s="6">
        <v>76</v>
      </c>
      <c r="T1285" s="6">
        <v>66</v>
      </c>
      <c r="U1285" s="6">
        <v>68</v>
      </c>
      <c r="V1285" s="6">
        <v>72</v>
      </c>
      <c r="W1285" s="6">
        <v>77</v>
      </c>
      <c r="X1285" s="6">
        <v>65</v>
      </c>
      <c r="Y1285" s="6">
        <v>70</v>
      </c>
      <c r="Z1285" s="6">
        <v>66</v>
      </c>
      <c r="AA1285" s="6">
        <v>67</v>
      </c>
      <c r="AB1285" s="6">
        <v>71</v>
      </c>
      <c r="AC1285" s="6">
        <v>62</v>
      </c>
      <c r="AD1285" s="6">
        <v>63</v>
      </c>
      <c r="AE1285" s="6">
        <v>67</v>
      </c>
      <c r="AF1285" s="6">
        <v>65</v>
      </c>
      <c r="AG1285" s="6" t="s">
        <v>8220</v>
      </c>
      <c r="AH1285" s="6" t="s">
        <v>6644</v>
      </c>
    </row>
    <row r="1286" spans="1:34" x14ac:dyDescent="0.2">
      <c r="A1286" t="s">
        <v>4500</v>
      </c>
      <c r="B1286" t="s">
        <v>2763</v>
      </c>
      <c r="C1286" t="s">
        <v>2885</v>
      </c>
      <c r="D1286" s="7" t="s">
        <v>145</v>
      </c>
      <c r="E1286" t="s">
        <v>38</v>
      </c>
      <c r="F1286">
        <v>23</v>
      </c>
      <c r="G1286">
        <v>82</v>
      </c>
      <c r="H1286">
        <v>70</v>
      </c>
      <c r="I1286" t="s">
        <v>6320</v>
      </c>
      <c r="J1286">
        <v>72</v>
      </c>
      <c r="K1286">
        <v>255</v>
      </c>
      <c r="L1286" t="s">
        <v>6194</v>
      </c>
      <c r="M1286" s="6" t="s">
        <v>6733</v>
      </c>
      <c r="N1286" s="6" t="s">
        <v>6565</v>
      </c>
      <c r="O1286" s="6">
        <v>67</v>
      </c>
      <c r="P1286" s="6">
        <v>75</v>
      </c>
      <c r="Q1286" s="6">
        <v>72</v>
      </c>
      <c r="R1286" s="6">
        <v>73</v>
      </c>
      <c r="S1286" s="6">
        <v>77</v>
      </c>
      <c r="T1286" s="6">
        <v>74</v>
      </c>
      <c r="U1286" s="6">
        <v>77</v>
      </c>
      <c r="V1286" s="6">
        <v>70</v>
      </c>
      <c r="W1286" s="6">
        <v>70</v>
      </c>
      <c r="X1286" s="6">
        <v>83</v>
      </c>
      <c r="Y1286" s="6">
        <v>59</v>
      </c>
      <c r="Z1286" s="6">
        <v>55</v>
      </c>
      <c r="AA1286" s="6">
        <v>71</v>
      </c>
      <c r="AB1286" s="6">
        <v>70</v>
      </c>
      <c r="AC1286" s="6">
        <v>72</v>
      </c>
      <c r="AD1286" s="6">
        <v>76</v>
      </c>
      <c r="AE1286" s="6">
        <v>70</v>
      </c>
      <c r="AF1286" s="6">
        <v>74</v>
      </c>
      <c r="AG1286" s="6" t="s">
        <v>8222</v>
      </c>
      <c r="AH1286" s="6" t="s">
        <v>6628</v>
      </c>
    </row>
    <row r="1287" spans="1:34" x14ac:dyDescent="0.2">
      <c r="A1287" t="s">
        <v>4502</v>
      </c>
      <c r="B1287" t="s">
        <v>2765</v>
      </c>
      <c r="C1287" t="s">
        <v>2885</v>
      </c>
      <c r="D1287" s="7" t="s">
        <v>145</v>
      </c>
      <c r="E1287" t="s">
        <v>58</v>
      </c>
      <c r="F1287">
        <v>31</v>
      </c>
      <c r="G1287">
        <v>67</v>
      </c>
      <c r="H1287">
        <v>70</v>
      </c>
      <c r="I1287" t="s">
        <v>6407</v>
      </c>
      <c r="J1287">
        <v>72</v>
      </c>
      <c r="K1287">
        <v>242</v>
      </c>
      <c r="L1287" t="s">
        <v>6196</v>
      </c>
      <c r="M1287" s="6" t="s">
        <v>6558</v>
      </c>
      <c r="N1287" s="6" t="s">
        <v>6567</v>
      </c>
      <c r="O1287" s="6">
        <v>72</v>
      </c>
      <c r="P1287" s="6">
        <v>69</v>
      </c>
      <c r="Q1287" s="6">
        <v>72</v>
      </c>
      <c r="R1287" s="6">
        <v>68</v>
      </c>
      <c r="S1287" s="6">
        <v>77</v>
      </c>
      <c r="T1287" s="6">
        <v>77</v>
      </c>
      <c r="U1287" s="6">
        <v>82</v>
      </c>
      <c r="V1287" s="6">
        <v>69</v>
      </c>
      <c r="W1287" s="6">
        <v>62</v>
      </c>
      <c r="X1287" s="6">
        <v>72</v>
      </c>
      <c r="Y1287" s="6">
        <v>77</v>
      </c>
      <c r="Z1287" s="6">
        <v>75</v>
      </c>
      <c r="AA1287" s="6">
        <v>67</v>
      </c>
      <c r="AB1287" s="6">
        <v>69</v>
      </c>
      <c r="AC1287" s="6">
        <v>69</v>
      </c>
      <c r="AD1287" s="6">
        <v>65</v>
      </c>
      <c r="AE1287" s="6">
        <v>65</v>
      </c>
      <c r="AF1287" s="6">
        <v>62</v>
      </c>
      <c r="AG1287" s="6" t="s">
        <v>8224</v>
      </c>
      <c r="AH1287" s="6" t="s">
        <v>6628</v>
      </c>
    </row>
    <row r="1288" spans="1:34" x14ac:dyDescent="0.2">
      <c r="A1288" t="s">
        <v>4504</v>
      </c>
      <c r="B1288" t="s">
        <v>2767</v>
      </c>
      <c r="C1288" t="s">
        <v>2891</v>
      </c>
      <c r="D1288" s="7" t="s">
        <v>145</v>
      </c>
      <c r="E1288" t="s">
        <v>38</v>
      </c>
      <c r="F1288">
        <v>26</v>
      </c>
      <c r="G1288">
        <v>69</v>
      </c>
      <c r="H1288">
        <v>70</v>
      </c>
      <c r="I1288" t="s">
        <v>6347</v>
      </c>
      <c r="J1288">
        <v>74</v>
      </c>
      <c r="K1288">
        <v>228</v>
      </c>
      <c r="L1288" t="s">
        <v>6198</v>
      </c>
      <c r="M1288" s="6" t="s">
        <v>6558</v>
      </c>
      <c r="N1288" s="6" t="s">
        <v>6583</v>
      </c>
      <c r="O1288" s="6">
        <v>76</v>
      </c>
      <c r="P1288" s="6">
        <v>75</v>
      </c>
      <c r="Q1288" s="6">
        <v>72</v>
      </c>
      <c r="R1288" s="6">
        <v>78</v>
      </c>
      <c r="S1288" s="6">
        <v>63</v>
      </c>
      <c r="T1288" s="6">
        <v>75</v>
      </c>
      <c r="U1288" s="6">
        <v>63</v>
      </c>
      <c r="V1288" s="6">
        <v>79</v>
      </c>
      <c r="W1288" s="6">
        <v>78</v>
      </c>
      <c r="X1288" s="6">
        <v>64</v>
      </c>
      <c r="Y1288" s="6">
        <v>74</v>
      </c>
      <c r="Z1288" s="6">
        <v>73</v>
      </c>
      <c r="AA1288" s="6">
        <v>67</v>
      </c>
      <c r="AB1288" s="6">
        <v>75</v>
      </c>
      <c r="AC1288" s="6">
        <v>68</v>
      </c>
      <c r="AD1288" s="6">
        <v>73</v>
      </c>
      <c r="AE1288" s="6">
        <v>76</v>
      </c>
      <c r="AF1288" s="6">
        <v>68</v>
      </c>
      <c r="AG1288" s="6" t="s">
        <v>8225</v>
      </c>
      <c r="AH1288" s="6" t="s">
        <v>6824</v>
      </c>
    </row>
    <row r="1289" spans="1:34" x14ac:dyDescent="0.2">
      <c r="A1289" t="s">
        <v>4506</v>
      </c>
      <c r="B1289" t="s">
        <v>2769</v>
      </c>
      <c r="C1289" t="s">
        <v>53</v>
      </c>
      <c r="D1289" s="7" t="s">
        <v>157</v>
      </c>
      <c r="E1289" t="s">
        <v>58</v>
      </c>
      <c r="F1289">
        <v>33</v>
      </c>
      <c r="G1289">
        <v>77</v>
      </c>
      <c r="H1289">
        <v>70</v>
      </c>
      <c r="I1289" t="s">
        <v>6316</v>
      </c>
      <c r="J1289">
        <v>75</v>
      </c>
      <c r="K1289">
        <v>224</v>
      </c>
      <c r="L1289" t="s">
        <v>6200</v>
      </c>
      <c r="M1289" s="6" t="s">
        <v>6558</v>
      </c>
      <c r="N1289" s="6" t="s">
        <v>6583</v>
      </c>
      <c r="O1289" s="6">
        <v>86</v>
      </c>
      <c r="P1289" s="6">
        <v>78</v>
      </c>
      <c r="Q1289" s="6">
        <v>76</v>
      </c>
      <c r="R1289" s="6">
        <v>78</v>
      </c>
      <c r="S1289" s="6">
        <v>82</v>
      </c>
      <c r="T1289" s="6">
        <v>73</v>
      </c>
      <c r="U1289" s="6">
        <v>77</v>
      </c>
      <c r="V1289" s="6">
        <v>77</v>
      </c>
      <c r="W1289" s="6">
        <v>66</v>
      </c>
      <c r="X1289" s="6">
        <v>89</v>
      </c>
      <c r="Y1289" s="6">
        <v>75</v>
      </c>
      <c r="Z1289" s="6">
        <v>81</v>
      </c>
      <c r="AA1289" s="6">
        <v>65</v>
      </c>
      <c r="AB1289" s="6">
        <v>66</v>
      </c>
      <c r="AC1289" s="6">
        <v>62</v>
      </c>
      <c r="AD1289" s="6">
        <v>70</v>
      </c>
      <c r="AE1289" s="6">
        <v>64</v>
      </c>
      <c r="AF1289" s="6">
        <v>63</v>
      </c>
      <c r="AG1289" s="6" t="s">
        <v>8227</v>
      </c>
      <c r="AH1289" s="6" t="s">
        <v>6564</v>
      </c>
    </row>
    <row r="1290" spans="1:34" x14ac:dyDescent="0.2">
      <c r="A1290" t="s">
        <v>4508</v>
      </c>
      <c r="B1290" t="s">
        <v>2771</v>
      </c>
      <c r="C1290" t="s">
        <v>53</v>
      </c>
      <c r="D1290" s="7" t="s">
        <v>157</v>
      </c>
      <c r="E1290" t="s">
        <v>38</v>
      </c>
      <c r="F1290">
        <v>23</v>
      </c>
      <c r="G1290">
        <v>72</v>
      </c>
      <c r="H1290">
        <v>70</v>
      </c>
      <c r="I1290" t="s">
        <v>6333</v>
      </c>
      <c r="J1290">
        <v>76</v>
      </c>
      <c r="K1290">
        <v>235</v>
      </c>
      <c r="L1290" t="s">
        <v>6202</v>
      </c>
      <c r="M1290" s="6" t="s">
        <v>6558</v>
      </c>
      <c r="N1290" s="6" t="s">
        <v>6583</v>
      </c>
      <c r="O1290" s="6">
        <v>91</v>
      </c>
      <c r="P1290" s="6">
        <v>76</v>
      </c>
      <c r="Q1290" s="6">
        <v>68</v>
      </c>
      <c r="R1290" s="6">
        <v>76</v>
      </c>
      <c r="S1290" s="6">
        <v>73</v>
      </c>
      <c r="T1290" s="6">
        <v>64</v>
      </c>
      <c r="U1290" s="6">
        <v>65</v>
      </c>
      <c r="V1290" s="6">
        <v>62</v>
      </c>
      <c r="W1290" s="6">
        <v>70</v>
      </c>
      <c r="X1290" s="6">
        <v>69</v>
      </c>
      <c r="Y1290" s="6">
        <v>67</v>
      </c>
      <c r="Z1290" s="6">
        <v>69</v>
      </c>
      <c r="AA1290" s="6">
        <v>75</v>
      </c>
      <c r="AB1290" s="6">
        <v>74</v>
      </c>
      <c r="AC1290" s="6">
        <v>71</v>
      </c>
      <c r="AD1290" s="6">
        <v>71</v>
      </c>
      <c r="AE1290" s="6">
        <v>72</v>
      </c>
      <c r="AF1290" s="6">
        <v>75</v>
      </c>
      <c r="AG1290" s="6" t="s">
        <v>8229</v>
      </c>
      <c r="AH1290" s="6" t="s">
        <v>6570</v>
      </c>
    </row>
    <row r="1291" spans="1:34" x14ac:dyDescent="0.2">
      <c r="A1291" t="s">
        <v>4510</v>
      </c>
      <c r="B1291" t="s">
        <v>2773</v>
      </c>
      <c r="C1291" t="s">
        <v>2870</v>
      </c>
      <c r="D1291" s="7" t="s">
        <v>157</v>
      </c>
      <c r="E1291" t="s">
        <v>58</v>
      </c>
      <c r="F1291">
        <v>29</v>
      </c>
      <c r="G1291">
        <v>72</v>
      </c>
      <c r="H1291">
        <v>70</v>
      </c>
      <c r="I1291" t="s">
        <v>6320</v>
      </c>
      <c r="J1291">
        <v>70</v>
      </c>
      <c r="K1291">
        <v>212</v>
      </c>
      <c r="L1291" t="s">
        <v>6204</v>
      </c>
      <c r="M1291" s="6" t="s">
        <v>6558</v>
      </c>
      <c r="N1291" s="6" t="s">
        <v>6567</v>
      </c>
      <c r="O1291" s="6">
        <v>74</v>
      </c>
      <c r="P1291" s="6">
        <v>65</v>
      </c>
      <c r="Q1291" s="6">
        <v>79</v>
      </c>
      <c r="R1291" s="6">
        <v>67</v>
      </c>
      <c r="S1291" s="6">
        <v>82</v>
      </c>
      <c r="T1291" s="6">
        <v>70</v>
      </c>
      <c r="U1291" s="6">
        <v>67</v>
      </c>
      <c r="V1291" s="6">
        <v>79</v>
      </c>
      <c r="W1291" s="6">
        <v>71</v>
      </c>
      <c r="X1291" s="6">
        <v>67</v>
      </c>
      <c r="Y1291" s="6">
        <v>81</v>
      </c>
      <c r="Z1291" s="6">
        <v>69</v>
      </c>
      <c r="AA1291" s="6">
        <v>69</v>
      </c>
      <c r="AB1291" s="6">
        <v>67</v>
      </c>
      <c r="AC1291" s="6">
        <v>68</v>
      </c>
      <c r="AD1291" s="6">
        <v>74</v>
      </c>
      <c r="AE1291" s="6">
        <v>66</v>
      </c>
      <c r="AF1291" s="6">
        <v>74</v>
      </c>
      <c r="AG1291" s="6" t="s">
        <v>8231</v>
      </c>
      <c r="AH1291" s="6" t="s">
        <v>6721</v>
      </c>
    </row>
    <row r="1292" spans="1:34" x14ac:dyDescent="0.2">
      <c r="A1292" t="s">
        <v>4512</v>
      </c>
      <c r="B1292" t="s">
        <v>2775</v>
      </c>
      <c r="C1292" t="s">
        <v>2870</v>
      </c>
      <c r="D1292" s="7" t="s">
        <v>157</v>
      </c>
      <c r="E1292" t="s">
        <v>38</v>
      </c>
      <c r="F1292">
        <v>29</v>
      </c>
      <c r="G1292">
        <v>64</v>
      </c>
      <c r="H1292">
        <v>70</v>
      </c>
      <c r="I1292" t="s">
        <v>6307</v>
      </c>
      <c r="J1292">
        <v>68</v>
      </c>
      <c r="K1292">
        <v>217</v>
      </c>
      <c r="L1292" t="s">
        <v>6206</v>
      </c>
      <c r="M1292" s="6" t="s">
        <v>6558</v>
      </c>
      <c r="N1292" s="6" t="s">
        <v>6567</v>
      </c>
      <c r="O1292" s="6">
        <v>76</v>
      </c>
      <c r="P1292" s="6">
        <v>70</v>
      </c>
      <c r="Q1292" s="6">
        <v>69</v>
      </c>
      <c r="R1292" s="6">
        <v>68</v>
      </c>
      <c r="S1292" s="6">
        <v>71</v>
      </c>
      <c r="T1292" s="6">
        <v>65</v>
      </c>
      <c r="U1292" s="6">
        <v>78</v>
      </c>
      <c r="V1292" s="6">
        <v>73</v>
      </c>
      <c r="W1292" s="6">
        <v>71</v>
      </c>
      <c r="X1292" s="6">
        <v>76</v>
      </c>
      <c r="Y1292" s="6">
        <v>59</v>
      </c>
      <c r="Z1292" s="6">
        <v>66</v>
      </c>
      <c r="AA1292" s="6">
        <v>63</v>
      </c>
      <c r="AB1292" s="6">
        <v>64</v>
      </c>
      <c r="AC1292" s="6">
        <v>65</v>
      </c>
      <c r="AD1292" s="6">
        <v>63</v>
      </c>
      <c r="AE1292" s="6">
        <v>64</v>
      </c>
      <c r="AF1292" s="6">
        <v>63</v>
      </c>
      <c r="AG1292" s="6" t="s">
        <v>8233</v>
      </c>
      <c r="AH1292" s="6" t="s">
        <v>6887</v>
      </c>
    </row>
    <row r="1293" spans="1:34" x14ac:dyDescent="0.2">
      <c r="A1293" t="s">
        <v>4514</v>
      </c>
      <c r="B1293" t="s">
        <v>2777</v>
      </c>
      <c r="C1293" t="s">
        <v>57</v>
      </c>
      <c r="D1293" s="7" t="s">
        <v>157</v>
      </c>
      <c r="E1293" t="s">
        <v>38</v>
      </c>
      <c r="F1293">
        <v>30</v>
      </c>
      <c r="G1293">
        <v>87</v>
      </c>
      <c r="H1293">
        <v>70</v>
      </c>
      <c r="I1293" t="s">
        <v>6373</v>
      </c>
      <c r="J1293">
        <v>70</v>
      </c>
      <c r="K1293">
        <v>210</v>
      </c>
      <c r="L1293" t="s">
        <v>6208</v>
      </c>
      <c r="M1293" s="6" t="s">
        <v>6558</v>
      </c>
      <c r="N1293" s="6" t="s">
        <v>6565</v>
      </c>
      <c r="O1293" s="6">
        <v>89</v>
      </c>
      <c r="P1293" s="6">
        <v>83</v>
      </c>
      <c r="Q1293" s="6">
        <v>72</v>
      </c>
      <c r="R1293" s="6">
        <v>75</v>
      </c>
      <c r="S1293" s="6">
        <v>90</v>
      </c>
      <c r="T1293" s="6">
        <v>86</v>
      </c>
      <c r="U1293" s="6">
        <v>87</v>
      </c>
      <c r="V1293" s="6">
        <v>86</v>
      </c>
      <c r="W1293" s="6">
        <v>79</v>
      </c>
      <c r="X1293" s="6">
        <v>74</v>
      </c>
      <c r="Y1293" s="6">
        <v>82</v>
      </c>
      <c r="Z1293" s="6">
        <v>91</v>
      </c>
      <c r="AA1293" s="6">
        <v>78</v>
      </c>
      <c r="AB1293" s="6">
        <v>77</v>
      </c>
      <c r="AC1293" s="6">
        <v>81</v>
      </c>
      <c r="AD1293" s="6">
        <v>77</v>
      </c>
      <c r="AE1293" s="6">
        <v>81</v>
      </c>
      <c r="AF1293" s="6">
        <v>79</v>
      </c>
      <c r="AG1293" s="6" t="s">
        <v>8235</v>
      </c>
      <c r="AH1293" s="6" t="s">
        <v>6661</v>
      </c>
    </row>
    <row r="1294" spans="1:34" x14ac:dyDescent="0.2">
      <c r="A1294" t="s">
        <v>4516</v>
      </c>
      <c r="B1294" t="s">
        <v>2779</v>
      </c>
      <c r="C1294" t="s">
        <v>57</v>
      </c>
      <c r="D1294" s="7" t="s">
        <v>157</v>
      </c>
      <c r="E1294" t="s">
        <v>38</v>
      </c>
      <c r="F1294">
        <v>24</v>
      </c>
      <c r="G1294">
        <v>79</v>
      </c>
      <c r="H1294">
        <v>70</v>
      </c>
      <c r="I1294" t="s">
        <v>6393</v>
      </c>
      <c r="J1294">
        <v>75</v>
      </c>
      <c r="K1294">
        <v>217</v>
      </c>
      <c r="L1294" t="s">
        <v>6210</v>
      </c>
      <c r="M1294" s="6" t="s">
        <v>6558</v>
      </c>
      <c r="N1294" s="6" t="s">
        <v>6583</v>
      </c>
      <c r="O1294" s="6">
        <v>90</v>
      </c>
      <c r="P1294" s="6">
        <v>73</v>
      </c>
      <c r="Q1294" s="6">
        <v>73</v>
      </c>
      <c r="R1294" s="6">
        <v>77</v>
      </c>
      <c r="S1294" s="6">
        <v>89</v>
      </c>
      <c r="T1294" s="6">
        <v>76</v>
      </c>
      <c r="U1294" s="6">
        <v>70</v>
      </c>
      <c r="V1294" s="6">
        <v>76</v>
      </c>
      <c r="W1294" s="6">
        <v>78</v>
      </c>
      <c r="X1294" s="6">
        <v>86</v>
      </c>
      <c r="Y1294" s="6">
        <v>77</v>
      </c>
      <c r="Z1294" s="6">
        <v>73</v>
      </c>
      <c r="AA1294" s="6">
        <v>79</v>
      </c>
      <c r="AB1294" s="6">
        <v>82</v>
      </c>
      <c r="AC1294" s="6">
        <v>77</v>
      </c>
      <c r="AD1294" s="6">
        <v>85</v>
      </c>
      <c r="AE1294" s="6">
        <v>78</v>
      </c>
      <c r="AF1294" s="6">
        <v>77</v>
      </c>
      <c r="AG1294" s="6" t="s">
        <v>8237</v>
      </c>
      <c r="AH1294" s="6" t="s">
        <v>6574</v>
      </c>
    </row>
    <row r="1295" spans="1:34" x14ac:dyDescent="0.2">
      <c r="A1295" t="s">
        <v>4518</v>
      </c>
      <c r="B1295" t="s">
        <v>2781</v>
      </c>
      <c r="C1295" t="s">
        <v>2871</v>
      </c>
      <c r="D1295" s="7" t="s">
        <v>157</v>
      </c>
      <c r="E1295" t="s">
        <v>38</v>
      </c>
      <c r="F1295">
        <v>31</v>
      </c>
      <c r="G1295">
        <v>75</v>
      </c>
      <c r="H1295">
        <v>70</v>
      </c>
      <c r="I1295" t="s">
        <v>6389</v>
      </c>
      <c r="J1295">
        <v>75</v>
      </c>
      <c r="K1295">
        <v>255</v>
      </c>
      <c r="L1295" t="s">
        <v>6212</v>
      </c>
      <c r="M1295" s="6" t="s">
        <v>6558</v>
      </c>
      <c r="N1295" s="6" t="s">
        <v>6583</v>
      </c>
      <c r="O1295" s="6">
        <v>81</v>
      </c>
      <c r="P1295" s="6">
        <v>75</v>
      </c>
      <c r="Q1295" s="6">
        <v>79</v>
      </c>
      <c r="R1295" s="6">
        <v>79</v>
      </c>
      <c r="S1295" s="6">
        <v>84</v>
      </c>
      <c r="T1295" s="6">
        <v>84</v>
      </c>
      <c r="U1295" s="6">
        <v>74</v>
      </c>
      <c r="V1295" s="6">
        <v>73</v>
      </c>
      <c r="W1295" s="6">
        <v>77</v>
      </c>
      <c r="X1295" s="6">
        <v>83</v>
      </c>
      <c r="Y1295" s="6">
        <v>80</v>
      </c>
      <c r="Z1295" s="6">
        <v>76</v>
      </c>
      <c r="AA1295" s="6">
        <v>69</v>
      </c>
      <c r="AB1295" s="6">
        <v>67</v>
      </c>
      <c r="AC1295" s="6">
        <v>63</v>
      </c>
      <c r="AD1295" s="6">
        <v>69</v>
      </c>
      <c r="AE1295" s="6">
        <v>75</v>
      </c>
      <c r="AF1295" s="6">
        <v>67</v>
      </c>
      <c r="AG1295" s="6" t="s">
        <v>8239</v>
      </c>
      <c r="AH1295" s="6" t="s">
        <v>6737</v>
      </c>
    </row>
    <row r="1296" spans="1:34" x14ac:dyDescent="0.2">
      <c r="A1296" t="s">
        <v>4520</v>
      </c>
      <c r="B1296" t="s">
        <v>2783</v>
      </c>
      <c r="C1296" t="s">
        <v>2871</v>
      </c>
      <c r="D1296" s="7" t="s">
        <v>157</v>
      </c>
      <c r="E1296" t="s">
        <v>38</v>
      </c>
      <c r="F1296">
        <v>23</v>
      </c>
      <c r="G1296">
        <v>68</v>
      </c>
      <c r="H1296">
        <v>70</v>
      </c>
      <c r="I1296" t="s">
        <v>6407</v>
      </c>
      <c r="J1296">
        <v>77</v>
      </c>
      <c r="K1296">
        <v>258</v>
      </c>
      <c r="L1296" t="s">
        <v>6214</v>
      </c>
      <c r="M1296" s="6" t="s">
        <v>6558</v>
      </c>
      <c r="N1296" s="6" t="s">
        <v>6565</v>
      </c>
      <c r="O1296" s="6">
        <v>76</v>
      </c>
      <c r="P1296" s="6">
        <v>64</v>
      </c>
      <c r="Q1296" s="6">
        <v>72</v>
      </c>
      <c r="R1296" s="6">
        <v>71</v>
      </c>
      <c r="S1296" s="6">
        <v>75</v>
      </c>
      <c r="T1296" s="6">
        <v>71</v>
      </c>
      <c r="U1296" s="6">
        <v>78</v>
      </c>
      <c r="V1296" s="6">
        <v>70</v>
      </c>
      <c r="W1296" s="6">
        <v>72</v>
      </c>
      <c r="X1296" s="6">
        <v>72</v>
      </c>
      <c r="Y1296" s="6">
        <v>69</v>
      </c>
      <c r="Z1296" s="6">
        <v>68</v>
      </c>
      <c r="AA1296" s="6">
        <v>74</v>
      </c>
      <c r="AB1296" s="6">
        <v>72</v>
      </c>
      <c r="AC1296" s="6">
        <v>64</v>
      </c>
      <c r="AD1296" s="6">
        <v>76</v>
      </c>
      <c r="AE1296" s="6">
        <v>74</v>
      </c>
      <c r="AF1296" s="6">
        <v>78</v>
      </c>
      <c r="AG1296" s="6" t="s">
        <v>8241</v>
      </c>
      <c r="AH1296" s="6" t="s">
        <v>6591</v>
      </c>
    </row>
    <row r="1297" spans="1:34" x14ac:dyDescent="0.2">
      <c r="A1297" t="s">
        <v>4522</v>
      </c>
      <c r="B1297" t="s">
        <v>2785</v>
      </c>
      <c r="C1297" t="s">
        <v>2874</v>
      </c>
      <c r="D1297" s="7" t="s">
        <v>157</v>
      </c>
      <c r="E1297" t="s">
        <v>38</v>
      </c>
      <c r="F1297">
        <v>25</v>
      </c>
      <c r="G1297">
        <v>76</v>
      </c>
      <c r="H1297">
        <v>70</v>
      </c>
      <c r="I1297" t="s">
        <v>6331</v>
      </c>
      <c r="J1297">
        <v>75</v>
      </c>
      <c r="K1297">
        <v>305</v>
      </c>
      <c r="L1297" t="s">
        <v>6216</v>
      </c>
      <c r="M1297" s="6" t="s">
        <v>6558</v>
      </c>
      <c r="N1297" s="6" t="s">
        <v>6567</v>
      </c>
      <c r="O1297" s="6">
        <v>81</v>
      </c>
      <c r="P1297" s="6">
        <v>73</v>
      </c>
      <c r="Q1297" s="6">
        <v>76</v>
      </c>
      <c r="R1297" s="6">
        <v>68</v>
      </c>
      <c r="S1297" s="6">
        <v>77</v>
      </c>
      <c r="T1297" s="6">
        <v>73</v>
      </c>
      <c r="U1297" s="6">
        <v>75</v>
      </c>
      <c r="V1297" s="6">
        <v>72</v>
      </c>
      <c r="W1297" s="6">
        <v>69</v>
      </c>
      <c r="X1297" s="6">
        <v>71</v>
      </c>
      <c r="Y1297" s="6">
        <v>73</v>
      </c>
      <c r="Z1297" s="6">
        <v>73</v>
      </c>
      <c r="AA1297" s="6">
        <v>71</v>
      </c>
      <c r="AB1297" s="6">
        <v>67</v>
      </c>
      <c r="AC1297" s="6">
        <v>77</v>
      </c>
      <c r="AD1297" s="6">
        <v>71</v>
      </c>
      <c r="AE1297" s="6">
        <v>68</v>
      </c>
      <c r="AF1297" s="6">
        <v>79</v>
      </c>
      <c r="AG1297" s="6" t="s">
        <v>8243</v>
      </c>
      <c r="AH1297" s="6" t="s">
        <v>6598</v>
      </c>
    </row>
    <row r="1298" spans="1:34" x14ac:dyDescent="0.2">
      <c r="A1298" t="s">
        <v>4524</v>
      </c>
      <c r="B1298" t="s">
        <v>2787</v>
      </c>
      <c r="C1298" t="s">
        <v>2887</v>
      </c>
      <c r="D1298" s="7" t="s">
        <v>157</v>
      </c>
      <c r="E1298" t="s">
        <v>38</v>
      </c>
      <c r="F1298">
        <v>26</v>
      </c>
      <c r="G1298">
        <v>71</v>
      </c>
      <c r="H1298">
        <v>70</v>
      </c>
      <c r="I1298" t="s">
        <v>6370</v>
      </c>
      <c r="J1298">
        <v>74</v>
      </c>
      <c r="K1298">
        <v>328</v>
      </c>
      <c r="L1298" t="s">
        <v>6218</v>
      </c>
      <c r="M1298" s="6" t="s">
        <v>6558</v>
      </c>
      <c r="N1298" s="6" t="s">
        <v>6559</v>
      </c>
      <c r="O1298" s="6">
        <v>80</v>
      </c>
      <c r="P1298" s="6">
        <v>75</v>
      </c>
      <c r="Q1298" s="6">
        <v>63</v>
      </c>
      <c r="R1298" s="6">
        <v>92</v>
      </c>
      <c r="S1298" s="6">
        <v>72</v>
      </c>
      <c r="T1298" s="6">
        <v>70</v>
      </c>
      <c r="U1298" s="6">
        <v>71</v>
      </c>
      <c r="V1298" s="6">
        <v>80</v>
      </c>
      <c r="W1298" s="6">
        <v>79</v>
      </c>
      <c r="X1298" s="6">
        <v>72</v>
      </c>
      <c r="Y1298" s="6">
        <v>77</v>
      </c>
      <c r="Z1298" s="6">
        <v>83</v>
      </c>
      <c r="AA1298" s="6">
        <v>69</v>
      </c>
      <c r="AB1298" s="6">
        <v>75</v>
      </c>
      <c r="AC1298" s="6">
        <v>73</v>
      </c>
      <c r="AD1298" s="6">
        <v>71</v>
      </c>
      <c r="AE1298" s="6">
        <v>69</v>
      </c>
      <c r="AF1298" s="6">
        <v>75</v>
      </c>
      <c r="AG1298" s="6" t="s">
        <v>8245</v>
      </c>
      <c r="AH1298" s="6" t="s">
        <v>6674</v>
      </c>
    </row>
    <row r="1299" spans="1:34" x14ac:dyDescent="0.2">
      <c r="A1299" t="s">
        <v>4526</v>
      </c>
      <c r="B1299" t="s">
        <v>2789</v>
      </c>
      <c r="C1299" t="s">
        <v>2875</v>
      </c>
      <c r="D1299" s="7" t="s">
        <v>157</v>
      </c>
      <c r="E1299" t="s">
        <v>38</v>
      </c>
      <c r="F1299">
        <v>25</v>
      </c>
      <c r="G1299">
        <v>73</v>
      </c>
      <c r="H1299">
        <v>70</v>
      </c>
      <c r="I1299" t="s">
        <v>6348</v>
      </c>
      <c r="J1299">
        <v>75</v>
      </c>
      <c r="K1299">
        <v>306</v>
      </c>
      <c r="L1299" t="s">
        <v>6220</v>
      </c>
      <c r="M1299" s="6" t="s">
        <v>6558</v>
      </c>
      <c r="N1299" s="6" t="s">
        <v>6583</v>
      </c>
      <c r="O1299" s="6">
        <v>83</v>
      </c>
      <c r="P1299" s="6">
        <v>77</v>
      </c>
      <c r="Q1299" s="6">
        <v>67</v>
      </c>
      <c r="R1299" s="6">
        <v>80</v>
      </c>
      <c r="S1299" s="6">
        <v>76</v>
      </c>
      <c r="T1299" s="6">
        <v>67</v>
      </c>
      <c r="U1299" s="6">
        <v>61</v>
      </c>
      <c r="V1299" s="6">
        <v>78</v>
      </c>
      <c r="W1299" s="6">
        <v>68</v>
      </c>
      <c r="X1299" s="6">
        <v>85</v>
      </c>
      <c r="Y1299" s="6">
        <v>73</v>
      </c>
      <c r="Z1299" s="6">
        <v>75</v>
      </c>
      <c r="AA1299" s="6">
        <v>75</v>
      </c>
      <c r="AB1299" s="6">
        <v>78</v>
      </c>
      <c r="AC1299" s="6">
        <v>76</v>
      </c>
      <c r="AD1299" s="6">
        <v>71</v>
      </c>
      <c r="AE1299" s="6">
        <v>71</v>
      </c>
      <c r="AF1299" s="6">
        <v>70</v>
      </c>
      <c r="AG1299" s="6" t="s">
        <v>8247</v>
      </c>
      <c r="AH1299" s="6" t="s">
        <v>6743</v>
      </c>
    </row>
    <row r="1300" spans="1:34" x14ac:dyDescent="0.2">
      <c r="A1300" t="s">
        <v>4528</v>
      </c>
      <c r="B1300" t="s">
        <v>2791</v>
      </c>
      <c r="C1300" t="s">
        <v>2877</v>
      </c>
      <c r="D1300" s="7" t="s">
        <v>157</v>
      </c>
      <c r="E1300" t="s">
        <v>38</v>
      </c>
      <c r="F1300">
        <v>31</v>
      </c>
      <c r="G1300">
        <v>75</v>
      </c>
      <c r="H1300">
        <v>70</v>
      </c>
      <c r="I1300" t="s">
        <v>6397</v>
      </c>
      <c r="J1300">
        <v>77</v>
      </c>
      <c r="K1300">
        <v>321</v>
      </c>
      <c r="L1300" t="s">
        <v>6222</v>
      </c>
      <c r="M1300" s="6" t="s">
        <v>6558</v>
      </c>
      <c r="N1300" s="6" t="s">
        <v>6565</v>
      </c>
      <c r="O1300" s="6">
        <v>76</v>
      </c>
      <c r="P1300" s="6">
        <v>73</v>
      </c>
      <c r="Q1300" s="6">
        <v>75</v>
      </c>
      <c r="R1300" s="6">
        <v>74</v>
      </c>
      <c r="S1300" s="6">
        <v>81</v>
      </c>
      <c r="T1300" s="6">
        <v>69</v>
      </c>
      <c r="U1300" s="6">
        <v>76</v>
      </c>
      <c r="V1300" s="6">
        <v>72</v>
      </c>
      <c r="W1300" s="6">
        <v>76</v>
      </c>
      <c r="X1300" s="6">
        <v>82</v>
      </c>
      <c r="Y1300" s="6">
        <v>87</v>
      </c>
      <c r="Z1300" s="6">
        <v>74</v>
      </c>
      <c r="AA1300" s="6">
        <v>68</v>
      </c>
      <c r="AB1300" s="6">
        <v>70</v>
      </c>
      <c r="AC1300" s="6">
        <v>63</v>
      </c>
      <c r="AD1300" s="6">
        <v>75</v>
      </c>
      <c r="AE1300" s="6">
        <v>72</v>
      </c>
      <c r="AF1300" s="6">
        <v>69</v>
      </c>
      <c r="AG1300" s="6" t="s">
        <v>8249</v>
      </c>
      <c r="AH1300" s="6" t="s">
        <v>6610</v>
      </c>
    </row>
    <row r="1301" spans="1:34" x14ac:dyDescent="0.2">
      <c r="A1301" t="s">
        <v>4530</v>
      </c>
      <c r="B1301" t="s">
        <v>2793</v>
      </c>
      <c r="C1301" t="s">
        <v>2878</v>
      </c>
      <c r="D1301" s="7" t="s">
        <v>157</v>
      </c>
      <c r="E1301" t="s">
        <v>38</v>
      </c>
      <c r="F1301">
        <v>27</v>
      </c>
      <c r="G1301">
        <v>73</v>
      </c>
      <c r="H1301">
        <v>70</v>
      </c>
      <c r="I1301" t="s">
        <v>6311</v>
      </c>
      <c r="J1301">
        <v>76</v>
      </c>
      <c r="K1301">
        <v>267</v>
      </c>
      <c r="L1301" t="s">
        <v>6224</v>
      </c>
      <c r="M1301" s="6" t="s">
        <v>6558</v>
      </c>
      <c r="N1301" s="6" t="s">
        <v>6567</v>
      </c>
      <c r="O1301" s="6">
        <v>74</v>
      </c>
      <c r="P1301" s="6">
        <v>77</v>
      </c>
      <c r="Q1301" s="6">
        <v>75</v>
      </c>
      <c r="R1301" s="6">
        <v>66</v>
      </c>
      <c r="S1301" s="6">
        <v>87</v>
      </c>
      <c r="T1301" s="6">
        <v>74</v>
      </c>
      <c r="U1301" s="6">
        <v>86</v>
      </c>
      <c r="V1301" s="6">
        <v>79</v>
      </c>
      <c r="W1301" s="6">
        <v>77</v>
      </c>
      <c r="X1301" s="6">
        <v>68</v>
      </c>
      <c r="Y1301" s="6">
        <v>79</v>
      </c>
      <c r="Z1301" s="6">
        <v>72</v>
      </c>
      <c r="AA1301" s="6">
        <v>73</v>
      </c>
      <c r="AB1301" s="6">
        <v>71</v>
      </c>
      <c r="AC1301" s="6">
        <v>73</v>
      </c>
      <c r="AD1301" s="6">
        <v>70</v>
      </c>
      <c r="AE1301" s="6">
        <v>77</v>
      </c>
      <c r="AF1301" s="6">
        <v>76</v>
      </c>
      <c r="AG1301" s="6" t="s">
        <v>8251</v>
      </c>
      <c r="AH1301" s="6" t="s">
        <v>6682</v>
      </c>
    </row>
    <row r="1302" spans="1:34" x14ac:dyDescent="0.2">
      <c r="A1302" t="s">
        <v>4532</v>
      </c>
      <c r="B1302" t="s">
        <v>2795</v>
      </c>
      <c r="C1302" t="s">
        <v>2878</v>
      </c>
      <c r="D1302" s="7" t="s">
        <v>157</v>
      </c>
      <c r="E1302" t="s">
        <v>58</v>
      </c>
      <c r="F1302">
        <v>31</v>
      </c>
      <c r="G1302">
        <v>65</v>
      </c>
      <c r="H1302">
        <v>70</v>
      </c>
      <c r="I1302" t="s">
        <v>6317</v>
      </c>
      <c r="J1302">
        <v>75</v>
      </c>
      <c r="K1302">
        <v>283</v>
      </c>
      <c r="L1302" t="s">
        <v>6226</v>
      </c>
      <c r="M1302" s="6" t="s">
        <v>6558</v>
      </c>
      <c r="N1302" s="6" t="s">
        <v>6567</v>
      </c>
      <c r="O1302" s="6">
        <v>76</v>
      </c>
      <c r="P1302" s="6">
        <v>73</v>
      </c>
      <c r="Q1302" s="6">
        <v>75</v>
      </c>
      <c r="R1302" s="6">
        <v>65</v>
      </c>
      <c r="S1302" s="6">
        <v>74</v>
      </c>
      <c r="T1302" s="6">
        <v>75</v>
      </c>
      <c r="U1302" s="6">
        <v>81</v>
      </c>
      <c r="V1302" s="6">
        <v>79</v>
      </c>
      <c r="W1302" s="6">
        <v>69</v>
      </c>
      <c r="X1302" s="6">
        <v>73</v>
      </c>
      <c r="Y1302" s="6">
        <v>81</v>
      </c>
      <c r="Z1302" s="6">
        <v>71</v>
      </c>
      <c r="AA1302" s="6">
        <v>68</v>
      </c>
      <c r="AB1302" s="6">
        <v>67</v>
      </c>
      <c r="AC1302" s="6">
        <v>60</v>
      </c>
      <c r="AD1302" s="6">
        <v>66</v>
      </c>
      <c r="AE1302" s="6">
        <v>61</v>
      </c>
      <c r="AF1302" s="6">
        <v>59</v>
      </c>
      <c r="AG1302" s="6" t="s">
        <v>6962</v>
      </c>
      <c r="AH1302" s="6" t="s">
        <v>6963</v>
      </c>
    </row>
    <row r="1303" spans="1:34" x14ac:dyDescent="0.2">
      <c r="A1303" t="s">
        <v>4534</v>
      </c>
      <c r="B1303" t="s">
        <v>2797</v>
      </c>
      <c r="C1303" t="s">
        <v>2878</v>
      </c>
      <c r="D1303" s="7" t="s">
        <v>157</v>
      </c>
      <c r="E1303" t="s">
        <v>38</v>
      </c>
      <c r="F1303">
        <v>25</v>
      </c>
      <c r="G1303">
        <v>64</v>
      </c>
      <c r="H1303">
        <v>70</v>
      </c>
      <c r="I1303" t="s">
        <v>6378</v>
      </c>
      <c r="J1303">
        <v>75</v>
      </c>
      <c r="K1303">
        <v>274</v>
      </c>
      <c r="L1303" t="s">
        <v>6228</v>
      </c>
      <c r="M1303" s="6" t="s">
        <v>6558</v>
      </c>
      <c r="N1303" s="6" t="s">
        <v>6614</v>
      </c>
      <c r="O1303" s="6">
        <v>58</v>
      </c>
      <c r="P1303" s="6">
        <v>69</v>
      </c>
      <c r="Q1303" s="6">
        <v>69</v>
      </c>
      <c r="R1303" s="6">
        <v>50</v>
      </c>
      <c r="S1303" s="6">
        <v>73</v>
      </c>
      <c r="T1303" s="6">
        <v>69</v>
      </c>
      <c r="U1303" s="6">
        <v>73</v>
      </c>
      <c r="V1303" s="6">
        <v>76</v>
      </c>
      <c r="W1303" s="6">
        <v>65</v>
      </c>
      <c r="X1303" s="6">
        <v>57</v>
      </c>
      <c r="Y1303" s="6">
        <v>74</v>
      </c>
      <c r="Z1303" s="6">
        <v>71</v>
      </c>
      <c r="AA1303" s="6">
        <v>72</v>
      </c>
      <c r="AB1303" s="6">
        <v>65</v>
      </c>
      <c r="AC1303" s="6">
        <v>64</v>
      </c>
      <c r="AD1303" s="6">
        <v>59</v>
      </c>
      <c r="AE1303" s="6">
        <v>73</v>
      </c>
      <c r="AF1303" s="6">
        <v>67</v>
      </c>
      <c r="AG1303" s="6" t="s">
        <v>8254</v>
      </c>
      <c r="AH1303" s="6" t="s">
        <v>6612</v>
      </c>
    </row>
    <row r="1304" spans="1:34" x14ac:dyDescent="0.2">
      <c r="A1304" t="s">
        <v>4536</v>
      </c>
      <c r="B1304" t="s">
        <v>2799</v>
      </c>
      <c r="C1304" t="s">
        <v>2879</v>
      </c>
      <c r="D1304" s="7" t="s">
        <v>157</v>
      </c>
      <c r="E1304" t="s">
        <v>38</v>
      </c>
      <c r="F1304">
        <v>24</v>
      </c>
      <c r="G1304">
        <v>74</v>
      </c>
      <c r="H1304">
        <v>70</v>
      </c>
      <c r="I1304" t="s">
        <v>6331</v>
      </c>
      <c r="J1304">
        <v>72</v>
      </c>
      <c r="K1304">
        <v>293</v>
      </c>
      <c r="L1304" t="s">
        <v>6230</v>
      </c>
      <c r="M1304" s="6" t="s">
        <v>6558</v>
      </c>
      <c r="N1304" s="6" t="s">
        <v>6567</v>
      </c>
      <c r="O1304" s="6">
        <v>70</v>
      </c>
      <c r="P1304" s="6">
        <v>71</v>
      </c>
      <c r="Q1304" s="6">
        <v>74</v>
      </c>
      <c r="R1304" s="6">
        <v>64</v>
      </c>
      <c r="S1304" s="6">
        <v>79</v>
      </c>
      <c r="T1304" s="6">
        <v>63</v>
      </c>
      <c r="U1304" s="6">
        <v>73</v>
      </c>
      <c r="V1304" s="6">
        <v>81</v>
      </c>
      <c r="W1304" s="6">
        <v>73</v>
      </c>
      <c r="X1304" s="6">
        <v>70</v>
      </c>
      <c r="Y1304" s="6">
        <v>67</v>
      </c>
      <c r="Z1304" s="6">
        <v>72</v>
      </c>
      <c r="AA1304" s="6">
        <v>74</v>
      </c>
      <c r="AB1304" s="6">
        <v>76</v>
      </c>
      <c r="AC1304" s="6">
        <v>65</v>
      </c>
      <c r="AD1304" s="6">
        <v>61</v>
      </c>
      <c r="AE1304" s="6">
        <v>71</v>
      </c>
      <c r="AF1304" s="6">
        <v>75</v>
      </c>
      <c r="AG1304" s="6" t="s">
        <v>8256</v>
      </c>
      <c r="AH1304" s="6" t="s">
        <v>6855</v>
      </c>
    </row>
    <row r="1305" spans="1:34" x14ac:dyDescent="0.2">
      <c r="A1305" t="s">
        <v>4538</v>
      </c>
      <c r="B1305" t="s">
        <v>2801</v>
      </c>
      <c r="C1305" t="s">
        <v>2880</v>
      </c>
      <c r="D1305" s="7" t="s">
        <v>157</v>
      </c>
      <c r="E1305" t="s">
        <v>58</v>
      </c>
      <c r="F1305">
        <v>23</v>
      </c>
      <c r="G1305">
        <v>78</v>
      </c>
      <c r="H1305">
        <v>70</v>
      </c>
      <c r="I1305" t="s">
        <v>6329</v>
      </c>
      <c r="J1305">
        <v>75</v>
      </c>
      <c r="K1305">
        <v>242</v>
      </c>
      <c r="L1305" t="s">
        <v>6232</v>
      </c>
      <c r="M1305" s="6" t="s">
        <v>6558</v>
      </c>
      <c r="N1305" s="6" t="s">
        <v>6565</v>
      </c>
      <c r="O1305" s="6">
        <v>87</v>
      </c>
      <c r="P1305" s="6">
        <v>71</v>
      </c>
      <c r="Q1305" s="6">
        <v>70</v>
      </c>
      <c r="R1305" s="6">
        <v>72</v>
      </c>
      <c r="S1305" s="6">
        <v>71</v>
      </c>
      <c r="T1305" s="6">
        <v>71</v>
      </c>
      <c r="U1305" s="6">
        <v>75</v>
      </c>
      <c r="V1305" s="6">
        <v>66</v>
      </c>
      <c r="W1305" s="6">
        <v>74</v>
      </c>
      <c r="X1305" s="6">
        <v>76</v>
      </c>
      <c r="Y1305" s="6">
        <v>73</v>
      </c>
      <c r="Z1305" s="6">
        <v>60</v>
      </c>
      <c r="AA1305" s="6">
        <v>72</v>
      </c>
      <c r="AB1305" s="6">
        <v>75</v>
      </c>
      <c r="AC1305" s="6">
        <v>75</v>
      </c>
      <c r="AD1305" s="6">
        <v>66</v>
      </c>
      <c r="AE1305" s="6">
        <v>68</v>
      </c>
      <c r="AF1305" s="6">
        <v>72</v>
      </c>
      <c r="AG1305" s="6" t="s">
        <v>8258</v>
      </c>
      <c r="AH1305" s="6" t="s">
        <v>6623</v>
      </c>
    </row>
    <row r="1306" spans="1:34" x14ac:dyDescent="0.2">
      <c r="A1306" t="s">
        <v>4540</v>
      </c>
      <c r="B1306" t="s">
        <v>2803</v>
      </c>
      <c r="C1306" t="s">
        <v>2880</v>
      </c>
      <c r="D1306" s="7" t="s">
        <v>157</v>
      </c>
      <c r="E1306" t="s">
        <v>58</v>
      </c>
      <c r="F1306">
        <v>24</v>
      </c>
      <c r="G1306">
        <v>65</v>
      </c>
      <c r="H1306">
        <v>70</v>
      </c>
      <c r="I1306" t="s">
        <v>6354</v>
      </c>
      <c r="J1306">
        <v>75</v>
      </c>
      <c r="K1306">
        <v>235</v>
      </c>
      <c r="L1306" t="s">
        <v>6234</v>
      </c>
      <c r="M1306" s="6" t="s">
        <v>6733</v>
      </c>
      <c r="N1306" s="6" t="s">
        <v>6567</v>
      </c>
      <c r="O1306" s="6">
        <v>70</v>
      </c>
      <c r="P1306" s="6">
        <v>72</v>
      </c>
      <c r="Q1306" s="6">
        <v>73</v>
      </c>
      <c r="R1306" s="6">
        <v>69</v>
      </c>
      <c r="S1306" s="6">
        <v>60</v>
      </c>
      <c r="T1306" s="6">
        <v>57</v>
      </c>
      <c r="U1306" s="6">
        <v>74</v>
      </c>
      <c r="V1306" s="6">
        <v>66</v>
      </c>
      <c r="W1306" s="6">
        <v>65</v>
      </c>
      <c r="X1306" s="6">
        <v>66</v>
      </c>
      <c r="Y1306" s="6">
        <v>70</v>
      </c>
      <c r="Z1306" s="6">
        <v>58</v>
      </c>
      <c r="AA1306" s="6">
        <v>69</v>
      </c>
      <c r="AB1306" s="6">
        <v>73</v>
      </c>
      <c r="AC1306" s="6">
        <v>76</v>
      </c>
      <c r="AD1306" s="6">
        <v>60</v>
      </c>
      <c r="AE1306" s="6">
        <v>67</v>
      </c>
      <c r="AF1306" s="6">
        <v>64</v>
      </c>
      <c r="AG1306" s="6" t="s">
        <v>8260</v>
      </c>
      <c r="AH1306" s="6" t="s">
        <v>6623</v>
      </c>
    </row>
    <row r="1307" spans="1:34" x14ac:dyDescent="0.2">
      <c r="A1307" t="s">
        <v>4542</v>
      </c>
      <c r="B1307" t="s">
        <v>2805</v>
      </c>
      <c r="C1307" t="s">
        <v>61</v>
      </c>
      <c r="D1307" s="7" t="s">
        <v>157</v>
      </c>
      <c r="E1307" t="s">
        <v>38</v>
      </c>
      <c r="F1307">
        <v>25</v>
      </c>
      <c r="G1307">
        <v>85</v>
      </c>
      <c r="H1307">
        <v>70</v>
      </c>
      <c r="I1307" t="s">
        <v>6384</v>
      </c>
      <c r="J1307">
        <v>71</v>
      </c>
      <c r="K1307">
        <v>210</v>
      </c>
      <c r="L1307" t="s">
        <v>6236</v>
      </c>
      <c r="M1307" s="6" t="s">
        <v>6558</v>
      </c>
      <c r="N1307" s="6" t="s">
        <v>6565</v>
      </c>
      <c r="O1307" s="6">
        <v>83</v>
      </c>
      <c r="P1307" s="6">
        <v>72</v>
      </c>
      <c r="Q1307" s="6">
        <v>77</v>
      </c>
      <c r="R1307" s="6">
        <v>74</v>
      </c>
      <c r="S1307" s="6">
        <v>87</v>
      </c>
      <c r="T1307" s="6">
        <v>79</v>
      </c>
      <c r="U1307" s="6">
        <v>83</v>
      </c>
      <c r="V1307" s="6">
        <v>80</v>
      </c>
      <c r="W1307" s="6">
        <v>72</v>
      </c>
      <c r="X1307" s="6">
        <v>80</v>
      </c>
      <c r="Y1307" s="6">
        <v>85</v>
      </c>
      <c r="Z1307" s="6">
        <v>71</v>
      </c>
      <c r="AA1307" s="6">
        <v>72</v>
      </c>
      <c r="AB1307" s="6">
        <v>78</v>
      </c>
      <c r="AC1307" s="6">
        <v>72</v>
      </c>
      <c r="AD1307" s="6">
        <v>71</v>
      </c>
      <c r="AE1307" s="6">
        <v>75</v>
      </c>
      <c r="AF1307" s="6">
        <v>78</v>
      </c>
      <c r="AG1307" s="6" t="s">
        <v>8262</v>
      </c>
      <c r="AH1307" s="6" t="s">
        <v>6630</v>
      </c>
    </row>
    <row r="1308" spans="1:34" x14ac:dyDescent="0.2">
      <c r="A1308" t="s">
        <v>4544</v>
      </c>
      <c r="B1308" t="s">
        <v>2807</v>
      </c>
      <c r="C1308" t="s">
        <v>61</v>
      </c>
      <c r="D1308" s="7" t="s">
        <v>157</v>
      </c>
      <c r="E1308" t="s">
        <v>38</v>
      </c>
      <c r="F1308">
        <v>28</v>
      </c>
      <c r="G1308">
        <v>67</v>
      </c>
      <c r="H1308">
        <v>70</v>
      </c>
      <c r="I1308" t="s">
        <v>6461</v>
      </c>
      <c r="J1308">
        <v>73</v>
      </c>
      <c r="K1308">
        <v>180</v>
      </c>
      <c r="L1308" t="s">
        <v>6238</v>
      </c>
      <c r="M1308" s="6" t="s">
        <v>6558</v>
      </c>
      <c r="N1308" s="6" t="s">
        <v>6567</v>
      </c>
      <c r="O1308" s="6">
        <v>83</v>
      </c>
      <c r="P1308" s="6">
        <v>81</v>
      </c>
      <c r="Q1308" s="6">
        <v>69</v>
      </c>
      <c r="R1308" s="6">
        <v>65</v>
      </c>
      <c r="S1308" s="6">
        <v>80</v>
      </c>
      <c r="T1308" s="6">
        <v>74</v>
      </c>
      <c r="U1308" s="6">
        <v>73</v>
      </c>
      <c r="V1308" s="6">
        <v>76</v>
      </c>
      <c r="W1308" s="6">
        <v>81</v>
      </c>
      <c r="X1308" s="6">
        <v>70</v>
      </c>
      <c r="Y1308" s="6">
        <v>81</v>
      </c>
      <c r="Z1308" s="6">
        <v>76</v>
      </c>
      <c r="AA1308" s="6">
        <v>75</v>
      </c>
      <c r="AB1308" s="6">
        <v>80</v>
      </c>
      <c r="AC1308" s="6">
        <v>66</v>
      </c>
      <c r="AD1308" s="6">
        <v>77</v>
      </c>
      <c r="AE1308" s="6">
        <v>68</v>
      </c>
      <c r="AF1308" s="6">
        <v>74</v>
      </c>
      <c r="AG1308" s="6" t="s">
        <v>8264</v>
      </c>
      <c r="AH1308" s="6" t="s">
        <v>6632</v>
      </c>
    </row>
    <row r="1309" spans="1:34" x14ac:dyDescent="0.2">
      <c r="A1309" t="s">
        <v>4546</v>
      </c>
      <c r="B1309" t="s">
        <v>2809</v>
      </c>
      <c r="C1309" t="s">
        <v>2882</v>
      </c>
      <c r="D1309" s="7" t="s">
        <v>157</v>
      </c>
      <c r="E1309" t="s">
        <v>58</v>
      </c>
      <c r="F1309">
        <v>29</v>
      </c>
      <c r="G1309">
        <v>65</v>
      </c>
      <c r="H1309">
        <v>70</v>
      </c>
      <c r="I1309" t="s">
        <v>6459</v>
      </c>
      <c r="J1309">
        <v>70</v>
      </c>
      <c r="K1309">
        <v>202</v>
      </c>
      <c r="L1309" t="s">
        <v>6240</v>
      </c>
      <c r="M1309" s="6" t="s">
        <v>6558</v>
      </c>
      <c r="N1309" s="6" t="s">
        <v>6567</v>
      </c>
      <c r="O1309" s="6">
        <v>75</v>
      </c>
      <c r="P1309" s="6">
        <v>75</v>
      </c>
      <c r="Q1309" s="6">
        <v>65</v>
      </c>
      <c r="R1309" s="6">
        <v>63</v>
      </c>
      <c r="S1309" s="6">
        <v>75</v>
      </c>
      <c r="T1309" s="6">
        <v>64</v>
      </c>
      <c r="U1309" s="6">
        <v>67</v>
      </c>
      <c r="V1309" s="6">
        <v>80</v>
      </c>
      <c r="W1309" s="6">
        <v>80</v>
      </c>
      <c r="X1309" s="6">
        <v>69</v>
      </c>
      <c r="Y1309" s="6">
        <v>71</v>
      </c>
      <c r="Z1309" s="6">
        <v>79</v>
      </c>
      <c r="AA1309" s="6">
        <v>62</v>
      </c>
      <c r="AB1309" s="6">
        <v>65</v>
      </c>
      <c r="AC1309" s="6">
        <v>65</v>
      </c>
      <c r="AD1309" s="6">
        <v>69</v>
      </c>
      <c r="AE1309" s="6">
        <v>61</v>
      </c>
      <c r="AF1309" s="6">
        <v>72</v>
      </c>
      <c r="AG1309" s="6" t="s">
        <v>8266</v>
      </c>
      <c r="AH1309" s="6" t="s">
        <v>6636</v>
      </c>
    </row>
    <row r="1310" spans="1:34" x14ac:dyDescent="0.2">
      <c r="A1310" t="s">
        <v>4548</v>
      </c>
      <c r="B1310" t="s">
        <v>2811</v>
      </c>
      <c r="C1310" t="s">
        <v>2883</v>
      </c>
      <c r="D1310" s="7" t="s">
        <v>157</v>
      </c>
      <c r="E1310" t="s">
        <v>38</v>
      </c>
      <c r="F1310">
        <v>26</v>
      </c>
      <c r="G1310">
        <v>86</v>
      </c>
      <c r="H1310">
        <v>70</v>
      </c>
      <c r="I1310" t="s">
        <v>6375</v>
      </c>
      <c r="J1310">
        <v>72</v>
      </c>
      <c r="K1310">
        <v>210</v>
      </c>
      <c r="L1310" t="s">
        <v>6242</v>
      </c>
      <c r="M1310" s="6" t="s">
        <v>6558</v>
      </c>
      <c r="N1310" s="6" t="s">
        <v>6565</v>
      </c>
      <c r="O1310" s="6">
        <v>85</v>
      </c>
      <c r="P1310" s="6">
        <v>84</v>
      </c>
      <c r="Q1310" s="6">
        <v>82</v>
      </c>
      <c r="R1310" s="6">
        <v>73</v>
      </c>
      <c r="S1310" s="6">
        <v>79</v>
      </c>
      <c r="T1310" s="6">
        <v>72</v>
      </c>
      <c r="U1310" s="6">
        <v>84</v>
      </c>
      <c r="V1310" s="6">
        <v>81</v>
      </c>
      <c r="W1310" s="6">
        <v>85</v>
      </c>
      <c r="X1310" s="6">
        <v>76</v>
      </c>
      <c r="Y1310" s="6">
        <v>78</v>
      </c>
      <c r="Z1310" s="6">
        <v>87</v>
      </c>
      <c r="AA1310" s="6">
        <v>78</v>
      </c>
      <c r="AB1310" s="6">
        <v>76</v>
      </c>
      <c r="AC1310" s="6">
        <v>78</v>
      </c>
      <c r="AD1310" s="6">
        <v>76</v>
      </c>
      <c r="AE1310" s="6">
        <v>77</v>
      </c>
      <c r="AF1310" s="6">
        <v>77</v>
      </c>
      <c r="AG1310" s="6" t="s">
        <v>8268</v>
      </c>
      <c r="AH1310" s="6" t="s">
        <v>6640</v>
      </c>
    </row>
    <row r="1311" spans="1:34" x14ac:dyDescent="0.2">
      <c r="A1311" t="s">
        <v>4550</v>
      </c>
      <c r="B1311" t="s">
        <v>2813</v>
      </c>
      <c r="C1311" t="s">
        <v>2883</v>
      </c>
      <c r="D1311" s="7" t="s">
        <v>157</v>
      </c>
      <c r="E1311" t="s">
        <v>38</v>
      </c>
      <c r="F1311">
        <v>21</v>
      </c>
      <c r="G1311">
        <v>58</v>
      </c>
      <c r="H1311">
        <v>70</v>
      </c>
      <c r="I1311" t="s">
        <v>6411</v>
      </c>
      <c r="J1311">
        <v>74</v>
      </c>
      <c r="K1311">
        <v>220</v>
      </c>
      <c r="L1311" t="s">
        <v>6244</v>
      </c>
      <c r="M1311" s="6" t="s">
        <v>6558</v>
      </c>
      <c r="N1311" s="6" t="s">
        <v>6565</v>
      </c>
      <c r="O1311" s="6">
        <v>66</v>
      </c>
      <c r="P1311" s="6">
        <v>63</v>
      </c>
      <c r="Q1311" s="6">
        <v>65</v>
      </c>
      <c r="R1311" s="6">
        <v>71</v>
      </c>
      <c r="S1311" s="6">
        <v>72</v>
      </c>
      <c r="T1311" s="6">
        <v>64</v>
      </c>
      <c r="U1311" s="6">
        <v>67</v>
      </c>
      <c r="V1311" s="6">
        <v>75</v>
      </c>
      <c r="W1311" s="6">
        <v>64</v>
      </c>
      <c r="X1311" s="6">
        <v>67</v>
      </c>
      <c r="Y1311" s="6">
        <v>66</v>
      </c>
      <c r="Z1311" s="6">
        <v>73</v>
      </c>
      <c r="AA1311" s="6">
        <v>68</v>
      </c>
      <c r="AB1311" s="6">
        <v>68</v>
      </c>
      <c r="AC1311" s="6">
        <v>70</v>
      </c>
      <c r="AD1311" s="6">
        <v>62</v>
      </c>
      <c r="AE1311" s="6">
        <v>63</v>
      </c>
      <c r="AF1311" s="6">
        <v>67</v>
      </c>
      <c r="AG1311" s="6" t="s">
        <v>8270</v>
      </c>
      <c r="AH1311" s="6" t="s">
        <v>6640</v>
      </c>
    </row>
    <row r="1312" spans="1:34" x14ac:dyDescent="0.2">
      <c r="A1312" t="s">
        <v>4552</v>
      </c>
      <c r="B1312" t="s">
        <v>2815</v>
      </c>
      <c r="C1312" t="s">
        <v>2889</v>
      </c>
      <c r="D1312" s="7" t="s">
        <v>157</v>
      </c>
      <c r="E1312" t="s">
        <v>38</v>
      </c>
      <c r="F1312">
        <v>22</v>
      </c>
      <c r="G1312">
        <v>62</v>
      </c>
      <c r="H1312">
        <v>70</v>
      </c>
      <c r="I1312" t="s">
        <v>6372</v>
      </c>
      <c r="J1312">
        <v>74</v>
      </c>
      <c r="K1312">
        <v>244</v>
      </c>
      <c r="L1312" t="s">
        <v>6246</v>
      </c>
      <c r="M1312" s="6" t="s">
        <v>6558</v>
      </c>
      <c r="N1312" s="6" t="s">
        <v>6567</v>
      </c>
      <c r="O1312" s="6">
        <v>71</v>
      </c>
      <c r="P1312" s="6">
        <v>68</v>
      </c>
      <c r="Q1312" s="6">
        <v>59</v>
      </c>
      <c r="R1312" s="6">
        <v>66</v>
      </c>
      <c r="S1312" s="6">
        <v>64</v>
      </c>
      <c r="T1312" s="6">
        <v>72</v>
      </c>
      <c r="U1312" s="6">
        <v>63</v>
      </c>
      <c r="V1312" s="6">
        <v>65</v>
      </c>
      <c r="W1312" s="6">
        <v>68</v>
      </c>
      <c r="X1312" s="6">
        <v>56</v>
      </c>
      <c r="Y1312" s="6">
        <v>70</v>
      </c>
      <c r="Z1312" s="6">
        <v>68</v>
      </c>
      <c r="AA1312" s="6">
        <v>63</v>
      </c>
      <c r="AB1312" s="6">
        <v>66</v>
      </c>
      <c r="AC1312" s="6">
        <v>63</v>
      </c>
      <c r="AD1312" s="6">
        <v>66</v>
      </c>
      <c r="AE1312" s="6">
        <v>61</v>
      </c>
      <c r="AF1312" s="6">
        <v>67</v>
      </c>
      <c r="AG1312" s="6" t="s">
        <v>8272</v>
      </c>
      <c r="AH1312" s="6" t="s">
        <v>6709</v>
      </c>
    </row>
    <row r="1313" spans="1:34" x14ac:dyDescent="0.2">
      <c r="A1313" t="s">
        <v>4554</v>
      </c>
      <c r="B1313" t="s">
        <v>2817</v>
      </c>
      <c r="C1313" t="s">
        <v>2890</v>
      </c>
      <c r="D1313" s="7" t="s">
        <v>157</v>
      </c>
      <c r="E1313" t="s">
        <v>58</v>
      </c>
      <c r="F1313">
        <v>32</v>
      </c>
      <c r="G1313">
        <v>68</v>
      </c>
      <c r="H1313">
        <v>70</v>
      </c>
      <c r="I1313" t="s">
        <v>6430</v>
      </c>
      <c r="J1313">
        <v>71</v>
      </c>
      <c r="K1313">
        <v>194</v>
      </c>
      <c r="L1313" t="s">
        <v>6248</v>
      </c>
      <c r="M1313" s="6" t="s">
        <v>6558</v>
      </c>
      <c r="N1313" s="6" t="s">
        <v>6583</v>
      </c>
      <c r="O1313" s="6">
        <v>79</v>
      </c>
      <c r="P1313" s="6">
        <v>76</v>
      </c>
      <c r="Q1313" s="6">
        <v>71</v>
      </c>
      <c r="R1313" s="6">
        <v>76</v>
      </c>
      <c r="S1313" s="6">
        <v>76</v>
      </c>
      <c r="T1313" s="6">
        <v>70</v>
      </c>
      <c r="U1313" s="6">
        <v>74</v>
      </c>
      <c r="V1313" s="6">
        <v>70</v>
      </c>
      <c r="W1313" s="6">
        <v>73</v>
      </c>
      <c r="X1313" s="6">
        <v>67</v>
      </c>
      <c r="Y1313" s="6">
        <v>80</v>
      </c>
      <c r="Z1313" s="6">
        <v>77</v>
      </c>
      <c r="AA1313" s="6">
        <v>67</v>
      </c>
      <c r="AB1313" s="6">
        <v>71</v>
      </c>
      <c r="AC1313" s="6">
        <v>54</v>
      </c>
      <c r="AD1313" s="6">
        <v>67</v>
      </c>
      <c r="AE1313" s="6">
        <v>61</v>
      </c>
      <c r="AF1313" s="6">
        <v>64</v>
      </c>
      <c r="AG1313" s="6" t="s">
        <v>8274</v>
      </c>
      <c r="AH1313" s="6" t="s">
        <v>6694</v>
      </c>
    </row>
    <row r="1314" spans="1:34" x14ac:dyDescent="0.2">
      <c r="A1314" t="s">
        <v>4556</v>
      </c>
      <c r="B1314" t="s">
        <v>2819</v>
      </c>
      <c r="C1314" t="s">
        <v>2891</v>
      </c>
      <c r="D1314" s="7" t="s">
        <v>157</v>
      </c>
      <c r="E1314" t="s">
        <v>38</v>
      </c>
      <c r="F1314">
        <v>28</v>
      </c>
      <c r="G1314">
        <v>79</v>
      </c>
      <c r="H1314">
        <v>70</v>
      </c>
      <c r="I1314" t="s">
        <v>6457</v>
      </c>
      <c r="J1314">
        <v>75</v>
      </c>
      <c r="K1314">
        <v>245</v>
      </c>
      <c r="L1314" t="s">
        <v>6250</v>
      </c>
      <c r="M1314" s="6" t="s">
        <v>6558</v>
      </c>
      <c r="N1314" s="6" t="s">
        <v>6559</v>
      </c>
      <c r="O1314" s="6">
        <v>80</v>
      </c>
      <c r="P1314" s="6">
        <v>77</v>
      </c>
      <c r="Q1314" s="6">
        <v>74</v>
      </c>
      <c r="R1314" s="6">
        <v>83</v>
      </c>
      <c r="S1314" s="6">
        <v>72</v>
      </c>
      <c r="T1314" s="6">
        <v>80</v>
      </c>
      <c r="U1314" s="6">
        <v>83</v>
      </c>
      <c r="V1314" s="6">
        <v>78</v>
      </c>
      <c r="W1314" s="6">
        <v>80</v>
      </c>
      <c r="X1314" s="6">
        <v>78</v>
      </c>
      <c r="Y1314" s="6">
        <v>76</v>
      </c>
      <c r="Z1314" s="6">
        <v>82</v>
      </c>
      <c r="AA1314" s="6">
        <v>76</v>
      </c>
      <c r="AB1314" s="6">
        <v>73</v>
      </c>
      <c r="AC1314" s="6">
        <v>73</v>
      </c>
      <c r="AD1314" s="6">
        <v>76</v>
      </c>
      <c r="AE1314" s="6">
        <v>70</v>
      </c>
      <c r="AF1314" s="6">
        <v>72</v>
      </c>
      <c r="AG1314" s="6" t="s">
        <v>8276</v>
      </c>
      <c r="AH1314" s="6" t="s">
        <v>6824</v>
      </c>
    </row>
    <row r="1315" spans="1:34" x14ac:dyDescent="0.2">
      <c r="A1315" t="s">
        <v>4558</v>
      </c>
      <c r="B1315" t="s">
        <v>2821</v>
      </c>
      <c r="C1315" t="s">
        <v>2886</v>
      </c>
      <c r="D1315" s="7" t="s">
        <v>157</v>
      </c>
      <c r="E1315" t="s">
        <v>38</v>
      </c>
      <c r="F1315">
        <v>27</v>
      </c>
      <c r="G1315">
        <v>59</v>
      </c>
      <c r="H1315">
        <v>70</v>
      </c>
      <c r="I1315" t="s">
        <v>6322</v>
      </c>
      <c r="J1315">
        <v>77</v>
      </c>
      <c r="K1315">
        <v>231</v>
      </c>
      <c r="L1315" t="s">
        <v>6252</v>
      </c>
      <c r="M1315" s="6" t="s">
        <v>6558</v>
      </c>
      <c r="N1315" s="6" t="s">
        <v>6583</v>
      </c>
      <c r="O1315" s="6">
        <v>69</v>
      </c>
      <c r="P1315" s="6">
        <v>65</v>
      </c>
      <c r="Q1315" s="6">
        <v>77</v>
      </c>
      <c r="R1315" s="6">
        <v>76</v>
      </c>
      <c r="S1315" s="6">
        <v>69</v>
      </c>
      <c r="T1315" s="6">
        <v>78</v>
      </c>
      <c r="U1315" s="6">
        <v>64</v>
      </c>
      <c r="V1315" s="6">
        <v>70</v>
      </c>
      <c r="W1315" s="6">
        <v>72</v>
      </c>
      <c r="X1315" s="6">
        <v>75</v>
      </c>
      <c r="Y1315" s="6">
        <v>75</v>
      </c>
      <c r="Z1315" s="6">
        <v>75</v>
      </c>
      <c r="AA1315" s="6">
        <v>65</v>
      </c>
      <c r="AB1315" s="6">
        <v>75</v>
      </c>
      <c r="AC1315" s="6">
        <v>72</v>
      </c>
      <c r="AD1315" s="6">
        <v>73</v>
      </c>
      <c r="AE1315" s="6">
        <v>60</v>
      </c>
      <c r="AF1315" s="6">
        <v>68</v>
      </c>
      <c r="AG1315" s="6" t="s">
        <v>8278</v>
      </c>
      <c r="AH1315" s="6" t="s">
        <v>6649</v>
      </c>
    </row>
    <row r="1316" spans="1:34" x14ac:dyDescent="0.2">
      <c r="A1316" t="s">
        <v>4560</v>
      </c>
      <c r="B1316" t="s">
        <v>2823</v>
      </c>
      <c r="C1316" t="s">
        <v>53</v>
      </c>
      <c r="D1316" s="7" t="s">
        <v>135</v>
      </c>
      <c r="E1316" t="s">
        <v>58</v>
      </c>
      <c r="F1316">
        <v>32</v>
      </c>
      <c r="G1316">
        <v>76</v>
      </c>
      <c r="H1316">
        <v>70</v>
      </c>
      <c r="I1316" t="s">
        <v>6380</v>
      </c>
      <c r="J1316">
        <v>74</v>
      </c>
      <c r="K1316">
        <v>222</v>
      </c>
      <c r="L1316" t="s">
        <v>6254</v>
      </c>
      <c r="M1316" s="6" t="s">
        <v>6558</v>
      </c>
      <c r="N1316" s="6" t="s">
        <v>6583</v>
      </c>
      <c r="O1316" s="6">
        <v>87</v>
      </c>
      <c r="P1316" s="6">
        <v>76</v>
      </c>
      <c r="Q1316" s="6">
        <v>70</v>
      </c>
      <c r="R1316" s="6">
        <v>78</v>
      </c>
      <c r="S1316" s="6">
        <v>86</v>
      </c>
      <c r="T1316" s="6">
        <v>70</v>
      </c>
      <c r="U1316" s="6">
        <v>81</v>
      </c>
      <c r="V1316" s="6">
        <v>75</v>
      </c>
      <c r="W1316" s="6">
        <v>86</v>
      </c>
      <c r="X1316" s="6">
        <v>71</v>
      </c>
      <c r="Y1316" s="6">
        <v>81</v>
      </c>
      <c r="Z1316" s="6">
        <v>66</v>
      </c>
      <c r="AA1316" s="6">
        <v>66</v>
      </c>
      <c r="AB1316" s="6">
        <v>68</v>
      </c>
      <c r="AC1316" s="6">
        <v>64</v>
      </c>
      <c r="AD1316" s="6">
        <v>75</v>
      </c>
      <c r="AE1316" s="6">
        <v>66</v>
      </c>
      <c r="AF1316" s="6">
        <v>73</v>
      </c>
      <c r="AG1316" s="6" t="s">
        <v>8280</v>
      </c>
      <c r="AH1316" s="6" t="s">
        <v>6564</v>
      </c>
    </row>
    <row r="1317" spans="1:34" x14ac:dyDescent="0.2">
      <c r="A1317" t="s">
        <v>4562</v>
      </c>
      <c r="B1317" t="s">
        <v>2825</v>
      </c>
      <c r="C1317" t="s">
        <v>53</v>
      </c>
      <c r="D1317" s="7" t="s">
        <v>135</v>
      </c>
      <c r="E1317" t="s">
        <v>58</v>
      </c>
      <c r="F1317">
        <v>36</v>
      </c>
      <c r="G1317">
        <v>64</v>
      </c>
      <c r="H1317">
        <v>70</v>
      </c>
      <c r="I1317" t="s">
        <v>6351</v>
      </c>
      <c r="J1317">
        <v>74</v>
      </c>
      <c r="K1317">
        <v>215</v>
      </c>
      <c r="L1317" t="s">
        <v>6256</v>
      </c>
      <c r="M1317" s="6" t="s">
        <v>6558</v>
      </c>
      <c r="N1317" s="6" t="s">
        <v>6559</v>
      </c>
      <c r="O1317" s="6">
        <v>74</v>
      </c>
      <c r="P1317" s="6">
        <v>70</v>
      </c>
      <c r="Q1317" s="6">
        <v>70</v>
      </c>
      <c r="R1317" s="6">
        <v>83</v>
      </c>
      <c r="S1317" s="6">
        <v>78</v>
      </c>
      <c r="T1317" s="6">
        <v>72</v>
      </c>
      <c r="U1317" s="6">
        <v>81</v>
      </c>
      <c r="V1317" s="6">
        <v>79</v>
      </c>
      <c r="W1317" s="6">
        <v>82</v>
      </c>
      <c r="X1317" s="6">
        <v>70</v>
      </c>
      <c r="Y1317" s="6">
        <v>72</v>
      </c>
      <c r="Z1317" s="6">
        <v>72</v>
      </c>
      <c r="AA1317" s="6">
        <v>57</v>
      </c>
      <c r="AB1317" s="6">
        <v>55</v>
      </c>
      <c r="AC1317" s="6">
        <v>72</v>
      </c>
      <c r="AD1317" s="6">
        <v>64</v>
      </c>
      <c r="AE1317" s="6">
        <v>59</v>
      </c>
      <c r="AF1317" s="6">
        <v>58</v>
      </c>
      <c r="AG1317" s="6" t="s">
        <v>8282</v>
      </c>
      <c r="AH1317" s="6" t="s">
        <v>6990</v>
      </c>
    </row>
    <row r="1318" spans="1:34" x14ac:dyDescent="0.2">
      <c r="A1318" t="s">
        <v>4564</v>
      </c>
      <c r="B1318" t="s">
        <v>2827</v>
      </c>
      <c r="C1318" t="s">
        <v>2870</v>
      </c>
      <c r="D1318" s="7" t="s">
        <v>135</v>
      </c>
      <c r="E1318" t="s">
        <v>38</v>
      </c>
      <c r="F1318">
        <v>28</v>
      </c>
      <c r="G1318">
        <v>79</v>
      </c>
      <c r="H1318">
        <v>70</v>
      </c>
      <c r="I1318" t="s">
        <v>6362</v>
      </c>
      <c r="J1318">
        <v>71</v>
      </c>
      <c r="K1318">
        <v>215</v>
      </c>
      <c r="L1318" t="s">
        <v>6258</v>
      </c>
      <c r="M1318" s="6" t="s">
        <v>6558</v>
      </c>
      <c r="N1318" s="6" t="s">
        <v>6567</v>
      </c>
      <c r="O1318" s="6">
        <v>77</v>
      </c>
      <c r="P1318" s="6">
        <v>82</v>
      </c>
      <c r="Q1318" s="6">
        <v>81</v>
      </c>
      <c r="R1318" s="6">
        <v>68</v>
      </c>
      <c r="S1318" s="6">
        <v>77</v>
      </c>
      <c r="T1318" s="6">
        <v>76</v>
      </c>
      <c r="U1318" s="6">
        <v>77</v>
      </c>
      <c r="V1318" s="6">
        <v>81</v>
      </c>
      <c r="W1318" s="6">
        <v>79</v>
      </c>
      <c r="X1318" s="6">
        <v>84</v>
      </c>
      <c r="Y1318" s="6">
        <v>91</v>
      </c>
      <c r="Z1318" s="6">
        <v>74</v>
      </c>
      <c r="AA1318" s="6">
        <v>76</v>
      </c>
      <c r="AB1318" s="6">
        <v>75</v>
      </c>
      <c r="AC1318" s="6">
        <v>80</v>
      </c>
      <c r="AD1318" s="6">
        <v>76</v>
      </c>
      <c r="AE1318" s="6">
        <v>73</v>
      </c>
      <c r="AF1318" s="6">
        <v>87</v>
      </c>
      <c r="AG1318" s="6" t="s">
        <v>8284</v>
      </c>
      <c r="AH1318" s="6" t="s">
        <v>6721</v>
      </c>
    </row>
    <row r="1319" spans="1:34" x14ac:dyDescent="0.2">
      <c r="A1319" t="s">
        <v>4566</v>
      </c>
      <c r="B1319" t="s">
        <v>2829</v>
      </c>
      <c r="C1319" t="s">
        <v>2870</v>
      </c>
      <c r="D1319" s="7" t="s">
        <v>135</v>
      </c>
      <c r="E1319" t="s">
        <v>58</v>
      </c>
      <c r="F1319">
        <v>29</v>
      </c>
      <c r="G1319">
        <v>66</v>
      </c>
      <c r="H1319">
        <v>70</v>
      </c>
      <c r="I1319" t="s">
        <v>6316</v>
      </c>
      <c r="J1319">
        <v>71</v>
      </c>
      <c r="K1319">
        <v>202</v>
      </c>
      <c r="L1319" t="s">
        <v>6260</v>
      </c>
      <c r="M1319" s="6" t="s">
        <v>6558</v>
      </c>
      <c r="N1319" s="6" t="s">
        <v>6567</v>
      </c>
      <c r="O1319" s="6">
        <v>65</v>
      </c>
      <c r="P1319" s="6">
        <v>68</v>
      </c>
      <c r="Q1319" s="6">
        <v>70</v>
      </c>
      <c r="R1319" s="6">
        <v>63</v>
      </c>
      <c r="S1319" s="6">
        <v>71</v>
      </c>
      <c r="T1319" s="6">
        <v>68</v>
      </c>
      <c r="U1319" s="6">
        <v>73</v>
      </c>
      <c r="V1319" s="6">
        <v>67</v>
      </c>
      <c r="W1319" s="6">
        <v>76</v>
      </c>
      <c r="X1319" s="6">
        <v>66</v>
      </c>
      <c r="Y1319" s="6">
        <v>74</v>
      </c>
      <c r="Z1319" s="6">
        <v>67</v>
      </c>
      <c r="AA1319" s="6">
        <v>69</v>
      </c>
      <c r="AB1319" s="6">
        <v>68</v>
      </c>
      <c r="AC1319" s="6">
        <v>75</v>
      </c>
      <c r="AD1319" s="6">
        <v>76</v>
      </c>
      <c r="AE1319" s="6">
        <v>62</v>
      </c>
      <c r="AF1319" s="6">
        <v>68</v>
      </c>
      <c r="AG1319" s="6" t="s">
        <v>8286</v>
      </c>
      <c r="AH1319" s="6" t="s">
        <v>6656</v>
      </c>
    </row>
    <row r="1320" spans="1:34" x14ac:dyDescent="0.2">
      <c r="A1320" t="s">
        <v>4568</v>
      </c>
      <c r="B1320" t="s">
        <v>2831</v>
      </c>
      <c r="C1320" t="s">
        <v>57</v>
      </c>
      <c r="D1320" s="7" t="s">
        <v>135</v>
      </c>
      <c r="E1320" t="s">
        <v>38</v>
      </c>
      <c r="F1320">
        <v>27</v>
      </c>
      <c r="G1320">
        <v>80</v>
      </c>
      <c r="H1320">
        <v>70</v>
      </c>
      <c r="I1320" t="s">
        <v>6428</v>
      </c>
      <c r="J1320">
        <v>74</v>
      </c>
      <c r="K1320">
        <v>197</v>
      </c>
      <c r="L1320" t="s">
        <v>6262</v>
      </c>
      <c r="M1320" s="6" t="s">
        <v>6558</v>
      </c>
      <c r="N1320" s="6" t="s">
        <v>6583</v>
      </c>
      <c r="O1320" s="6">
        <v>78</v>
      </c>
      <c r="P1320" s="6">
        <v>73</v>
      </c>
      <c r="Q1320" s="6">
        <v>79</v>
      </c>
      <c r="R1320" s="6">
        <v>76</v>
      </c>
      <c r="S1320" s="6">
        <v>79</v>
      </c>
      <c r="T1320" s="6">
        <v>81</v>
      </c>
      <c r="U1320" s="6">
        <v>77</v>
      </c>
      <c r="V1320" s="6">
        <v>87</v>
      </c>
      <c r="W1320" s="6">
        <v>75</v>
      </c>
      <c r="X1320" s="6">
        <v>78</v>
      </c>
      <c r="Y1320" s="6">
        <v>89</v>
      </c>
      <c r="Z1320" s="6">
        <v>84</v>
      </c>
      <c r="AA1320" s="6">
        <v>76</v>
      </c>
      <c r="AB1320" s="6">
        <v>83</v>
      </c>
      <c r="AC1320" s="6">
        <v>75</v>
      </c>
      <c r="AD1320" s="6">
        <v>70</v>
      </c>
      <c r="AE1320" s="6">
        <v>79</v>
      </c>
      <c r="AF1320" s="6">
        <v>88</v>
      </c>
      <c r="AG1320" s="6" t="s">
        <v>8288</v>
      </c>
      <c r="AH1320" s="6" t="s">
        <v>6664</v>
      </c>
    </row>
    <row r="1321" spans="1:34" x14ac:dyDescent="0.2">
      <c r="A1321" t="s">
        <v>4570</v>
      </c>
      <c r="B1321" t="s">
        <v>2833</v>
      </c>
      <c r="C1321" t="s">
        <v>57</v>
      </c>
      <c r="D1321" s="7" t="s">
        <v>135</v>
      </c>
      <c r="E1321" t="s">
        <v>38</v>
      </c>
      <c r="F1321">
        <v>23</v>
      </c>
      <c r="G1321">
        <v>76</v>
      </c>
      <c r="H1321">
        <v>70</v>
      </c>
      <c r="I1321" t="s">
        <v>6359</v>
      </c>
      <c r="J1321">
        <v>73</v>
      </c>
      <c r="K1321">
        <v>175</v>
      </c>
      <c r="L1321" t="s">
        <v>6264</v>
      </c>
      <c r="M1321" s="6" t="s">
        <v>6558</v>
      </c>
      <c r="N1321" s="6" t="s">
        <v>6567</v>
      </c>
      <c r="O1321" s="6">
        <v>76</v>
      </c>
      <c r="P1321" s="6">
        <v>68</v>
      </c>
      <c r="Q1321" s="6">
        <v>70</v>
      </c>
      <c r="R1321" s="6">
        <v>68</v>
      </c>
      <c r="S1321" s="6">
        <v>71</v>
      </c>
      <c r="T1321" s="6">
        <v>81</v>
      </c>
      <c r="U1321" s="6">
        <v>79</v>
      </c>
      <c r="V1321" s="6">
        <v>73</v>
      </c>
      <c r="W1321" s="6">
        <v>61</v>
      </c>
      <c r="X1321" s="6">
        <v>70</v>
      </c>
      <c r="Y1321" s="6">
        <v>74</v>
      </c>
      <c r="Z1321" s="6">
        <v>76</v>
      </c>
      <c r="AA1321" s="6">
        <v>72</v>
      </c>
      <c r="AB1321" s="6">
        <v>73</v>
      </c>
      <c r="AC1321" s="6">
        <v>76</v>
      </c>
      <c r="AD1321" s="6">
        <v>79</v>
      </c>
      <c r="AE1321" s="6">
        <v>79</v>
      </c>
      <c r="AF1321" s="6">
        <v>74</v>
      </c>
      <c r="AG1321" s="6" t="s">
        <v>8290</v>
      </c>
      <c r="AH1321" s="6" t="s">
        <v>6574</v>
      </c>
    </row>
    <row r="1322" spans="1:34" x14ac:dyDescent="0.2">
      <c r="A1322" t="s">
        <v>4572</v>
      </c>
      <c r="B1322" t="s">
        <v>2835</v>
      </c>
      <c r="C1322" t="s">
        <v>57</v>
      </c>
      <c r="D1322" s="7" t="s">
        <v>135</v>
      </c>
      <c r="E1322" t="s">
        <v>58</v>
      </c>
      <c r="F1322">
        <v>23</v>
      </c>
      <c r="G1322">
        <v>73</v>
      </c>
      <c r="H1322">
        <v>70</v>
      </c>
      <c r="I1322" t="s">
        <v>6345</v>
      </c>
      <c r="J1322">
        <v>73</v>
      </c>
      <c r="K1322">
        <v>220</v>
      </c>
      <c r="L1322" t="s">
        <v>6266</v>
      </c>
      <c r="M1322" s="6" t="s">
        <v>6558</v>
      </c>
      <c r="N1322" s="6" t="s">
        <v>6565</v>
      </c>
      <c r="O1322" s="6">
        <v>63</v>
      </c>
      <c r="P1322" s="6">
        <v>69</v>
      </c>
      <c r="Q1322" s="6">
        <v>63</v>
      </c>
      <c r="R1322" s="6">
        <v>70</v>
      </c>
      <c r="S1322" s="6">
        <v>74</v>
      </c>
      <c r="T1322" s="6">
        <v>68</v>
      </c>
      <c r="U1322" s="6">
        <v>66</v>
      </c>
      <c r="V1322" s="6">
        <v>69</v>
      </c>
      <c r="W1322" s="6">
        <v>62</v>
      </c>
      <c r="X1322" s="6">
        <v>66</v>
      </c>
      <c r="Y1322" s="6">
        <v>65</v>
      </c>
      <c r="Z1322" s="6">
        <v>68</v>
      </c>
      <c r="AA1322" s="6">
        <v>68</v>
      </c>
      <c r="AB1322" s="6">
        <v>64</v>
      </c>
      <c r="AC1322" s="6">
        <v>55</v>
      </c>
      <c r="AD1322" s="6">
        <v>72</v>
      </c>
      <c r="AE1322" s="6">
        <v>61</v>
      </c>
      <c r="AF1322" s="6">
        <v>71</v>
      </c>
      <c r="AG1322" s="6" t="s">
        <v>8292</v>
      </c>
      <c r="AH1322" s="6" t="s">
        <v>6661</v>
      </c>
    </row>
    <row r="1323" spans="1:34" x14ac:dyDescent="0.2">
      <c r="A1323" t="s">
        <v>4574</v>
      </c>
      <c r="B1323" t="s">
        <v>2837</v>
      </c>
      <c r="C1323" t="s">
        <v>57</v>
      </c>
      <c r="D1323" s="7" t="s">
        <v>135</v>
      </c>
      <c r="E1323" t="s">
        <v>38</v>
      </c>
      <c r="F1323">
        <v>27</v>
      </c>
      <c r="G1323">
        <v>68</v>
      </c>
      <c r="H1323">
        <v>70</v>
      </c>
      <c r="I1323" t="s">
        <v>6502</v>
      </c>
      <c r="J1323">
        <v>77</v>
      </c>
      <c r="K1323">
        <v>214</v>
      </c>
      <c r="L1323" t="s">
        <v>6268</v>
      </c>
      <c r="M1323" s="6" t="s">
        <v>6558</v>
      </c>
      <c r="N1323" s="6" t="s">
        <v>6567</v>
      </c>
      <c r="O1323" s="6">
        <v>66</v>
      </c>
      <c r="P1323" s="6">
        <v>72</v>
      </c>
      <c r="Q1323" s="6">
        <v>67</v>
      </c>
      <c r="R1323" s="6">
        <v>66</v>
      </c>
      <c r="S1323" s="6">
        <v>70</v>
      </c>
      <c r="T1323" s="6">
        <v>64</v>
      </c>
      <c r="U1323" s="6">
        <v>75</v>
      </c>
      <c r="V1323" s="6">
        <v>76</v>
      </c>
      <c r="W1323" s="6">
        <v>78</v>
      </c>
      <c r="X1323" s="6">
        <v>72</v>
      </c>
      <c r="Y1323" s="6">
        <v>73</v>
      </c>
      <c r="Z1323" s="6">
        <v>76</v>
      </c>
      <c r="AA1323" s="6">
        <v>74</v>
      </c>
      <c r="AB1323" s="6">
        <v>62</v>
      </c>
      <c r="AC1323" s="6">
        <v>72</v>
      </c>
      <c r="AD1323" s="6">
        <v>69</v>
      </c>
      <c r="AE1323" s="6">
        <v>69</v>
      </c>
      <c r="AF1323" s="6">
        <v>67</v>
      </c>
      <c r="AG1323" s="6" t="s">
        <v>8294</v>
      </c>
      <c r="AH1323" s="6" t="s">
        <v>6574</v>
      </c>
    </row>
    <row r="1324" spans="1:34" x14ac:dyDescent="0.2">
      <c r="A1324" t="s">
        <v>4576</v>
      </c>
      <c r="B1324" t="s">
        <v>2839</v>
      </c>
      <c r="C1324" t="s">
        <v>2871</v>
      </c>
      <c r="D1324" s="7" t="s">
        <v>135</v>
      </c>
      <c r="E1324" t="s">
        <v>38</v>
      </c>
      <c r="F1324">
        <v>32</v>
      </c>
      <c r="G1324">
        <v>77</v>
      </c>
      <c r="H1324">
        <v>70</v>
      </c>
      <c r="I1324" t="s">
        <v>6371</v>
      </c>
      <c r="J1324">
        <v>74</v>
      </c>
      <c r="K1324">
        <v>240</v>
      </c>
      <c r="L1324" t="s">
        <v>6270</v>
      </c>
      <c r="M1324" s="6" t="s">
        <v>6558</v>
      </c>
      <c r="N1324" s="6" t="s">
        <v>6583</v>
      </c>
      <c r="O1324" s="6">
        <v>81</v>
      </c>
      <c r="P1324" s="6">
        <v>81</v>
      </c>
      <c r="Q1324" s="6">
        <v>84</v>
      </c>
      <c r="R1324" s="6">
        <v>77</v>
      </c>
      <c r="S1324" s="6">
        <v>89</v>
      </c>
      <c r="T1324" s="6">
        <v>72</v>
      </c>
      <c r="U1324" s="6">
        <v>74</v>
      </c>
      <c r="V1324" s="6">
        <v>82</v>
      </c>
      <c r="W1324" s="6">
        <v>77</v>
      </c>
      <c r="X1324" s="6">
        <v>78</v>
      </c>
      <c r="Y1324" s="6">
        <v>83</v>
      </c>
      <c r="Z1324" s="6">
        <v>86</v>
      </c>
      <c r="AA1324" s="6">
        <v>72</v>
      </c>
      <c r="AB1324" s="6">
        <v>69</v>
      </c>
      <c r="AC1324" s="6">
        <v>70</v>
      </c>
      <c r="AD1324" s="6">
        <v>71</v>
      </c>
      <c r="AE1324" s="6">
        <v>66</v>
      </c>
      <c r="AF1324" s="6">
        <v>70</v>
      </c>
      <c r="AG1324" s="6" t="s">
        <v>8296</v>
      </c>
      <c r="AH1324" s="6" t="s">
        <v>6587</v>
      </c>
    </row>
    <row r="1325" spans="1:34" x14ac:dyDescent="0.2">
      <c r="A1325" t="s">
        <v>4578</v>
      </c>
      <c r="B1325" t="s">
        <v>2841</v>
      </c>
      <c r="C1325" t="s">
        <v>2871</v>
      </c>
      <c r="D1325" s="7" t="s">
        <v>135</v>
      </c>
      <c r="E1325" t="s">
        <v>38</v>
      </c>
      <c r="F1325">
        <v>21</v>
      </c>
      <c r="G1325">
        <v>59</v>
      </c>
      <c r="H1325">
        <v>70</v>
      </c>
      <c r="I1325" t="s">
        <v>6350</v>
      </c>
      <c r="J1325">
        <v>76</v>
      </c>
      <c r="K1325">
        <v>265</v>
      </c>
      <c r="L1325" t="s">
        <v>6272</v>
      </c>
      <c r="M1325" s="6" t="s">
        <v>6558</v>
      </c>
      <c r="N1325" s="6" t="s">
        <v>6567</v>
      </c>
      <c r="O1325" s="6">
        <v>67</v>
      </c>
      <c r="P1325" s="6">
        <v>61</v>
      </c>
      <c r="Q1325" s="6">
        <v>72</v>
      </c>
      <c r="R1325" s="6">
        <v>67</v>
      </c>
      <c r="S1325" s="6">
        <v>67</v>
      </c>
      <c r="T1325" s="6">
        <v>66</v>
      </c>
      <c r="U1325" s="6">
        <v>59</v>
      </c>
      <c r="V1325" s="6">
        <v>68</v>
      </c>
      <c r="W1325" s="6">
        <v>69</v>
      </c>
      <c r="X1325" s="6">
        <v>69</v>
      </c>
      <c r="Y1325" s="6">
        <v>64</v>
      </c>
      <c r="Z1325" s="6">
        <v>68</v>
      </c>
      <c r="AA1325" s="6">
        <v>65</v>
      </c>
      <c r="AB1325" s="6">
        <v>74</v>
      </c>
      <c r="AC1325" s="6">
        <v>75</v>
      </c>
      <c r="AD1325" s="6">
        <v>61</v>
      </c>
      <c r="AE1325" s="6">
        <v>68</v>
      </c>
      <c r="AF1325" s="6">
        <v>70</v>
      </c>
      <c r="AG1325" s="6" t="s">
        <v>8298</v>
      </c>
      <c r="AH1325" s="6" t="s">
        <v>7219</v>
      </c>
    </row>
    <row r="1326" spans="1:34" x14ac:dyDescent="0.2">
      <c r="A1326" t="s">
        <v>4580</v>
      </c>
      <c r="B1326" t="s">
        <v>2843</v>
      </c>
      <c r="C1326" t="s">
        <v>2872</v>
      </c>
      <c r="D1326" s="7" t="s">
        <v>135</v>
      </c>
      <c r="E1326" t="s">
        <v>58</v>
      </c>
      <c r="F1326">
        <v>33</v>
      </c>
      <c r="G1326">
        <v>75</v>
      </c>
      <c r="H1326">
        <v>70</v>
      </c>
      <c r="I1326" t="s">
        <v>6367</v>
      </c>
      <c r="J1326">
        <v>77</v>
      </c>
      <c r="K1326">
        <v>303</v>
      </c>
      <c r="L1326" t="s">
        <v>6274</v>
      </c>
      <c r="M1326" s="6" t="s">
        <v>6558</v>
      </c>
      <c r="N1326" s="6" t="s">
        <v>6565</v>
      </c>
      <c r="O1326" s="6">
        <v>85</v>
      </c>
      <c r="P1326" s="6">
        <v>82</v>
      </c>
      <c r="Q1326" s="6">
        <v>71</v>
      </c>
      <c r="R1326" s="6">
        <v>72</v>
      </c>
      <c r="S1326" s="6">
        <v>80</v>
      </c>
      <c r="T1326" s="6">
        <v>75</v>
      </c>
      <c r="U1326" s="6">
        <v>75</v>
      </c>
      <c r="V1326" s="6">
        <v>73</v>
      </c>
      <c r="W1326" s="6">
        <v>74</v>
      </c>
      <c r="X1326" s="6">
        <v>73</v>
      </c>
      <c r="Y1326" s="6">
        <v>73</v>
      </c>
      <c r="Z1326" s="6">
        <v>78</v>
      </c>
      <c r="AA1326" s="6">
        <v>70</v>
      </c>
      <c r="AB1326" s="6">
        <v>67</v>
      </c>
      <c r="AC1326" s="6">
        <v>65</v>
      </c>
      <c r="AD1326" s="6">
        <v>69</v>
      </c>
      <c r="AE1326" s="6">
        <v>60</v>
      </c>
      <c r="AF1326" s="6">
        <v>63</v>
      </c>
      <c r="AG1326" s="6" t="s">
        <v>7828</v>
      </c>
      <c r="AH1326" s="6" t="s">
        <v>6593</v>
      </c>
    </row>
    <row r="1327" spans="1:34" x14ac:dyDescent="0.2">
      <c r="A1327" t="s">
        <v>4582</v>
      </c>
      <c r="B1327" t="s">
        <v>2845</v>
      </c>
      <c r="C1327" t="s">
        <v>2873</v>
      </c>
      <c r="D1327" s="7" t="s">
        <v>135</v>
      </c>
      <c r="E1327" t="s">
        <v>38</v>
      </c>
      <c r="F1327">
        <v>24</v>
      </c>
      <c r="G1327">
        <v>81</v>
      </c>
      <c r="H1327">
        <v>70</v>
      </c>
      <c r="I1327" t="s">
        <v>6493</v>
      </c>
      <c r="J1327">
        <v>76</v>
      </c>
      <c r="K1327">
        <v>334</v>
      </c>
      <c r="L1327" t="s">
        <v>6276</v>
      </c>
      <c r="M1327" s="6" t="s">
        <v>6558</v>
      </c>
      <c r="N1327" s="6" t="s">
        <v>6583</v>
      </c>
      <c r="O1327" s="6">
        <v>77</v>
      </c>
      <c r="P1327" s="6">
        <v>80</v>
      </c>
      <c r="Q1327" s="6">
        <v>75</v>
      </c>
      <c r="R1327" s="6">
        <v>76</v>
      </c>
      <c r="S1327" s="6">
        <v>78</v>
      </c>
      <c r="T1327" s="6">
        <v>80</v>
      </c>
      <c r="U1327" s="6">
        <v>78</v>
      </c>
      <c r="V1327" s="6">
        <v>76</v>
      </c>
      <c r="W1327" s="6">
        <v>74</v>
      </c>
      <c r="X1327" s="6">
        <v>75</v>
      </c>
      <c r="Y1327" s="6">
        <v>68</v>
      </c>
      <c r="Z1327" s="6">
        <v>78</v>
      </c>
      <c r="AA1327" s="6">
        <v>67</v>
      </c>
      <c r="AB1327" s="6">
        <v>71</v>
      </c>
      <c r="AC1327" s="6">
        <v>76</v>
      </c>
      <c r="AD1327" s="6">
        <v>79</v>
      </c>
      <c r="AE1327" s="6">
        <v>74</v>
      </c>
      <c r="AF1327" s="6">
        <v>75</v>
      </c>
      <c r="AG1327" s="6" t="s">
        <v>8301</v>
      </c>
      <c r="AH1327" s="6" t="s">
        <v>6680</v>
      </c>
    </row>
    <row r="1328" spans="1:34" x14ac:dyDescent="0.2">
      <c r="A1328" t="s">
        <v>4584</v>
      </c>
      <c r="B1328" t="s">
        <v>2847</v>
      </c>
      <c r="C1328" t="s">
        <v>2875</v>
      </c>
      <c r="D1328" s="7" t="s">
        <v>135</v>
      </c>
      <c r="E1328" t="s">
        <v>38</v>
      </c>
      <c r="F1328">
        <v>25</v>
      </c>
      <c r="G1328">
        <v>71</v>
      </c>
      <c r="H1328">
        <v>70</v>
      </c>
      <c r="I1328" t="s">
        <v>6387</v>
      </c>
      <c r="J1328">
        <v>73</v>
      </c>
      <c r="K1328">
        <v>306</v>
      </c>
      <c r="L1328" t="s">
        <v>6278</v>
      </c>
      <c r="M1328" s="6" t="s">
        <v>6558</v>
      </c>
      <c r="N1328" s="6" t="s">
        <v>6583</v>
      </c>
      <c r="O1328" s="6">
        <v>72</v>
      </c>
      <c r="P1328" s="6">
        <v>77</v>
      </c>
      <c r="Q1328" s="6">
        <v>72</v>
      </c>
      <c r="R1328" s="6">
        <v>79</v>
      </c>
      <c r="S1328" s="6">
        <v>78</v>
      </c>
      <c r="T1328" s="6">
        <v>68</v>
      </c>
      <c r="U1328" s="6">
        <v>75</v>
      </c>
      <c r="V1328" s="6">
        <v>64</v>
      </c>
      <c r="W1328" s="6">
        <v>78</v>
      </c>
      <c r="X1328" s="6">
        <v>74</v>
      </c>
      <c r="Y1328" s="6">
        <v>75</v>
      </c>
      <c r="Z1328" s="6">
        <v>78</v>
      </c>
      <c r="AA1328" s="6">
        <v>70</v>
      </c>
      <c r="AB1328" s="6">
        <v>67</v>
      </c>
      <c r="AC1328" s="6">
        <v>75</v>
      </c>
      <c r="AD1328" s="6">
        <v>84</v>
      </c>
      <c r="AE1328" s="6">
        <v>73</v>
      </c>
      <c r="AF1328" s="6">
        <v>80</v>
      </c>
      <c r="AG1328" s="6" t="s">
        <v>8303</v>
      </c>
      <c r="AH1328" s="6" t="s">
        <v>6743</v>
      </c>
    </row>
    <row r="1329" spans="1:34" x14ac:dyDescent="0.2">
      <c r="A1329" t="s">
        <v>4586</v>
      </c>
      <c r="B1329" t="s">
        <v>2849</v>
      </c>
      <c r="C1329" t="s">
        <v>2877</v>
      </c>
      <c r="D1329" s="7" t="s">
        <v>135</v>
      </c>
      <c r="E1329" t="s">
        <v>38</v>
      </c>
      <c r="F1329">
        <v>33</v>
      </c>
      <c r="G1329">
        <v>78</v>
      </c>
      <c r="H1329">
        <v>70</v>
      </c>
      <c r="I1329" t="s">
        <v>6337</v>
      </c>
      <c r="J1329">
        <v>77</v>
      </c>
      <c r="K1329">
        <v>334</v>
      </c>
      <c r="L1329" t="s">
        <v>6280</v>
      </c>
      <c r="M1329" s="6" t="s">
        <v>6558</v>
      </c>
      <c r="N1329" s="6" t="s">
        <v>6559</v>
      </c>
      <c r="O1329" s="6">
        <v>77</v>
      </c>
      <c r="P1329" s="6">
        <v>84</v>
      </c>
      <c r="Q1329" s="6">
        <v>77</v>
      </c>
      <c r="R1329" s="6">
        <v>84</v>
      </c>
      <c r="S1329" s="6">
        <v>91</v>
      </c>
      <c r="T1329" s="6">
        <v>83</v>
      </c>
      <c r="U1329" s="6">
        <v>93</v>
      </c>
      <c r="V1329" s="6">
        <v>73</v>
      </c>
      <c r="W1329" s="6">
        <v>77</v>
      </c>
      <c r="X1329" s="6">
        <v>81</v>
      </c>
      <c r="Y1329" s="6">
        <v>74</v>
      </c>
      <c r="Z1329" s="6">
        <v>75</v>
      </c>
      <c r="AA1329" s="6">
        <v>65</v>
      </c>
      <c r="AB1329" s="6">
        <v>68</v>
      </c>
      <c r="AC1329" s="6">
        <v>61</v>
      </c>
      <c r="AD1329" s="6">
        <v>71</v>
      </c>
      <c r="AE1329" s="6">
        <v>67</v>
      </c>
      <c r="AF1329" s="6">
        <v>72</v>
      </c>
      <c r="AG1329" s="6" t="s">
        <v>8305</v>
      </c>
      <c r="AH1329" s="6" t="s">
        <v>6694</v>
      </c>
    </row>
    <row r="1330" spans="1:34" x14ac:dyDescent="0.2">
      <c r="A1330" t="s">
        <v>4588</v>
      </c>
      <c r="B1330" t="s">
        <v>2851</v>
      </c>
      <c r="C1330" t="s">
        <v>2878</v>
      </c>
      <c r="D1330" s="7" t="s">
        <v>135</v>
      </c>
      <c r="E1330" t="s">
        <v>38</v>
      </c>
      <c r="F1330">
        <v>25</v>
      </c>
      <c r="G1330">
        <v>86</v>
      </c>
      <c r="H1330">
        <v>70</v>
      </c>
      <c r="I1330" t="s">
        <v>8329</v>
      </c>
      <c r="J1330">
        <v>76</v>
      </c>
      <c r="K1330">
        <v>250</v>
      </c>
      <c r="L1330" t="s">
        <v>6282</v>
      </c>
      <c r="M1330" s="6" t="s">
        <v>6558</v>
      </c>
      <c r="N1330" s="6" t="s">
        <v>6565</v>
      </c>
      <c r="O1330" s="6">
        <v>76</v>
      </c>
      <c r="P1330" s="6">
        <v>69</v>
      </c>
      <c r="Q1330" s="6">
        <v>78</v>
      </c>
      <c r="R1330" s="6">
        <v>73</v>
      </c>
      <c r="S1330" s="6">
        <v>83</v>
      </c>
      <c r="T1330" s="6">
        <v>70</v>
      </c>
      <c r="U1330" s="6">
        <v>80</v>
      </c>
      <c r="V1330" s="6">
        <v>70</v>
      </c>
      <c r="W1330" s="6">
        <v>76</v>
      </c>
      <c r="X1330" s="6">
        <v>72</v>
      </c>
      <c r="Y1330" s="6">
        <v>89</v>
      </c>
      <c r="Z1330" s="6">
        <v>77</v>
      </c>
      <c r="AA1330" s="6">
        <v>75</v>
      </c>
      <c r="AB1330" s="6">
        <v>78</v>
      </c>
      <c r="AC1330" s="6">
        <v>74</v>
      </c>
      <c r="AD1330" s="6">
        <v>64</v>
      </c>
      <c r="AE1330" s="6">
        <v>72</v>
      </c>
      <c r="AF1330" s="6">
        <v>72</v>
      </c>
      <c r="AG1330" s="6" t="s">
        <v>8307</v>
      </c>
      <c r="AH1330" s="6" t="s">
        <v>6682</v>
      </c>
    </row>
    <row r="1331" spans="1:34" x14ac:dyDescent="0.2">
      <c r="A1331" t="s">
        <v>4590</v>
      </c>
      <c r="B1331" t="s">
        <v>2853</v>
      </c>
      <c r="C1331" t="s">
        <v>2878</v>
      </c>
      <c r="D1331" s="7" t="s">
        <v>135</v>
      </c>
      <c r="E1331" t="s">
        <v>38</v>
      </c>
      <c r="F1331">
        <v>29</v>
      </c>
      <c r="G1331">
        <v>85</v>
      </c>
      <c r="H1331">
        <v>70</v>
      </c>
      <c r="I1331" t="s">
        <v>6404</v>
      </c>
      <c r="J1331">
        <v>74</v>
      </c>
      <c r="K1331">
        <v>268</v>
      </c>
      <c r="L1331" t="s">
        <v>6284</v>
      </c>
      <c r="M1331" s="6" t="s">
        <v>6558</v>
      </c>
      <c r="N1331" s="6" t="s">
        <v>6559</v>
      </c>
      <c r="O1331" s="6">
        <v>84</v>
      </c>
      <c r="P1331" s="6">
        <v>79</v>
      </c>
      <c r="Q1331" s="6">
        <v>91</v>
      </c>
      <c r="R1331" s="6">
        <v>82</v>
      </c>
      <c r="S1331" s="6">
        <v>82</v>
      </c>
      <c r="T1331" s="6">
        <v>82</v>
      </c>
      <c r="U1331" s="6">
        <v>79</v>
      </c>
      <c r="V1331" s="6">
        <v>73</v>
      </c>
      <c r="W1331" s="6">
        <v>81</v>
      </c>
      <c r="X1331" s="6">
        <v>81</v>
      </c>
      <c r="Y1331" s="6">
        <v>87</v>
      </c>
      <c r="Z1331" s="6">
        <v>76</v>
      </c>
      <c r="AA1331" s="6">
        <v>73</v>
      </c>
      <c r="AB1331" s="6">
        <v>71</v>
      </c>
      <c r="AC1331" s="6">
        <v>74</v>
      </c>
      <c r="AD1331" s="6">
        <v>73</v>
      </c>
      <c r="AE1331" s="6">
        <v>78</v>
      </c>
      <c r="AF1331" s="6">
        <v>77</v>
      </c>
      <c r="AG1331" s="6" t="s">
        <v>8309</v>
      </c>
      <c r="AH1331" s="6" t="s">
        <v>6684</v>
      </c>
    </row>
    <row r="1332" spans="1:34" x14ac:dyDescent="0.2">
      <c r="A1332" t="s">
        <v>4592</v>
      </c>
      <c r="B1332" t="s">
        <v>2855</v>
      </c>
      <c r="C1332" t="s">
        <v>2879</v>
      </c>
      <c r="D1332" s="7" t="s">
        <v>135</v>
      </c>
      <c r="E1332" t="s">
        <v>58</v>
      </c>
      <c r="F1332">
        <v>31</v>
      </c>
      <c r="G1332">
        <v>70</v>
      </c>
      <c r="H1332">
        <v>70</v>
      </c>
      <c r="I1332" t="s">
        <v>8327</v>
      </c>
      <c r="J1332">
        <v>75</v>
      </c>
      <c r="K1332">
        <v>338</v>
      </c>
      <c r="L1332" t="s">
        <v>6286</v>
      </c>
      <c r="M1332" s="6" t="s">
        <v>6558</v>
      </c>
      <c r="N1332" s="6" t="s">
        <v>6565</v>
      </c>
      <c r="O1332" s="6">
        <v>69</v>
      </c>
      <c r="P1332" s="6">
        <v>68</v>
      </c>
      <c r="Q1332" s="6">
        <v>71</v>
      </c>
      <c r="R1332" s="6">
        <v>75</v>
      </c>
      <c r="S1332" s="6">
        <v>71</v>
      </c>
      <c r="T1332" s="6">
        <v>70</v>
      </c>
      <c r="U1332" s="6">
        <v>76</v>
      </c>
      <c r="V1332" s="6">
        <v>75</v>
      </c>
      <c r="W1332" s="6">
        <v>66</v>
      </c>
      <c r="X1332" s="6">
        <v>68</v>
      </c>
      <c r="Y1332" s="6">
        <v>72</v>
      </c>
      <c r="Z1332" s="6">
        <v>68</v>
      </c>
      <c r="AA1332" s="6">
        <v>62</v>
      </c>
      <c r="AB1332" s="6">
        <v>62</v>
      </c>
      <c r="AC1332" s="6">
        <v>61</v>
      </c>
      <c r="AD1332" s="6">
        <v>67</v>
      </c>
      <c r="AE1332" s="6">
        <v>58</v>
      </c>
      <c r="AF1332" s="6">
        <v>58</v>
      </c>
      <c r="AG1332" s="6" t="s">
        <v>8311</v>
      </c>
      <c r="AH1332" s="6" t="s">
        <v>6806</v>
      </c>
    </row>
    <row r="1333" spans="1:34" x14ac:dyDescent="0.2">
      <c r="A1333" t="s">
        <v>4594</v>
      </c>
      <c r="B1333" t="s">
        <v>2857</v>
      </c>
      <c r="C1333" t="s">
        <v>2880</v>
      </c>
      <c r="D1333" s="7" t="s">
        <v>135</v>
      </c>
      <c r="E1333" t="s">
        <v>38</v>
      </c>
      <c r="F1333">
        <v>23</v>
      </c>
      <c r="G1333">
        <v>67</v>
      </c>
      <c r="H1333">
        <v>70</v>
      </c>
      <c r="I1333" t="s">
        <v>8330</v>
      </c>
      <c r="J1333">
        <v>76</v>
      </c>
      <c r="K1333">
        <v>251</v>
      </c>
      <c r="L1333" t="s">
        <v>6288</v>
      </c>
      <c r="M1333" s="6" t="s">
        <v>6558</v>
      </c>
      <c r="N1333" s="6" t="s">
        <v>6567</v>
      </c>
      <c r="O1333" s="6">
        <v>71</v>
      </c>
      <c r="P1333" s="6">
        <v>68</v>
      </c>
      <c r="Q1333" s="6">
        <v>57</v>
      </c>
      <c r="R1333" s="6">
        <v>66</v>
      </c>
      <c r="S1333" s="6">
        <v>67</v>
      </c>
      <c r="T1333" s="6">
        <v>69</v>
      </c>
      <c r="U1333" s="6">
        <v>61</v>
      </c>
      <c r="V1333" s="6">
        <v>63</v>
      </c>
      <c r="W1333" s="6">
        <v>53</v>
      </c>
      <c r="X1333" s="6">
        <v>75</v>
      </c>
      <c r="Y1333" s="6">
        <v>69</v>
      </c>
      <c r="Z1333" s="6">
        <v>71</v>
      </c>
      <c r="AA1333" s="6">
        <v>64</v>
      </c>
      <c r="AB1333" s="6">
        <v>68</v>
      </c>
      <c r="AC1333" s="6">
        <v>51</v>
      </c>
      <c r="AD1333" s="6">
        <v>65</v>
      </c>
      <c r="AE1333" s="6">
        <v>74</v>
      </c>
      <c r="AF1333" s="6">
        <v>63</v>
      </c>
      <c r="AG1333" s="6" t="s">
        <v>8313</v>
      </c>
      <c r="AH1333" s="6" t="s">
        <v>6623</v>
      </c>
    </row>
    <row r="1334" spans="1:34" x14ac:dyDescent="0.2">
      <c r="A1334" t="s">
        <v>4596</v>
      </c>
      <c r="B1334" t="s">
        <v>2859</v>
      </c>
      <c r="C1334" t="s">
        <v>61</v>
      </c>
      <c r="D1334" s="7" t="s">
        <v>135</v>
      </c>
      <c r="E1334" t="s">
        <v>38</v>
      </c>
      <c r="F1334">
        <v>24</v>
      </c>
      <c r="G1334">
        <v>73</v>
      </c>
      <c r="H1334">
        <v>70</v>
      </c>
      <c r="I1334" t="s">
        <v>6377</v>
      </c>
      <c r="J1334">
        <v>70</v>
      </c>
      <c r="K1334">
        <v>193</v>
      </c>
      <c r="L1334" t="s">
        <v>6290</v>
      </c>
      <c r="M1334" s="6" t="s">
        <v>6558</v>
      </c>
      <c r="N1334" s="6" t="s">
        <v>6583</v>
      </c>
      <c r="O1334" s="6">
        <v>69</v>
      </c>
      <c r="P1334" s="6">
        <v>84</v>
      </c>
      <c r="Q1334" s="6">
        <v>80</v>
      </c>
      <c r="R1334" s="6">
        <v>76</v>
      </c>
      <c r="S1334" s="6">
        <v>84</v>
      </c>
      <c r="T1334" s="6">
        <v>66</v>
      </c>
      <c r="U1334" s="6">
        <v>77</v>
      </c>
      <c r="V1334" s="6">
        <v>75</v>
      </c>
      <c r="W1334" s="6">
        <v>83</v>
      </c>
      <c r="X1334" s="6">
        <v>68</v>
      </c>
      <c r="Y1334" s="6">
        <v>81</v>
      </c>
      <c r="Z1334" s="6">
        <v>77</v>
      </c>
      <c r="AA1334" s="6">
        <v>72</v>
      </c>
      <c r="AB1334" s="6">
        <v>74</v>
      </c>
      <c r="AC1334" s="6">
        <v>70</v>
      </c>
      <c r="AD1334" s="6">
        <v>75</v>
      </c>
      <c r="AE1334" s="6">
        <v>75</v>
      </c>
      <c r="AF1334" s="6">
        <v>76</v>
      </c>
      <c r="AG1334" s="6" t="s">
        <v>8315</v>
      </c>
      <c r="AH1334" s="6" t="s">
        <v>6632</v>
      </c>
    </row>
    <row r="1335" spans="1:34" x14ac:dyDescent="0.2">
      <c r="A1335" t="s">
        <v>4598</v>
      </c>
      <c r="B1335" t="s">
        <v>2861</v>
      </c>
      <c r="C1335" t="s">
        <v>61</v>
      </c>
      <c r="D1335" s="7" t="s">
        <v>135</v>
      </c>
      <c r="E1335" t="s">
        <v>38</v>
      </c>
      <c r="F1335">
        <v>23</v>
      </c>
      <c r="G1335">
        <v>71</v>
      </c>
      <c r="H1335">
        <v>70</v>
      </c>
      <c r="I1335" t="s">
        <v>6381</v>
      </c>
      <c r="J1335">
        <v>68</v>
      </c>
      <c r="K1335">
        <v>184</v>
      </c>
      <c r="L1335" t="s">
        <v>6292</v>
      </c>
      <c r="M1335" s="6" t="s">
        <v>6558</v>
      </c>
      <c r="N1335" s="6" t="s">
        <v>6567</v>
      </c>
      <c r="O1335" s="6">
        <v>65</v>
      </c>
      <c r="P1335" s="6">
        <v>67</v>
      </c>
      <c r="Q1335" s="6">
        <v>66</v>
      </c>
      <c r="R1335" s="6">
        <v>63</v>
      </c>
      <c r="S1335" s="6">
        <v>71</v>
      </c>
      <c r="T1335" s="6">
        <v>74</v>
      </c>
      <c r="U1335" s="6">
        <v>75</v>
      </c>
      <c r="V1335" s="6">
        <v>63</v>
      </c>
      <c r="W1335" s="6">
        <v>74</v>
      </c>
      <c r="X1335" s="6">
        <v>78</v>
      </c>
      <c r="Y1335" s="6">
        <v>65</v>
      </c>
      <c r="Z1335" s="6">
        <v>80</v>
      </c>
      <c r="AA1335" s="6">
        <v>72</v>
      </c>
      <c r="AB1335" s="6">
        <v>70</v>
      </c>
      <c r="AC1335" s="6">
        <v>69</v>
      </c>
      <c r="AD1335" s="6">
        <v>76</v>
      </c>
      <c r="AE1335" s="6">
        <v>69</v>
      </c>
      <c r="AF1335" s="6">
        <v>79</v>
      </c>
      <c r="AG1335" s="6" t="s">
        <v>8317</v>
      </c>
      <c r="AH1335" s="6" t="s">
        <v>6630</v>
      </c>
    </row>
    <row r="1336" spans="1:34" x14ac:dyDescent="0.2">
      <c r="A1336" t="s">
        <v>4600</v>
      </c>
      <c r="B1336" t="s">
        <v>2863</v>
      </c>
      <c r="C1336" t="s">
        <v>2883</v>
      </c>
      <c r="D1336" s="7" t="s">
        <v>135</v>
      </c>
      <c r="E1336" t="s">
        <v>58</v>
      </c>
      <c r="F1336">
        <v>32</v>
      </c>
      <c r="G1336">
        <v>63</v>
      </c>
      <c r="H1336">
        <v>70</v>
      </c>
      <c r="I1336" t="s">
        <v>6396</v>
      </c>
      <c r="J1336">
        <v>72</v>
      </c>
      <c r="K1336">
        <v>201</v>
      </c>
      <c r="L1336" t="s">
        <v>6294</v>
      </c>
      <c r="M1336" s="6" t="s">
        <v>6558</v>
      </c>
      <c r="N1336" s="6" t="s">
        <v>6565</v>
      </c>
      <c r="O1336" s="6">
        <v>82</v>
      </c>
      <c r="P1336" s="6">
        <v>62</v>
      </c>
      <c r="Q1336" s="6">
        <v>70</v>
      </c>
      <c r="R1336" s="6">
        <v>75</v>
      </c>
      <c r="S1336" s="6">
        <v>70</v>
      </c>
      <c r="T1336" s="6">
        <v>70</v>
      </c>
      <c r="U1336" s="6">
        <v>74</v>
      </c>
      <c r="V1336" s="6">
        <v>77</v>
      </c>
      <c r="W1336" s="6">
        <v>69</v>
      </c>
      <c r="X1336" s="6">
        <v>73</v>
      </c>
      <c r="Y1336" s="6">
        <v>75</v>
      </c>
      <c r="Z1336" s="6">
        <v>77</v>
      </c>
      <c r="AA1336" s="6">
        <v>68</v>
      </c>
      <c r="AB1336" s="6">
        <v>69</v>
      </c>
      <c r="AC1336" s="6">
        <v>63</v>
      </c>
      <c r="AD1336" s="6">
        <v>70</v>
      </c>
      <c r="AE1336" s="6">
        <v>66</v>
      </c>
      <c r="AF1336" s="6">
        <v>69</v>
      </c>
      <c r="AG1336" s="6" t="s">
        <v>8319</v>
      </c>
      <c r="AH1336" s="6" t="s">
        <v>6640</v>
      </c>
    </row>
    <row r="1337" spans="1:34" x14ac:dyDescent="0.2">
      <c r="A1337" t="s">
        <v>4602</v>
      </c>
      <c r="B1337" t="s">
        <v>2865</v>
      </c>
      <c r="C1337" t="s">
        <v>2884</v>
      </c>
      <c r="D1337" s="7" t="s">
        <v>135</v>
      </c>
      <c r="E1337" t="s">
        <v>38</v>
      </c>
      <c r="F1337">
        <v>24</v>
      </c>
      <c r="G1337">
        <v>72</v>
      </c>
      <c r="H1337">
        <v>70</v>
      </c>
      <c r="I1337" t="s">
        <v>6377</v>
      </c>
      <c r="J1337">
        <v>74</v>
      </c>
      <c r="K1337">
        <v>225</v>
      </c>
      <c r="L1337" t="s">
        <v>6296</v>
      </c>
      <c r="M1337" s="6" t="s">
        <v>6558</v>
      </c>
      <c r="N1337" s="6" t="s">
        <v>6559</v>
      </c>
      <c r="O1337" s="6">
        <v>82</v>
      </c>
      <c r="P1337" s="6">
        <v>78</v>
      </c>
      <c r="Q1337" s="6">
        <v>70</v>
      </c>
      <c r="R1337" s="6">
        <v>85</v>
      </c>
      <c r="S1337" s="6">
        <v>76</v>
      </c>
      <c r="T1337" s="6">
        <v>73</v>
      </c>
      <c r="U1337" s="6">
        <v>74</v>
      </c>
      <c r="V1337" s="6">
        <v>77</v>
      </c>
      <c r="W1337" s="6">
        <v>78</v>
      </c>
      <c r="X1337" s="6">
        <v>81</v>
      </c>
      <c r="Y1337" s="6">
        <v>78</v>
      </c>
      <c r="Z1337" s="6">
        <v>74</v>
      </c>
      <c r="AA1337" s="6">
        <v>76</v>
      </c>
      <c r="AB1337" s="6">
        <v>73</v>
      </c>
      <c r="AC1337" s="6">
        <v>69</v>
      </c>
      <c r="AD1337" s="6">
        <v>76</v>
      </c>
      <c r="AE1337" s="6">
        <v>75</v>
      </c>
      <c r="AF1337" s="6">
        <v>80</v>
      </c>
      <c r="AG1337" s="6" t="s">
        <v>8321</v>
      </c>
      <c r="AH1337" s="6" t="s">
        <v>6644</v>
      </c>
    </row>
    <row r="1338" spans="1:34" x14ac:dyDescent="0.2">
      <c r="A1338" t="s">
        <v>4604</v>
      </c>
      <c r="B1338" t="s">
        <v>2867</v>
      </c>
      <c r="C1338" t="s">
        <v>2885</v>
      </c>
      <c r="D1338" s="7" t="s">
        <v>135</v>
      </c>
      <c r="E1338" t="s">
        <v>58</v>
      </c>
      <c r="F1338">
        <v>24</v>
      </c>
      <c r="G1338">
        <v>82</v>
      </c>
      <c r="H1338">
        <v>70</v>
      </c>
      <c r="I1338" t="s">
        <v>6407</v>
      </c>
      <c r="J1338">
        <v>73</v>
      </c>
      <c r="K1338">
        <v>255</v>
      </c>
      <c r="L1338" t="s">
        <v>6298</v>
      </c>
      <c r="M1338" s="6" t="s">
        <v>6558</v>
      </c>
      <c r="N1338" s="6" t="s">
        <v>6565</v>
      </c>
      <c r="O1338" s="6">
        <v>77</v>
      </c>
      <c r="P1338" s="6">
        <v>73</v>
      </c>
      <c r="Q1338" s="6">
        <v>64</v>
      </c>
      <c r="R1338" s="6">
        <v>72</v>
      </c>
      <c r="S1338" s="6">
        <v>69</v>
      </c>
      <c r="T1338" s="6">
        <v>74</v>
      </c>
      <c r="U1338" s="6">
        <v>77</v>
      </c>
      <c r="V1338" s="6">
        <v>76</v>
      </c>
      <c r="W1338" s="6">
        <v>76</v>
      </c>
      <c r="X1338" s="6">
        <v>60</v>
      </c>
      <c r="Y1338" s="6">
        <v>79</v>
      </c>
      <c r="Z1338" s="6">
        <v>75</v>
      </c>
      <c r="AA1338" s="6">
        <v>73</v>
      </c>
      <c r="AB1338" s="6">
        <v>72</v>
      </c>
      <c r="AC1338" s="6">
        <v>72</v>
      </c>
      <c r="AD1338" s="6">
        <v>65</v>
      </c>
      <c r="AE1338" s="6">
        <v>68</v>
      </c>
      <c r="AF1338" s="6">
        <v>77</v>
      </c>
      <c r="AG1338" s="6" t="s">
        <v>8323</v>
      </c>
      <c r="AH1338" s="6" t="s">
        <v>6628</v>
      </c>
    </row>
    <row r="1339" spans="1:34" x14ac:dyDescent="0.2">
      <c r="A1339" t="s">
        <v>4606</v>
      </c>
      <c r="B1339" t="s">
        <v>2869</v>
      </c>
      <c r="C1339" t="s">
        <v>2885</v>
      </c>
      <c r="D1339" s="7" t="s">
        <v>135</v>
      </c>
      <c r="E1339" t="s">
        <v>38</v>
      </c>
      <c r="F1339">
        <v>23</v>
      </c>
      <c r="G1339">
        <v>66</v>
      </c>
      <c r="H1339">
        <v>70</v>
      </c>
      <c r="I1339" t="s">
        <v>6320</v>
      </c>
      <c r="J1339">
        <v>72</v>
      </c>
      <c r="K1339">
        <v>233</v>
      </c>
      <c r="L1339" t="s">
        <v>6300</v>
      </c>
      <c r="M1339" s="6" t="s">
        <v>6733</v>
      </c>
      <c r="N1339" s="6" t="s">
        <v>6614</v>
      </c>
      <c r="O1339" s="6">
        <v>65</v>
      </c>
      <c r="P1339" s="6">
        <v>65</v>
      </c>
      <c r="Q1339" s="6">
        <v>74</v>
      </c>
      <c r="R1339" s="6">
        <v>60</v>
      </c>
      <c r="S1339" s="6">
        <v>69</v>
      </c>
      <c r="T1339" s="6">
        <v>57</v>
      </c>
      <c r="U1339" s="6">
        <v>65</v>
      </c>
      <c r="V1339" s="6">
        <v>67</v>
      </c>
      <c r="W1339" s="6">
        <v>58</v>
      </c>
      <c r="X1339" s="6">
        <v>62</v>
      </c>
      <c r="Y1339" s="6">
        <v>70</v>
      </c>
      <c r="Z1339" s="6">
        <v>54</v>
      </c>
      <c r="AA1339" s="6">
        <v>66</v>
      </c>
      <c r="AB1339" s="6">
        <v>68</v>
      </c>
      <c r="AC1339" s="6">
        <v>61</v>
      </c>
      <c r="AD1339" s="6">
        <v>58</v>
      </c>
      <c r="AE1339" s="6">
        <v>59</v>
      </c>
      <c r="AF1339" s="6">
        <v>75</v>
      </c>
      <c r="AG1339" s="6" t="s">
        <v>8325</v>
      </c>
      <c r="AH1339" s="6" t="s">
        <v>6628</v>
      </c>
    </row>
    <row r="1340" spans="1:34" x14ac:dyDescent="0.2">
      <c r="A1340" t="s">
        <v>2920</v>
      </c>
      <c r="B1340" t="s">
        <v>1184</v>
      </c>
      <c r="C1340" t="s">
        <v>57</v>
      </c>
      <c r="D1340" s="7" t="s">
        <v>129</v>
      </c>
      <c r="E1340" t="s">
        <v>58</v>
      </c>
      <c r="F1340">
        <v>31</v>
      </c>
      <c r="G1340">
        <v>68</v>
      </c>
      <c r="H1340">
        <v>69</v>
      </c>
      <c r="I1340" t="s">
        <v>6308</v>
      </c>
      <c r="J1340">
        <v>74</v>
      </c>
      <c r="K1340">
        <v>194</v>
      </c>
      <c r="L1340" t="s">
        <v>4614</v>
      </c>
      <c r="M1340" s="6" t="s">
        <v>6558</v>
      </c>
      <c r="N1340" s="6" t="s">
        <v>6565</v>
      </c>
      <c r="O1340" s="6">
        <v>69</v>
      </c>
      <c r="P1340" s="6">
        <v>67</v>
      </c>
      <c r="Q1340" s="6">
        <v>70</v>
      </c>
      <c r="R1340" s="6">
        <v>73</v>
      </c>
      <c r="S1340" s="6">
        <v>77</v>
      </c>
      <c r="T1340" s="6">
        <v>68</v>
      </c>
      <c r="U1340" s="6">
        <v>71</v>
      </c>
      <c r="V1340" s="6">
        <v>69</v>
      </c>
      <c r="W1340" s="6">
        <v>70</v>
      </c>
      <c r="X1340" s="6">
        <v>73</v>
      </c>
      <c r="Y1340" s="6">
        <v>72</v>
      </c>
      <c r="Z1340" s="6">
        <v>76</v>
      </c>
      <c r="AA1340" s="6">
        <v>64</v>
      </c>
      <c r="AB1340" s="6">
        <v>58</v>
      </c>
      <c r="AC1340" s="6">
        <v>62</v>
      </c>
      <c r="AD1340" s="6">
        <v>62</v>
      </c>
      <c r="AE1340" s="6">
        <v>67</v>
      </c>
      <c r="AF1340" s="6">
        <v>64</v>
      </c>
      <c r="AG1340" s="6" t="s">
        <v>6579</v>
      </c>
      <c r="AH1340" s="6" t="s">
        <v>6574</v>
      </c>
    </row>
    <row r="1341" spans="1:34" x14ac:dyDescent="0.2">
      <c r="A1341" t="s">
        <v>2921</v>
      </c>
      <c r="B1341" t="s">
        <v>1185</v>
      </c>
      <c r="C1341" t="s">
        <v>57</v>
      </c>
      <c r="D1341" s="7" t="s">
        <v>129</v>
      </c>
      <c r="E1341" t="s">
        <v>58</v>
      </c>
      <c r="F1341">
        <v>26</v>
      </c>
      <c r="G1341">
        <v>61</v>
      </c>
      <c r="H1341">
        <v>69</v>
      </c>
      <c r="I1341" t="s">
        <v>6309</v>
      </c>
      <c r="J1341">
        <v>71</v>
      </c>
      <c r="K1341">
        <v>201</v>
      </c>
      <c r="L1341" t="s">
        <v>4615</v>
      </c>
      <c r="M1341" s="6" t="s">
        <v>6558</v>
      </c>
      <c r="N1341" s="6" t="s">
        <v>6565</v>
      </c>
      <c r="O1341" s="6">
        <v>80</v>
      </c>
      <c r="P1341" s="6">
        <v>71</v>
      </c>
      <c r="Q1341" s="6">
        <v>70</v>
      </c>
      <c r="R1341" s="6">
        <v>74</v>
      </c>
      <c r="S1341" s="6">
        <v>81</v>
      </c>
      <c r="T1341" s="6">
        <v>61</v>
      </c>
      <c r="U1341" s="6">
        <v>76</v>
      </c>
      <c r="V1341" s="6">
        <v>74</v>
      </c>
      <c r="W1341" s="6">
        <v>64</v>
      </c>
      <c r="X1341" s="6">
        <v>65</v>
      </c>
      <c r="Y1341" s="6">
        <v>69</v>
      </c>
      <c r="Z1341" s="6">
        <v>70</v>
      </c>
      <c r="AA1341" s="6">
        <v>70</v>
      </c>
      <c r="AB1341" s="6">
        <v>68</v>
      </c>
      <c r="AC1341" s="6">
        <v>64</v>
      </c>
      <c r="AD1341" s="6">
        <v>72</v>
      </c>
      <c r="AE1341" s="6">
        <v>62</v>
      </c>
      <c r="AF1341" s="6">
        <v>73</v>
      </c>
      <c r="AG1341" s="6" t="s">
        <v>6580</v>
      </c>
      <c r="AH1341" s="6" t="s">
        <v>6581</v>
      </c>
    </row>
    <row r="1342" spans="1:34" x14ac:dyDescent="0.2">
      <c r="A1342" t="s">
        <v>2929</v>
      </c>
      <c r="B1342" t="s">
        <v>1193</v>
      </c>
      <c r="C1342" t="s">
        <v>2872</v>
      </c>
      <c r="D1342" s="7" t="s">
        <v>129</v>
      </c>
      <c r="E1342" t="s">
        <v>58</v>
      </c>
      <c r="F1342">
        <v>33</v>
      </c>
      <c r="G1342">
        <v>70</v>
      </c>
      <c r="H1342">
        <v>69</v>
      </c>
      <c r="I1342" t="s">
        <v>6316</v>
      </c>
      <c r="J1342">
        <v>77</v>
      </c>
      <c r="K1342">
        <v>312</v>
      </c>
      <c r="L1342" t="s">
        <v>4623</v>
      </c>
      <c r="M1342" s="6" t="s">
        <v>6558</v>
      </c>
      <c r="N1342" s="6" t="s">
        <v>6565</v>
      </c>
      <c r="O1342" s="6">
        <v>72</v>
      </c>
      <c r="P1342" s="6">
        <v>69</v>
      </c>
      <c r="Q1342" s="6">
        <v>65</v>
      </c>
      <c r="R1342" s="6">
        <v>73</v>
      </c>
      <c r="S1342" s="6">
        <v>80</v>
      </c>
      <c r="T1342" s="6">
        <v>72</v>
      </c>
      <c r="U1342" s="6">
        <v>70</v>
      </c>
      <c r="V1342" s="6">
        <v>77</v>
      </c>
      <c r="W1342" s="6">
        <v>73</v>
      </c>
      <c r="X1342" s="6">
        <v>79</v>
      </c>
      <c r="Y1342" s="6">
        <v>79</v>
      </c>
      <c r="Z1342" s="6">
        <v>72</v>
      </c>
      <c r="AA1342" s="6">
        <v>59</v>
      </c>
      <c r="AB1342" s="6">
        <v>61</v>
      </c>
      <c r="AC1342" s="6">
        <v>64</v>
      </c>
      <c r="AD1342" s="6">
        <v>62</v>
      </c>
      <c r="AE1342" s="6">
        <v>57</v>
      </c>
      <c r="AF1342" s="6">
        <v>61</v>
      </c>
      <c r="AG1342" s="6" t="s">
        <v>6594</v>
      </c>
      <c r="AH1342" s="6" t="s">
        <v>6593</v>
      </c>
    </row>
    <row r="1343" spans="1:34" x14ac:dyDescent="0.2">
      <c r="A1343" t="s">
        <v>2949</v>
      </c>
      <c r="B1343" t="s">
        <v>1213</v>
      </c>
      <c r="C1343" t="s">
        <v>2880</v>
      </c>
      <c r="D1343" s="7" t="s">
        <v>129</v>
      </c>
      <c r="E1343" t="s">
        <v>38</v>
      </c>
      <c r="F1343">
        <v>26</v>
      </c>
      <c r="G1343">
        <v>61</v>
      </c>
      <c r="H1343">
        <v>69</v>
      </c>
      <c r="I1343" t="s">
        <v>6336</v>
      </c>
      <c r="J1343">
        <v>73</v>
      </c>
      <c r="K1343">
        <v>258</v>
      </c>
      <c r="L1343" t="s">
        <v>4643</v>
      </c>
      <c r="M1343" s="6" t="s">
        <v>6558</v>
      </c>
      <c r="N1343" s="6" t="s">
        <v>6565</v>
      </c>
      <c r="O1343" s="6">
        <v>69</v>
      </c>
      <c r="P1343" s="6">
        <v>74</v>
      </c>
      <c r="Q1343" s="6">
        <v>68</v>
      </c>
      <c r="R1343" s="6">
        <v>74</v>
      </c>
      <c r="S1343" s="6">
        <v>72</v>
      </c>
      <c r="T1343" s="6">
        <v>69</v>
      </c>
      <c r="U1343" s="6">
        <v>75</v>
      </c>
      <c r="V1343" s="6">
        <v>69</v>
      </c>
      <c r="W1343" s="6">
        <v>76</v>
      </c>
      <c r="X1343" s="6">
        <v>63</v>
      </c>
      <c r="Y1343" s="6">
        <v>61</v>
      </c>
      <c r="Z1343" s="6">
        <v>73</v>
      </c>
      <c r="AA1343" s="6">
        <v>70</v>
      </c>
      <c r="AB1343" s="6">
        <v>67</v>
      </c>
      <c r="AC1343" s="6">
        <v>62</v>
      </c>
      <c r="AD1343" s="6">
        <v>69</v>
      </c>
      <c r="AE1343" s="6">
        <v>74</v>
      </c>
      <c r="AF1343" s="6">
        <v>72</v>
      </c>
      <c r="AG1343" s="6" t="s">
        <v>6626</v>
      </c>
      <c r="AH1343" s="6" t="s">
        <v>6623</v>
      </c>
    </row>
    <row r="1344" spans="1:34" x14ac:dyDescent="0.2">
      <c r="A1344" t="s">
        <v>2953</v>
      </c>
      <c r="B1344" t="s">
        <v>1217</v>
      </c>
      <c r="C1344" t="s">
        <v>61</v>
      </c>
      <c r="D1344" s="7" t="s">
        <v>129</v>
      </c>
      <c r="E1344" t="s">
        <v>38</v>
      </c>
      <c r="F1344">
        <v>28</v>
      </c>
      <c r="G1344">
        <v>65</v>
      </c>
      <c r="H1344">
        <v>69</v>
      </c>
      <c r="I1344" t="s">
        <v>6340</v>
      </c>
      <c r="J1344">
        <v>71</v>
      </c>
      <c r="K1344">
        <v>191</v>
      </c>
      <c r="L1344" t="s">
        <v>4647</v>
      </c>
      <c r="M1344" s="6" t="s">
        <v>6558</v>
      </c>
      <c r="N1344" s="6" t="s">
        <v>6567</v>
      </c>
      <c r="O1344" s="6">
        <v>75</v>
      </c>
      <c r="P1344" s="6">
        <v>66</v>
      </c>
      <c r="Q1344" s="6">
        <v>75</v>
      </c>
      <c r="R1344" s="6">
        <v>65</v>
      </c>
      <c r="S1344" s="6">
        <v>88</v>
      </c>
      <c r="T1344" s="6">
        <v>81</v>
      </c>
      <c r="U1344" s="6">
        <v>79</v>
      </c>
      <c r="V1344" s="6">
        <v>76</v>
      </c>
      <c r="W1344" s="6">
        <v>81</v>
      </c>
      <c r="X1344" s="6">
        <v>84</v>
      </c>
      <c r="Y1344" s="6">
        <v>86</v>
      </c>
      <c r="Z1344" s="6">
        <v>82</v>
      </c>
      <c r="AA1344" s="6">
        <v>68</v>
      </c>
      <c r="AB1344" s="6">
        <v>78</v>
      </c>
      <c r="AC1344" s="6">
        <v>65</v>
      </c>
      <c r="AD1344" s="6">
        <v>76</v>
      </c>
      <c r="AE1344" s="6">
        <v>73</v>
      </c>
      <c r="AF1344" s="6">
        <v>73</v>
      </c>
      <c r="AG1344" s="6" t="s">
        <v>6633</v>
      </c>
      <c r="AH1344" s="6" t="s">
        <v>6630</v>
      </c>
    </row>
    <row r="1345" spans="1:34" x14ac:dyDescent="0.2">
      <c r="A1345" t="s">
        <v>2992</v>
      </c>
      <c r="B1345" t="s">
        <v>1256</v>
      </c>
      <c r="C1345" t="s">
        <v>2879</v>
      </c>
      <c r="D1345" s="7" t="s">
        <v>146</v>
      </c>
      <c r="E1345" t="s">
        <v>38</v>
      </c>
      <c r="F1345">
        <v>23</v>
      </c>
      <c r="G1345">
        <v>72</v>
      </c>
      <c r="H1345">
        <v>69</v>
      </c>
      <c r="I1345" t="s">
        <v>6329</v>
      </c>
      <c r="J1345">
        <v>76</v>
      </c>
      <c r="K1345">
        <v>290</v>
      </c>
      <c r="L1345" t="s">
        <v>4686</v>
      </c>
      <c r="M1345" s="6" t="s">
        <v>6558</v>
      </c>
      <c r="N1345" s="6" t="s">
        <v>6567</v>
      </c>
      <c r="O1345" s="6">
        <v>65</v>
      </c>
      <c r="P1345" s="6">
        <v>72</v>
      </c>
      <c r="Q1345" s="6">
        <v>65</v>
      </c>
      <c r="R1345" s="6">
        <v>67</v>
      </c>
      <c r="S1345" s="6">
        <v>73</v>
      </c>
      <c r="T1345" s="6">
        <v>65</v>
      </c>
      <c r="U1345" s="6">
        <v>73</v>
      </c>
      <c r="V1345" s="6">
        <v>69</v>
      </c>
      <c r="W1345" s="6">
        <v>64</v>
      </c>
      <c r="X1345" s="6">
        <v>70</v>
      </c>
      <c r="Y1345" s="6">
        <v>76</v>
      </c>
      <c r="Z1345" s="6">
        <v>69</v>
      </c>
      <c r="AA1345" s="6">
        <v>68</v>
      </c>
      <c r="AB1345" s="6">
        <v>72</v>
      </c>
      <c r="AC1345" s="6">
        <v>69</v>
      </c>
      <c r="AD1345" s="6">
        <v>72</v>
      </c>
      <c r="AE1345" s="6">
        <v>71</v>
      </c>
      <c r="AF1345" s="6">
        <v>67</v>
      </c>
      <c r="AG1345" s="6" t="s">
        <v>6690</v>
      </c>
      <c r="AH1345" s="6" t="s">
        <v>6617</v>
      </c>
    </row>
    <row r="1346" spans="1:34" x14ac:dyDescent="0.2">
      <c r="A1346" t="s">
        <v>3014</v>
      </c>
      <c r="B1346" t="s">
        <v>1278</v>
      </c>
      <c r="C1346" t="s">
        <v>2870</v>
      </c>
      <c r="D1346" s="7" t="s">
        <v>131</v>
      </c>
      <c r="E1346" t="s">
        <v>38</v>
      </c>
      <c r="F1346">
        <v>25</v>
      </c>
      <c r="G1346">
        <v>77</v>
      </c>
      <c r="H1346">
        <v>69</v>
      </c>
      <c r="I1346" t="s">
        <v>6304</v>
      </c>
      <c r="J1346">
        <v>70</v>
      </c>
      <c r="K1346">
        <v>230</v>
      </c>
      <c r="L1346" t="s">
        <v>4708</v>
      </c>
      <c r="M1346" s="6" t="s">
        <v>6558</v>
      </c>
      <c r="N1346" s="6" t="s">
        <v>6565</v>
      </c>
      <c r="O1346" s="6">
        <v>71</v>
      </c>
      <c r="P1346" s="6">
        <v>73</v>
      </c>
      <c r="Q1346" s="6">
        <v>70</v>
      </c>
      <c r="R1346" s="6">
        <v>71</v>
      </c>
      <c r="S1346" s="6">
        <v>79</v>
      </c>
      <c r="T1346" s="6">
        <v>72</v>
      </c>
      <c r="U1346" s="6">
        <v>75</v>
      </c>
      <c r="V1346" s="6">
        <v>79</v>
      </c>
      <c r="W1346" s="6">
        <v>76</v>
      </c>
      <c r="X1346" s="6">
        <v>75</v>
      </c>
      <c r="Y1346" s="6">
        <v>78</v>
      </c>
      <c r="Z1346" s="6">
        <v>73</v>
      </c>
      <c r="AA1346" s="6">
        <v>78</v>
      </c>
      <c r="AB1346" s="6">
        <v>81</v>
      </c>
      <c r="AC1346" s="6">
        <v>73</v>
      </c>
      <c r="AD1346" s="6">
        <v>71</v>
      </c>
      <c r="AE1346" s="6">
        <v>76</v>
      </c>
      <c r="AF1346" s="6">
        <v>71</v>
      </c>
      <c r="AG1346" s="6" t="s">
        <v>6719</v>
      </c>
      <c r="AH1346" s="6" t="s">
        <v>6656</v>
      </c>
    </row>
    <row r="1347" spans="1:34" x14ac:dyDescent="0.2">
      <c r="A1347" t="s">
        <v>3016</v>
      </c>
      <c r="B1347" t="s">
        <v>1280</v>
      </c>
      <c r="C1347" t="s">
        <v>2870</v>
      </c>
      <c r="D1347" s="7" t="s">
        <v>131</v>
      </c>
      <c r="E1347" t="s">
        <v>58</v>
      </c>
      <c r="F1347">
        <v>25</v>
      </c>
      <c r="G1347">
        <v>69</v>
      </c>
      <c r="H1347">
        <v>69</v>
      </c>
      <c r="I1347" t="s">
        <v>6306</v>
      </c>
      <c r="J1347">
        <v>69</v>
      </c>
      <c r="K1347">
        <v>196</v>
      </c>
      <c r="L1347" t="s">
        <v>4710</v>
      </c>
      <c r="M1347" s="6" t="s">
        <v>6558</v>
      </c>
      <c r="N1347" s="6" t="s">
        <v>6565</v>
      </c>
      <c r="O1347" s="6">
        <v>76</v>
      </c>
      <c r="P1347" s="6">
        <v>70</v>
      </c>
      <c r="Q1347" s="6">
        <v>76</v>
      </c>
      <c r="R1347" s="6">
        <v>72</v>
      </c>
      <c r="S1347" s="6">
        <v>68</v>
      </c>
      <c r="T1347" s="6">
        <v>69</v>
      </c>
      <c r="U1347" s="6">
        <v>60</v>
      </c>
      <c r="V1347" s="6">
        <v>69</v>
      </c>
      <c r="W1347" s="6">
        <v>59</v>
      </c>
      <c r="X1347" s="6">
        <v>67</v>
      </c>
      <c r="Y1347" s="6">
        <v>72</v>
      </c>
      <c r="Z1347" s="6">
        <v>75</v>
      </c>
      <c r="AA1347" s="6">
        <v>66</v>
      </c>
      <c r="AB1347" s="6">
        <v>68</v>
      </c>
      <c r="AC1347" s="6">
        <v>63</v>
      </c>
      <c r="AD1347" s="6">
        <v>64</v>
      </c>
      <c r="AE1347" s="6">
        <v>69</v>
      </c>
      <c r="AF1347" s="6">
        <v>69</v>
      </c>
      <c r="AG1347" s="6" t="s">
        <v>6722</v>
      </c>
      <c r="AH1347" s="6" t="s">
        <v>6723</v>
      </c>
    </row>
    <row r="1348" spans="1:34" x14ac:dyDescent="0.2">
      <c r="A1348" t="s">
        <v>3032</v>
      </c>
      <c r="B1348" t="s">
        <v>1296</v>
      </c>
      <c r="C1348" t="s">
        <v>2876</v>
      </c>
      <c r="D1348" s="7" t="s">
        <v>131</v>
      </c>
      <c r="E1348" t="s">
        <v>38</v>
      </c>
      <c r="F1348">
        <v>25</v>
      </c>
      <c r="G1348">
        <v>79</v>
      </c>
      <c r="H1348">
        <v>69</v>
      </c>
      <c r="I1348" t="s">
        <v>6319</v>
      </c>
      <c r="J1348">
        <v>76</v>
      </c>
      <c r="K1348">
        <v>317</v>
      </c>
      <c r="L1348" t="s">
        <v>4726</v>
      </c>
      <c r="M1348" s="6" t="s">
        <v>6558</v>
      </c>
      <c r="N1348" s="6" t="s">
        <v>6565</v>
      </c>
      <c r="O1348" s="6">
        <v>83</v>
      </c>
      <c r="P1348" s="6">
        <v>69</v>
      </c>
      <c r="Q1348" s="6">
        <v>81</v>
      </c>
      <c r="R1348" s="6">
        <v>75</v>
      </c>
      <c r="S1348" s="6">
        <v>88</v>
      </c>
      <c r="T1348" s="6">
        <v>76</v>
      </c>
      <c r="U1348" s="6">
        <v>89</v>
      </c>
      <c r="V1348" s="6">
        <v>80</v>
      </c>
      <c r="W1348" s="6">
        <v>63</v>
      </c>
      <c r="X1348" s="6">
        <v>77</v>
      </c>
      <c r="Y1348" s="6">
        <v>78</v>
      </c>
      <c r="Z1348" s="6">
        <v>83</v>
      </c>
      <c r="AA1348" s="6">
        <v>73</v>
      </c>
      <c r="AB1348" s="6">
        <v>76</v>
      </c>
      <c r="AC1348" s="6">
        <v>79</v>
      </c>
      <c r="AD1348" s="6">
        <v>81</v>
      </c>
      <c r="AE1348" s="6">
        <v>81</v>
      </c>
      <c r="AF1348" s="6">
        <v>79</v>
      </c>
      <c r="AG1348" s="6" t="s">
        <v>6744</v>
      </c>
      <c r="AH1348" s="6" t="s">
        <v>6598</v>
      </c>
    </row>
    <row r="1349" spans="1:34" x14ac:dyDescent="0.2">
      <c r="A1349" t="s">
        <v>3033</v>
      </c>
      <c r="B1349" t="s">
        <v>1297</v>
      </c>
      <c r="C1349" t="s">
        <v>2877</v>
      </c>
      <c r="D1349" s="7" t="s">
        <v>131</v>
      </c>
      <c r="E1349" t="s">
        <v>38</v>
      </c>
      <c r="F1349">
        <v>29</v>
      </c>
      <c r="G1349">
        <v>82</v>
      </c>
      <c r="H1349">
        <v>69</v>
      </c>
      <c r="I1349" t="s">
        <v>6320</v>
      </c>
      <c r="J1349">
        <v>78</v>
      </c>
      <c r="K1349">
        <v>305</v>
      </c>
      <c r="L1349" t="s">
        <v>4727</v>
      </c>
      <c r="M1349" s="6" t="s">
        <v>6558</v>
      </c>
      <c r="N1349" s="6" t="s">
        <v>6567</v>
      </c>
      <c r="O1349" s="6">
        <v>89</v>
      </c>
      <c r="P1349" s="6">
        <v>83</v>
      </c>
      <c r="Q1349" s="6">
        <v>71</v>
      </c>
      <c r="R1349" s="6">
        <v>68</v>
      </c>
      <c r="S1349" s="6">
        <v>80</v>
      </c>
      <c r="T1349" s="6">
        <v>74</v>
      </c>
      <c r="U1349" s="6">
        <v>80</v>
      </c>
      <c r="V1349" s="6">
        <v>73</v>
      </c>
      <c r="W1349" s="6">
        <v>73</v>
      </c>
      <c r="X1349" s="6">
        <v>77</v>
      </c>
      <c r="Y1349" s="6">
        <v>83</v>
      </c>
      <c r="Z1349" s="6">
        <v>79</v>
      </c>
      <c r="AA1349" s="6">
        <v>72</v>
      </c>
      <c r="AB1349" s="6">
        <v>74</v>
      </c>
      <c r="AC1349" s="6">
        <v>68</v>
      </c>
      <c r="AD1349" s="6">
        <v>66</v>
      </c>
      <c r="AE1349" s="6">
        <v>63</v>
      </c>
      <c r="AF1349" s="6">
        <v>80</v>
      </c>
      <c r="AG1349" s="6" t="s">
        <v>6745</v>
      </c>
      <c r="AH1349" s="6" t="s">
        <v>6596</v>
      </c>
    </row>
    <row r="1350" spans="1:34" x14ac:dyDescent="0.2">
      <c r="A1350" t="s">
        <v>3073</v>
      </c>
      <c r="B1350" t="s">
        <v>1337</v>
      </c>
      <c r="C1350" t="s">
        <v>2874</v>
      </c>
      <c r="D1350" s="7" t="s">
        <v>130</v>
      </c>
      <c r="E1350" t="s">
        <v>58</v>
      </c>
      <c r="F1350">
        <v>30</v>
      </c>
      <c r="G1350">
        <v>81</v>
      </c>
      <c r="H1350">
        <v>69</v>
      </c>
      <c r="I1350" t="s">
        <v>6311</v>
      </c>
      <c r="J1350">
        <v>74</v>
      </c>
      <c r="K1350">
        <v>300</v>
      </c>
      <c r="L1350" t="s">
        <v>4767</v>
      </c>
      <c r="M1350" s="6" t="s">
        <v>6558</v>
      </c>
      <c r="N1350" s="6" t="s">
        <v>6583</v>
      </c>
      <c r="O1350" s="6">
        <v>78</v>
      </c>
      <c r="P1350" s="6">
        <v>79</v>
      </c>
      <c r="Q1350" s="6">
        <v>69</v>
      </c>
      <c r="R1350" s="6">
        <v>78</v>
      </c>
      <c r="S1350" s="6">
        <v>70</v>
      </c>
      <c r="T1350" s="6">
        <v>72</v>
      </c>
      <c r="U1350" s="6">
        <v>74</v>
      </c>
      <c r="V1350" s="6">
        <v>71</v>
      </c>
      <c r="W1350" s="6">
        <v>76</v>
      </c>
      <c r="X1350" s="6">
        <v>69</v>
      </c>
      <c r="Y1350" s="6">
        <v>74</v>
      </c>
      <c r="Z1350" s="6">
        <v>75</v>
      </c>
      <c r="AA1350" s="6">
        <v>72</v>
      </c>
      <c r="AB1350" s="6">
        <v>75</v>
      </c>
      <c r="AC1350" s="6">
        <v>66</v>
      </c>
      <c r="AD1350" s="6">
        <v>71</v>
      </c>
      <c r="AE1350" s="6">
        <v>72</v>
      </c>
      <c r="AF1350" s="6">
        <v>75</v>
      </c>
      <c r="AG1350" s="6" t="s">
        <v>6789</v>
      </c>
      <c r="AH1350" s="6" t="s">
        <v>6598</v>
      </c>
    </row>
    <row r="1351" spans="1:34" x14ac:dyDescent="0.2">
      <c r="A1351" t="s">
        <v>3077</v>
      </c>
      <c r="B1351" t="s">
        <v>1341</v>
      </c>
      <c r="C1351" t="s">
        <v>2875</v>
      </c>
      <c r="D1351" s="7" t="s">
        <v>130</v>
      </c>
      <c r="E1351" t="s">
        <v>38</v>
      </c>
      <c r="F1351">
        <v>24</v>
      </c>
      <c r="G1351">
        <v>69</v>
      </c>
      <c r="H1351">
        <v>69</v>
      </c>
      <c r="I1351" t="s">
        <v>6315</v>
      </c>
      <c r="J1351">
        <v>77</v>
      </c>
      <c r="K1351">
        <v>311</v>
      </c>
      <c r="L1351" t="s">
        <v>4771</v>
      </c>
      <c r="M1351" s="6" t="s">
        <v>6558</v>
      </c>
      <c r="N1351" s="6" t="s">
        <v>6583</v>
      </c>
      <c r="O1351" s="6">
        <v>82</v>
      </c>
      <c r="P1351" s="6">
        <v>74</v>
      </c>
      <c r="Q1351" s="6">
        <v>61</v>
      </c>
      <c r="R1351" s="6">
        <v>76</v>
      </c>
      <c r="S1351" s="6">
        <v>77</v>
      </c>
      <c r="T1351" s="6">
        <v>78</v>
      </c>
      <c r="U1351" s="6">
        <v>72</v>
      </c>
      <c r="V1351" s="6">
        <v>85</v>
      </c>
      <c r="W1351" s="6">
        <v>75</v>
      </c>
      <c r="X1351" s="6">
        <v>68</v>
      </c>
      <c r="Y1351" s="6">
        <v>88</v>
      </c>
      <c r="Z1351" s="6">
        <v>76</v>
      </c>
      <c r="AA1351" s="6">
        <v>70</v>
      </c>
      <c r="AB1351" s="6">
        <v>73</v>
      </c>
      <c r="AC1351" s="6">
        <v>69</v>
      </c>
      <c r="AD1351" s="6">
        <v>69</v>
      </c>
      <c r="AE1351" s="6">
        <v>68</v>
      </c>
      <c r="AF1351" s="6">
        <v>76</v>
      </c>
      <c r="AG1351" s="6" t="s">
        <v>6793</v>
      </c>
      <c r="AH1351" s="6" t="s">
        <v>6606</v>
      </c>
    </row>
    <row r="1352" spans="1:34" x14ac:dyDescent="0.2">
      <c r="A1352" t="s">
        <v>3090</v>
      </c>
      <c r="B1352" t="s">
        <v>1354</v>
      </c>
      <c r="C1352" t="s">
        <v>2880</v>
      </c>
      <c r="D1352" s="7" t="s">
        <v>130</v>
      </c>
      <c r="E1352" t="s">
        <v>38</v>
      </c>
      <c r="F1352">
        <v>22</v>
      </c>
      <c r="G1352">
        <v>77</v>
      </c>
      <c r="H1352">
        <v>69</v>
      </c>
      <c r="I1352" t="s">
        <v>6327</v>
      </c>
      <c r="J1352">
        <v>77</v>
      </c>
      <c r="K1352">
        <v>254</v>
      </c>
      <c r="L1352" t="s">
        <v>4784</v>
      </c>
      <c r="M1352" s="6" t="s">
        <v>6558</v>
      </c>
      <c r="N1352" s="6" t="s">
        <v>6567</v>
      </c>
      <c r="O1352" s="6">
        <v>68</v>
      </c>
      <c r="P1352" s="6">
        <v>70</v>
      </c>
      <c r="Q1352" s="6">
        <v>60</v>
      </c>
      <c r="R1352" s="6">
        <v>63</v>
      </c>
      <c r="S1352" s="6">
        <v>63</v>
      </c>
      <c r="T1352" s="6">
        <v>76</v>
      </c>
      <c r="U1352" s="6">
        <v>77</v>
      </c>
      <c r="V1352" s="6">
        <v>69</v>
      </c>
      <c r="W1352" s="6">
        <v>61</v>
      </c>
      <c r="X1352" s="6">
        <v>63</v>
      </c>
      <c r="Y1352" s="6">
        <v>68</v>
      </c>
      <c r="Z1352" s="6">
        <v>62</v>
      </c>
      <c r="AA1352" s="6">
        <v>69</v>
      </c>
      <c r="AB1352" s="6">
        <v>66</v>
      </c>
      <c r="AC1352" s="6">
        <v>68</v>
      </c>
      <c r="AD1352" s="6">
        <v>76</v>
      </c>
      <c r="AE1352" s="6">
        <v>75</v>
      </c>
      <c r="AF1352" s="6">
        <v>82</v>
      </c>
      <c r="AG1352" s="6" t="s">
        <v>6808</v>
      </c>
      <c r="AH1352" s="6" t="s">
        <v>6623</v>
      </c>
    </row>
    <row r="1353" spans="1:34" x14ac:dyDescent="0.2">
      <c r="A1353" t="s">
        <v>3102</v>
      </c>
      <c r="B1353" t="s">
        <v>1366</v>
      </c>
      <c r="C1353" t="s">
        <v>2890</v>
      </c>
      <c r="D1353" s="7" t="s">
        <v>130</v>
      </c>
      <c r="E1353" t="s">
        <v>38</v>
      </c>
      <c r="F1353">
        <v>21</v>
      </c>
      <c r="G1353">
        <v>79</v>
      </c>
      <c r="H1353">
        <v>69</v>
      </c>
      <c r="I1353" t="s">
        <v>6339</v>
      </c>
      <c r="J1353">
        <v>68</v>
      </c>
      <c r="K1353">
        <v>199</v>
      </c>
      <c r="L1353" t="s">
        <v>4796</v>
      </c>
      <c r="M1353" s="6" t="s">
        <v>6558</v>
      </c>
      <c r="N1353" s="6" t="s">
        <v>6614</v>
      </c>
      <c r="O1353" s="6">
        <v>80</v>
      </c>
      <c r="P1353" s="6">
        <v>62</v>
      </c>
      <c r="Q1353" s="6">
        <v>76</v>
      </c>
      <c r="R1353" s="6">
        <v>58</v>
      </c>
      <c r="S1353" s="6">
        <v>81</v>
      </c>
      <c r="T1353" s="6">
        <v>69</v>
      </c>
      <c r="U1353" s="6">
        <v>80</v>
      </c>
      <c r="V1353" s="6">
        <v>68</v>
      </c>
      <c r="W1353" s="6">
        <v>61</v>
      </c>
      <c r="X1353" s="6">
        <v>77</v>
      </c>
      <c r="Y1353" s="6">
        <v>63</v>
      </c>
      <c r="Z1353" s="6">
        <v>71</v>
      </c>
      <c r="AA1353" s="6">
        <v>70</v>
      </c>
      <c r="AB1353" s="6">
        <v>72</v>
      </c>
      <c r="AC1353" s="6">
        <v>59</v>
      </c>
      <c r="AD1353" s="6">
        <v>71</v>
      </c>
      <c r="AE1353" s="6">
        <v>74</v>
      </c>
      <c r="AF1353" s="6">
        <v>72</v>
      </c>
      <c r="AG1353" s="6" t="s">
        <v>6822</v>
      </c>
      <c r="AH1353" s="6" t="s">
        <v>6630</v>
      </c>
    </row>
    <row r="1354" spans="1:34" x14ac:dyDescent="0.2">
      <c r="A1354" t="s">
        <v>3125</v>
      </c>
      <c r="B1354" t="s">
        <v>1389</v>
      </c>
      <c r="C1354" t="s">
        <v>2875</v>
      </c>
      <c r="D1354" s="7" t="s">
        <v>133</v>
      </c>
      <c r="E1354" t="s">
        <v>38</v>
      </c>
      <c r="F1354">
        <v>25</v>
      </c>
      <c r="G1354">
        <v>73</v>
      </c>
      <c r="H1354">
        <v>69</v>
      </c>
      <c r="I1354" t="s">
        <v>6315</v>
      </c>
      <c r="J1354">
        <v>75</v>
      </c>
      <c r="K1354">
        <v>311</v>
      </c>
      <c r="L1354" t="s">
        <v>4819</v>
      </c>
      <c r="M1354" s="6" t="s">
        <v>6558</v>
      </c>
      <c r="N1354" s="6" t="s">
        <v>6583</v>
      </c>
      <c r="O1354" s="6">
        <v>88</v>
      </c>
      <c r="P1354" s="6">
        <v>69</v>
      </c>
      <c r="Q1354" s="6">
        <v>63</v>
      </c>
      <c r="R1354" s="6">
        <v>76</v>
      </c>
      <c r="S1354" s="6">
        <v>79</v>
      </c>
      <c r="T1354" s="6">
        <v>65</v>
      </c>
      <c r="U1354" s="6">
        <v>64</v>
      </c>
      <c r="V1354" s="6">
        <v>72</v>
      </c>
      <c r="W1354" s="6">
        <v>84</v>
      </c>
      <c r="X1354" s="6">
        <v>64</v>
      </c>
      <c r="Y1354" s="6">
        <v>82</v>
      </c>
      <c r="Z1354" s="6">
        <v>76</v>
      </c>
      <c r="AA1354" s="6">
        <v>69</v>
      </c>
      <c r="AB1354" s="6">
        <v>80</v>
      </c>
      <c r="AC1354" s="6">
        <v>69</v>
      </c>
      <c r="AD1354" s="6">
        <v>71</v>
      </c>
      <c r="AE1354" s="6">
        <v>70</v>
      </c>
      <c r="AF1354" s="6">
        <v>83</v>
      </c>
      <c r="AG1354" s="6" t="s">
        <v>6847</v>
      </c>
      <c r="AH1354" s="6" t="s">
        <v>6606</v>
      </c>
    </row>
    <row r="1355" spans="1:34" x14ac:dyDescent="0.2">
      <c r="A1355" t="s">
        <v>3136</v>
      </c>
      <c r="B1355" t="s">
        <v>1400</v>
      </c>
      <c r="C1355" t="s">
        <v>2879</v>
      </c>
      <c r="D1355" s="7" t="s">
        <v>133</v>
      </c>
      <c r="E1355" t="s">
        <v>58</v>
      </c>
      <c r="F1355">
        <v>30</v>
      </c>
      <c r="G1355">
        <v>74</v>
      </c>
      <c r="H1355">
        <v>69</v>
      </c>
      <c r="I1355" t="s">
        <v>6318</v>
      </c>
      <c r="J1355">
        <v>73</v>
      </c>
      <c r="K1355">
        <v>290</v>
      </c>
      <c r="L1355" t="s">
        <v>4830</v>
      </c>
      <c r="M1355" s="6" t="s">
        <v>6558</v>
      </c>
      <c r="N1355" s="6" t="s">
        <v>6565</v>
      </c>
      <c r="O1355" s="6">
        <v>74</v>
      </c>
      <c r="P1355" s="6">
        <v>76</v>
      </c>
      <c r="Q1355" s="6">
        <v>74</v>
      </c>
      <c r="R1355" s="6">
        <v>75</v>
      </c>
      <c r="S1355" s="6">
        <v>82</v>
      </c>
      <c r="T1355" s="6">
        <v>72</v>
      </c>
      <c r="U1355" s="6">
        <v>70</v>
      </c>
      <c r="V1355" s="6">
        <v>81</v>
      </c>
      <c r="W1355" s="6">
        <v>82</v>
      </c>
      <c r="X1355" s="6">
        <v>85</v>
      </c>
      <c r="Y1355" s="6">
        <v>81</v>
      </c>
      <c r="Z1355" s="6">
        <v>78</v>
      </c>
      <c r="AA1355" s="6">
        <v>70</v>
      </c>
      <c r="AB1355" s="6">
        <v>77</v>
      </c>
      <c r="AC1355" s="6">
        <v>70</v>
      </c>
      <c r="AD1355" s="6">
        <v>77</v>
      </c>
      <c r="AE1355" s="6">
        <v>69</v>
      </c>
      <c r="AF1355" s="6">
        <v>69</v>
      </c>
      <c r="AG1355" s="6" t="s">
        <v>6859</v>
      </c>
      <c r="AH1355" s="6" t="s">
        <v>6617</v>
      </c>
    </row>
    <row r="1356" spans="1:34" x14ac:dyDescent="0.2">
      <c r="A1356" t="s">
        <v>3143</v>
      </c>
      <c r="B1356" t="s">
        <v>1407</v>
      </c>
      <c r="C1356" t="s">
        <v>61</v>
      </c>
      <c r="D1356" s="7" t="s">
        <v>133</v>
      </c>
      <c r="E1356" t="s">
        <v>38</v>
      </c>
      <c r="F1356">
        <v>22</v>
      </c>
      <c r="G1356">
        <v>78</v>
      </c>
      <c r="H1356">
        <v>69</v>
      </c>
      <c r="I1356" t="s">
        <v>6336</v>
      </c>
      <c r="J1356">
        <v>69</v>
      </c>
      <c r="K1356">
        <v>198</v>
      </c>
      <c r="L1356" t="s">
        <v>4837</v>
      </c>
      <c r="M1356" s="6" t="s">
        <v>6558</v>
      </c>
      <c r="N1356" s="6" t="s">
        <v>6614</v>
      </c>
      <c r="O1356" s="6">
        <v>68</v>
      </c>
      <c r="P1356" s="6">
        <v>75</v>
      </c>
      <c r="Q1356" s="6">
        <v>72</v>
      </c>
      <c r="R1356" s="6">
        <v>61</v>
      </c>
      <c r="S1356" s="6">
        <v>85</v>
      </c>
      <c r="T1356" s="6">
        <v>71</v>
      </c>
      <c r="U1356" s="6">
        <v>75</v>
      </c>
      <c r="V1356" s="6">
        <v>84</v>
      </c>
      <c r="W1356" s="6">
        <v>78</v>
      </c>
      <c r="X1356" s="6">
        <v>70</v>
      </c>
      <c r="Y1356" s="6">
        <v>79</v>
      </c>
      <c r="Z1356" s="6">
        <v>74</v>
      </c>
      <c r="AA1356" s="6">
        <v>67</v>
      </c>
      <c r="AB1356" s="6">
        <v>68</v>
      </c>
      <c r="AC1356" s="6">
        <v>70</v>
      </c>
      <c r="AD1356" s="6">
        <v>77</v>
      </c>
      <c r="AE1356" s="6">
        <v>74</v>
      </c>
      <c r="AF1356" s="6">
        <v>77</v>
      </c>
      <c r="AG1356" s="6" t="s">
        <v>6867</v>
      </c>
      <c r="AH1356" s="6" t="s">
        <v>6694</v>
      </c>
    </row>
    <row r="1357" spans="1:34" x14ac:dyDescent="0.2">
      <c r="A1357" t="s">
        <v>3145</v>
      </c>
      <c r="B1357" t="s">
        <v>1409</v>
      </c>
      <c r="C1357" t="s">
        <v>61</v>
      </c>
      <c r="D1357" s="7" t="s">
        <v>133</v>
      </c>
      <c r="E1357" t="s">
        <v>38</v>
      </c>
      <c r="F1357">
        <v>21</v>
      </c>
      <c r="G1357">
        <v>63</v>
      </c>
      <c r="H1357">
        <v>69</v>
      </c>
      <c r="I1357" t="s">
        <v>6338</v>
      </c>
      <c r="J1357">
        <v>71</v>
      </c>
      <c r="K1357">
        <v>200</v>
      </c>
      <c r="L1357" t="s">
        <v>4839</v>
      </c>
      <c r="M1357" s="6" t="s">
        <v>6558</v>
      </c>
      <c r="N1357" s="6" t="s">
        <v>6614</v>
      </c>
      <c r="O1357" s="6">
        <v>60</v>
      </c>
      <c r="P1357" s="6">
        <v>67</v>
      </c>
      <c r="Q1357" s="6">
        <v>76</v>
      </c>
      <c r="R1357" s="6">
        <v>52</v>
      </c>
      <c r="S1357" s="6">
        <v>71</v>
      </c>
      <c r="T1357" s="6">
        <v>69</v>
      </c>
      <c r="U1357" s="6">
        <v>66</v>
      </c>
      <c r="V1357" s="6">
        <v>64</v>
      </c>
      <c r="W1357" s="6">
        <v>58</v>
      </c>
      <c r="X1357" s="6">
        <v>57</v>
      </c>
      <c r="Y1357" s="6">
        <v>63</v>
      </c>
      <c r="Z1357" s="6">
        <v>74</v>
      </c>
      <c r="AA1357" s="6">
        <v>65</v>
      </c>
      <c r="AB1357" s="6">
        <v>65</v>
      </c>
      <c r="AC1357" s="6">
        <v>74</v>
      </c>
      <c r="AD1357" s="6">
        <v>76</v>
      </c>
      <c r="AE1357" s="6">
        <v>62</v>
      </c>
      <c r="AF1357" s="6">
        <v>65</v>
      </c>
      <c r="AG1357" s="6" t="s">
        <v>6869</v>
      </c>
      <c r="AH1357" s="6" t="s">
        <v>6630</v>
      </c>
    </row>
    <row r="1358" spans="1:34" x14ac:dyDescent="0.2">
      <c r="A1358" t="s">
        <v>3148</v>
      </c>
      <c r="B1358" t="s">
        <v>1412</v>
      </c>
      <c r="C1358" t="s">
        <v>2883</v>
      </c>
      <c r="D1358" s="7" t="s">
        <v>133</v>
      </c>
      <c r="E1358" t="s">
        <v>38</v>
      </c>
      <c r="F1358">
        <v>26</v>
      </c>
      <c r="G1358">
        <v>82</v>
      </c>
      <c r="H1358">
        <v>69</v>
      </c>
      <c r="I1358" t="s">
        <v>6341</v>
      </c>
      <c r="J1358">
        <v>74</v>
      </c>
      <c r="K1358">
        <v>200</v>
      </c>
      <c r="L1358" t="s">
        <v>4842</v>
      </c>
      <c r="M1358" s="6" t="s">
        <v>6558</v>
      </c>
      <c r="N1358" s="6" t="s">
        <v>6565</v>
      </c>
      <c r="O1358" s="6">
        <v>91</v>
      </c>
      <c r="P1358" s="6">
        <v>77</v>
      </c>
      <c r="Q1358" s="6">
        <v>80</v>
      </c>
      <c r="R1358" s="6">
        <v>74</v>
      </c>
      <c r="S1358" s="6">
        <v>81</v>
      </c>
      <c r="T1358" s="6">
        <v>72</v>
      </c>
      <c r="U1358" s="6">
        <v>87</v>
      </c>
      <c r="V1358" s="6">
        <v>81</v>
      </c>
      <c r="W1358" s="6">
        <v>83</v>
      </c>
      <c r="X1358" s="6">
        <v>76</v>
      </c>
      <c r="Y1358" s="6">
        <v>81</v>
      </c>
      <c r="Z1358" s="6">
        <v>70</v>
      </c>
      <c r="AA1358" s="6">
        <v>76</v>
      </c>
      <c r="AB1358" s="6">
        <v>79</v>
      </c>
      <c r="AC1358" s="6">
        <v>68</v>
      </c>
      <c r="AD1358" s="6">
        <v>73</v>
      </c>
      <c r="AE1358" s="6">
        <v>73</v>
      </c>
      <c r="AF1358" s="6">
        <v>74</v>
      </c>
      <c r="AG1358" s="6" t="s">
        <v>6872</v>
      </c>
      <c r="AH1358" s="6" t="s">
        <v>6640</v>
      </c>
    </row>
    <row r="1359" spans="1:34" x14ac:dyDescent="0.2">
      <c r="A1359" t="s">
        <v>3149</v>
      </c>
      <c r="B1359" t="s">
        <v>1413</v>
      </c>
      <c r="C1359" t="s">
        <v>2883</v>
      </c>
      <c r="D1359" s="7" t="s">
        <v>133</v>
      </c>
      <c r="E1359" t="s">
        <v>58</v>
      </c>
      <c r="F1359">
        <v>28</v>
      </c>
      <c r="G1359">
        <v>70</v>
      </c>
      <c r="H1359">
        <v>69</v>
      </c>
      <c r="I1359" t="s">
        <v>6342</v>
      </c>
      <c r="J1359">
        <v>70</v>
      </c>
      <c r="K1359">
        <v>216</v>
      </c>
      <c r="L1359" t="s">
        <v>4843</v>
      </c>
      <c r="M1359" s="6" t="s">
        <v>6558</v>
      </c>
      <c r="N1359" s="6" t="s">
        <v>6565</v>
      </c>
      <c r="O1359" s="6">
        <v>72</v>
      </c>
      <c r="P1359" s="6">
        <v>63</v>
      </c>
      <c r="Q1359" s="6">
        <v>73</v>
      </c>
      <c r="R1359" s="6">
        <v>71</v>
      </c>
      <c r="S1359" s="6">
        <v>78</v>
      </c>
      <c r="T1359" s="6">
        <v>69</v>
      </c>
      <c r="U1359" s="6">
        <v>70</v>
      </c>
      <c r="V1359" s="6">
        <v>77</v>
      </c>
      <c r="W1359" s="6">
        <v>76</v>
      </c>
      <c r="X1359" s="6">
        <v>63</v>
      </c>
      <c r="Y1359" s="6">
        <v>71</v>
      </c>
      <c r="Z1359" s="6">
        <v>61</v>
      </c>
      <c r="AA1359" s="6">
        <v>67</v>
      </c>
      <c r="AB1359" s="6">
        <v>61</v>
      </c>
      <c r="AC1359" s="6">
        <v>61</v>
      </c>
      <c r="AD1359" s="6">
        <v>75</v>
      </c>
      <c r="AE1359" s="6">
        <v>69</v>
      </c>
      <c r="AF1359" s="6">
        <v>65</v>
      </c>
      <c r="AG1359" s="6" t="s">
        <v>6873</v>
      </c>
      <c r="AH1359" s="6" t="s">
        <v>6640</v>
      </c>
    </row>
    <row r="1360" spans="1:34" x14ac:dyDescent="0.2">
      <c r="A1360" t="s">
        <v>3217</v>
      </c>
      <c r="B1360" t="s">
        <v>1481</v>
      </c>
      <c r="C1360" t="s">
        <v>57</v>
      </c>
      <c r="D1360" s="7" t="s">
        <v>132</v>
      </c>
      <c r="E1360" t="s">
        <v>38</v>
      </c>
      <c r="F1360">
        <v>23</v>
      </c>
      <c r="G1360">
        <v>82</v>
      </c>
      <c r="H1360">
        <v>69</v>
      </c>
      <c r="I1360" t="s">
        <v>6407</v>
      </c>
      <c r="J1360">
        <v>71</v>
      </c>
      <c r="K1360">
        <v>208</v>
      </c>
      <c r="L1360" t="s">
        <v>4911</v>
      </c>
      <c r="M1360" s="6" t="s">
        <v>6558</v>
      </c>
      <c r="N1360" s="6" t="s">
        <v>6614</v>
      </c>
      <c r="O1360" s="6">
        <v>76</v>
      </c>
      <c r="P1360" s="6">
        <v>67</v>
      </c>
      <c r="Q1360" s="6">
        <v>65</v>
      </c>
      <c r="R1360" s="6">
        <v>61</v>
      </c>
      <c r="S1360" s="6">
        <v>73</v>
      </c>
      <c r="T1360" s="6">
        <v>70</v>
      </c>
      <c r="U1360" s="6">
        <v>79</v>
      </c>
      <c r="V1360" s="6">
        <v>75</v>
      </c>
      <c r="W1360" s="6">
        <v>77</v>
      </c>
      <c r="X1360" s="6">
        <v>61</v>
      </c>
      <c r="Y1360" s="6">
        <v>71</v>
      </c>
      <c r="Z1360" s="6">
        <v>71</v>
      </c>
      <c r="AA1360" s="6">
        <v>74</v>
      </c>
      <c r="AB1360" s="6">
        <v>74</v>
      </c>
      <c r="AC1360" s="6">
        <v>71</v>
      </c>
      <c r="AD1360" s="6">
        <v>75</v>
      </c>
      <c r="AE1360" s="6">
        <v>77</v>
      </c>
      <c r="AF1360" s="6">
        <v>72</v>
      </c>
      <c r="AG1360" s="6" t="s">
        <v>6944</v>
      </c>
      <c r="AH1360" s="6" t="s">
        <v>6576</v>
      </c>
    </row>
    <row r="1361" spans="1:34" x14ac:dyDescent="0.2">
      <c r="A1361" t="s">
        <v>3222</v>
      </c>
      <c r="B1361" t="s">
        <v>1486</v>
      </c>
      <c r="C1361" t="s">
        <v>2871</v>
      </c>
      <c r="D1361" s="7" t="s">
        <v>132</v>
      </c>
      <c r="E1361" t="s">
        <v>58</v>
      </c>
      <c r="F1361">
        <v>32</v>
      </c>
      <c r="G1361">
        <v>69</v>
      </c>
      <c r="H1361">
        <v>69</v>
      </c>
      <c r="I1361" t="s">
        <v>6412</v>
      </c>
      <c r="J1361">
        <v>74</v>
      </c>
      <c r="K1361">
        <v>260</v>
      </c>
      <c r="L1361" t="s">
        <v>4916</v>
      </c>
      <c r="M1361" s="6" t="s">
        <v>6558</v>
      </c>
      <c r="N1361" s="6" t="s">
        <v>6559</v>
      </c>
      <c r="O1361" s="6">
        <v>83</v>
      </c>
      <c r="P1361" s="6">
        <v>73</v>
      </c>
      <c r="Q1361" s="6">
        <v>72</v>
      </c>
      <c r="R1361" s="6">
        <v>82</v>
      </c>
      <c r="S1361" s="6">
        <v>81</v>
      </c>
      <c r="T1361" s="6">
        <v>73</v>
      </c>
      <c r="U1361" s="6">
        <v>70</v>
      </c>
      <c r="V1361" s="6">
        <v>80</v>
      </c>
      <c r="W1361" s="6">
        <v>76</v>
      </c>
      <c r="X1361" s="6">
        <v>79</v>
      </c>
      <c r="Y1361" s="6">
        <v>83</v>
      </c>
      <c r="Z1361" s="6">
        <v>78</v>
      </c>
      <c r="AA1361" s="6">
        <v>70</v>
      </c>
      <c r="AB1361" s="6">
        <v>67</v>
      </c>
      <c r="AC1361" s="6">
        <v>63</v>
      </c>
      <c r="AD1361" s="6">
        <v>69</v>
      </c>
      <c r="AE1361" s="6">
        <v>65</v>
      </c>
      <c r="AF1361" s="6">
        <v>63</v>
      </c>
      <c r="AG1361" s="6" t="s">
        <v>6949</v>
      </c>
      <c r="AH1361" s="6" t="s">
        <v>6587</v>
      </c>
    </row>
    <row r="1362" spans="1:34" x14ac:dyDescent="0.2">
      <c r="A1362" t="s">
        <v>3225</v>
      </c>
      <c r="B1362" t="s">
        <v>1489</v>
      </c>
      <c r="C1362" t="s">
        <v>2873</v>
      </c>
      <c r="D1362" s="7" t="s">
        <v>132</v>
      </c>
      <c r="E1362" t="s">
        <v>38</v>
      </c>
      <c r="F1362">
        <v>26</v>
      </c>
      <c r="G1362">
        <v>73</v>
      </c>
      <c r="H1362">
        <v>69</v>
      </c>
      <c r="I1362" t="s">
        <v>6414</v>
      </c>
      <c r="J1362">
        <v>77</v>
      </c>
      <c r="K1362">
        <v>314</v>
      </c>
      <c r="L1362" t="s">
        <v>4919</v>
      </c>
      <c r="M1362" s="6" t="s">
        <v>6558</v>
      </c>
      <c r="N1362" s="6" t="s">
        <v>6565</v>
      </c>
      <c r="O1362" s="6">
        <v>76</v>
      </c>
      <c r="P1362" s="6">
        <v>80</v>
      </c>
      <c r="Q1362" s="6">
        <v>81</v>
      </c>
      <c r="R1362" s="6">
        <v>71</v>
      </c>
      <c r="S1362" s="6">
        <v>77</v>
      </c>
      <c r="T1362" s="6">
        <v>64</v>
      </c>
      <c r="U1362" s="6">
        <v>75</v>
      </c>
      <c r="V1362" s="6">
        <v>79</v>
      </c>
      <c r="W1362" s="6">
        <v>78</v>
      </c>
      <c r="X1362" s="6">
        <v>78</v>
      </c>
      <c r="Y1362" s="6">
        <v>76</v>
      </c>
      <c r="Z1362" s="6">
        <v>72</v>
      </c>
      <c r="AA1362" s="6">
        <v>73</v>
      </c>
      <c r="AB1362" s="6">
        <v>73</v>
      </c>
      <c r="AC1362" s="6">
        <v>74</v>
      </c>
      <c r="AD1362" s="6">
        <v>77</v>
      </c>
      <c r="AE1362" s="6">
        <v>75</v>
      </c>
      <c r="AF1362" s="6">
        <v>76</v>
      </c>
      <c r="AG1362" s="6" t="s">
        <v>6952</v>
      </c>
      <c r="AH1362" s="6" t="s">
        <v>6610</v>
      </c>
    </row>
    <row r="1363" spans="1:34" x14ac:dyDescent="0.2">
      <c r="A1363" t="s">
        <v>3238</v>
      </c>
      <c r="B1363" t="s">
        <v>1502</v>
      </c>
      <c r="C1363" t="s">
        <v>2879</v>
      </c>
      <c r="D1363" s="7" t="s">
        <v>132</v>
      </c>
      <c r="E1363" t="s">
        <v>38</v>
      </c>
      <c r="F1363">
        <v>26</v>
      </c>
      <c r="G1363">
        <v>72</v>
      </c>
      <c r="H1363">
        <v>69</v>
      </c>
      <c r="I1363" t="s">
        <v>6427</v>
      </c>
      <c r="J1363">
        <v>76</v>
      </c>
      <c r="K1363">
        <v>290</v>
      </c>
      <c r="L1363" t="s">
        <v>4932</v>
      </c>
      <c r="M1363" s="6" t="s">
        <v>6558</v>
      </c>
      <c r="N1363" s="6" t="s">
        <v>6614</v>
      </c>
      <c r="O1363" s="6">
        <v>69</v>
      </c>
      <c r="P1363" s="6">
        <v>80</v>
      </c>
      <c r="Q1363" s="6">
        <v>71</v>
      </c>
      <c r="R1363" s="6">
        <v>62</v>
      </c>
      <c r="S1363" s="6">
        <v>84</v>
      </c>
      <c r="T1363" s="6">
        <v>76</v>
      </c>
      <c r="U1363" s="6">
        <v>85</v>
      </c>
      <c r="V1363" s="6">
        <v>76</v>
      </c>
      <c r="W1363" s="6">
        <v>72</v>
      </c>
      <c r="X1363" s="6">
        <v>68</v>
      </c>
      <c r="Y1363" s="6">
        <v>73</v>
      </c>
      <c r="Z1363" s="6">
        <v>70</v>
      </c>
      <c r="AA1363" s="6">
        <v>76</v>
      </c>
      <c r="AB1363" s="6">
        <v>72</v>
      </c>
      <c r="AC1363" s="6">
        <v>69</v>
      </c>
      <c r="AD1363" s="6">
        <v>71</v>
      </c>
      <c r="AE1363" s="6">
        <v>71</v>
      </c>
      <c r="AF1363" s="6">
        <v>75</v>
      </c>
      <c r="AG1363" s="6" t="s">
        <v>6966</v>
      </c>
      <c r="AH1363" s="6" t="s">
        <v>6855</v>
      </c>
    </row>
    <row r="1364" spans="1:34" x14ac:dyDescent="0.2">
      <c r="A1364" t="s">
        <v>3248</v>
      </c>
      <c r="B1364" t="s">
        <v>1512</v>
      </c>
      <c r="C1364" t="s">
        <v>2883</v>
      </c>
      <c r="D1364" s="7" t="s">
        <v>132</v>
      </c>
      <c r="E1364" t="s">
        <v>38</v>
      </c>
      <c r="F1364">
        <v>22</v>
      </c>
      <c r="G1364">
        <v>71</v>
      </c>
      <c r="H1364">
        <v>69</v>
      </c>
      <c r="I1364" t="s">
        <v>6437</v>
      </c>
      <c r="J1364">
        <v>70</v>
      </c>
      <c r="K1364">
        <v>209</v>
      </c>
      <c r="L1364" t="s">
        <v>4942</v>
      </c>
      <c r="M1364" s="6" t="s">
        <v>6558</v>
      </c>
      <c r="N1364" s="6" t="s">
        <v>6583</v>
      </c>
      <c r="O1364" s="6">
        <v>75</v>
      </c>
      <c r="P1364" s="6">
        <v>76</v>
      </c>
      <c r="Q1364" s="6">
        <v>71</v>
      </c>
      <c r="R1364" s="6">
        <v>80</v>
      </c>
      <c r="S1364" s="6">
        <v>60</v>
      </c>
      <c r="T1364" s="6">
        <v>73</v>
      </c>
      <c r="U1364" s="6">
        <v>86</v>
      </c>
      <c r="V1364" s="6">
        <v>67</v>
      </c>
      <c r="W1364" s="6">
        <v>68</v>
      </c>
      <c r="X1364" s="6">
        <v>68</v>
      </c>
      <c r="Y1364" s="6">
        <v>79</v>
      </c>
      <c r="Z1364" s="6">
        <v>77</v>
      </c>
      <c r="AA1364" s="6">
        <v>73</v>
      </c>
      <c r="AB1364" s="6">
        <v>74</v>
      </c>
      <c r="AC1364" s="6">
        <v>64</v>
      </c>
      <c r="AD1364" s="6">
        <v>80</v>
      </c>
      <c r="AE1364" s="6">
        <v>76</v>
      </c>
      <c r="AF1364" s="6">
        <v>71</v>
      </c>
      <c r="AG1364" s="6" t="s">
        <v>6976</v>
      </c>
      <c r="AH1364" s="6" t="s">
        <v>6640</v>
      </c>
    </row>
    <row r="1365" spans="1:34" x14ac:dyDescent="0.2">
      <c r="A1365" t="s">
        <v>3256</v>
      </c>
      <c r="B1365" t="s">
        <v>1520</v>
      </c>
      <c r="C1365" t="s">
        <v>2886</v>
      </c>
      <c r="D1365" s="7" t="s">
        <v>132</v>
      </c>
      <c r="E1365" t="s">
        <v>58</v>
      </c>
      <c r="F1365">
        <v>30</v>
      </c>
      <c r="G1365">
        <v>69</v>
      </c>
      <c r="H1365">
        <v>69</v>
      </c>
      <c r="I1365" t="s">
        <v>6445</v>
      </c>
      <c r="J1365">
        <v>75</v>
      </c>
      <c r="K1365">
        <v>241</v>
      </c>
      <c r="L1365" t="s">
        <v>4950</v>
      </c>
      <c r="M1365" s="6" t="s">
        <v>6558</v>
      </c>
      <c r="N1365" s="6" t="s">
        <v>6583</v>
      </c>
      <c r="O1365" s="6">
        <v>84</v>
      </c>
      <c r="P1365" s="6">
        <v>74</v>
      </c>
      <c r="Q1365" s="6">
        <v>79</v>
      </c>
      <c r="R1365" s="6">
        <v>78</v>
      </c>
      <c r="S1365" s="6">
        <v>86</v>
      </c>
      <c r="T1365" s="6">
        <v>70</v>
      </c>
      <c r="U1365" s="6">
        <v>74</v>
      </c>
      <c r="V1365" s="6">
        <v>76</v>
      </c>
      <c r="W1365" s="6">
        <v>68</v>
      </c>
      <c r="X1365" s="6">
        <v>85</v>
      </c>
      <c r="Y1365" s="6">
        <v>76</v>
      </c>
      <c r="Z1365" s="6">
        <v>83</v>
      </c>
      <c r="AA1365" s="6">
        <v>66</v>
      </c>
      <c r="AB1365" s="6">
        <v>69</v>
      </c>
      <c r="AC1365" s="6">
        <v>73</v>
      </c>
      <c r="AD1365" s="6">
        <v>66</v>
      </c>
      <c r="AE1365" s="6">
        <v>72</v>
      </c>
      <c r="AF1365" s="6">
        <v>71</v>
      </c>
      <c r="AG1365" s="6" t="s">
        <v>6985</v>
      </c>
      <c r="AH1365" s="6" t="s">
        <v>6649</v>
      </c>
    </row>
    <row r="1366" spans="1:34" x14ac:dyDescent="0.2">
      <c r="A1366" t="s">
        <v>3257</v>
      </c>
      <c r="B1366" t="s">
        <v>1521</v>
      </c>
      <c r="C1366" t="s">
        <v>53</v>
      </c>
      <c r="D1366" s="7" t="s">
        <v>136</v>
      </c>
      <c r="E1366" t="s">
        <v>38</v>
      </c>
      <c r="F1366">
        <v>33</v>
      </c>
      <c r="G1366">
        <v>80</v>
      </c>
      <c r="H1366">
        <v>69</v>
      </c>
      <c r="I1366" t="s">
        <v>6446</v>
      </c>
      <c r="J1366">
        <v>77</v>
      </c>
      <c r="K1366">
        <v>222</v>
      </c>
      <c r="L1366" t="s">
        <v>4951</v>
      </c>
      <c r="M1366" s="6" t="s">
        <v>6558</v>
      </c>
      <c r="N1366" s="6" t="s">
        <v>6559</v>
      </c>
      <c r="O1366" s="6">
        <v>84</v>
      </c>
      <c r="P1366" s="6">
        <v>85</v>
      </c>
      <c r="Q1366" s="6">
        <v>85</v>
      </c>
      <c r="R1366" s="6">
        <v>82</v>
      </c>
      <c r="S1366" s="6">
        <v>85</v>
      </c>
      <c r="T1366" s="6">
        <v>81</v>
      </c>
      <c r="U1366" s="6">
        <v>83</v>
      </c>
      <c r="V1366" s="6">
        <v>78</v>
      </c>
      <c r="W1366" s="6">
        <v>88</v>
      </c>
      <c r="X1366" s="6">
        <v>82</v>
      </c>
      <c r="Y1366" s="6">
        <v>73</v>
      </c>
      <c r="Z1366" s="6">
        <v>84</v>
      </c>
      <c r="AA1366" s="6">
        <v>69</v>
      </c>
      <c r="AB1366" s="6">
        <v>63</v>
      </c>
      <c r="AC1366" s="6">
        <v>57</v>
      </c>
      <c r="AD1366" s="6">
        <v>74</v>
      </c>
      <c r="AE1366" s="6">
        <v>71</v>
      </c>
      <c r="AF1366" s="6">
        <v>69</v>
      </c>
      <c r="AG1366" s="6" t="s">
        <v>6986</v>
      </c>
      <c r="AH1366" s="6" t="s">
        <v>6564</v>
      </c>
    </row>
    <row r="1367" spans="1:34" x14ac:dyDescent="0.2">
      <c r="A1367" t="s">
        <v>3295</v>
      </c>
      <c r="B1367" t="s">
        <v>1559</v>
      </c>
      <c r="C1367" t="s">
        <v>61</v>
      </c>
      <c r="D1367" s="7" t="s">
        <v>136</v>
      </c>
      <c r="E1367" t="s">
        <v>38</v>
      </c>
      <c r="F1367">
        <v>23</v>
      </c>
      <c r="G1367">
        <v>69</v>
      </c>
      <c r="H1367">
        <v>69</v>
      </c>
      <c r="I1367" t="s">
        <v>6321</v>
      </c>
      <c r="J1367">
        <v>70</v>
      </c>
      <c r="K1367">
        <v>206</v>
      </c>
      <c r="L1367" t="s">
        <v>4989</v>
      </c>
      <c r="M1367" s="6" t="s">
        <v>6558</v>
      </c>
      <c r="N1367" s="6" t="s">
        <v>6567</v>
      </c>
      <c r="O1367" s="6">
        <v>78</v>
      </c>
      <c r="P1367" s="6">
        <v>84</v>
      </c>
      <c r="Q1367" s="6">
        <v>70</v>
      </c>
      <c r="R1367" s="6">
        <v>63</v>
      </c>
      <c r="S1367" s="6">
        <v>78</v>
      </c>
      <c r="T1367" s="6">
        <v>71</v>
      </c>
      <c r="U1367" s="6">
        <v>81</v>
      </c>
      <c r="V1367" s="6">
        <v>69</v>
      </c>
      <c r="W1367" s="6">
        <v>76</v>
      </c>
      <c r="X1367" s="6">
        <v>62</v>
      </c>
      <c r="Y1367" s="6">
        <v>69</v>
      </c>
      <c r="Z1367" s="6">
        <v>72</v>
      </c>
      <c r="AA1367" s="6">
        <v>72</v>
      </c>
      <c r="AB1367" s="6">
        <v>76</v>
      </c>
      <c r="AC1367" s="6">
        <v>71</v>
      </c>
      <c r="AD1367" s="6">
        <v>65</v>
      </c>
      <c r="AE1367" s="6">
        <v>69</v>
      </c>
      <c r="AF1367" s="6">
        <v>77</v>
      </c>
      <c r="AG1367" s="6" t="s">
        <v>7026</v>
      </c>
      <c r="AH1367" s="6" t="s">
        <v>6632</v>
      </c>
    </row>
    <row r="1368" spans="1:34" x14ac:dyDescent="0.2">
      <c r="A1368" t="s">
        <v>3296</v>
      </c>
      <c r="B1368" t="s">
        <v>1560</v>
      </c>
      <c r="C1368" t="s">
        <v>61</v>
      </c>
      <c r="D1368" s="7" t="s">
        <v>136</v>
      </c>
      <c r="E1368" t="s">
        <v>38</v>
      </c>
      <c r="F1368">
        <v>22</v>
      </c>
      <c r="G1368">
        <v>68</v>
      </c>
      <c r="H1368">
        <v>69</v>
      </c>
      <c r="I1368" t="s">
        <v>6320</v>
      </c>
      <c r="J1368">
        <v>69</v>
      </c>
      <c r="K1368">
        <v>180</v>
      </c>
      <c r="L1368" t="s">
        <v>4990</v>
      </c>
      <c r="M1368" s="6" t="s">
        <v>6558</v>
      </c>
      <c r="N1368" s="6" t="s">
        <v>6567</v>
      </c>
      <c r="O1368" s="6">
        <v>75</v>
      </c>
      <c r="P1368" s="6">
        <v>65</v>
      </c>
      <c r="Q1368" s="6">
        <v>78</v>
      </c>
      <c r="R1368" s="6">
        <v>65</v>
      </c>
      <c r="S1368" s="6">
        <v>78</v>
      </c>
      <c r="T1368" s="6">
        <v>76</v>
      </c>
      <c r="U1368" s="6">
        <v>68</v>
      </c>
      <c r="V1368" s="6">
        <v>68</v>
      </c>
      <c r="W1368" s="6">
        <v>69</v>
      </c>
      <c r="X1368" s="6">
        <v>67</v>
      </c>
      <c r="Y1368" s="6">
        <v>61</v>
      </c>
      <c r="Z1368" s="6">
        <v>73</v>
      </c>
      <c r="AA1368" s="6">
        <v>72</v>
      </c>
      <c r="AB1368" s="6">
        <v>76</v>
      </c>
      <c r="AC1368" s="6">
        <v>77</v>
      </c>
      <c r="AD1368" s="6">
        <v>68</v>
      </c>
      <c r="AE1368" s="6">
        <v>62</v>
      </c>
      <c r="AF1368" s="6">
        <v>73</v>
      </c>
      <c r="AG1368" s="6" t="s">
        <v>7027</v>
      </c>
      <c r="AH1368" s="6" t="s">
        <v>6630</v>
      </c>
    </row>
    <row r="1369" spans="1:34" x14ac:dyDescent="0.2">
      <c r="A1369" t="s">
        <v>3306</v>
      </c>
      <c r="B1369" t="s">
        <v>1570</v>
      </c>
      <c r="C1369" t="s">
        <v>2886</v>
      </c>
      <c r="D1369" s="7" t="s">
        <v>136</v>
      </c>
      <c r="E1369" t="s">
        <v>38</v>
      </c>
      <c r="F1369">
        <v>28</v>
      </c>
      <c r="G1369">
        <v>68</v>
      </c>
      <c r="H1369">
        <v>69</v>
      </c>
      <c r="I1369" t="s">
        <v>6330</v>
      </c>
      <c r="J1369">
        <v>74</v>
      </c>
      <c r="K1369">
        <v>249</v>
      </c>
      <c r="L1369" t="s">
        <v>5000</v>
      </c>
      <c r="M1369" s="6" t="s">
        <v>6558</v>
      </c>
      <c r="N1369" s="6" t="s">
        <v>6567</v>
      </c>
      <c r="O1369" s="6">
        <v>74</v>
      </c>
      <c r="P1369" s="6">
        <v>76</v>
      </c>
      <c r="Q1369" s="6">
        <v>77</v>
      </c>
      <c r="R1369" s="6">
        <v>68</v>
      </c>
      <c r="S1369" s="6">
        <v>70</v>
      </c>
      <c r="T1369" s="6">
        <v>73</v>
      </c>
      <c r="U1369" s="6">
        <v>73</v>
      </c>
      <c r="V1369" s="6">
        <v>74</v>
      </c>
      <c r="W1369" s="6">
        <v>67</v>
      </c>
      <c r="X1369" s="6">
        <v>71</v>
      </c>
      <c r="Y1369" s="6">
        <v>73</v>
      </c>
      <c r="Z1369" s="6">
        <v>86</v>
      </c>
      <c r="AA1369" s="6">
        <v>73</v>
      </c>
      <c r="AB1369" s="6">
        <v>72</v>
      </c>
      <c r="AC1369" s="6">
        <v>72</v>
      </c>
      <c r="AD1369" s="6">
        <v>67</v>
      </c>
      <c r="AE1369" s="6">
        <v>72</v>
      </c>
      <c r="AF1369" s="6">
        <v>77</v>
      </c>
      <c r="AG1369" s="6" t="s">
        <v>7038</v>
      </c>
      <c r="AH1369" s="6" t="s">
        <v>6649</v>
      </c>
    </row>
    <row r="1370" spans="1:34" x14ac:dyDescent="0.2">
      <c r="A1370" t="s">
        <v>3336</v>
      </c>
      <c r="B1370" t="s">
        <v>1600</v>
      </c>
      <c r="C1370" t="s">
        <v>2879</v>
      </c>
      <c r="D1370" s="7" t="s">
        <v>137</v>
      </c>
      <c r="E1370" t="s">
        <v>58</v>
      </c>
      <c r="F1370">
        <v>33</v>
      </c>
      <c r="G1370">
        <v>79</v>
      </c>
      <c r="H1370">
        <v>69</v>
      </c>
      <c r="I1370" t="s">
        <v>6346</v>
      </c>
      <c r="J1370">
        <v>74</v>
      </c>
      <c r="K1370">
        <v>290</v>
      </c>
      <c r="L1370" t="s">
        <v>5030</v>
      </c>
      <c r="M1370" s="6" t="s">
        <v>6558</v>
      </c>
      <c r="N1370" s="6" t="s">
        <v>6567</v>
      </c>
      <c r="O1370" s="6">
        <v>83</v>
      </c>
      <c r="P1370" s="6">
        <v>81</v>
      </c>
      <c r="Q1370" s="6">
        <v>75</v>
      </c>
      <c r="R1370" s="6">
        <v>67</v>
      </c>
      <c r="S1370" s="6">
        <v>86</v>
      </c>
      <c r="T1370" s="6">
        <v>84</v>
      </c>
      <c r="U1370" s="6">
        <v>81</v>
      </c>
      <c r="V1370" s="6">
        <v>81</v>
      </c>
      <c r="W1370" s="6">
        <v>74</v>
      </c>
      <c r="X1370" s="6">
        <v>74</v>
      </c>
      <c r="Y1370" s="6">
        <v>78</v>
      </c>
      <c r="Z1370" s="6">
        <v>73</v>
      </c>
      <c r="AA1370" s="6">
        <v>68</v>
      </c>
      <c r="AB1370" s="6">
        <v>70</v>
      </c>
      <c r="AC1370" s="6">
        <v>62</v>
      </c>
      <c r="AD1370" s="6">
        <v>68</v>
      </c>
      <c r="AE1370" s="6">
        <v>64</v>
      </c>
      <c r="AF1370" s="6">
        <v>69</v>
      </c>
      <c r="AG1370" s="6" t="s">
        <v>7069</v>
      </c>
      <c r="AH1370" s="6" t="s">
        <v>6617</v>
      </c>
    </row>
    <row r="1371" spans="1:34" x14ac:dyDescent="0.2">
      <c r="A1371" t="s">
        <v>3337</v>
      </c>
      <c r="B1371" t="s">
        <v>1601</v>
      </c>
      <c r="C1371" t="s">
        <v>2879</v>
      </c>
      <c r="D1371" s="7" t="s">
        <v>137</v>
      </c>
      <c r="E1371" t="s">
        <v>38</v>
      </c>
      <c r="F1371">
        <v>25</v>
      </c>
      <c r="G1371">
        <v>77</v>
      </c>
      <c r="H1371">
        <v>69</v>
      </c>
      <c r="I1371" t="s">
        <v>6347</v>
      </c>
      <c r="J1371">
        <v>75</v>
      </c>
      <c r="K1371">
        <v>303</v>
      </c>
      <c r="L1371" t="s">
        <v>5031</v>
      </c>
      <c r="M1371" s="6" t="s">
        <v>6558</v>
      </c>
      <c r="N1371" s="6" t="s">
        <v>6583</v>
      </c>
      <c r="O1371" s="6">
        <v>78</v>
      </c>
      <c r="P1371" s="6">
        <v>70</v>
      </c>
      <c r="Q1371" s="6">
        <v>75</v>
      </c>
      <c r="R1371" s="6">
        <v>76</v>
      </c>
      <c r="S1371" s="6">
        <v>73</v>
      </c>
      <c r="T1371" s="6">
        <v>73</v>
      </c>
      <c r="U1371" s="6">
        <v>73</v>
      </c>
      <c r="V1371" s="6">
        <v>75</v>
      </c>
      <c r="W1371" s="6">
        <v>75</v>
      </c>
      <c r="X1371" s="6">
        <v>74</v>
      </c>
      <c r="Y1371" s="6">
        <v>77</v>
      </c>
      <c r="Z1371" s="6">
        <v>78</v>
      </c>
      <c r="AA1371" s="6">
        <v>68</v>
      </c>
      <c r="AB1371" s="6">
        <v>73</v>
      </c>
      <c r="AC1371" s="6">
        <v>73</v>
      </c>
      <c r="AD1371" s="6">
        <v>85</v>
      </c>
      <c r="AE1371" s="6">
        <v>72</v>
      </c>
      <c r="AF1371" s="6">
        <v>72</v>
      </c>
      <c r="AG1371" s="6" t="s">
        <v>7070</v>
      </c>
      <c r="AH1371" s="6" t="s">
        <v>6861</v>
      </c>
    </row>
    <row r="1372" spans="1:34" x14ac:dyDescent="0.2">
      <c r="A1372" t="s">
        <v>3338</v>
      </c>
      <c r="B1372" t="s">
        <v>1602</v>
      </c>
      <c r="C1372" t="s">
        <v>2879</v>
      </c>
      <c r="D1372" s="7" t="s">
        <v>137</v>
      </c>
      <c r="E1372" t="s">
        <v>58</v>
      </c>
      <c r="F1372">
        <v>30</v>
      </c>
      <c r="G1372">
        <v>76</v>
      </c>
      <c r="H1372">
        <v>69</v>
      </c>
      <c r="I1372" t="s">
        <v>6348</v>
      </c>
      <c r="J1372">
        <v>72</v>
      </c>
      <c r="K1372">
        <v>321</v>
      </c>
      <c r="L1372" t="s">
        <v>5032</v>
      </c>
      <c r="M1372" s="6" t="s">
        <v>6558</v>
      </c>
      <c r="N1372" s="6" t="s">
        <v>6559</v>
      </c>
      <c r="O1372" s="6">
        <v>79</v>
      </c>
      <c r="P1372" s="6">
        <v>72</v>
      </c>
      <c r="Q1372" s="6">
        <v>84</v>
      </c>
      <c r="R1372" s="6">
        <v>83</v>
      </c>
      <c r="S1372" s="6">
        <v>86</v>
      </c>
      <c r="T1372" s="6">
        <v>88</v>
      </c>
      <c r="U1372" s="6">
        <v>81</v>
      </c>
      <c r="V1372" s="6">
        <v>78</v>
      </c>
      <c r="W1372" s="6">
        <v>68</v>
      </c>
      <c r="X1372" s="6">
        <v>78</v>
      </c>
      <c r="Y1372" s="6">
        <v>75</v>
      </c>
      <c r="Z1372" s="6">
        <v>84</v>
      </c>
      <c r="AA1372" s="6">
        <v>75</v>
      </c>
      <c r="AB1372" s="6">
        <v>78</v>
      </c>
      <c r="AC1372" s="6">
        <v>71</v>
      </c>
      <c r="AD1372" s="6">
        <v>85</v>
      </c>
      <c r="AE1372" s="6">
        <v>73</v>
      </c>
      <c r="AF1372" s="6">
        <v>67</v>
      </c>
      <c r="AG1372" s="6" t="s">
        <v>7071</v>
      </c>
      <c r="AH1372" s="6" t="s">
        <v>6619</v>
      </c>
    </row>
    <row r="1373" spans="1:34" x14ac:dyDescent="0.2">
      <c r="A1373" t="s">
        <v>3343</v>
      </c>
      <c r="B1373" t="s">
        <v>1607</v>
      </c>
      <c r="C1373" t="s">
        <v>2881</v>
      </c>
      <c r="D1373" s="7" t="s">
        <v>137</v>
      </c>
      <c r="E1373" t="s">
        <v>38</v>
      </c>
      <c r="F1373">
        <v>28</v>
      </c>
      <c r="G1373">
        <v>76</v>
      </c>
      <c r="H1373">
        <v>69</v>
      </c>
      <c r="I1373" t="s">
        <v>6352</v>
      </c>
      <c r="J1373">
        <v>74</v>
      </c>
      <c r="K1373">
        <v>235</v>
      </c>
      <c r="L1373" t="s">
        <v>5037</v>
      </c>
      <c r="M1373" s="6" t="s">
        <v>6558</v>
      </c>
      <c r="N1373" s="6" t="s">
        <v>6583</v>
      </c>
      <c r="O1373" s="6">
        <v>78</v>
      </c>
      <c r="P1373" s="6">
        <v>75</v>
      </c>
      <c r="Q1373" s="6">
        <v>76</v>
      </c>
      <c r="R1373" s="6">
        <v>76</v>
      </c>
      <c r="S1373" s="6">
        <v>85</v>
      </c>
      <c r="T1373" s="6">
        <v>74</v>
      </c>
      <c r="U1373" s="6">
        <v>77</v>
      </c>
      <c r="V1373" s="6">
        <v>77</v>
      </c>
      <c r="W1373" s="6">
        <v>87</v>
      </c>
      <c r="X1373" s="6">
        <v>80</v>
      </c>
      <c r="Y1373" s="6">
        <v>78</v>
      </c>
      <c r="Z1373" s="6">
        <v>71</v>
      </c>
      <c r="AA1373" s="6">
        <v>70</v>
      </c>
      <c r="AB1373" s="6">
        <v>75</v>
      </c>
      <c r="AC1373" s="6">
        <v>77</v>
      </c>
      <c r="AD1373" s="6">
        <v>77</v>
      </c>
      <c r="AE1373" s="6">
        <v>67</v>
      </c>
      <c r="AF1373" s="6">
        <v>69</v>
      </c>
      <c r="AG1373" s="6" t="s">
        <v>7076</v>
      </c>
      <c r="AH1373" s="6" t="s">
        <v>6628</v>
      </c>
    </row>
    <row r="1374" spans="1:34" x14ac:dyDescent="0.2">
      <c r="A1374" t="s">
        <v>3387</v>
      </c>
      <c r="B1374" t="s">
        <v>1651</v>
      </c>
      <c r="C1374" t="s">
        <v>2878</v>
      </c>
      <c r="D1374" s="7" t="s">
        <v>138</v>
      </c>
      <c r="E1374" t="s">
        <v>38</v>
      </c>
      <c r="F1374">
        <v>25</v>
      </c>
      <c r="G1374">
        <v>70</v>
      </c>
      <c r="H1374">
        <v>69</v>
      </c>
      <c r="I1374" t="s">
        <v>6394</v>
      </c>
      <c r="J1374">
        <v>76</v>
      </c>
      <c r="K1374">
        <v>256</v>
      </c>
      <c r="L1374" t="s">
        <v>5081</v>
      </c>
      <c r="M1374" s="6" t="s">
        <v>6558</v>
      </c>
      <c r="N1374" s="6" t="s">
        <v>6565</v>
      </c>
      <c r="O1374" s="6">
        <v>67</v>
      </c>
      <c r="P1374" s="6">
        <v>66</v>
      </c>
      <c r="Q1374" s="6">
        <v>72</v>
      </c>
      <c r="R1374" s="6">
        <v>71</v>
      </c>
      <c r="S1374" s="6">
        <v>70</v>
      </c>
      <c r="T1374" s="6">
        <v>69</v>
      </c>
      <c r="U1374" s="6">
        <v>81</v>
      </c>
      <c r="V1374" s="6">
        <v>78</v>
      </c>
      <c r="W1374" s="6">
        <v>74</v>
      </c>
      <c r="X1374" s="6">
        <v>77</v>
      </c>
      <c r="Y1374" s="6">
        <v>71</v>
      </c>
      <c r="Z1374" s="6">
        <v>71</v>
      </c>
      <c r="AA1374" s="6">
        <v>74</v>
      </c>
      <c r="AB1374" s="6">
        <v>71</v>
      </c>
      <c r="AC1374" s="6">
        <v>78</v>
      </c>
      <c r="AD1374" s="6">
        <v>70</v>
      </c>
      <c r="AE1374" s="6">
        <v>80</v>
      </c>
      <c r="AF1374" s="6">
        <v>72</v>
      </c>
      <c r="AG1374" s="6" t="s">
        <v>7122</v>
      </c>
      <c r="AH1374" s="6" t="s">
        <v>6686</v>
      </c>
    </row>
    <row r="1375" spans="1:34" x14ac:dyDescent="0.2">
      <c r="A1375" t="s">
        <v>3391</v>
      </c>
      <c r="B1375" t="s">
        <v>1655</v>
      </c>
      <c r="C1375" t="s">
        <v>2880</v>
      </c>
      <c r="D1375" s="7" t="s">
        <v>138</v>
      </c>
      <c r="E1375" t="s">
        <v>58</v>
      </c>
      <c r="F1375">
        <v>33</v>
      </c>
      <c r="G1375">
        <v>67</v>
      </c>
      <c r="H1375">
        <v>69</v>
      </c>
      <c r="I1375" t="s">
        <v>6398</v>
      </c>
      <c r="J1375">
        <v>73</v>
      </c>
      <c r="K1375">
        <v>264</v>
      </c>
      <c r="L1375" t="s">
        <v>5085</v>
      </c>
      <c r="M1375" s="6" t="s">
        <v>6558</v>
      </c>
      <c r="N1375" s="6" t="s">
        <v>6565</v>
      </c>
      <c r="O1375" s="6">
        <v>75</v>
      </c>
      <c r="P1375" s="6">
        <v>82</v>
      </c>
      <c r="Q1375" s="6">
        <v>72</v>
      </c>
      <c r="R1375" s="6">
        <v>72</v>
      </c>
      <c r="S1375" s="6">
        <v>72</v>
      </c>
      <c r="T1375" s="6">
        <v>69</v>
      </c>
      <c r="U1375" s="6">
        <v>75</v>
      </c>
      <c r="V1375" s="6">
        <v>70</v>
      </c>
      <c r="W1375" s="6">
        <v>73</v>
      </c>
      <c r="X1375" s="6">
        <v>58</v>
      </c>
      <c r="Y1375" s="6">
        <v>71</v>
      </c>
      <c r="Z1375" s="6">
        <v>79</v>
      </c>
      <c r="AA1375" s="6">
        <v>64</v>
      </c>
      <c r="AB1375" s="6">
        <v>66</v>
      </c>
      <c r="AC1375" s="6">
        <v>63</v>
      </c>
      <c r="AD1375" s="6">
        <v>57</v>
      </c>
      <c r="AE1375" s="6">
        <v>61</v>
      </c>
      <c r="AF1375" s="6">
        <v>55</v>
      </c>
      <c r="AG1375" s="6" t="s">
        <v>7126</v>
      </c>
      <c r="AH1375" s="6" t="s">
        <v>6623</v>
      </c>
    </row>
    <row r="1376" spans="1:34" x14ac:dyDescent="0.2">
      <c r="A1376" t="s">
        <v>3415</v>
      </c>
      <c r="B1376" t="s">
        <v>1679</v>
      </c>
      <c r="C1376" t="s">
        <v>53</v>
      </c>
      <c r="D1376" s="7" t="s">
        <v>139</v>
      </c>
      <c r="E1376" t="s">
        <v>38</v>
      </c>
      <c r="F1376">
        <v>22</v>
      </c>
      <c r="G1376">
        <v>71</v>
      </c>
      <c r="H1376">
        <v>69</v>
      </c>
      <c r="I1376" t="s">
        <v>6426</v>
      </c>
      <c r="J1376">
        <v>76</v>
      </c>
      <c r="K1376">
        <v>229</v>
      </c>
      <c r="L1376" t="s">
        <v>5109</v>
      </c>
      <c r="M1376" s="6" t="s">
        <v>6558</v>
      </c>
      <c r="N1376" s="6" t="s">
        <v>6583</v>
      </c>
      <c r="O1376" s="6">
        <v>77</v>
      </c>
      <c r="P1376" s="6">
        <v>67</v>
      </c>
      <c r="Q1376" s="6">
        <v>68</v>
      </c>
      <c r="R1376" s="6">
        <v>81</v>
      </c>
      <c r="S1376" s="6">
        <v>82</v>
      </c>
      <c r="T1376" s="6">
        <v>65</v>
      </c>
      <c r="U1376" s="6">
        <v>66</v>
      </c>
      <c r="V1376" s="6">
        <v>73</v>
      </c>
      <c r="W1376" s="6">
        <v>71</v>
      </c>
      <c r="X1376" s="6">
        <v>56</v>
      </c>
      <c r="Y1376" s="6">
        <v>85</v>
      </c>
      <c r="Z1376" s="6">
        <v>73</v>
      </c>
      <c r="AA1376" s="6">
        <v>69</v>
      </c>
      <c r="AB1376" s="6">
        <v>71</v>
      </c>
      <c r="AC1376" s="6">
        <v>63</v>
      </c>
      <c r="AD1376" s="6">
        <v>68</v>
      </c>
      <c r="AE1376" s="6">
        <v>71</v>
      </c>
      <c r="AF1376" s="6">
        <v>68</v>
      </c>
      <c r="AG1376" s="6" t="s">
        <v>7150</v>
      </c>
      <c r="AH1376" s="6" t="s">
        <v>6570</v>
      </c>
    </row>
    <row r="1377" spans="1:34" x14ac:dyDescent="0.2">
      <c r="A1377" t="s">
        <v>3441</v>
      </c>
      <c r="B1377" t="s">
        <v>1705</v>
      </c>
      <c r="C1377" t="s">
        <v>2877</v>
      </c>
      <c r="D1377" s="7" t="s">
        <v>139</v>
      </c>
      <c r="E1377" t="s">
        <v>38</v>
      </c>
      <c r="F1377">
        <v>25</v>
      </c>
      <c r="G1377">
        <v>76</v>
      </c>
      <c r="H1377">
        <v>69</v>
      </c>
      <c r="I1377" t="s">
        <v>6461</v>
      </c>
      <c r="J1377">
        <v>77</v>
      </c>
      <c r="K1377">
        <v>299</v>
      </c>
      <c r="L1377" t="s">
        <v>5135</v>
      </c>
      <c r="M1377" s="6" t="s">
        <v>6558</v>
      </c>
      <c r="N1377" s="6" t="s">
        <v>6565</v>
      </c>
      <c r="O1377" s="6">
        <v>78</v>
      </c>
      <c r="P1377" s="6">
        <v>74</v>
      </c>
      <c r="Q1377" s="6">
        <v>81</v>
      </c>
      <c r="R1377" s="6">
        <v>74</v>
      </c>
      <c r="S1377" s="6">
        <v>60</v>
      </c>
      <c r="T1377" s="6">
        <v>74</v>
      </c>
      <c r="U1377" s="6">
        <v>74</v>
      </c>
      <c r="V1377" s="6">
        <v>69</v>
      </c>
      <c r="W1377" s="6">
        <v>75</v>
      </c>
      <c r="X1377" s="6">
        <v>73</v>
      </c>
      <c r="Y1377" s="6">
        <v>68</v>
      </c>
      <c r="Z1377" s="6">
        <v>74</v>
      </c>
      <c r="AA1377" s="6">
        <v>64</v>
      </c>
      <c r="AB1377" s="6">
        <v>72</v>
      </c>
      <c r="AC1377" s="6">
        <v>68</v>
      </c>
      <c r="AD1377" s="6">
        <v>77</v>
      </c>
      <c r="AE1377" s="6">
        <v>64</v>
      </c>
      <c r="AF1377" s="6">
        <v>76</v>
      </c>
      <c r="AG1377" s="6" t="s">
        <v>7176</v>
      </c>
      <c r="AH1377" s="6" t="s">
        <v>6694</v>
      </c>
    </row>
    <row r="1378" spans="1:34" x14ac:dyDescent="0.2">
      <c r="A1378" t="s">
        <v>3446</v>
      </c>
      <c r="B1378" t="s">
        <v>1710</v>
      </c>
      <c r="C1378" t="s">
        <v>2878</v>
      </c>
      <c r="D1378" s="7" t="s">
        <v>139</v>
      </c>
      <c r="E1378" t="s">
        <v>38</v>
      </c>
      <c r="F1378">
        <v>29</v>
      </c>
      <c r="G1378">
        <v>77</v>
      </c>
      <c r="H1378">
        <v>69</v>
      </c>
      <c r="I1378" t="s">
        <v>6468</v>
      </c>
      <c r="J1378">
        <v>75</v>
      </c>
      <c r="K1378">
        <v>274</v>
      </c>
      <c r="L1378" t="s">
        <v>5140</v>
      </c>
      <c r="M1378" s="6" t="s">
        <v>6558</v>
      </c>
      <c r="N1378" s="6" t="s">
        <v>6567</v>
      </c>
      <c r="O1378" s="6">
        <v>79</v>
      </c>
      <c r="P1378" s="6">
        <v>65</v>
      </c>
      <c r="Q1378" s="6">
        <v>87</v>
      </c>
      <c r="R1378" s="6">
        <v>68</v>
      </c>
      <c r="S1378" s="6">
        <v>86</v>
      </c>
      <c r="T1378" s="6">
        <v>80</v>
      </c>
      <c r="U1378" s="6">
        <v>71</v>
      </c>
      <c r="V1378" s="6">
        <v>77</v>
      </c>
      <c r="W1378" s="6">
        <v>79</v>
      </c>
      <c r="X1378" s="6">
        <v>72</v>
      </c>
      <c r="Y1378" s="6">
        <v>87</v>
      </c>
      <c r="Z1378" s="6">
        <v>80</v>
      </c>
      <c r="AA1378" s="6">
        <v>74</v>
      </c>
      <c r="AB1378" s="6">
        <v>67</v>
      </c>
      <c r="AC1378" s="6">
        <v>66</v>
      </c>
      <c r="AD1378" s="6">
        <v>74</v>
      </c>
      <c r="AE1378" s="6">
        <v>70</v>
      </c>
      <c r="AF1378" s="6">
        <v>66</v>
      </c>
      <c r="AG1378" s="6" t="s">
        <v>7181</v>
      </c>
      <c r="AH1378" s="6" t="s">
        <v>6684</v>
      </c>
    </row>
    <row r="1379" spans="1:34" x14ac:dyDescent="0.2">
      <c r="A1379" t="s">
        <v>3454</v>
      </c>
      <c r="B1379" t="s">
        <v>1718</v>
      </c>
      <c r="C1379" t="s">
        <v>2880</v>
      </c>
      <c r="D1379" s="7" t="s">
        <v>139</v>
      </c>
      <c r="E1379" t="s">
        <v>38</v>
      </c>
      <c r="F1379">
        <v>26</v>
      </c>
      <c r="G1379">
        <v>58</v>
      </c>
      <c r="H1379">
        <v>69</v>
      </c>
      <c r="I1379" t="s">
        <v>6478</v>
      </c>
      <c r="J1379">
        <v>75</v>
      </c>
      <c r="K1379">
        <v>242</v>
      </c>
      <c r="L1379" t="s">
        <v>5148</v>
      </c>
      <c r="M1379" s="6" t="s">
        <v>6558</v>
      </c>
      <c r="N1379" s="6" t="s">
        <v>6565</v>
      </c>
      <c r="O1379" s="6">
        <v>65</v>
      </c>
      <c r="P1379" s="6">
        <v>64</v>
      </c>
      <c r="Q1379" s="6">
        <v>69</v>
      </c>
      <c r="R1379" s="6">
        <v>70</v>
      </c>
      <c r="S1379" s="6">
        <v>72</v>
      </c>
      <c r="T1379" s="6">
        <v>71</v>
      </c>
      <c r="U1379" s="6">
        <v>66</v>
      </c>
      <c r="V1379" s="6">
        <v>79</v>
      </c>
      <c r="W1379" s="6">
        <v>67</v>
      </c>
      <c r="X1379" s="6">
        <v>76</v>
      </c>
      <c r="Y1379" s="6">
        <v>66</v>
      </c>
      <c r="Z1379" s="6">
        <v>72</v>
      </c>
      <c r="AA1379" s="6">
        <v>66</v>
      </c>
      <c r="AB1379" s="6">
        <v>63</v>
      </c>
      <c r="AC1379" s="6">
        <v>65</v>
      </c>
      <c r="AD1379" s="6">
        <v>64</v>
      </c>
      <c r="AE1379" s="6">
        <v>68</v>
      </c>
      <c r="AF1379" s="6">
        <v>72</v>
      </c>
      <c r="AG1379" s="6" t="s">
        <v>7189</v>
      </c>
      <c r="AH1379" s="6" t="s">
        <v>6623</v>
      </c>
    </row>
    <row r="1380" spans="1:34" x14ac:dyDescent="0.2">
      <c r="A1380" t="s">
        <v>3461</v>
      </c>
      <c r="B1380" t="s">
        <v>1725</v>
      </c>
      <c r="C1380" t="s">
        <v>2882</v>
      </c>
      <c r="D1380" s="7" t="s">
        <v>139</v>
      </c>
      <c r="E1380" t="s">
        <v>38</v>
      </c>
      <c r="F1380">
        <v>29</v>
      </c>
      <c r="G1380">
        <v>73</v>
      </c>
      <c r="H1380">
        <v>69</v>
      </c>
      <c r="I1380" t="s">
        <v>6487</v>
      </c>
      <c r="J1380">
        <v>72</v>
      </c>
      <c r="K1380">
        <v>190</v>
      </c>
      <c r="L1380" t="s">
        <v>5155</v>
      </c>
      <c r="M1380" s="6" t="s">
        <v>6558</v>
      </c>
      <c r="N1380" s="6" t="s">
        <v>6567</v>
      </c>
      <c r="O1380" s="6">
        <v>75</v>
      </c>
      <c r="P1380" s="6">
        <v>79</v>
      </c>
      <c r="Q1380" s="6">
        <v>64</v>
      </c>
      <c r="R1380" s="6">
        <v>68</v>
      </c>
      <c r="S1380" s="6">
        <v>79</v>
      </c>
      <c r="T1380" s="6">
        <v>80</v>
      </c>
      <c r="U1380" s="6">
        <v>79</v>
      </c>
      <c r="V1380" s="6">
        <v>80</v>
      </c>
      <c r="W1380" s="6">
        <v>81</v>
      </c>
      <c r="X1380" s="6">
        <v>78</v>
      </c>
      <c r="Y1380" s="6">
        <v>74</v>
      </c>
      <c r="Z1380" s="6">
        <v>71</v>
      </c>
      <c r="AA1380" s="6">
        <v>71</v>
      </c>
      <c r="AB1380" s="6">
        <v>78</v>
      </c>
      <c r="AC1380" s="6">
        <v>68</v>
      </c>
      <c r="AD1380" s="6">
        <v>70</v>
      </c>
      <c r="AE1380" s="6">
        <v>68</v>
      </c>
      <c r="AF1380" s="6">
        <v>69</v>
      </c>
      <c r="AG1380" s="6" t="s">
        <v>7196</v>
      </c>
      <c r="AH1380" s="6" t="s">
        <v>6636</v>
      </c>
    </row>
    <row r="1381" spans="1:34" x14ac:dyDescent="0.2">
      <c r="A1381" t="s">
        <v>3479</v>
      </c>
      <c r="B1381" t="s">
        <v>1743</v>
      </c>
      <c r="C1381" t="s">
        <v>57</v>
      </c>
      <c r="D1381" s="7" t="s">
        <v>140</v>
      </c>
      <c r="E1381" t="s">
        <v>38</v>
      </c>
      <c r="F1381">
        <v>26</v>
      </c>
      <c r="G1381">
        <v>80</v>
      </c>
      <c r="H1381">
        <v>69</v>
      </c>
      <c r="I1381" t="s">
        <v>6376</v>
      </c>
      <c r="J1381">
        <v>75</v>
      </c>
      <c r="K1381">
        <v>191</v>
      </c>
      <c r="L1381" t="s">
        <v>5173</v>
      </c>
      <c r="M1381" s="6" t="s">
        <v>6558</v>
      </c>
      <c r="N1381" s="6" t="s">
        <v>6565</v>
      </c>
      <c r="O1381" s="6">
        <v>82</v>
      </c>
      <c r="P1381" s="6">
        <v>72</v>
      </c>
      <c r="Q1381" s="6">
        <v>83</v>
      </c>
      <c r="R1381" s="6">
        <v>72</v>
      </c>
      <c r="S1381" s="6">
        <v>79</v>
      </c>
      <c r="T1381" s="6">
        <v>82</v>
      </c>
      <c r="U1381" s="6">
        <v>89</v>
      </c>
      <c r="V1381" s="6">
        <v>71</v>
      </c>
      <c r="W1381" s="6">
        <v>90</v>
      </c>
      <c r="X1381" s="6">
        <v>80</v>
      </c>
      <c r="Y1381" s="6">
        <v>77</v>
      </c>
      <c r="Z1381" s="6">
        <v>80</v>
      </c>
      <c r="AA1381" s="6">
        <v>79</v>
      </c>
      <c r="AB1381" s="6">
        <v>84</v>
      </c>
      <c r="AC1381" s="6">
        <v>70</v>
      </c>
      <c r="AD1381" s="6">
        <v>74</v>
      </c>
      <c r="AE1381" s="6">
        <v>78</v>
      </c>
      <c r="AF1381" s="6">
        <v>76</v>
      </c>
      <c r="AG1381" s="6" t="s">
        <v>7214</v>
      </c>
      <c r="AH1381" s="6" t="s">
        <v>6658</v>
      </c>
    </row>
    <row r="1382" spans="1:34" x14ac:dyDescent="0.2">
      <c r="A1382" t="s">
        <v>3486</v>
      </c>
      <c r="B1382" t="s">
        <v>1750</v>
      </c>
      <c r="C1382" t="s">
        <v>2872</v>
      </c>
      <c r="D1382" s="7" t="s">
        <v>140</v>
      </c>
      <c r="E1382" t="s">
        <v>38</v>
      </c>
      <c r="F1382">
        <v>23</v>
      </c>
      <c r="G1382">
        <v>75</v>
      </c>
      <c r="H1382">
        <v>69</v>
      </c>
      <c r="I1382" t="s">
        <v>6369</v>
      </c>
      <c r="J1382">
        <v>79</v>
      </c>
      <c r="K1382">
        <v>304</v>
      </c>
      <c r="L1382" t="s">
        <v>5180</v>
      </c>
      <c r="M1382" s="6" t="s">
        <v>6558</v>
      </c>
      <c r="N1382" s="6" t="s">
        <v>6614</v>
      </c>
      <c r="O1382" s="6">
        <v>73</v>
      </c>
      <c r="P1382" s="6">
        <v>59</v>
      </c>
      <c r="Q1382" s="6">
        <v>70</v>
      </c>
      <c r="R1382" s="6">
        <v>62</v>
      </c>
      <c r="S1382" s="6">
        <v>69</v>
      </c>
      <c r="T1382" s="6">
        <v>58</v>
      </c>
      <c r="U1382" s="6">
        <v>72</v>
      </c>
      <c r="V1382" s="6">
        <v>65</v>
      </c>
      <c r="W1382" s="6">
        <v>70</v>
      </c>
      <c r="X1382" s="6">
        <v>69</v>
      </c>
      <c r="Y1382" s="6">
        <v>71</v>
      </c>
      <c r="Z1382" s="6">
        <v>65</v>
      </c>
      <c r="AA1382" s="6">
        <v>68</v>
      </c>
      <c r="AB1382" s="6">
        <v>64</v>
      </c>
      <c r="AC1382" s="6">
        <v>71</v>
      </c>
      <c r="AD1382" s="6">
        <v>69</v>
      </c>
      <c r="AE1382" s="6">
        <v>69</v>
      </c>
      <c r="AF1382" s="6">
        <v>69</v>
      </c>
      <c r="AG1382" s="6" t="s">
        <v>7222</v>
      </c>
      <c r="AH1382" s="6" t="s">
        <v>6593</v>
      </c>
    </row>
    <row r="1383" spans="1:34" x14ac:dyDescent="0.2">
      <c r="A1383" t="s">
        <v>3501</v>
      </c>
      <c r="B1383" t="s">
        <v>1765</v>
      </c>
      <c r="C1383" t="s">
        <v>2879</v>
      </c>
      <c r="D1383" s="7" t="s">
        <v>140</v>
      </c>
      <c r="E1383" t="s">
        <v>38</v>
      </c>
      <c r="F1383">
        <v>25</v>
      </c>
      <c r="G1383">
        <v>81</v>
      </c>
      <c r="H1383">
        <v>69</v>
      </c>
      <c r="I1383" t="s">
        <v>6332</v>
      </c>
      <c r="J1383">
        <v>75</v>
      </c>
      <c r="K1383">
        <v>324</v>
      </c>
      <c r="L1383" t="s">
        <v>5195</v>
      </c>
      <c r="M1383" s="6" t="s">
        <v>6558</v>
      </c>
      <c r="N1383" s="6" t="s">
        <v>6565</v>
      </c>
      <c r="O1383" s="6">
        <v>74</v>
      </c>
      <c r="P1383" s="6">
        <v>80</v>
      </c>
      <c r="Q1383" s="6">
        <v>70</v>
      </c>
      <c r="R1383" s="6">
        <v>73</v>
      </c>
      <c r="S1383" s="6">
        <v>78</v>
      </c>
      <c r="T1383" s="6">
        <v>71</v>
      </c>
      <c r="U1383" s="6">
        <v>78</v>
      </c>
      <c r="V1383" s="6">
        <v>79</v>
      </c>
      <c r="W1383" s="6">
        <v>76</v>
      </c>
      <c r="X1383" s="6">
        <v>67</v>
      </c>
      <c r="Y1383" s="6">
        <v>76</v>
      </c>
      <c r="Z1383" s="6">
        <v>71</v>
      </c>
      <c r="AA1383" s="6">
        <v>76</v>
      </c>
      <c r="AB1383" s="6">
        <v>77</v>
      </c>
      <c r="AC1383" s="6">
        <v>69</v>
      </c>
      <c r="AD1383" s="6">
        <v>66</v>
      </c>
      <c r="AE1383" s="6">
        <v>75</v>
      </c>
      <c r="AF1383" s="6">
        <v>77</v>
      </c>
      <c r="AG1383" s="6" t="s">
        <v>7237</v>
      </c>
      <c r="AH1383" s="6" t="s">
        <v>6806</v>
      </c>
    </row>
    <row r="1384" spans="1:34" x14ac:dyDescent="0.2">
      <c r="A1384" t="s">
        <v>3505</v>
      </c>
      <c r="B1384" t="s">
        <v>1769</v>
      </c>
      <c r="C1384" t="s">
        <v>2880</v>
      </c>
      <c r="D1384" s="7" t="s">
        <v>140</v>
      </c>
      <c r="E1384" t="s">
        <v>38</v>
      </c>
      <c r="F1384">
        <v>28</v>
      </c>
      <c r="G1384">
        <v>73</v>
      </c>
      <c r="H1384">
        <v>69</v>
      </c>
      <c r="I1384" t="s">
        <v>6305</v>
      </c>
      <c r="J1384">
        <v>75</v>
      </c>
      <c r="K1384">
        <v>245</v>
      </c>
      <c r="L1384" t="s">
        <v>5199</v>
      </c>
      <c r="M1384" s="6" t="s">
        <v>6558</v>
      </c>
      <c r="N1384" s="6" t="s">
        <v>6567</v>
      </c>
      <c r="O1384" s="6">
        <v>73</v>
      </c>
      <c r="P1384" s="6">
        <v>78</v>
      </c>
      <c r="Q1384" s="6">
        <v>68</v>
      </c>
      <c r="R1384" s="6">
        <v>68</v>
      </c>
      <c r="S1384" s="6">
        <v>74</v>
      </c>
      <c r="T1384" s="6">
        <v>71</v>
      </c>
      <c r="U1384" s="6">
        <v>71</v>
      </c>
      <c r="V1384" s="6">
        <v>68</v>
      </c>
      <c r="W1384" s="6">
        <v>74</v>
      </c>
      <c r="X1384" s="6">
        <v>82</v>
      </c>
      <c r="Y1384" s="6">
        <v>68</v>
      </c>
      <c r="Z1384" s="6">
        <v>72</v>
      </c>
      <c r="AA1384" s="6">
        <v>61</v>
      </c>
      <c r="AB1384" s="6">
        <v>70</v>
      </c>
      <c r="AC1384" s="6">
        <v>63</v>
      </c>
      <c r="AD1384" s="6">
        <v>79</v>
      </c>
      <c r="AE1384" s="6">
        <v>68</v>
      </c>
      <c r="AF1384" s="6">
        <v>75</v>
      </c>
      <c r="AG1384" s="6" t="s">
        <v>7241</v>
      </c>
      <c r="AH1384" s="6" t="s">
        <v>6623</v>
      </c>
    </row>
    <row r="1385" spans="1:34" x14ac:dyDescent="0.2">
      <c r="A1385" t="s">
        <v>3508</v>
      </c>
      <c r="B1385" t="s">
        <v>1772</v>
      </c>
      <c r="C1385" t="s">
        <v>61</v>
      </c>
      <c r="D1385" s="7" t="s">
        <v>140</v>
      </c>
      <c r="E1385" t="s">
        <v>38</v>
      </c>
      <c r="F1385">
        <v>28</v>
      </c>
      <c r="G1385">
        <v>74</v>
      </c>
      <c r="H1385">
        <v>69</v>
      </c>
      <c r="I1385" t="s">
        <v>6341</v>
      </c>
      <c r="J1385">
        <v>71</v>
      </c>
      <c r="K1385">
        <v>182</v>
      </c>
      <c r="L1385" t="s">
        <v>5202</v>
      </c>
      <c r="M1385" s="6" t="s">
        <v>6558</v>
      </c>
      <c r="N1385" s="6" t="s">
        <v>6565</v>
      </c>
      <c r="O1385" s="6">
        <v>63</v>
      </c>
      <c r="P1385" s="6">
        <v>81</v>
      </c>
      <c r="Q1385" s="6">
        <v>79</v>
      </c>
      <c r="R1385" s="6">
        <v>72</v>
      </c>
      <c r="S1385" s="6">
        <v>87</v>
      </c>
      <c r="T1385" s="6">
        <v>73</v>
      </c>
      <c r="U1385" s="6">
        <v>72</v>
      </c>
      <c r="V1385" s="6">
        <v>75</v>
      </c>
      <c r="W1385" s="6">
        <v>71</v>
      </c>
      <c r="X1385" s="6">
        <v>79</v>
      </c>
      <c r="Y1385" s="6">
        <v>70</v>
      </c>
      <c r="Z1385" s="6">
        <v>73</v>
      </c>
      <c r="AA1385" s="6">
        <v>75</v>
      </c>
      <c r="AB1385" s="6">
        <v>83</v>
      </c>
      <c r="AC1385" s="6">
        <v>78</v>
      </c>
      <c r="AD1385" s="6">
        <v>73</v>
      </c>
      <c r="AE1385" s="6">
        <v>83</v>
      </c>
      <c r="AF1385" s="6">
        <v>70</v>
      </c>
      <c r="AG1385" s="6" t="s">
        <v>7244</v>
      </c>
      <c r="AH1385" s="6" t="s">
        <v>6630</v>
      </c>
    </row>
    <row r="1386" spans="1:34" x14ac:dyDescent="0.2">
      <c r="A1386" t="s">
        <v>3525</v>
      </c>
      <c r="B1386" t="s">
        <v>1789</v>
      </c>
      <c r="C1386" t="s">
        <v>2870</v>
      </c>
      <c r="D1386" s="7" t="s">
        <v>141</v>
      </c>
      <c r="E1386" t="s">
        <v>38</v>
      </c>
      <c r="F1386">
        <v>26</v>
      </c>
      <c r="G1386">
        <v>81</v>
      </c>
      <c r="H1386">
        <v>69</v>
      </c>
      <c r="I1386" t="s">
        <v>6354</v>
      </c>
      <c r="J1386">
        <v>68</v>
      </c>
      <c r="K1386">
        <v>217</v>
      </c>
      <c r="L1386" t="s">
        <v>5219</v>
      </c>
      <c r="M1386" s="6" t="s">
        <v>6558</v>
      </c>
      <c r="N1386" s="6" t="s">
        <v>6565</v>
      </c>
      <c r="O1386" s="6">
        <v>87</v>
      </c>
      <c r="P1386" s="6">
        <v>73</v>
      </c>
      <c r="Q1386" s="6">
        <v>85</v>
      </c>
      <c r="R1386" s="6">
        <v>73</v>
      </c>
      <c r="S1386" s="6">
        <v>94</v>
      </c>
      <c r="T1386" s="6">
        <v>89</v>
      </c>
      <c r="U1386" s="6">
        <v>82</v>
      </c>
      <c r="V1386" s="6">
        <v>84</v>
      </c>
      <c r="W1386" s="6">
        <v>78</v>
      </c>
      <c r="X1386" s="6">
        <v>73</v>
      </c>
      <c r="Y1386" s="6">
        <v>85</v>
      </c>
      <c r="Z1386" s="6">
        <v>76</v>
      </c>
      <c r="AA1386" s="6">
        <v>80</v>
      </c>
      <c r="AB1386" s="6">
        <v>78</v>
      </c>
      <c r="AC1386" s="6">
        <v>84</v>
      </c>
      <c r="AD1386" s="6">
        <v>83</v>
      </c>
      <c r="AE1386" s="6">
        <v>74</v>
      </c>
      <c r="AF1386" s="6">
        <v>75</v>
      </c>
      <c r="AG1386" s="6" t="s">
        <v>7262</v>
      </c>
      <c r="AH1386" s="6" t="s">
        <v>6994</v>
      </c>
    </row>
    <row r="1387" spans="1:34" x14ac:dyDescent="0.2">
      <c r="A1387" t="s">
        <v>3529</v>
      </c>
      <c r="B1387" t="s">
        <v>1793</v>
      </c>
      <c r="C1387" t="s">
        <v>2870</v>
      </c>
      <c r="D1387" s="7" t="s">
        <v>141</v>
      </c>
      <c r="E1387" t="s">
        <v>38</v>
      </c>
      <c r="F1387">
        <v>25</v>
      </c>
      <c r="G1387">
        <v>68</v>
      </c>
      <c r="H1387">
        <v>69</v>
      </c>
      <c r="I1387" t="s">
        <v>6327</v>
      </c>
      <c r="J1387">
        <v>71</v>
      </c>
      <c r="K1387">
        <v>225</v>
      </c>
      <c r="L1387" t="s">
        <v>5223</v>
      </c>
      <c r="M1387" s="6" t="s">
        <v>6624</v>
      </c>
      <c r="N1387" s="6" t="s">
        <v>6614</v>
      </c>
      <c r="O1387" s="6">
        <v>71</v>
      </c>
      <c r="P1387" s="6">
        <v>63</v>
      </c>
      <c r="Q1387" s="6">
        <v>69</v>
      </c>
      <c r="R1387" s="6">
        <v>59</v>
      </c>
      <c r="S1387" s="6">
        <v>65</v>
      </c>
      <c r="T1387" s="6">
        <v>65</v>
      </c>
      <c r="U1387" s="6">
        <v>67</v>
      </c>
      <c r="V1387" s="6">
        <v>74</v>
      </c>
      <c r="W1387" s="6">
        <v>63</v>
      </c>
      <c r="X1387" s="6">
        <v>77</v>
      </c>
      <c r="Y1387" s="6">
        <v>57</v>
      </c>
      <c r="Z1387" s="6">
        <v>74</v>
      </c>
      <c r="AA1387" s="6">
        <v>67</v>
      </c>
      <c r="AB1387" s="6">
        <v>69</v>
      </c>
      <c r="AC1387" s="6">
        <v>65</v>
      </c>
      <c r="AD1387" s="6">
        <v>62</v>
      </c>
      <c r="AE1387" s="6">
        <v>66</v>
      </c>
      <c r="AF1387" s="6">
        <v>70</v>
      </c>
      <c r="AG1387" s="6" t="s">
        <v>7266</v>
      </c>
      <c r="AH1387" s="6" t="s">
        <v>6656</v>
      </c>
    </row>
    <row r="1388" spans="1:34" x14ac:dyDescent="0.2">
      <c r="A1388" t="s">
        <v>3530</v>
      </c>
      <c r="B1388" t="s">
        <v>1794</v>
      </c>
      <c r="C1388" t="s">
        <v>2870</v>
      </c>
      <c r="D1388" s="7" t="s">
        <v>141</v>
      </c>
      <c r="E1388" t="s">
        <v>38</v>
      </c>
      <c r="F1388">
        <v>29</v>
      </c>
      <c r="G1388">
        <v>67</v>
      </c>
      <c r="H1388">
        <v>69</v>
      </c>
      <c r="I1388" t="s">
        <v>6324</v>
      </c>
      <c r="J1388">
        <v>70</v>
      </c>
      <c r="K1388">
        <v>207</v>
      </c>
      <c r="L1388" t="s">
        <v>5224</v>
      </c>
      <c r="M1388" s="6" t="s">
        <v>6558</v>
      </c>
      <c r="N1388" s="6" t="s">
        <v>6567</v>
      </c>
      <c r="O1388" s="6">
        <v>67</v>
      </c>
      <c r="P1388" s="6">
        <v>75</v>
      </c>
      <c r="Q1388" s="6">
        <v>72</v>
      </c>
      <c r="R1388" s="6">
        <v>68</v>
      </c>
      <c r="S1388" s="6">
        <v>76</v>
      </c>
      <c r="T1388" s="6">
        <v>63</v>
      </c>
      <c r="U1388" s="6">
        <v>64</v>
      </c>
      <c r="V1388" s="6">
        <v>67</v>
      </c>
      <c r="W1388" s="6">
        <v>65</v>
      </c>
      <c r="X1388" s="6">
        <v>72</v>
      </c>
      <c r="Y1388" s="6">
        <v>82</v>
      </c>
      <c r="Z1388" s="6">
        <v>79</v>
      </c>
      <c r="AA1388" s="6">
        <v>64</v>
      </c>
      <c r="AB1388" s="6">
        <v>68</v>
      </c>
      <c r="AC1388" s="6">
        <v>59</v>
      </c>
      <c r="AD1388" s="6">
        <v>63</v>
      </c>
      <c r="AE1388" s="6">
        <v>68</v>
      </c>
      <c r="AF1388" s="6">
        <v>68</v>
      </c>
      <c r="AG1388" s="6" t="s">
        <v>7267</v>
      </c>
      <c r="AH1388" s="6" t="s">
        <v>6885</v>
      </c>
    </row>
    <row r="1389" spans="1:34" x14ac:dyDescent="0.2">
      <c r="A1389" t="s">
        <v>3533</v>
      </c>
      <c r="B1389" t="s">
        <v>1797</v>
      </c>
      <c r="C1389" t="s">
        <v>57</v>
      </c>
      <c r="D1389" s="7" t="s">
        <v>141</v>
      </c>
      <c r="E1389" t="s">
        <v>58</v>
      </c>
      <c r="F1389">
        <v>30</v>
      </c>
      <c r="G1389">
        <v>81</v>
      </c>
      <c r="H1389">
        <v>69</v>
      </c>
      <c r="I1389" t="s">
        <v>6357</v>
      </c>
      <c r="J1389">
        <v>70</v>
      </c>
      <c r="K1389">
        <v>208</v>
      </c>
      <c r="L1389" t="s">
        <v>5227</v>
      </c>
      <c r="M1389" s="6" t="s">
        <v>6558</v>
      </c>
      <c r="N1389" s="6" t="s">
        <v>6565</v>
      </c>
      <c r="O1389" s="6">
        <v>81</v>
      </c>
      <c r="P1389" s="6">
        <v>73</v>
      </c>
      <c r="Q1389" s="6">
        <v>77</v>
      </c>
      <c r="R1389" s="6">
        <v>70</v>
      </c>
      <c r="S1389" s="6">
        <v>75</v>
      </c>
      <c r="T1389" s="6">
        <v>82</v>
      </c>
      <c r="U1389" s="6">
        <v>77</v>
      </c>
      <c r="V1389" s="6">
        <v>76</v>
      </c>
      <c r="W1389" s="6">
        <v>78</v>
      </c>
      <c r="X1389" s="6">
        <v>72</v>
      </c>
      <c r="Y1389" s="6">
        <v>82</v>
      </c>
      <c r="Z1389" s="6">
        <v>76</v>
      </c>
      <c r="AA1389" s="6">
        <v>68</v>
      </c>
      <c r="AB1389" s="6">
        <v>65</v>
      </c>
      <c r="AC1389" s="6">
        <v>70</v>
      </c>
      <c r="AD1389" s="6">
        <v>76</v>
      </c>
      <c r="AE1389" s="6">
        <v>72</v>
      </c>
      <c r="AF1389" s="6">
        <v>78</v>
      </c>
      <c r="AG1389" s="6" t="s">
        <v>7270</v>
      </c>
      <c r="AH1389" s="6" t="s">
        <v>6782</v>
      </c>
    </row>
    <row r="1390" spans="1:34" x14ac:dyDescent="0.2">
      <c r="A1390" t="s">
        <v>3536</v>
      </c>
      <c r="B1390" t="s">
        <v>1800</v>
      </c>
      <c r="C1390" t="s">
        <v>57</v>
      </c>
      <c r="D1390" s="7" t="s">
        <v>141</v>
      </c>
      <c r="E1390" t="s">
        <v>38</v>
      </c>
      <c r="F1390">
        <v>29</v>
      </c>
      <c r="G1390">
        <v>73</v>
      </c>
      <c r="H1390">
        <v>69</v>
      </c>
      <c r="I1390" t="s">
        <v>6358</v>
      </c>
      <c r="J1390">
        <v>69</v>
      </c>
      <c r="K1390">
        <v>225</v>
      </c>
      <c r="L1390" t="s">
        <v>5230</v>
      </c>
      <c r="M1390" s="6" t="s">
        <v>6558</v>
      </c>
      <c r="N1390" s="6" t="s">
        <v>6567</v>
      </c>
      <c r="O1390" s="6">
        <v>74</v>
      </c>
      <c r="P1390" s="6">
        <v>77</v>
      </c>
      <c r="Q1390" s="6">
        <v>82</v>
      </c>
      <c r="R1390" s="6">
        <v>66</v>
      </c>
      <c r="S1390" s="6">
        <v>79</v>
      </c>
      <c r="T1390" s="6">
        <v>74</v>
      </c>
      <c r="U1390" s="6">
        <v>76</v>
      </c>
      <c r="V1390" s="6">
        <v>72</v>
      </c>
      <c r="W1390" s="6">
        <v>77</v>
      </c>
      <c r="X1390" s="6">
        <v>77</v>
      </c>
      <c r="Y1390" s="6">
        <v>73</v>
      </c>
      <c r="Z1390" s="6">
        <v>82</v>
      </c>
      <c r="AA1390" s="6">
        <v>70</v>
      </c>
      <c r="AB1390" s="6">
        <v>67</v>
      </c>
      <c r="AC1390" s="6">
        <v>69</v>
      </c>
      <c r="AD1390" s="6">
        <v>65</v>
      </c>
      <c r="AE1390" s="6">
        <v>68</v>
      </c>
      <c r="AF1390" s="6">
        <v>73</v>
      </c>
      <c r="AG1390" s="6" t="s">
        <v>7273</v>
      </c>
      <c r="AH1390" s="6" t="s">
        <v>6782</v>
      </c>
    </row>
    <row r="1391" spans="1:34" x14ac:dyDescent="0.2">
      <c r="A1391" t="s">
        <v>3539</v>
      </c>
      <c r="B1391" t="s">
        <v>1803</v>
      </c>
      <c r="C1391" t="s">
        <v>57</v>
      </c>
      <c r="D1391" s="7" t="s">
        <v>141</v>
      </c>
      <c r="E1391" t="s">
        <v>38</v>
      </c>
      <c r="F1391">
        <v>22</v>
      </c>
      <c r="G1391">
        <v>67</v>
      </c>
      <c r="H1391">
        <v>69</v>
      </c>
      <c r="I1391" t="s">
        <v>6310</v>
      </c>
      <c r="J1391">
        <v>71</v>
      </c>
      <c r="K1391">
        <v>210</v>
      </c>
      <c r="L1391" t="s">
        <v>5233</v>
      </c>
      <c r="M1391" s="6" t="s">
        <v>6558</v>
      </c>
      <c r="N1391" s="6" t="s">
        <v>6565</v>
      </c>
      <c r="O1391" s="6">
        <v>69</v>
      </c>
      <c r="P1391" s="6">
        <v>61</v>
      </c>
      <c r="Q1391" s="6">
        <v>65</v>
      </c>
      <c r="R1391" s="6">
        <v>70</v>
      </c>
      <c r="S1391" s="6">
        <v>69</v>
      </c>
      <c r="T1391" s="6">
        <v>77</v>
      </c>
      <c r="U1391" s="6">
        <v>76</v>
      </c>
      <c r="V1391" s="6">
        <v>72</v>
      </c>
      <c r="W1391" s="6">
        <v>66</v>
      </c>
      <c r="X1391" s="6">
        <v>59</v>
      </c>
      <c r="Y1391" s="6">
        <v>69</v>
      </c>
      <c r="Z1391" s="6">
        <v>79</v>
      </c>
      <c r="AA1391" s="6">
        <v>74</v>
      </c>
      <c r="AB1391" s="6">
        <v>67</v>
      </c>
      <c r="AC1391" s="6">
        <v>78</v>
      </c>
      <c r="AD1391" s="6">
        <v>70</v>
      </c>
      <c r="AE1391" s="6">
        <v>72</v>
      </c>
      <c r="AF1391" s="6">
        <v>80</v>
      </c>
      <c r="AG1391" s="6" t="s">
        <v>7276</v>
      </c>
      <c r="AH1391" s="6" t="s">
        <v>6670</v>
      </c>
    </row>
    <row r="1392" spans="1:34" x14ac:dyDescent="0.2">
      <c r="A1392" t="s">
        <v>3550</v>
      </c>
      <c r="B1392" t="s">
        <v>1814</v>
      </c>
      <c r="C1392" t="s">
        <v>2876</v>
      </c>
      <c r="D1392" s="7" t="s">
        <v>141</v>
      </c>
      <c r="E1392" t="s">
        <v>38</v>
      </c>
      <c r="F1392">
        <v>30</v>
      </c>
      <c r="G1392">
        <v>75</v>
      </c>
      <c r="H1392">
        <v>69</v>
      </c>
      <c r="I1392" t="s">
        <v>6320</v>
      </c>
      <c r="J1392">
        <v>75</v>
      </c>
      <c r="K1392">
        <v>311</v>
      </c>
      <c r="L1392" t="s">
        <v>5244</v>
      </c>
      <c r="M1392" s="6" t="s">
        <v>6558</v>
      </c>
      <c r="N1392" s="6" t="s">
        <v>6567</v>
      </c>
      <c r="O1392" s="6">
        <v>74</v>
      </c>
      <c r="P1392" s="6">
        <v>84</v>
      </c>
      <c r="Q1392" s="6">
        <v>75</v>
      </c>
      <c r="R1392" s="6">
        <v>67</v>
      </c>
      <c r="S1392" s="6">
        <v>87</v>
      </c>
      <c r="T1392" s="6">
        <v>72</v>
      </c>
      <c r="U1392" s="6">
        <v>75</v>
      </c>
      <c r="V1392" s="6">
        <v>71</v>
      </c>
      <c r="W1392" s="6">
        <v>80</v>
      </c>
      <c r="X1392" s="6">
        <v>85</v>
      </c>
      <c r="Y1392" s="6">
        <v>82</v>
      </c>
      <c r="Z1392" s="6">
        <v>79</v>
      </c>
      <c r="AA1392" s="6">
        <v>70</v>
      </c>
      <c r="AB1392" s="6">
        <v>77</v>
      </c>
      <c r="AC1392" s="6">
        <v>71</v>
      </c>
      <c r="AD1392" s="6">
        <v>70</v>
      </c>
      <c r="AE1392" s="6">
        <v>71</v>
      </c>
      <c r="AF1392" s="6">
        <v>74</v>
      </c>
      <c r="AG1392" s="6" t="s">
        <v>7287</v>
      </c>
      <c r="AH1392" s="6" t="s">
        <v>6598</v>
      </c>
    </row>
    <row r="1393" spans="1:34" x14ac:dyDescent="0.2">
      <c r="A1393" t="s">
        <v>3551</v>
      </c>
      <c r="B1393" t="s">
        <v>1815</v>
      </c>
      <c r="C1393" t="s">
        <v>2877</v>
      </c>
      <c r="D1393" s="7" t="s">
        <v>141</v>
      </c>
      <c r="E1393" t="s">
        <v>38</v>
      </c>
      <c r="F1393">
        <v>25</v>
      </c>
      <c r="G1393">
        <v>82</v>
      </c>
      <c r="H1393">
        <v>69</v>
      </c>
      <c r="I1393" t="s">
        <v>6321</v>
      </c>
      <c r="J1393">
        <v>76</v>
      </c>
      <c r="K1393">
        <v>313</v>
      </c>
      <c r="L1393" t="s">
        <v>5245</v>
      </c>
      <c r="M1393" s="6" t="s">
        <v>6558</v>
      </c>
      <c r="N1393" s="6" t="s">
        <v>6583</v>
      </c>
      <c r="O1393" s="6">
        <v>85</v>
      </c>
      <c r="P1393" s="6">
        <v>69</v>
      </c>
      <c r="Q1393" s="6">
        <v>73</v>
      </c>
      <c r="R1393" s="6">
        <v>81</v>
      </c>
      <c r="S1393" s="6">
        <v>70</v>
      </c>
      <c r="T1393" s="6">
        <v>70</v>
      </c>
      <c r="U1393" s="6">
        <v>82</v>
      </c>
      <c r="V1393" s="6">
        <v>79</v>
      </c>
      <c r="W1393" s="6">
        <v>81</v>
      </c>
      <c r="X1393" s="6">
        <v>75</v>
      </c>
      <c r="Y1393" s="6">
        <v>80</v>
      </c>
      <c r="Z1393" s="6">
        <v>75</v>
      </c>
      <c r="AA1393" s="6">
        <v>75</v>
      </c>
      <c r="AB1393" s="6">
        <v>75</v>
      </c>
      <c r="AC1393" s="6">
        <v>78</v>
      </c>
      <c r="AD1393" s="6">
        <v>72</v>
      </c>
      <c r="AE1393" s="6">
        <v>75</v>
      </c>
      <c r="AF1393" s="6">
        <v>76</v>
      </c>
      <c r="AG1393" s="6" t="s">
        <v>7288</v>
      </c>
      <c r="AH1393" s="6" t="s">
        <v>6680</v>
      </c>
    </row>
    <row r="1394" spans="1:34" x14ac:dyDescent="0.2">
      <c r="A1394" t="s">
        <v>3552</v>
      </c>
      <c r="B1394" t="s">
        <v>1816</v>
      </c>
      <c r="C1394" t="s">
        <v>2878</v>
      </c>
      <c r="D1394" s="7" t="s">
        <v>141</v>
      </c>
      <c r="E1394" t="s">
        <v>38</v>
      </c>
      <c r="F1394">
        <v>28</v>
      </c>
      <c r="G1394">
        <v>78</v>
      </c>
      <c r="H1394">
        <v>69</v>
      </c>
      <c r="I1394" t="s">
        <v>6345</v>
      </c>
      <c r="J1394">
        <v>76</v>
      </c>
      <c r="K1394">
        <v>273</v>
      </c>
      <c r="L1394" t="s">
        <v>5246</v>
      </c>
      <c r="M1394" s="6" t="s">
        <v>6558</v>
      </c>
      <c r="N1394" s="6" t="s">
        <v>6559</v>
      </c>
      <c r="O1394" s="6">
        <v>76</v>
      </c>
      <c r="P1394" s="6">
        <v>68</v>
      </c>
      <c r="Q1394" s="6">
        <v>78</v>
      </c>
      <c r="R1394" s="6">
        <v>83</v>
      </c>
      <c r="S1394" s="6">
        <v>80</v>
      </c>
      <c r="T1394" s="6">
        <v>69</v>
      </c>
      <c r="U1394" s="6">
        <v>72</v>
      </c>
      <c r="V1394" s="6">
        <v>72</v>
      </c>
      <c r="W1394" s="6">
        <v>77</v>
      </c>
      <c r="X1394" s="6">
        <v>80</v>
      </c>
      <c r="Y1394" s="6">
        <v>80</v>
      </c>
      <c r="Z1394" s="6">
        <v>73</v>
      </c>
      <c r="AA1394" s="6">
        <v>76</v>
      </c>
      <c r="AB1394" s="6">
        <v>72</v>
      </c>
      <c r="AC1394" s="6">
        <v>71</v>
      </c>
      <c r="AD1394" s="6">
        <v>75</v>
      </c>
      <c r="AE1394" s="6">
        <v>68</v>
      </c>
      <c r="AF1394" s="6">
        <v>72</v>
      </c>
      <c r="AG1394" s="6" t="s">
        <v>7289</v>
      </c>
      <c r="AH1394" s="6" t="s">
        <v>6963</v>
      </c>
    </row>
    <row r="1395" spans="1:34" x14ac:dyDescent="0.2">
      <c r="A1395" t="s">
        <v>3571</v>
      </c>
      <c r="B1395" t="s">
        <v>1835</v>
      </c>
      <c r="C1395" t="s">
        <v>2888</v>
      </c>
      <c r="D1395" s="7" t="s">
        <v>141</v>
      </c>
      <c r="E1395" t="s">
        <v>58</v>
      </c>
      <c r="F1395">
        <v>27</v>
      </c>
      <c r="G1395">
        <v>59</v>
      </c>
      <c r="H1395">
        <v>69</v>
      </c>
      <c r="I1395" t="s">
        <v>6417</v>
      </c>
      <c r="J1395">
        <v>70</v>
      </c>
      <c r="K1395">
        <v>215</v>
      </c>
      <c r="L1395" t="s">
        <v>5265</v>
      </c>
      <c r="M1395" s="6" t="s">
        <v>6558</v>
      </c>
      <c r="N1395" s="6" t="s">
        <v>6565</v>
      </c>
      <c r="O1395" s="6">
        <v>80</v>
      </c>
      <c r="P1395" s="6">
        <v>71</v>
      </c>
      <c r="Q1395" s="6">
        <v>77</v>
      </c>
      <c r="R1395" s="6">
        <v>73</v>
      </c>
      <c r="S1395" s="6">
        <v>79</v>
      </c>
      <c r="T1395" s="6">
        <v>71</v>
      </c>
      <c r="U1395" s="6">
        <v>86</v>
      </c>
      <c r="V1395" s="6">
        <v>80</v>
      </c>
      <c r="W1395" s="6">
        <v>77</v>
      </c>
      <c r="X1395" s="6">
        <v>70</v>
      </c>
      <c r="Y1395" s="6">
        <v>75</v>
      </c>
      <c r="Z1395" s="6">
        <v>80</v>
      </c>
      <c r="AA1395" s="6">
        <v>71</v>
      </c>
      <c r="AB1395" s="6">
        <v>76</v>
      </c>
      <c r="AC1395" s="6">
        <v>66</v>
      </c>
      <c r="AD1395" s="6">
        <v>65</v>
      </c>
      <c r="AE1395" s="6">
        <v>67</v>
      </c>
      <c r="AF1395" s="6">
        <v>75</v>
      </c>
      <c r="AG1395" s="6" t="s">
        <v>7308</v>
      </c>
      <c r="AH1395" s="6" t="s">
        <v>6707</v>
      </c>
    </row>
    <row r="1396" spans="1:34" x14ac:dyDescent="0.2">
      <c r="A1396" t="s">
        <v>3580</v>
      </c>
      <c r="B1396" t="s">
        <v>1844</v>
      </c>
      <c r="C1396" t="s">
        <v>2886</v>
      </c>
      <c r="D1396" s="7" t="s">
        <v>141</v>
      </c>
      <c r="E1396" t="s">
        <v>38</v>
      </c>
      <c r="F1396">
        <v>23</v>
      </c>
      <c r="G1396">
        <v>72</v>
      </c>
      <c r="H1396">
        <v>69</v>
      </c>
      <c r="I1396" t="s">
        <v>6444</v>
      </c>
      <c r="J1396">
        <v>75</v>
      </c>
      <c r="K1396">
        <v>248</v>
      </c>
      <c r="L1396" t="s">
        <v>5274</v>
      </c>
      <c r="M1396" s="6" t="s">
        <v>6558</v>
      </c>
      <c r="N1396" s="6" t="s">
        <v>6565</v>
      </c>
      <c r="O1396" s="6">
        <v>74</v>
      </c>
      <c r="P1396" s="6">
        <v>76</v>
      </c>
      <c r="Q1396" s="6">
        <v>68</v>
      </c>
      <c r="R1396" s="6">
        <v>73</v>
      </c>
      <c r="S1396" s="6">
        <v>70</v>
      </c>
      <c r="T1396" s="6">
        <v>70</v>
      </c>
      <c r="U1396" s="6">
        <v>59</v>
      </c>
      <c r="V1396" s="6">
        <v>69</v>
      </c>
      <c r="W1396" s="6">
        <v>63</v>
      </c>
      <c r="X1396" s="6">
        <v>76</v>
      </c>
      <c r="Y1396" s="6">
        <v>76</v>
      </c>
      <c r="Z1396" s="6">
        <v>65</v>
      </c>
      <c r="AA1396" s="6">
        <v>71</v>
      </c>
      <c r="AB1396" s="6">
        <v>76</v>
      </c>
      <c r="AC1396" s="6">
        <v>70</v>
      </c>
      <c r="AD1396" s="6">
        <v>66</v>
      </c>
      <c r="AE1396" s="6">
        <v>67</v>
      </c>
      <c r="AF1396" s="6">
        <v>72</v>
      </c>
      <c r="AG1396" s="6" t="s">
        <v>7317</v>
      </c>
      <c r="AH1396" s="6" t="s">
        <v>6649</v>
      </c>
    </row>
    <row r="1397" spans="1:34" x14ac:dyDescent="0.2">
      <c r="A1397" t="s">
        <v>3589</v>
      </c>
      <c r="B1397" t="s">
        <v>1853</v>
      </c>
      <c r="C1397" t="s">
        <v>57</v>
      </c>
      <c r="D1397" s="7" t="s">
        <v>142</v>
      </c>
      <c r="E1397" t="s">
        <v>38</v>
      </c>
      <c r="F1397">
        <v>25</v>
      </c>
      <c r="G1397">
        <v>78</v>
      </c>
      <c r="H1397">
        <v>69</v>
      </c>
      <c r="I1397" t="s">
        <v>6450</v>
      </c>
      <c r="J1397">
        <v>69</v>
      </c>
      <c r="K1397">
        <v>202</v>
      </c>
      <c r="L1397" t="s">
        <v>5283</v>
      </c>
      <c r="M1397" s="6" t="s">
        <v>6558</v>
      </c>
      <c r="N1397" s="6" t="s">
        <v>6567</v>
      </c>
      <c r="O1397" s="6">
        <v>68</v>
      </c>
      <c r="P1397" s="6">
        <v>82</v>
      </c>
      <c r="Q1397" s="6">
        <v>78</v>
      </c>
      <c r="R1397" s="6">
        <v>64</v>
      </c>
      <c r="S1397" s="6">
        <v>79</v>
      </c>
      <c r="T1397" s="6">
        <v>67</v>
      </c>
      <c r="U1397" s="6">
        <v>76</v>
      </c>
      <c r="V1397" s="6">
        <v>75</v>
      </c>
      <c r="W1397" s="6">
        <v>82</v>
      </c>
      <c r="X1397" s="6">
        <v>70</v>
      </c>
      <c r="Y1397" s="6">
        <v>80</v>
      </c>
      <c r="Z1397" s="6">
        <v>77</v>
      </c>
      <c r="AA1397" s="6">
        <v>75</v>
      </c>
      <c r="AB1397" s="6">
        <v>76</v>
      </c>
      <c r="AC1397" s="6">
        <v>83</v>
      </c>
      <c r="AD1397" s="6">
        <v>70</v>
      </c>
      <c r="AE1397" s="6">
        <v>70</v>
      </c>
      <c r="AF1397" s="6">
        <v>77</v>
      </c>
      <c r="AG1397" s="6" t="s">
        <v>7325</v>
      </c>
      <c r="AH1397" s="6" t="s">
        <v>6581</v>
      </c>
    </row>
    <row r="1398" spans="1:34" x14ac:dyDescent="0.2">
      <c r="A1398" t="s">
        <v>3591</v>
      </c>
      <c r="B1398" t="s">
        <v>1855</v>
      </c>
      <c r="C1398" t="s">
        <v>57</v>
      </c>
      <c r="D1398" s="7" t="s">
        <v>142</v>
      </c>
      <c r="E1398" t="s">
        <v>58</v>
      </c>
      <c r="F1398">
        <v>22</v>
      </c>
      <c r="G1398">
        <v>71</v>
      </c>
      <c r="H1398">
        <v>69</v>
      </c>
      <c r="I1398" t="s">
        <v>6452</v>
      </c>
      <c r="J1398">
        <v>77</v>
      </c>
      <c r="K1398">
        <v>198</v>
      </c>
      <c r="L1398" t="s">
        <v>5285</v>
      </c>
      <c r="M1398" s="6" t="s">
        <v>6558</v>
      </c>
      <c r="N1398" s="6" t="s">
        <v>6614</v>
      </c>
      <c r="O1398" s="6">
        <v>78</v>
      </c>
      <c r="P1398" s="6">
        <v>71</v>
      </c>
      <c r="Q1398" s="6">
        <v>70</v>
      </c>
      <c r="R1398" s="6">
        <v>61</v>
      </c>
      <c r="S1398" s="6">
        <v>72</v>
      </c>
      <c r="T1398" s="6">
        <v>67</v>
      </c>
      <c r="U1398" s="6">
        <v>70</v>
      </c>
      <c r="V1398" s="6">
        <v>79</v>
      </c>
      <c r="W1398" s="6">
        <v>71</v>
      </c>
      <c r="X1398" s="6">
        <v>69</v>
      </c>
      <c r="Y1398" s="6">
        <v>71</v>
      </c>
      <c r="Z1398" s="6">
        <v>73</v>
      </c>
      <c r="AA1398" s="6">
        <v>65</v>
      </c>
      <c r="AB1398" s="6">
        <v>74</v>
      </c>
      <c r="AC1398" s="6">
        <v>69</v>
      </c>
      <c r="AD1398" s="6">
        <v>73</v>
      </c>
      <c r="AE1398" s="6">
        <v>71</v>
      </c>
      <c r="AF1398" s="6">
        <v>71</v>
      </c>
      <c r="AG1398" s="6" t="s">
        <v>7327</v>
      </c>
      <c r="AH1398" s="6" t="s">
        <v>6664</v>
      </c>
    </row>
    <row r="1399" spans="1:34" x14ac:dyDescent="0.2">
      <c r="A1399" t="s">
        <v>3599</v>
      </c>
      <c r="B1399" t="s">
        <v>1863</v>
      </c>
      <c r="C1399" t="s">
        <v>2887</v>
      </c>
      <c r="D1399" s="7" t="s">
        <v>142</v>
      </c>
      <c r="E1399" t="s">
        <v>38</v>
      </c>
      <c r="F1399">
        <v>28</v>
      </c>
      <c r="G1399">
        <v>89</v>
      </c>
      <c r="H1399">
        <v>69</v>
      </c>
      <c r="I1399" t="s">
        <v>6424</v>
      </c>
      <c r="J1399">
        <v>74</v>
      </c>
      <c r="K1399">
        <v>305</v>
      </c>
      <c r="L1399" t="s">
        <v>5293</v>
      </c>
      <c r="M1399" s="6" t="s">
        <v>6558</v>
      </c>
      <c r="N1399" s="6" t="s">
        <v>6583</v>
      </c>
      <c r="O1399" s="6">
        <v>79</v>
      </c>
      <c r="P1399" s="6">
        <v>78</v>
      </c>
      <c r="Q1399" s="6">
        <v>72</v>
      </c>
      <c r="R1399" s="6">
        <v>76</v>
      </c>
      <c r="S1399" s="6">
        <v>74</v>
      </c>
      <c r="T1399" s="6">
        <v>77</v>
      </c>
      <c r="U1399" s="6">
        <v>82</v>
      </c>
      <c r="V1399" s="6">
        <v>86</v>
      </c>
      <c r="W1399" s="6">
        <v>70</v>
      </c>
      <c r="X1399" s="6">
        <v>74</v>
      </c>
      <c r="Y1399" s="6">
        <v>74</v>
      </c>
      <c r="Z1399" s="6">
        <v>81</v>
      </c>
      <c r="AA1399" s="6">
        <v>79</v>
      </c>
      <c r="AB1399" s="6">
        <v>75</v>
      </c>
      <c r="AC1399" s="6">
        <v>79</v>
      </c>
      <c r="AD1399" s="6">
        <v>83</v>
      </c>
      <c r="AE1399" s="6">
        <v>76</v>
      </c>
      <c r="AF1399" s="6">
        <v>79</v>
      </c>
      <c r="AG1399" s="6" t="s">
        <v>7335</v>
      </c>
      <c r="AH1399" s="6" t="s">
        <v>6600</v>
      </c>
    </row>
    <row r="1400" spans="1:34" x14ac:dyDescent="0.2">
      <c r="A1400" t="s">
        <v>3600</v>
      </c>
      <c r="B1400" t="s">
        <v>1864</v>
      </c>
      <c r="C1400" t="s">
        <v>2887</v>
      </c>
      <c r="D1400" s="7" t="s">
        <v>142</v>
      </c>
      <c r="E1400" t="s">
        <v>58</v>
      </c>
      <c r="F1400">
        <v>30</v>
      </c>
      <c r="G1400">
        <v>68</v>
      </c>
      <c r="H1400">
        <v>69</v>
      </c>
      <c r="I1400" t="s">
        <v>6473</v>
      </c>
      <c r="J1400">
        <v>74</v>
      </c>
      <c r="K1400">
        <v>314</v>
      </c>
      <c r="L1400" t="s">
        <v>5294</v>
      </c>
      <c r="M1400" s="6" t="s">
        <v>6558</v>
      </c>
      <c r="N1400" s="6" t="s">
        <v>6583</v>
      </c>
      <c r="O1400" s="6">
        <v>79</v>
      </c>
      <c r="P1400" s="6">
        <v>77</v>
      </c>
      <c r="Q1400" s="6">
        <v>77</v>
      </c>
      <c r="R1400" s="6">
        <v>78</v>
      </c>
      <c r="S1400" s="6">
        <v>71</v>
      </c>
      <c r="T1400" s="6">
        <v>66</v>
      </c>
      <c r="U1400" s="6">
        <v>74</v>
      </c>
      <c r="V1400" s="6">
        <v>77</v>
      </c>
      <c r="W1400" s="6">
        <v>75</v>
      </c>
      <c r="X1400" s="6">
        <v>81</v>
      </c>
      <c r="Y1400" s="6">
        <v>74</v>
      </c>
      <c r="Z1400" s="6">
        <v>73</v>
      </c>
      <c r="AA1400" s="6">
        <v>69</v>
      </c>
      <c r="AB1400" s="6">
        <v>68</v>
      </c>
      <c r="AC1400" s="6">
        <v>70</v>
      </c>
      <c r="AD1400" s="6">
        <v>64</v>
      </c>
      <c r="AE1400" s="6">
        <v>70</v>
      </c>
      <c r="AF1400" s="6">
        <v>74</v>
      </c>
      <c r="AG1400" s="6" t="s">
        <v>7336</v>
      </c>
      <c r="AH1400" s="6" t="s">
        <v>6598</v>
      </c>
    </row>
    <row r="1401" spans="1:34" x14ac:dyDescent="0.2">
      <c r="A1401" t="s">
        <v>3602</v>
      </c>
      <c r="B1401" t="s">
        <v>1866</v>
      </c>
      <c r="C1401" t="s">
        <v>2876</v>
      </c>
      <c r="D1401" s="7" t="s">
        <v>142</v>
      </c>
      <c r="E1401" t="s">
        <v>38</v>
      </c>
      <c r="F1401">
        <v>30</v>
      </c>
      <c r="G1401">
        <v>75</v>
      </c>
      <c r="H1401">
        <v>69</v>
      </c>
      <c r="I1401" t="s">
        <v>6426</v>
      </c>
      <c r="J1401">
        <v>76</v>
      </c>
      <c r="K1401">
        <v>305</v>
      </c>
      <c r="L1401" t="s">
        <v>5296</v>
      </c>
      <c r="M1401" s="6" t="s">
        <v>6558</v>
      </c>
      <c r="N1401" s="6" t="s">
        <v>6583</v>
      </c>
      <c r="O1401" s="6">
        <v>82</v>
      </c>
      <c r="P1401" s="6">
        <v>74</v>
      </c>
      <c r="Q1401" s="6">
        <v>82</v>
      </c>
      <c r="R1401" s="6">
        <v>81</v>
      </c>
      <c r="S1401" s="6">
        <v>79</v>
      </c>
      <c r="T1401" s="6">
        <v>70</v>
      </c>
      <c r="U1401" s="6">
        <v>81</v>
      </c>
      <c r="V1401" s="6">
        <v>77</v>
      </c>
      <c r="W1401" s="6">
        <v>71</v>
      </c>
      <c r="X1401" s="6">
        <v>87</v>
      </c>
      <c r="Y1401" s="6">
        <v>85</v>
      </c>
      <c r="Z1401" s="6">
        <v>86</v>
      </c>
      <c r="AA1401" s="6">
        <v>72</v>
      </c>
      <c r="AB1401" s="6">
        <v>71</v>
      </c>
      <c r="AC1401" s="6">
        <v>81</v>
      </c>
      <c r="AD1401" s="6">
        <v>74</v>
      </c>
      <c r="AE1401" s="6">
        <v>69</v>
      </c>
      <c r="AF1401" s="6">
        <v>72</v>
      </c>
      <c r="AG1401" s="6" t="s">
        <v>7113</v>
      </c>
      <c r="AH1401" s="6" t="s">
        <v>6598</v>
      </c>
    </row>
    <row r="1402" spans="1:34" x14ac:dyDescent="0.2">
      <c r="A1402" t="s">
        <v>3615</v>
      </c>
      <c r="B1402" t="s">
        <v>1879</v>
      </c>
      <c r="C1402" t="s">
        <v>61</v>
      </c>
      <c r="D1402" s="7" t="s">
        <v>142</v>
      </c>
      <c r="E1402" t="s">
        <v>38</v>
      </c>
      <c r="F1402">
        <v>29</v>
      </c>
      <c r="G1402">
        <v>82</v>
      </c>
      <c r="H1402">
        <v>69</v>
      </c>
      <c r="I1402" t="s">
        <v>6404</v>
      </c>
      <c r="J1402">
        <v>68</v>
      </c>
      <c r="K1402">
        <v>188</v>
      </c>
      <c r="L1402" t="s">
        <v>5309</v>
      </c>
      <c r="M1402" s="6" t="s">
        <v>6558</v>
      </c>
      <c r="N1402" s="6" t="s">
        <v>6565</v>
      </c>
      <c r="O1402" s="6">
        <v>87</v>
      </c>
      <c r="P1402" s="6">
        <v>74</v>
      </c>
      <c r="Q1402" s="6">
        <v>84</v>
      </c>
      <c r="R1402" s="6">
        <v>75</v>
      </c>
      <c r="S1402" s="6">
        <v>89</v>
      </c>
      <c r="T1402" s="6">
        <v>79</v>
      </c>
      <c r="U1402" s="6">
        <v>96</v>
      </c>
      <c r="V1402" s="6">
        <v>79</v>
      </c>
      <c r="W1402" s="6">
        <v>92</v>
      </c>
      <c r="X1402" s="6">
        <v>67</v>
      </c>
      <c r="Y1402" s="6">
        <v>82</v>
      </c>
      <c r="Z1402" s="6">
        <v>75</v>
      </c>
      <c r="AA1402" s="6">
        <v>71</v>
      </c>
      <c r="AB1402" s="6">
        <v>79</v>
      </c>
      <c r="AC1402" s="6">
        <v>75</v>
      </c>
      <c r="AD1402" s="6">
        <v>67</v>
      </c>
      <c r="AE1402" s="6">
        <v>74</v>
      </c>
      <c r="AF1402" s="6">
        <v>75</v>
      </c>
      <c r="AG1402" s="6" t="s">
        <v>7350</v>
      </c>
      <c r="AH1402" s="6" t="s">
        <v>6632</v>
      </c>
    </row>
    <row r="1403" spans="1:34" x14ac:dyDescent="0.2">
      <c r="A1403" t="s">
        <v>3618</v>
      </c>
      <c r="B1403" t="s">
        <v>1882</v>
      </c>
      <c r="C1403" t="s">
        <v>2882</v>
      </c>
      <c r="D1403" s="7" t="s">
        <v>142</v>
      </c>
      <c r="E1403" t="s">
        <v>38</v>
      </c>
      <c r="F1403">
        <v>25</v>
      </c>
      <c r="G1403">
        <v>82</v>
      </c>
      <c r="H1403">
        <v>69</v>
      </c>
      <c r="I1403" t="s">
        <v>6493</v>
      </c>
      <c r="J1403">
        <v>72</v>
      </c>
      <c r="K1403">
        <v>209</v>
      </c>
      <c r="L1403" t="s">
        <v>5312</v>
      </c>
      <c r="M1403" s="6" t="s">
        <v>6558</v>
      </c>
      <c r="N1403" s="6" t="s">
        <v>6565</v>
      </c>
      <c r="O1403" s="6">
        <v>66</v>
      </c>
      <c r="P1403" s="6">
        <v>67</v>
      </c>
      <c r="Q1403" s="6">
        <v>84</v>
      </c>
      <c r="R1403" s="6">
        <v>70</v>
      </c>
      <c r="S1403" s="6">
        <v>71</v>
      </c>
      <c r="T1403" s="6">
        <v>69</v>
      </c>
      <c r="U1403" s="6">
        <v>69</v>
      </c>
      <c r="V1403" s="6">
        <v>72</v>
      </c>
      <c r="W1403" s="6">
        <v>78</v>
      </c>
      <c r="X1403" s="6">
        <v>72</v>
      </c>
      <c r="Y1403" s="6">
        <v>74</v>
      </c>
      <c r="Z1403" s="6">
        <v>69</v>
      </c>
      <c r="AA1403" s="6">
        <v>76</v>
      </c>
      <c r="AB1403" s="6">
        <v>73</v>
      </c>
      <c r="AC1403" s="6">
        <v>78</v>
      </c>
      <c r="AD1403" s="6">
        <v>70</v>
      </c>
      <c r="AE1403" s="6">
        <v>74</v>
      </c>
      <c r="AF1403" s="6">
        <v>75</v>
      </c>
      <c r="AG1403" s="6" t="s">
        <v>7353</v>
      </c>
      <c r="AH1403" s="6" t="s">
        <v>6636</v>
      </c>
    </row>
    <row r="1404" spans="1:34" x14ac:dyDescent="0.2">
      <c r="A1404" t="s">
        <v>3619</v>
      </c>
      <c r="B1404" t="s">
        <v>1883</v>
      </c>
      <c r="C1404" t="s">
        <v>2882</v>
      </c>
      <c r="D1404" s="7" t="s">
        <v>142</v>
      </c>
      <c r="E1404" t="s">
        <v>38</v>
      </c>
      <c r="F1404">
        <v>23</v>
      </c>
      <c r="G1404">
        <v>74</v>
      </c>
      <c r="H1404">
        <v>69</v>
      </c>
      <c r="I1404" t="s">
        <v>6494</v>
      </c>
      <c r="J1404">
        <v>71</v>
      </c>
      <c r="K1404">
        <v>208</v>
      </c>
      <c r="L1404" t="s">
        <v>5313</v>
      </c>
      <c r="M1404" s="6" t="s">
        <v>6558</v>
      </c>
      <c r="N1404" s="6" t="s">
        <v>6614</v>
      </c>
      <c r="O1404" s="6">
        <v>82</v>
      </c>
      <c r="P1404" s="6">
        <v>59</v>
      </c>
      <c r="Q1404" s="6">
        <v>71</v>
      </c>
      <c r="R1404" s="6">
        <v>61</v>
      </c>
      <c r="S1404" s="6">
        <v>76</v>
      </c>
      <c r="T1404" s="6">
        <v>68</v>
      </c>
      <c r="U1404" s="6">
        <v>78</v>
      </c>
      <c r="V1404" s="6">
        <v>63</v>
      </c>
      <c r="W1404" s="6">
        <v>71</v>
      </c>
      <c r="X1404" s="6">
        <v>74</v>
      </c>
      <c r="Y1404" s="6">
        <v>64</v>
      </c>
      <c r="Z1404" s="6">
        <v>78</v>
      </c>
      <c r="AA1404" s="6">
        <v>76</v>
      </c>
      <c r="AB1404" s="6">
        <v>77</v>
      </c>
      <c r="AC1404" s="6">
        <v>70</v>
      </c>
      <c r="AD1404" s="6">
        <v>73</v>
      </c>
      <c r="AE1404" s="6">
        <v>68</v>
      </c>
      <c r="AF1404" s="6">
        <v>69</v>
      </c>
      <c r="AG1404" s="6" t="s">
        <v>7354</v>
      </c>
      <c r="AH1404" s="6" t="s">
        <v>6636</v>
      </c>
    </row>
    <row r="1405" spans="1:34" x14ac:dyDescent="0.2">
      <c r="A1405" t="s">
        <v>3622</v>
      </c>
      <c r="B1405" t="s">
        <v>1886</v>
      </c>
      <c r="C1405" t="s">
        <v>2883</v>
      </c>
      <c r="D1405" s="7" t="s">
        <v>142</v>
      </c>
      <c r="E1405" t="s">
        <v>58</v>
      </c>
      <c r="F1405">
        <v>23</v>
      </c>
      <c r="G1405">
        <v>67</v>
      </c>
      <c r="H1405">
        <v>69</v>
      </c>
      <c r="I1405" t="s">
        <v>6456</v>
      </c>
      <c r="J1405">
        <v>73</v>
      </c>
      <c r="K1405">
        <v>204</v>
      </c>
      <c r="L1405" t="s">
        <v>5316</v>
      </c>
      <c r="M1405" s="6" t="s">
        <v>6558</v>
      </c>
      <c r="N1405" s="6" t="s">
        <v>6583</v>
      </c>
      <c r="O1405" s="6">
        <v>80</v>
      </c>
      <c r="P1405" s="6">
        <v>70</v>
      </c>
      <c r="Q1405" s="6">
        <v>68</v>
      </c>
      <c r="R1405" s="6">
        <v>81</v>
      </c>
      <c r="S1405" s="6">
        <v>67</v>
      </c>
      <c r="T1405" s="6">
        <v>68</v>
      </c>
      <c r="U1405" s="6">
        <v>69</v>
      </c>
      <c r="V1405" s="6">
        <v>72</v>
      </c>
      <c r="W1405" s="6">
        <v>74</v>
      </c>
      <c r="X1405" s="6">
        <v>75</v>
      </c>
      <c r="Y1405" s="6">
        <v>76</v>
      </c>
      <c r="Z1405" s="6">
        <v>70</v>
      </c>
      <c r="AA1405" s="6">
        <v>61</v>
      </c>
      <c r="AB1405" s="6">
        <v>71</v>
      </c>
      <c r="AC1405" s="6">
        <v>64</v>
      </c>
      <c r="AD1405" s="6">
        <v>73</v>
      </c>
      <c r="AE1405" s="6">
        <v>65</v>
      </c>
      <c r="AF1405" s="6">
        <v>68</v>
      </c>
      <c r="AG1405" s="6" t="s">
        <v>7357</v>
      </c>
      <c r="AH1405" s="6" t="s">
        <v>6640</v>
      </c>
    </row>
    <row r="1406" spans="1:34" x14ac:dyDescent="0.2">
      <c r="A1406" t="s">
        <v>3633</v>
      </c>
      <c r="B1406" t="s">
        <v>1897</v>
      </c>
      <c r="C1406" t="s">
        <v>2886</v>
      </c>
      <c r="D1406" s="7" t="s">
        <v>142</v>
      </c>
      <c r="E1406" t="s">
        <v>38</v>
      </c>
      <c r="F1406">
        <v>25</v>
      </c>
      <c r="G1406">
        <v>80</v>
      </c>
      <c r="H1406">
        <v>69</v>
      </c>
      <c r="I1406" t="s">
        <v>6454</v>
      </c>
      <c r="J1406">
        <v>75</v>
      </c>
      <c r="K1406">
        <v>251</v>
      </c>
      <c r="L1406" t="s">
        <v>5327</v>
      </c>
      <c r="M1406" s="6" t="s">
        <v>6558</v>
      </c>
      <c r="N1406" s="6" t="s">
        <v>6559</v>
      </c>
      <c r="O1406" s="6">
        <v>80</v>
      </c>
      <c r="P1406" s="6">
        <v>75</v>
      </c>
      <c r="Q1406" s="6">
        <v>78</v>
      </c>
      <c r="R1406" s="6">
        <v>83</v>
      </c>
      <c r="S1406" s="6">
        <v>77</v>
      </c>
      <c r="T1406" s="6">
        <v>75</v>
      </c>
      <c r="U1406" s="6">
        <v>81</v>
      </c>
      <c r="V1406" s="6">
        <v>76</v>
      </c>
      <c r="W1406" s="6">
        <v>71</v>
      </c>
      <c r="X1406" s="6">
        <v>77</v>
      </c>
      <c r="Y1406" s="6">
        <v>85</v>
      </c>
      <c r="Z1406" s="6">
        <v>90</v>
      </c>
      <c r="AA1406" s="6">
        <v>82</v>
      </c>
      <c r="AB1406" s="6">
        <v>85</v>
      </c>
      <c r="AC1406" s="6">
        <v>76</v>
      </c>
      <c r="AD1406" s="6">
        <v>79</v>
      </c>
      <c r="AE1406" s="6">
        <v>73</v>
      </c>
      <c r="AF1406" s="6">
        <v>85</v>
      </c>
      <c r="AG1406" s="6" t="s">
        <v>7368</v>
      </c>
      <c r="AH1406" s="6" t="s">
        <v>6649</v>
      </c>
    </row>
    <row r="1407" spans="1:34" x14ac:dyDescent="0.2">
      <c r="A1407" t="s">
        <v>3635</v>
      </c>
      <c r="B1407" t="s">
        <v>1899</v>
      </c>
      <c r="C1407" t="s">
        <v>2870</v>
      </c>
      <c r="D1407" s="7" t="s">
        <v>143</v>
      </c>
      <c r="E1407" t="s">
        <v>38</v>
      </c>
      <c r="F1407">
        <v>25</v>
      </c>
      <c r="G1407">
        <v>79</v>
      </c>
      <c r="H1407">
        <v>69</v>
      </c>
      <c r="I1407" t="s">
        <v>6465</v>
      </c>
      <c r="J1407">
        <v>71</v>
      </c>
      <c r="K1407">
        <v>204</v>
      </c>
      <c r="L1407" t="s">
        <v>5329</v>
      </c>
      <c r="M1407" s="6" t="s">
        <v>6558</v>
      </c>
      <c r="N1407" s="6" t="s">
        <v>6565</v>
      </c>
      <c r="O1407" s="6">
        <v>75</v>
      </c>
      <c r="P1407" s="6">
        <v>65</v>
      </c>
      <c r="Q1407" s="6">
        <v>82</v>
      </c>
      <c r="R1407" s="6">
        <v>74</v>
      </c>
      <c r="S1407" s="6">
        <v>83</v>
      </c>
      <c r="T1407" s="6">
        <v>72</v>
      </c>
      <c r="U1407" s="6">
        <v>81</v>
      </c>
      <c r="V1407" s="6">
        <v>71</v>
      </c>
      <c r="W1407" s="6">
        <v>77</v>
      </c>
      <c r="X1407" s="6">
        <v>72</v>
      </c>
      <c r="Y1407" s="6">
        <v>83</v>
      </c>
      <c r="Z1407" s="6">
        <v>75</v>
      </c>
      <c r="AA1407" s="6">
        <v>72</v>
      </c>
      <c r="AB1407" s="6">
        <v>84</v>
      </c>
      <c r="AC1407" s="6">
        <v>78</v>
      </c>
      <c r="AD1407" s="6">
        <v>77</v>
      </c>
      <c r="AE1407" s="6">
        <v>66</v>
      </c>
      <c r="AF1407" s="6">
        <v>72</v>
      </c>
      <c r="AG1407" s="6" t="s">
        <v>7370</v>
      </c>
      <c r="AH1407" s="6" t="s">
        <v>6723</v>
      </c>
    </row>
    <row r="1408" spans="1:34" x14ac:dyDescent="0.2">
      <c r="A1408" t="s">
        <v>3644</v>
      </c>
      <c r="B1408" t="s">
        <v>1908</v>
      </c>
      <c r="C1408" t="s">
        <v>57</v>
      </c>
      <c r="D1408" s="7" t="s">
        <v>143</v>
      </c>
      <c r="E1408" t="s">
        <v>58</v>
      </c>
      <c r="F1408">
        <v>24</v>
      </c>
      <c r="G1408">
        <v>63</v>
      </c>
      <c r="H1408">
        <v>69</v>
      </c>
      <c r="I1408" t="s">
        <v>6476</v>
      </c>
      <c r="J1408">
        <v>71</v>
      </c>
      <c r="K1408">
        <v>196</v>
      </c>
      <c r="L1408" t="s">
        <v>5338</v>
      </c>
      <c r="M1408" s="6" t="s">
        <v>6558</v>
      </c>
      <c r="N1408" s="6" t="s">
        <v>6567</v>
      </c>
      <c r="O1408" s="6">
        <v>70</v>
      </c>
      <c r="P1408" s="6">
        <v>69</v>
      </c>
      <c r="Q1408" s="6">
        <v>66</v>
      </c>
      <c r="R1408" s="6">
        <v>67</v>
      </c>
      <c r="S1408" s="6">
        <v>83</v>
      </c>
      <c r="T1408" s="6">
        <v>65</v>
      </c>
      <c r="U1408" s="6">
        <v>73</v>
      </c>
      <c r="V1408" s="6">
        <v>79</v>
      </c>
      <c r="W1408" s="6">
        <v>67</v>
      </c>
      <c r="X1408" s="6">
        <v>67</v>
      </c>
      <c r="Y1408" s="6">
        <v>65</v>
      </c>
      <c r="Z1408" s="6">
        <v>79</v>
      </c>
      <c r="AA1408" s="6">
        <v>74</v>
      </c>
      <c r="AB1408" s="6">
        <v>61</v>
      </c>
      <c r="AC1408" s="6">
        <v>68</v>
      </c>
      <c r="AD1408" s="6">
        <v>64</v>
      </c>
      <c r="AE1408" s="6">
        <v>70</v>
      </c>
      <c r="AF1408" s="6">
        <v>68</v>
      </c>
      <c r="AG1408" s="6" t="s">
        <v>7379</v>
      </c>
      <c r="AH1408" s="6" t="s">
        <v>6574</v>
      </c>
    </row>
    <row r="1409" spans="1:34" x14ac:dyDescent="0.2">
      <c r="A1409" t="s">
        <v>3662</v>
      </c>
      <c r="B1409" t="s">
        <v>1926</v>
      </c>
      <c r="C1409" t="s">
        <v>2878</v>
      </c>
      <c r="D1409" s="7" t="s">
        <v>143</v>
      </c>
      <c r="E1409" t="s">
        <v>58</v>
      </c>
      <c r="F1409">
        <v>23</v>
      </c>
      <c r="G1409">
        <v>74</v>
      </c>
      <c r="H1409">
        <v>69</v>
      </c>
      <c r="I1409" t="s">
        <v>6473</v>
      </c>
      <c r="J1409">
        <v>77</v>
      </c>
      <c r="K1409">
        <v>281</v>
      </c>
      <c r="L1409" t="s">
        <v>5356</v>
      </c>
      <c r="M1409" s="6" t="s">
        <v>6558</v>
      </c>
      <c r="N1409" s="6" t="s">
        <v>6565</v>
      </c>
      <c r="O1409" s="6">
        <v>72</v>
      </c>
      <c r="P1409" s="6">
        <v>64</v>
      </c>
      <c r="Q1409" s="6">
        <v>73</v>
      </c>
      <c r="R1409" s="6">
        <v>71</v>
      </c>
      <c r="S1409" s="6">
        <v>78</v>
      </c>
      <c r="T1409" s="6">
        <v>73</v>
      </c>
      <c r="U1409" s="6">
        <v>65</v>
      </c>
      <c r="V1409" s="6">
        <v>72</v>
      </c>
      <c r="W1409" s="6">
        <v>72</v>
      </c>
      <c r="X1409" s="6">
        <v>65</v>
      </c>
      <c r="Y1409" s="6">
        <v>61</v>
      </c>
      <c r="Z1409" s="6">
        <v>69</v>
      </c>
      <c r="AA1409" s="6">
        <v>73</v>
      </c>
      <c r="AB1409" s="6">
        <v>66</v>
      </c>
      <c r="AC1409" s="6">
        <v>61</v>
      </c>
      <c r="AD1409" s="6">
        <v>79</v>
      </c>
      <c r="AE1409" s="6">
        <v>70</v>
      </c>
      <c r="AF1409" s="6">
        <v>70</v>
      </c>
      <c r="AG1409" s="6" t="s">
        <v>7397</v>
      </c>
      <c r="AH1409" s="6" t="s">
        <v>6682</v>
      </c>
    </row>
    <row r="1410" spans="1:34" x14ac:dyDescent="0.2">
      <c r="A1410" t="s">
        <v>3668</v>
      </c>
      <c r="B1410" t="s">
        <v>1932</v>
      </c>
      <c r="C1410" t="s">
        <v>2879</v>
      </c>
      <c r="D1410" s="7" t="s">
        <v>143</v>
      </c>
      <c r="E1410" t="s">
        <v>38</v>
      </c>
      <c r="F1410">
        <v>27</v>
      </c>
      <c r="G1410">
        <v>78</v>
      </c>
      <c r="H1410">
        <v>69</v>
      </c>
      <c r="I1410" t="s">
        <v>6428</v>
      </c>
      <c r="J1410">
        <v>72</v>
      </c>
      <c r="K1410">
        <v>322</v>
      </c>
      <c r="L1410" t="s">
        <v>5362</v>
      </c>
      <c r="M1410" s="6" t="s">
        <v>6558</v>
      </c>
      <c r="N1410" s="6" t="s">
        <v>6583</v>
      </c>
      <c r="O1410" s="6">
        <v>76</v>
      </c>
      <c r="P1410" s="6">
        <v>74</v>
      </c>
      <c r="Q1410" s="6">
        <v>71</v>
      </c>
      <c r="R1410" s="6">
        <v>81</v>
      </c>
      <c r="S1410" s="6">
        <v>82</v>
      </c>
      <c r="T1410" s="6">
        <v>79</v>
      </c>
      <c r="U1410" s="6">
        <v>73</v>
      </c>
      <c r="V1410" s="6">
        <v>76</v>
      </c>
      <c r="W1410" s="6">
        <v>69</v>
      </c>
      <c r="X1410" s="6">
        <v>75</v>
      </c>
      <c r="Y1410" s="6">
        <v>71</v>
      </c>
      <c r="Z1410" s="6">
        <v>80</v>
      </c>
      <c r="AA1410" s="6">
        <v>79</v>
      </c>
      <c r="AB1410" s="6">
        <v>74</v>
      </c>
      <c r="AC1410" s="6">
        <v>76</v>
      </c>
      <c r="AD1410" s="6">
        <v>78</v>
      </c>
      <c r="AE1410" s="6">
        <v>77</v>
      </c>
      <c r="AF1410" s="6">
        <v>71</v>
      </c>
      <c r="AG1410" s="6" t="s">
        <v>7403</v>
      </c>
      <c r="AH1410" s="6" t="s">
        <v>6752</v>
      </c>
    </row>
    <row r="1411" spans="1:34" x14ac:dyDescent="0.2">
      <c r="A1411" t="s">
        <v>3676</v>
      </c>
      <c r="B1411" t="s">
        <v>1940</v>
      </c>
      <c r="C1411" t="s">
        <v>61</v>
      </c>
      <c r="D1411" s="7" t="s">
        <v>143</v>
      </c>
      <c r="E1411" t="s">
        <v>58</v>
      </c>
      <c r="F1411">
        <v>31</v>
      </c>
      <c r="G1411">
        <v>68</v>
      </c>
      <c r="H1411">
        <v>69</v>
      </c>
      <c r="I1411" t="s">
        <v>6447</v>
      </c>
      <c r="J1411">
        <v>72</v>
      </c>
      <c r="K1411">
        <v>199</v>
      </c>
      <c r="L1411" t="s">
        <v>5370</v>
      </c>
      <c r="M1411" s="6" t="s">
        <v>6558</v>
      </c>
      <c r="N1411" s="6" t="s">
        <v>6565</v>
      </c>
      <c r="O1411" s="6">
        <v>69</v>
      </c>
      <c r="P1411" s="6">
        <v>77</v>
      </c>
      <c r="Q1411" s="6">
        <v>72</v>
      </c>
      <c r="R1411" s="6">
        <v>75</v>
      </c>
      <c r="S1411" s="6">
        <v>86</v>
      </c>
      <c r="T1411" s="6">
        <v>76</v>
      </c>
      <c r="U1411" s="6">
        <v>83</v>
      </c>
      <c r="V1411" s="6">
        <v>75</v>
      </c>
      <c r="W1411" s="6">
        <v>71</v>
      </c>
      <c r="X1411" s="6">
        <v>78</v>
      </c>
      <c r="Y1411" s="6">
        <v>69</v>
      </c>
      <c r="Z1411" s="6">
        <v>70</v>
      </c>
      <c r="AA1411" s="6">
        <v>73</v>
      </c>
      <c r="AB1411" s="6">
        <v>66</v>
      </c>
      <c r="AC1411" s="6">
        <v>67</v>
      </c>
      <c r="AD1411" s="6">
        <v>65</v>
      </c>
      <c r="AE1411" s="6">
        <v>65</v>
      </c>
      <c r="AF1411" s="6">
        <v>62</v>
      </c>
      <c r="AG1411" s="6" t="s">
        <v>7412</v>
      </c>
      <c r="AH1411" s="6" t="s">
        <v>6696</v>
      </c>
    </row>
    <row r="1412" spans="1:34" x14ac:dyDescent="0.2">
      <c r="A1412" t="s">
        <v>3680</v>
      </c>
      <c r="B1412" t="s">
        <v>1944</v>
      </c>
      <c r="C1412" t="s">
        <v>2883</v>
      </c>
      <c r="D1412" s="7" t="s">
        <v>143</v>
      </c>
      <c r="E1412" t="s">
        <v>38</v>
      </c>
      <c r="F1412">
        <v>22</v>
      </c>
      <c r="G1412">
        <v>83</v>
      </c>
      <c r="H1412">
        <v>69</v>
      </c>
      <c r="I1412" t="s">
        <v>6433</v>
      </c>
      <c r="J1412">
        <v>72</v>
      </c>
      <c r="K1412">
        <v>212</v>
      </c>
      <c r="L1412" t="s">
        <v>5374</v>
      </c>
      <c r="M1412" s="6" t="s">
        <v>6558</v>
      </c>
      <c r="N1412" s="6" t="s">
        <v>6559</v>
      </c>
      <c r="O1412" s="6">
        <v>71</v>
      </c>
      <c r="P1412" s="6">
        <v>79</v>
      </c>
      <c r="Q1412" s="6">
        <v>76</v>
      </c>
      <c r="R1412" s="6">
        <v>84</v>
      </c>
      <c r="S1412" s="6">
        <v>70</v>
      </c>
      <c r="T1412" s="6">
        <v>68</v>
      </c>
      <c r="U1412" s="6">
        <v>73</v>
      </c>
      <c r="V1412" s="6">
        <v>67</v>
      </c>
      <c r="W1412" s="6">
        <v>68</v>
      </c>
      <c r="X1412" s="6">
        <v>68</v>
      </c>
      <c r="Y1412" s="6">
        <v>68</v>
      </c>
      <c r="Z1412" s="6">
        <v>78</v>
      </c>
      <c r="AA1412" s="6">
        <v>78</v>
      </c>
      <c r="AB1412" s="6">
        <v>72</v>
      </c>
      <c r="AC1412" s="6">
        <v>76</v>
      </c>
      <c r="AD1412" s="6">
        <v>73</v>
      </c>
      <c r="AE1412" s="6">
        <v>64</v>
      </c>
      <c r="AF1412" s="6">
        <v>82</v>
      </c>
      <c r="AG1412" s="6" t="s">
        <v>7416</v>
      </c>
      <c r="AH1412" s="6" t="s">
        <v>7417</v>
      </c>
    </row>
    <row r="1413" spans="1:34" x14ac:dyDescent="0.2">
      <c r="A1413" t="s">
        <v>3681</v>
      </c>
      <c r="B1413" t="s">
        <v>1945</v>
      </c>
      <c r="C1413" t="s">
        <v>2883</v>
      </c>
      <c r="D1413" s="7" t="s">
        <v>143</v>
      </c>
      <c r="E1413" t="s">
        <v>38</v>
      </c>
      <c r="F1413">
        <v>27</v>
      </c>
      <c r="G1413">
        <v>77</v>
      </c>
      <c r="H1413">
        <v>69</v>
      </c>
      <c r="I1413" t="s">
        <v>6434</v>
      </c>
      <c r="J1413">
        <v>71</v>
      </c>
      <c r="K1413">
        <v>208</v>
      </c>
      <c r="L1413" t="s">
        <v>5375</v>
      </c>
      <c r="M1413" s="6" t="s">
        <v>6558</v>
      </c>
      <c r="N1413" s="6" t="s">
        <v>6583</v>
      </c>
      <c r="O1413" s="6">
        <v>78</v>
      </c>
      <c r="P1413" s="6">
        <v>73</v>
      </c>
      <c r="Q1413" s="6">
        <v>70</v>
      </c>
      <c r="R1413" s="6">
        <v>76</v>
      </c>
      <c r="S1413" s="6">
        <v>69</v>
      </c>
      <c r="T1413" s="6">
        <v>67</v>
      </c>
      <c r="U1413" s="6">
        <v>79</v>
      </c>
      <c r="V1413" s="6">
        <v>73</v>
      </c>
      <c r="W1413" s="6">
        <v>87</v>
      </c>
      <c r="X1413" s="6">
        <v>79</v>
      </c>
      <c r="Y1413" s="6">
        <v>76</v>
      </c>
      <c r="Z1413" s="6">
        <v>77</v>
      </c>
      <c r="AA1413" s="6">
        <v>70</v>
      </c>
      <c r="AB1413" s="6">
        <v>69</v>
      </c>
      <c r="AC1413" s="6">
        <v>76</v>
      </c>
      <c r="AD1413" s="6">
        <v>75</v>
      </c>
      <c r="AE1413" s="6">
        <v>67</v>
      </c>
      <c r="AF1413" s="6">
        <v>74</v>
      </c>
      <c r="AG1413" s="6" t="s">
        <v>7418</v>
      </c>
      <c r="AH1413" s="6" t="s">
        <v>7417</v>
      </c>
    </row>
    <row r="1414" spans="1:34" x14ac:dyDescent="0.2">
      <c r="A1414" t="s">
        <v>3690</v>
      </c>
      <c r="B1414" t="s">
        <v>1954</v>
      </c>
      <c r="C1414" t="s">
        <v>2886</v>
      </c>
      <c r="D1414" s="7" t="s">
        <v>143</v>
      </c>
      <c r="E1414" t="s">
        <v>38</v>
      </c>
      <c r="F1414">
        <v>26</v>
      </c>
      <c r="G1414">
        <v>68</v>
      </c>
      <c r="H1414">
        <v>69</v>
      </c>
      <c r="I1414" t="s">
        <v>6371</v>
      </c>
      <c r="J1414">
        <v>73</v>
      </c>
      <c r="K1414">
        <v>248</v>
      </c>
      <c r="L1414" t="s">
        <v>5384</v>
      </c>
      <c r="M1414" s="6" t="s">
        <v>6558</v>
      </c>
      <c r="N1414" s="6" t="s">
        <v>6567</v>
      </c>
      <c r="O1414" s="6">
        <v>67</v>
      </c>
      <c r="P1414" s="6">
        <v>75</v>
      </c>
      <c r="Q1414" s="6">
        <v>68</v>
      </c>
      <c r="R1414" s="6">
        <v>65</v>
      </c>
      <c r="S1414" s="6">
        <v>77</v>
      </c>
      <c r="T1414" s="6">
        <v>68</v>
      </c>
      <c r="U1414" s="6">
        <v>61</v>
      </c>
      <c r="V1414" s="6">
        <v>77</v>
      </c>
      <c r="W1414" s="6">
        <v>72</v>
      </c>
      <c r="X1414" s="6">
        <v>66</v>
      </c>
      <c r="Y1414" s="6">
        <v>81</v>
      </c>
      <c r="Z1414" s="6">
        <v>71</v>
      </c>
      <c r="AA1414" s="6">
        <v>73</v>
      </c>
      <c r="AB1414" s="6">
        <v>74</v>
      </c>
      <c r="AC1414" s="6">
        <v>75</v>
      </c>
      <c r="AD1414" s="6">
        <v>74</v>
      </c>
      <c r="AE1414" s="6">
        <v>74</v>
      </c>
      <c r="AF1414" s="6">
        <v>68</v>
      </c>
      <c r="AG1414" s="6" t="s">
        <v>7427</v>
      </c>
      <c r="AH1414" s="6" t="s">
        <v>6649</v>
      </c>
    </row>
    <row r="1415" spans="1:34" x14ac:dyDescent="0.2">
      <c r="A1415" t="s">
        <v>3702</v>
      </c>
      <c r="B1415" t="s">
        <v>1966</v>
      </c>
      <c r="C1415" t="s">
        <v>57</v>
      </c>
      <c r="D1415" s="7" t="s">
        <v>154</v>
      </c>
      <c r="E1415" t="s">
        <v>58</v>
      </c>
      <c r="F1415">
        <v>30</v>
      </c>
      <c r="G1415">
        <v>67</v>
      </c>
      <c r="H1415">
        <v>69</v>
      </c>
      <c r="I1415" t="s">
        <v>6395</v>
      </c>
      <c r="J1415">
        <v>69</v>
      </c>
      <c r="K1415">
        <v>215</v>
      </c>
      <c r="L1415" t="s">
        <v>5396</v>
      </c>
      <c r="M1415" s="6" t="s">
        <v>6558</v>
      </c>
      <c r="N1415" s="6" t="s">
        <v>6565</v>
      </c>
      <c r="O1415" s="6">
        <v>62</v>
      </c>
      <c r="P1415" s="6">
        <v>62</v>
      </c>
      <c r="Q1415" s="6">
        <v>77</v>
      </c>
      <c r="R1415" s="6">
        <v>70</v>
      </c>
      <c r="S1415" s="6">
        <v>67</v>
      </c>
      <c r="T1415" s="6">
        <v>72</v>
      </c>
      <c r="U1415" s="6">
        <v>70</v>
      </c>
      <c r="V1415" s="6">
        <v>75</v>
      </c>
      <c r="W1415" s="6">
        <v>79</v>
      </c>
      <c r="X1415" s="6">
        <v>72</v>
      </c>
      <c r="Y1415" s="6">
        <v>80</v>
      </c>
      <c r="Z1415" s="6">
        <v>70</v>
      </c>
      <c r="AA1415" s="6">
        <v>68</v>
      </c>
      <c r="AB1415" s="6">
        <v>72</v>
      </c>
      <c r="AC1415" s="6">
        <v>66</v>
      </c>
      <c r="AD1415" s="6">
        <v>63</v>
      </c>
      <c r="AE1415" s="6">
        <v>65</v>
      </c>
      <c r="AF1415" s="6">
        <v>77</v>
      </c>
      <c r="AG1415" s="6" t="s">
        <v>7438</v>
      </c>
      <c r="AH1415" s="6" t="s">
        <v>6574</v>
      </c>
    </row>
    <row r="1416" spans="1:34" x14ac:dyDescent="0.2">
      <c r="A1416" t="s">
        <v>3708</v>
      </c>
      <c r="B1416" t="s">
        <v>1972</v>
      </c>
      <c r="C1416" t="s">
        <v>2871</v>
      </c>
      <c r="D1416" s="7" t="s">
        <v>154</v>
      </c>
      <c r="E1416" t="s">
        <v>58</v>
      </c>
      <c r="F1416">
        <v>33</v>
      </c>
      <c r="G1416">
        <v>65</v>
      </c>
      <c r="H1416">
        <v>69</v>
      </c>
      <c r="I1416" t="s">
        <v>6332</v>
      </c>
      <c r="J1416">
        <v>75</v>
      </c>
      <c r="K1416">
        <v>260</v>
      </c>
      <c r="L1416" t="s">
        <v>5402</v>
      </c>
      <c r="M1416" s="6" t="s">
        <v>6558</v>
      </c>
      <c r="N1416" s="6" t="s">
        <v>6565</v>
      </c>
      <c r="O1416" s="6">
        <v>81</v>
      </c>
      <c r="P1416" s="6">
        <v>72</v>
      </c>
      <c r="Q1416" s="6">
        <v>71</v>
      </c>
      <c r="R1416" s="6">
        <v>70</v>
      </c>
      <c r="S1416" s="6">
        <v>81</v>
      </c>
      <c r="T1416" s="6">
        <v>77</v>
      </c>
      <c r="U1416" s="6">
        <v>66</v>
      </c>
      <c r="V1416" s="6">
        <v>74</v>
      </c>
      <c r="W1416" s="6">
        <v>69</v>
      </c>
      <c r="X1416" s="6">
        <v>74</v>
      </c>
      <c r="Y1416" s="6">
        <v>74</v>
      </c>
      <c r="Z1416" s="6">
        <v>80</v>
      </c>
      <c r="AA1416" s="6">
        <v>64</v>
      </c>
      <c r="AB1416" s="6">
        <v>66</v>
      </c>
      <c r="AC1416" s="6">
        <v>63</v>
      </c>
      <c r="AD1416" s="6">
        <v>62</v>
      </c>
      <c r="AE1416" s="6">
        <v>64</v>
      </c>
      <c r="AF1416" s="6">
        <v>66</v>
      </c>
      <c r="AG1416" s="6" t="s">
        <v>7444</v>
      </c>
      <c r="AH1416" s="6" t="s">
        <v>6587</v>
      </c>
    </row>
    <row r="1417" spans="1:34" x14ac:dyDescent="0.2">
      <c r="A1417" t="s">
        <v>3712</v>
      </c>
      <c r="B1417" t="s">
        <v>1976</v>
      </c>
      <c r="C1417" t="s">
        <v>2873</v>
      </c>
      <c r="D1417" s="7" t="s">
        <v>154</v>
      </c>
      <c r="E1417" t="s">
        <v>38</v>
      </c>
      <c r="F1417">
        <v>27</v>
      </c>
      <c r="G1417">
        <v>79</v>
      </c>
      <c r="H1417">
        <v>69</v>
      </c>
      <c r="I1417" t="s">
        <v>6305</v>
      </c>
      <c r="J1417">
        <v>77</v>
      </c>
      <c r="K1417">
        <v>320</v>
      </c>
      <c r="L1417" t="s">
        <v>5406</v>
      </c>
      <c r="M1417" s="6" t="s">
        <v>6558</v>
      </c>
      <c r="N1417" s="6" t="s">
        <v>6583</v>
      </c>
      <c r="O1417" s="6">
        <v>75</v>
      </c>
      <c r="P1417" s="6">
        <v>79</v>
      </c>
      <c r="Q1417" s="6">
        <v>77</v>
      </c>
      <c r="R1417" s="6">
        <v>77</v>
      </c>
      <c r="S1417" s="6">
        <v>77</v>
      </c>
      <c r="T1417" s="6">
        <v>74</v>
      </c>
      <c r="U1417" s="6">
        <v>74</v>
      </c>
      <c r="V1417" s="6">
        <v>79</v>
      </c>
      <c r="W1417" s="6">
        <v>80</v>
      </c>
      <c r="X1417" s="6">
        <v>69</v>
      </c>
      <c r="Y1417" s="6">
        <v>83</v>
      </c>
      <c r="Z1417" s="6">
        <v>75</v>
      </c>
      <c r="AA1417" s="6">
        <v>77</v>
      </c>
      <c r="AB1417" s="6">
        <v>72</v>
      </c>
      <c r="AC1417" s="6">
        <v>74</v>
      </c>
      <c r="AD1417" s="6">
        <v>68</v>
      </c>
      <c r="AE1417" s="6">
        <v>71</v>
      </c>
      <c r="AF1417" s="6">
        <v>74</v>
      </c>
      <c r="AG1417" s="6" t="s">
        <v>7448</v>
      </c>
      <c r="AH1417" s="6" t="s">
        <v>6596</v>
      </c>
    </row>
    <row r="1418" spans="1:34" x14ac:dyDescent="0.2">
      <c r="A1418" t="s">
        <v>3715</v>
      </c>
      <c r="B1418" t="s">
        <v>1979</v>
      </c>
      <c r="C1418" t="s">
        <v>2874</v>
      </c>
      <c r="D1418" s="7" t="s">
        <v>154</v>
      </c>
      <c r="E1418" t="s">
        <v>38</v>
      </c>
      <c r="F1418">
        <v>28</v>
      </c>
      <c r="G1418">
        <v>74</v>
      </c>
      <c r="H1418">
        <v>69</v>
      </c>
      <c r="I1418" t="s">
        <v>6341</v>
      </c>
      <c r="J1418">
        <v>77</v>
      </c>
      <c r="K1418">
        <v>313</v>
      </c>
      <c r="L1418" t="s">
        <v>5409</v>
      </c>
      <c r="M1418" s="6" t="s">
        <v>6558</v>
      </c>
      <c r="N1418" s="6" t="s">
        <v>6567</v>
      </c>
      <c r="O1418" s="6">
        <v>77</v>
      </c>
      <c r="P1418" s="6">
        <v>76</v>
      </c>
      <c r="Q1418" s="6">
        <v>79</v>
      </c>
      <c r="R1418" s="6">
        <v>67</v>
      </c>
      <c r="S1418" s="6">
        <v>70</v>
      </c>
      <c r="T1418" s="6">
        <v>70</v>
      </c>
      <c r="U1418" s="6">
        <v>71</v>
      </c>
      <c r="V1418" s="6">
        <v>83</v>
      </c>
      <c r="W1418" s="6">
        <v>76</v>
      </c>
      <c r="X1418" s="6">
        <v>75</v>
      </c>
      <c r="Y1418" s="6">
        <v>77</v>
      </c>
      <c r="Z1418" s="6">
        <v>79</v>
      </c>
      <c r="AA1418" s="6">
        <v>77</v>
      </c>
      <c r="AB1418" s="6">
        <v>66</v>
      </c>
      <c r="AC1418" s="6">
        <v>69</v>
      </c>
      <c r="AD1418" s="6">
        <v>68</v>
      </c>
      <c r="AE1418" s="6">
        <v>74</v>
      </c>
      <c r="AF1418" s="6">
        <v>72</v>
      </c>
      <c r="AG1418" s="6" t="s">
        <v>7451</v>
      </c>
      <c r="AH1418" s="6" t="s">
        <v>6600</v>
      </c>
    </row>
    <row r="1419" spans="1:34" x14ac:dyDescent="0.2">
      <c r="A1419" t="s">
        <v>3724</v>
      </c>
      <c r="B1419" t="s">
        <v>1988</v>
      </c>
      <c r="C1419" t="s">
        <v>2879</v>
      </c>
      <c r="D1419" s="7" t="s">
        <v>154</v>
      </c>
      <c r="E1419" t="s">
        <v>38</v>
      </c>
      <c r="F1419">
        <v>25</v>
      </c>
      <c r="G1419">
        <v>73</v>
      </c>
      <c r="H1419">
        <v>69</v>
      </c>
      <c r="I1419" t="s">
        <v>6349</v>
      </c>
      <c r="J1419">
        <v>74</v>
      </c>
      <c r="K1419">
        <v>300</v>
      </c>
      <c r="L1419" t="s">
        <v>5418</v>
      </c>
      <c r="M1419" s="6" t="s">
        <v>6558</v>
      </c>
      <c r="N1419" s="6" t="s">
        <v>6565</v>
      </c>
      <c r="O1419" s="6">
        <v>55</v>
      </c>
      <c r="P1419" s="6">
        <v>62</v>
      </c>
      <c r="Q1419" s="6">
        <v>68</v>
      </c>
      <c r="R1419" s="6">
        <v>74</v>
      </c>
      <c r="S1419" s="6">
        <v>66</v>
      </c>
      <c r="T1419" s="6">
        <v>60</v>
      </c>
      <c r="U1419" s="6">
        <v>81</v>
      </c>
      <c r="V1419" s="6">
        <v>70</v>
      </c>
      <c r="W1419" s="6">
        <v>80</v>
      </c>
      <c r="X1419" s="6">
        <v>68</v>
      </c>
      <c r="Y1419" s="6">
        <v>74</v>
      </c>
      <c r="Z1419" s="6">
        <v>71</v>
      </c>
      <c r="AA1419" s="6">
        <v>74</v>
      </c>
      <c r="AB1419" s="6">
        <v>68</v>
      </c>
      <c r="AC1419" s="6">
        <v>73</v>
      </c>
      <c r="AD1419" s="6">
        <v>72</v>
      </c>
      <c r="AE1419" s="6">
        <v>71</v>
      </c>
      <c r="AF1419" s="6">
        <v>74</v>
      </c>
      <c r="AG1419" s="6" t="s">
        <v>7460</v>
      </c>
      <c r="AH1419" s="6" t="s">
        <v>6617</v>
      </c>
    </row>
    <row r="1420" spans="1:34" x14ac:dyDescent="0.2">
      <c r="A1420" t="s">
        <v>3730</v>
      </c>
      <c r="B1420" t="s">
        <v>1994</v>
      </c>
      <c r="C1420" t="s">
        <v>2880</v>
      </c>
      <c r="D1420" s="7" t="s">
        <v>154</v>
      </c>
      <c r="E1420" t="s">
        <v>58</v>
      </c>
      <c r="F1420">
        <v>32</v>
      </c>
      <c r="G1420">
        <v>70</v>
      </c>
      <c r="H1420">
        <v>69</v>
      </c>
      <c r="I1420" t="s">
        <v>6304</v>
      </c>
      <c r="J1420">
        <v>75</v>
      </c>
      <c r="K1420">
        <v>265</v>
      </c>
      <c r="L1420" t="s">
        <v>5424</v>
      </c>
      <c r="M1420" s="6" t="s">
        <v>6558</v>
      </c>
      <c r="N1420" s="6" t="s">
        <v>6559</v>
      </c>
      <c r="O1420" s="6">
        <v>85</v>
      </c>
      <c r="P1420" s="6">
        <v>74</v>
      </c>
      <c r="Q1420" s="6">
        <v>74</v>
      </c>
      <c r="R1420" s="6">
        <v>83</v>
      </c>
      <c r="S1420" s="6">
        <v>79</v>
      </c>
      <c r="T1420" s="6">
        <v>78</v>
      </c>
      <c r="U1420" s="6">
        <v>73</v>
      </c>
      <c r="V1420" s="6">
        <v>73</v>
      </c>
      <c r="W1420" s="6">
        <v>71</v>
      </c>
      <c r="X1420" s="6">
        <v>77</v>
      </c>
      <c r="Y1420" s="6">
        <v>82</v>
      </c>
      <c r="Z1420" s="6">
        <v>72</v>
      </c>
      <c r="AA1420" s="6">
        <v>68</v>
      </c>
      <c r="AB1420" s="6">
        <v>67</v>
      </c>
      <c r="AC1420" s="6">
        <v>63</v>
      </c>
      <c r="AD1420" s="6">
        <v>70</v>
      </c>
      <c r="AE1420" s="6">
        <v>63</v>
      </c>
      <c r="AF1420" s="6">
        <v>66</v>
      </c>
      <c r="AG1420" s="6" t="s">
        <v>7466</v>
      </c>
      <c r="AH1420" s="6" t="s">
        <v>6623</v>
      </c>
    </row>
    <row r="1421" spans="1:34" x14ac:dyDescent="0.2">
      <c r="A1421" t="s">
        <v>3733</v>
      </c>
      <c r="B1421" t="s">
        <v>1997</v>
      </c>
      <c r="C1421" t="s">
        <v>61</v>
      </c>
      <c r="D1421" s="7" t="s">
        <v>154</v>
      </c>
      <c r="E1421" t="s">
        <v>38</v>
      </c>
      <c r="F1421">
        <v>29</v>
      </c>
      <c r="G1421">
        <v>74</v>
      </c>
      <c r="H1421">
        <v>69</v>
      </c>
      <c r="I1421" t="s">
        <v>6323</v>
      </c>
      <c r="J1421">
        <v>69</v>
      </c>
      <c r="K1421">
        <v>184</v>
      </c>
      <c r="L1421" t="s">
        <v>5427</v>
      </c>
      <c r="M1421" s="6" t="s">
        <v>6558</v>
      </c>
      <c r="N1421" s="6" t="s">
        <v>6567</v>
      </c>
      <c r="O1421" s="6">
        <v>77</v>
      </c>
      <c r="P1421" s="6">
        <v>71</v>
      </c>
      <c r="Q1421" s="6">
        <v>80</v>
      </c>
      <c r="R1421" s="6">
        <v>69</v>
      </c>
      <c r="S1421" s="6">
        <v>98</v>
      </c>
      <c r="T1421" s="6">
        <v>74</v>
      </c>
      <c r="U1421" s="6">
        <v>73</v>
      </c>
      <c r="V1421" s="6">
        <v>80</v>
      </c>
      <c r="W1421" s="6">
        <v>73</v>
      </c>
      <c r="X1421" s="6">
        <v>78</v>
      </c>
      <c r="Y1421" s="6">
        <v>77</v>
      </c>
      <c r="Z1421" s="6">
        <v>77</v>
      </c>
      <c r="AA1421" s="6">
        <v>73</v>
      </c>
      <c r="AB1421" s="6">
        <v>78</v>
      </c>
      <c r="AC1421" s="6">
        <v>64</v>
      </c>
      <c r="AD1421" s="6">
        <v>62</v>
      </c>
      <c r="AE1421" s="6">
        <v>72</v>
      </c>
      <c r="AF1421" s="6">
        <v>77</v>
      </c>
      <c r="AG1421" s="6" t="s">
        <v>7469</v>
      </c>
      <c r="AH1421" s="6" t="s">
        <v>6632</v>
      </c>
    </row>
    <row r="1422" spans="1:34" x14ac:dyDescent="0.2">
      <c r="A1422" t="s">
        <v>3740</v>
      </c>
      <c r="B1422" t="s">
        <v>2004</v>
      </c>
      <c r="C1422" t="s">
        <v>2884</v>
      </c>
      <c r="D1422" s="7" t="s">
        <v>154</v>
      </c>
      <c r="E1422" t="s">
        <v>38</v>
      </c>
      <c r="F1422">
        <v>25</v>
      </c>
      <c r="G1422">
        <v>64</v>
      </c>
      <c r="H1422">
        <v>69</v>
      </c>
      <c r="I1422" t="s">
        <v>6355</v>
      </c>
      <c r="J1422">
        <v>75</v>
      </c>
      <c r="K1422">
        <v>210</v>
      </c>
      <c r="L1422" t="s">
        <v>5434</v>
      </c>
      <c r="M1422" s="6" t="s">
        <v>6558</v>
      </c>
      <c r="N1422" s="6" t="s">
        <v>6614</v>
      </c>
      <c r="O1422" s="6">
        <v>71</v>
      </c>
      <c r="P1422" s="6">
        <v>68</v>
      </c>
      <c r="Q1422" s="6">
        <v>68</v>
      </c>
      <c r="R1422" s="6">
        <v>61</v>
      </c>
      <c r="S1422" s="6">
        <v>74</v>
      </c>
      <c r="T1422" s="6">
        <v>68</v>
      </c>
      <c r="U1422" s="6">
        <v>67</v>
      </c>
      <c r="V1422" s="6">
        <v>71</v>
      </c>
      <c r="W1422" s="6">
        <v>71</v>
      </c>
      <c r="X1422" s="6">
        <v>65</v>
      </c>
      <c r="Y1422" s="6">
        <v>73</v>
      </c>
      <c r="Z1422" s="6">
        <v>77</v>
      </c>
      <c r="AA1422" s="6">
        <v>67</v>
      </c>
      <c r="AB1422" s="6">
        <v>76</v>
      </c>
      <c r="AC1422" s="6">
        <v>75</v>
      </c>
      <c r="AD1422" s="6">
        <v>69</v>
      </c>
      <c r="AE1422" s="6">
        <v>72</v>
      </c>
      <c r="AF1422" s="6">
        <v>69</v>
      </c>
      <c r="AG1422" s="6" t="s">
        <v>7476</v>
      </c>
      <c r="AH1422" s="6" t="s">
        <v>6644</v>
      </c>
    </row>
    <row r="1423" spans="1:34" x14ac:dyDescent="0.2">
      <c r="A1423" t="s">
        <v>3751</v>
      </c>
      <c r="B1423" t="s">
        <v>2015</v>
      </c>
      <c r="C1423" t="s">
        <v>57</v>
      </c>
      <c r="D1423" s="7" t="s">
        <v>155</v>
      </c>
      <c r="E1423" t="s">
        <v>38</v>
      </c>
      <c r="F1423">
        <v>29</v>
      </c>
      <c r="G1423">
        <v>77</v>
      </c>
      <c r="H1423">
        <v>69</v>
      </c>
      <c r="I1423" t="s">
        <v>6310</v>
      </c>
      <c r="J1423">
        <v>71</v>
      </c>
      <c r="K1423">
        <v>209</v>
      </c>
      <c r="L1423" t="s">
        <v>5445</v>
      </c>
      <c r="M1423" s="6" t="s">
        <v>6558</v>
      </c>
      <c r="N1423" s="6" t="s">
        <v>6583</v>
      </c>
      <c r="O1423" s="6">
        <v>77</v>
      </c>
      <c r="P1423" s="6">
        <v>75</v>
      </c>
      <c r="Q1423" s="6">
        <v>70</v>
      </c>
      <c r="R1423" s="6">
        <v>78</v>
      </c>
      <c r="S1423" s="6">
        <v>90</v>
      </c>
      <c r="T1423" s="6">
        <v>82</v>
      </c>
      <c r="U1423" s="6">
        <v>85</v>
      </c>
      <c r="V1423" s="6">
        <v>86</v>
      </c>
      <c r="W1423" s="6">
        <v>86</v>
      </c>
      <c r="X1423" s="6">
        <v>84</v>
      </c>
      <c r="Y1423" s="6">
        <v>90</v>
      </c>
      <c r="Z1423" s="6">
        <v>76</v>
      </c>
      <c r="AA1423" s="6">
        <v>76</v>
      </c>
      <c r="AB1423" s="6">
        <v>78</v>
      </c>
      <c r="AC1423" s="6">
        <v>70</v>
      </c>
      <c r="AD1423" s="6">
        <v>72</v>
      </c>
      <c r="AE1423" s="6">
        <v>78</v>
      </c>
      <c r="AF1423" s="6">
        <v>76</v>
      </c>
      <c r="AG1423" s="6" t="s">
        <v>7487</v>
      </c>
      <c r="AH1423" s="6" t="s">
        <v>6664</v>
      </c>
    </row>
    <row r="1424" spans="1:34" x14ac:dyDescent="0.2">
      <c r="A1424" t="s">
        <v>3758</v>
      </c>
      <c r="B1424" t="s">
        <v>2022</v>
      </c>
      <c r="C1424" t="s">
        <v>57</v>
      </c>
      <c r="D1424" s="7" t="s">
        <v>155</v>
      </c>
      <c r="E1424" t="s">
        <v>58</v>
      </c>
      <c r="F1424">
        <v>30</v>
      </c>
      <c r="G1424">
        <v>59</v>
      </c>
      <c r="H1424">
        <v>69</v>
      </c>
      <c r="I1424" t="s">
        <v>6317</v>
      </c>
      <c r="J1424">
        <v>74</v>
      </c>
      <c r="K1424">
        <v>202</v>
      </c>
      <c r="L1424" t="s">
        <v>5452</v>
      </c>
      <c r="M1424" s="6" t="s">
        <v>6558</v>
      </c>
      <c r="N1424" s="6" t="s">
        <v>6614</v>
      </c>
      <c r="O1424" s="6">
        <v>65</v>
      </c>
      <c r="P1424" s="6">
        <v>65</v>
      </c>
      <c r="Q1424" s="6">
        <v>69</v>
      </c>
      <c r="R1424" s="6">
        <v>59</v>
      </c>
      <c r="S1424" s="6">
        <v>72</v>
      </c>
      <c r="T1424" s="6">
        <v>66</v>
      </c>
      <c r="U1424" s="6">
        <v>70</v>
      </c>
      <c r="V1424" s="6">
        <v>65</v>
      </c>
      <c r="W1424" s="6">
        <v>67</v>
      </c>
      <c r="X1424" s="6">
        <v>76</v>
      </c>
      <c r="Y1424" s="6">
        <v>71</v>
      </c>
      <c r="Z1424" s="6">
        <v>75</v>
      </c>
      <c r="AA1424" s="6">
        <v>68</v>
      </c>
      <c r="AB1424" s="6">
        <v>61</v>
      </c>
      <c r="AC1424" s="6">
        <v>64</v>
      </c>
      <c r="AD1424" s="6">
        <v>66</v>
      </c>
      <c r="AE1424" s="6">
        <v>64</v>
      </c>
      <c r="AF1424" s="6">
        <v>67</v>
      </c>
      <c r="AG1424" s="6" t="s">
        <v>7494</v>
      </c>
      <c r="AH1424" s="6" t="s">
        <v>6664</v>
      </c>
    </row>
    <row r="1425" spans="1:34" x14ac:dyDescent="0.2">
      <c r="A1425" t="s">
        <v>3767</v>
      </c>
      <c r="B1425" t="s">
        <v>2031</v>
      </c>
      <c r="C1425" t="s">
        <v>2887</v>
      </c>
      <c r="D1425" s="7" t="s">
        <v>155</v>
      </c>
      <c r="E1425" t="s">
        <v>58</v>
      </c>
      <c r="F1425">
        <v>33</v>
      </c>
      <c r="G1425">
        <v>67</v>
      </c>
      <c r="H1425">
        <v>69</v>
      </c>
      <c r="I1425" t="s">
        <v>6374</v>
      </c>
      <c r="J1425">
        <v>76</v>
      </c>
      <c r="K1425">
        <v>300</v>
      </c>
      <c r="L1425" t="s">
        <v>5461</v>
      </c>
      <c r="M1425" s="6" t="s">
        <v>6558</v>
      </c>
      <c r="N1425" s="6" t="s">
        <v>6565</v>
      </c>
      <c r="O1425" s="6">
        <v>72</v>
      </c>
      <c r="P1425" s="6">
        <v>79</v>
      </c>
      <c r="Q1425" s="6">
        <v>75</v>
      </c>
      <c r="R1425" s="6">
        <v>75</v>
      </c>
      <c r="S1425" s="6">
        <v>69</v>
      </c>
      <c r="T1425" s="6">
        <v>76</v>
      </c>
      <c r="U1425" s="6">
        <v>73</v>
      </c>
      <c r="V1425" s="6">
        <v>77</v>
      </c>
      <c r="W1425" s="6">
        <v>75</v>
      </c>
      <c r="X1425" s="6">
        <v>76</v>
      </c>
      <c r="Y1425" s="6">
        <v>73</v>
      </c>
      <c r="Z1425" s="6">
        <v>80</v>
      </c>
      <c r="AA1425" s="6">
        <v>64</v>
      </c>
      <c r="AB1425" s="6">
        <v>68</v>
      </c>
      <c r="AC1425" s="6">
        <v>68</v>
      </c>
      <c r="AD1425" s="6">
        <v>63</v>
      </c>
      <c r="AE1425" s="6">
        <v>67</v>
      </c>
      <c r="AF1425" s="6">
        <v>63</v>
      </c>
      <c r="AG1425" s="6" t="s">
        <v>7503</v>
      </c>
      <c r="AH1425" s="6" t="s">
        <v>6598</v>
      </c>
    </row>
    <row r="1426" spans="1:34" x14ac:dyDescent="0.2">
      <c r="A1426" t="s">
        <v>3778</v>
      </c>
      <c r="B1426" t="s">
        <v>2042</v>
      </c>
      <c r="C1426" t="s">
        <v>2878</v>
      </c>
      <c r="D1426" s="7" t="s">
        <v>155</v>
      </c>
      <c r="E1426" t="s">
        <v>58</v>
      </c>
      <c r="F1426">
        <v>32</v>
      </c>
      <c r="G1426">
        <v>67</v>
      </c>
      <c r="H1426">
        <v>69</v>
      </c>
      <c r="I1426" t="s">
        <v>6376</v>
      </c>
      <c r="J1426">
        <v>76</v>
      </c>
      <c r="K1426">
        <v>252</v>
      </c>
      <c r="L1426" t="s">
        <v>5472</v>
      </c>
      <c r="M1426" s="6" t="s">
        <v>6733</v>
      </c>
      <c r="N1426" s="6" t="s">
        <v>6583</v>
      </c>
      <c r="O1426" s="6">
        <v>76</v>
      </c>
      <c r="P1426" s="6">
        <v>75</v>
      </c>
      <c r="Q1426" s="6">
        <v>77</v>
      </c>
      <c r="R1426" s="6">
        <v>76</v>
      </c>
      <c r="S1426" s="6">
        <v>79</v>
      </c>
      <c r="T1426" s="6">
        <v>77</v>
      </c>
      <c r="U1426" s="6">
        <v>81</v>
      </c>
      <c r="V1426" s="6">
        <v>70</v>
      </c>
      <c r="W1426" s="6">
        <v>82</v>
      </c>
      <c r="X1426" s="6">
        <v>87</v>
      </c>
      <c r="Y1426" s="6">
        <v>79</v>
      </c>
      <c r="Z1426" s="6">
        <v>58</v>
      </c>
      <c r="AA1426" s="6">
        <v>64</v>
      </c>
      <c r="AB1426" s="6">
        <v>63</v>
      </c>
      <c r="AC1426" s="6">
        <v>61</v>
      </c>
      <c r="AD1426" s="6">
        <v>72</v>
      </c>
      <c r="AE1426" s="6">
        <v>65</v>
      </c>
      <c r="AF1426" s="6">
        <v>70</v>
      </c>
      <c r="AG1426" s="6" t="s">
        <v>7514</v>
      </c>
      <c r="AH1426" s="6" t="s">
        <v>6963</v>
      </c>
    </row>
    <row r="1427" spans="1:34" x14ac:dyDescent="0.2">
      <c r="A1427" t="s">
        <v>3781</v>
      </c>
      <c r="B1427" t="s">
        <v>2045</v>
      </c>
      <c r="C1427" t="s">
        <v>2879</v>
      </c>
      <c r="D1427" s="7" t="s">
        <v>155</v>
      </c>
      <c r="E1427" t="s">
        <v>38</v>
      </c>
      <c r="F1427">
        <v>22</v>
      </c>
      <c r="G1427">
        <v>71</v>
      </c>
      <c r="H1427">
        <v>69</v>
      </c>
      <c r="I1427" t="s">
        <v>6382</v>
      </c>
      <c r="J1427">
        <v>75</v>
      </c>
      <c r="K1427">
        <v>303</v>
      </c>
      <c r="L1427" t="s">
        <v>5475</v>
      </c>
      <c r="M1427" s="6" t="s">
        <v>6558</v>
      </c>
      <c r="N1427" s="6" t="s">
        <v>6565</v>
      </c>
      <c r="O1427" s="6">
        <v>73</v>
      </c>
      <c r="P1427" s="6">
        <v>69</v>
      </c>
      <c r="Q1427" s="6">
        <v>71</v>
      </c>
      <c r="R1427" s="6">
        <v>75</v>
      </c>
      <c r="S1427" s="6">
        <v>74</v>
      </c>
      <c r="T1427" s="6">
        <v>77</v>
      </c>
      <c r="U1427" s="6">
        <v>73</v>
      </c>
      <c r="V1427" s="6">
        <v>64</v>
      </c>
      <c r="W1427" s="6">
        <v>85</v>
      </c>
      <c r="X1427" s="6">
        <v>60</v>
      </c>
      <c r="Y1427" s="6">
        <v>77</v>
      </c>
      <c r="Z1427" s="6">
        <v>73</v>
      </c>
      <c r="AA1427" s="6">
        <v>75</v>
      </c>
      <c r="AB1427" s="6">
        <v>75</v>
      </c>
      <c r="AC1427" s="6">
        <v>64</v>
      </c>
      <c r="AD1427" s="6">
        <v>67</v>
      </c>
      <c r="AE1427" s="6">
        <v>66</v>
      </c>
      <c r="AF1427" s="6">
        <v>77</v>
      </c>
      <c r="AG1427" s="6" t="s">
        <v>7517</v>
      </c>
      <c r="AH1427" s="6" t="s">
        <v>6855</v>
      </c>
    </row>
    <row r="1428" spans="1:34" x14ac:dyDescent="0.2">
      <c r="A1428" t="s">
        <v>3788</v>
      </c>
      <c r="B1428" t="s">
        <v>2052</v>
      </c>
      <c r="C1428" t="s">
        <v>61</v>
      </c>
      <c r="D1428" s="7" t="s">
        <v>155</v>
      </c>
      <c r="E1428" t="s">
        <v>38</v>
      </c>
      <c r="F1428">
        <v>23</v>
      </c>
      <c r="G1428">
        <v>66</v>
      </c>
      <c r="H1428">
        <v>69</v>
      </c>
      <c r="I1428" t="s">
        <v>6492</v>
      </c>
      <c r="J1428">
        <v>69</v>
      </c>
      <c r="K1428">
        <v>195</v>
      </c>
      <c r="L1428" t="s">
        <v>5482</v>
      </c>
      <c r="M1428" s="6" t="s">
        <v>6558</v>
      </c>
      <c r="N1428" s="6" t="s">
        <v>6614</v>
      </c>
      <c r="O1428" s="6">
        <v>69</v>
      </c>
      <c r="P1428" s="6">
        <v>70</v>
      </c>
      <c r="Q1428" s="6">
        <v>71</v>
      </c>
      <c r="R1428" s="6">
        <v>51</v>
      </c>
      <c r="S1428" s="6">
        <v>84</v>
      </c>
      <c r="T1428" s="6">
        <v>71</v>
      </c>
      <c r="U1428" s="6">
        <v>76</v>
      </c>
      <c r="V1428" s="6">
        <v>74</v>
      </c>
      <c r="W1428" s="6">
        <v>76</v>
      </c>
      <c r="X1428" s="6">
        <v>74</v>
      </c>
      <c r="Y1428" s="6">
        <v>62</v>
      </c>
      <c r="Z1428" s="6">
        <v>72</v>
      </c>
      <c r="AA1428" s="6">
        <v>73</v>
      </c>
      <c r="AB1428" s="6">
        <v>74</v>
      </c>
      <c r="AC1428" s="6">
        <v>71</v>
      </c>
      <c r="AD1428" s="6">
        <v>67</v>
      </c>
      <c r="AE1428" s="6">
        <v>70</v>
      </c>
      <c r="AF1428" s="6">
        <v>68</v>
      </c>
      <c r="AG1428" s="6" t="s">
        <v>7524</v>
      </c>
      <c r="AH1428" s="6" t="s">
        <v>7082</v>
      </c>
    </row>
    <row r="1429" spans="1:34" x14ac:dyDescent="0.2">
      <c r="A1429" t="s">
        <v>3797</v>
      </c>
      <c r="B1429" t="s">
        <v>2061</v>
      </c>
      <c r="C1429" t="s">
        <v>2885</v>
      </c>
      <c r="D1429" s="7" t="s">
        <v>155</v>
      </c>
      <c r="E1429" t="s">
        <v>58</v>
      </c>
      <c r="F1429">
        <v>30</v>
      </c>
      <c r="G1429">
        <v>76</v>
      </c>
      <c r="H1429">
        <v>69</v>
      </c>
      <c r="I1429" t="s">
        <v>6388</v>
      </c>
      <c r="J1429">
        <v>74</v>
      </c>
      <c r="K1429">
        <v>232</v>
      </c>
      <c r="L1429" t="s">
        <v>5491</v>
      </c>
      <c r="M1429" s="6" t="s">
        <v>6558</v>
      </c>
      <c r="N1429" s="6" t="s">
        <v>6565</v>
      </c>
      <c r="O1429" s="6">
        <v>79</v>
      </c>
      <c r="P1429" s="6">
        <v>75</v>
      </c>
      <c r="Q1429" s="6">
        <v>82</v>
      </c>
      <c r="R1429" s="6">
        <v>75</v>
      </c>
      <c r="S1429" s="6">
        <v>65</v>
      </c>
      <c r="T1429" s="6">
        <v>74</v>
      </c>
      <c r="U1429" s="6">
        <v>71</v>
      </c>
      <c r="V1429" s="6">
        <v>78</v>
      </c>
      <c r="W1429" s="6">
        <v>69</v>
      </c>
      <c r="X1429" s="6">
        <v>63</v>
      </c>
      <c r="Y1429" s="6">
        <v>76</v>
      </c>
      <c r="Z1429" s="6">
        <v>78</v>
      </c>
      <c r="AA1429" s="6">
        <v>69</v>
      </c>
      <c r="AB1429" s="6">
        <v>68</v>
      </c>
      <c r="AC1429" s="6">
        <v>72</v>
      </c>
      <c r="AD1429" s="6">
        <v>69</v>
      </c>
      <c r="AE1429" s="6">
        <v>63</v>
      </c>
      <c r="AF1429" s="6">
        <v>69</v>
      </c>
      <c r="AG1429" s="6" t="s">
        <v>7533</v>
      </c>
      <c r="AH1429" s="6" t="s">
        <v>6628</v>
      </c>
    </row>
    <row r="1430" spans="1:34" x14ac:dyDescent="0.2">
      <c r="A1430" t="s">
        <v>3800</v>
      </c>
      <c r="B1430" t="s">
        <v>2064</v>
      </c>
      <c r="C1430" t="s">
        <v>2890</v>
      </c>
      <c r="D1430" s="7" t="s">
        <v>155</v>
      </c>
      <c r="E1430" t="s">
        <v>58</v>
      </c>
      <c r="F1430">
        <v>30</v>
      </c>
      <c r="G1430">
        <v>75</v>
      </c>
      <c r="H1430">
        <v>69</v>
      </c>
      <c r="I1430" t="s">
        <v>6391</v>
      </c>
      <c r="J1430">
        <v>69</v>
      </c>
      <c r="K1430">
        <v>184</v>
      </c>
      <c r="L1430" t="s">
        <v>5494</v>
      </c>
      <c r="M1430" s="6" t="s">
        <v>6733</v>
      </c>
      <c r="N1430" s="6" t="s">
        <v>6565</v>
      </c>
      <c r="O1430" s="6">
        <v>77</v>
      </c>
      <c r="P1430" s="6">
        <v>75</v>
      </c>
      <c r="Q1430" s="6">
        <v>68</v>
      </c>
      <c r="R1430" s="6">
        <v>72</v>
      </c>
      <c r="S1430" s="6">
        <v>68</v>
      </c>
      <c r="T1430" s="6">
        <v>56</v>
      </c>
      <c r="U1430" s="6">
        <v>77</v>
      </c>
      <c r="V1430" s="6">
        <v>80</v>
      </c>
      <c r="W1430" s="6">
        <v>73</v>
      </c>
      <c r="X1430" s="6">
        <v>72</v>
      </c>
      <c r="Y1430" s="6">
        <v>68</v>
      </c>
      <c r="Z1430" s="6">
        <v>59</v>
      </c>
      <c r="AA1430" s="6">
        <v>69</v>
      </c>
      <c r="AB1430" s="6">
        <v>68</v>
      </c>
      <c r="AC1430" s="6">
        <v>65</v>
      </c>
      <c r="AD1430" s="6">
        <v>68</v>
      </c>
      <c r="AE1430" s="6">
        <v>64</v>
      </c>
      <c r="AF1430" s="6">
        <v>69</v>
      </c>
      <c r="AG1430" s="6" t="s">
        <v>7536</v>
      </c>
      <c r="AH1430" s="6" t="s">
        <v>6630</v>
      </c>
    </row>
    <row r="1431" spans="1:34" x14ac:dyDescent="0.2">
      <c r="A1431" t="s">
        <v>3813</v>
      </c>
      <c r="B1431" t="s">
        <v>2077</v>
      </c>
      <c r="C1431" t="s">
        <v>57</v>
      </c>
      <c r="D1431" s="7" t="s">
        <v>148</v>
      </c>
      <c r="E1431" t="s">
        <v>38</v>
      </c>
      <c r="F1431">
        <v>30</v>
      </c>
      <c r="G1431">
        <v>80</v>
      </c>
      <c r="H1431">
        <v>69</v>
      </c>
      <c r="I1431" t="s">
        <v>6478</v>
      </c>
      <c r="J1431">
        <v>74</v>
      </c>
      <c r="K1431">
        <v>181</v>
      </c>
      <c r="L1431" t="s">
        <v>5507</v>
      </c>
      <c r="M1431" s="6" t="s">
        <v>6558</v>
      </c>
      <c r="N1431" s="6" t="s">
        <v>6583</v>
      </c>
      <c r="O1431" s="6">
        <v>78</v>
      </c>
      <c r="P1431" s="6">
        <v>83</v>
      </c>
      <c r="Q1431" s="6">
        <v>87</v>
      </c>
      <c r="R1431" s="6">
        <v>79</v>
      </c>
      <c r="S1431" s="6">
        <v>90</v>
      </c>
      <c r="T1431" s="6">
        <v>75</v>
      </c>
      <c r="U1431" s="6">
        <v>85</v>
      </c>
      <c r="V1431" s="6">
        <v>83</v>
      </c>
      <c r="W1431" s="6">
        <v>82</v>
      </c>
      <c r="X1431" s="6">
        <v>77</v>
      </c>
      <c r="Y1431" s="6">
        <v>83</v>
      </c>
      <c r="Z1431" s="6">
        <v>87</v>
      </c>
      <c r="AA1431" s="6">
        <v>72</v>
      </c>
      <c r="AB1431" s="6">
        <v>75</v>
      </c>
      <c r="AC1431" s="6">
        <v>80</v>
      </c>
      <c r="AD1431" s="6">
        <v>82</v>
      </c>
      <c r="AE1431" s="6">
        <v>75</v>
      </c>
      <c r="AF1431" s="6">
        <v>84</v>
      </c>
      <c r="AG1431" s="6" t="s">
        <v>7549</v>
      </c>
      <c r="AH1431" s="6" t="s">
        <v>6661</v>
      </c>
    </row>
    <row r="1432" spans="1:34" x14ac:dyDescent="0.2">
      <c r="A1432" t="s">
        <v>3815</v>
      </c>
      <c r="B1432" t="s">
        <v>2079</v>
      </c>
      <c r="C1432" t="s">
        <v>57</v>
      </c>
      <c r="D1432" s="7" t="s">
        <v>148</v>
      </c>
      <c r="E1432" t="s">
        <v>58</v>
      </c>
      <c r="F1432">
        <v>25</v>
      </c>
      <c r="G1432">
        <v>65</v>
      </c>
      <c r="H1432">
        <v>69</v>
      </c>
      <c r="I1432" t="s">
        <v>6476</v>
      </c>
      <c r="J1432">
        <v>73</v>
      </c>
      <c r="K1432">
        <v>220</v>
      </c>
      <c r="L1432" t="s">
        <v>5509</v>
      </c>
      <c r="M1432" s="6" t="s">
        <v>6558</v>
      </c>
      <c r="N1432" s="6" t="s">
        <v>6567</v>
      </c>
      <c r="O1432" s="6">
        <v>73</v>
      </c>
      <c r="P1432" s="6">
        <v>71</v>
      </c>
      <c r="Q1432" s="6">
        <v>60</v>
      </c>
      <c r="R1432" s="6">
        <v>65</v>
      </c>
      <c r="S1432" s="6">
        <v>72</v>
      </c>
      <c r="T1432" s="6">
        <v>69</v>
      </c>
      <c r="U1432" s="6">
        <v>72</v>
      </c>
      <c r="V1432" s="6">
        <v>65</v>
      </c>
      <c r="W1432" s="6">
        <v>60</v>
      </c>
      <c r="X1432" s="6">
        <v>65</v>
      </c>
      <c r="Y1432" s="6">
        <v>64</v>
      </c>
      <c r="Z1432" s="6">
        <v>66</v>
      </c>
      <c r="AA1432" s="6">
        <v>69</v>
      </c>
      <c r="AB1432" s="6">
        <v>72</v>
      </c>
      <c r="AC1432" s="6">
        <v>67</v>
      </c>
      <c r="AD1432" s="6">
        <v>67</v>
      </c>
      <c r="AE1432" s="6">
        <v>70</v>
      </c>
      <c r="AF1432" s="6">
        <v>73</v>
      </c>
      <c r="AG1432" s="6" t="s">
        <v>7551</v>
      </c>
      <c r="AH1432" s="6" t="s">
        <v>6574</v>
      </c>
    </row>
    <row r="1433" spans="1:34" x14ac:dyDescent="0.2">
      <c r="A1433" t="s">
        <v>3817</v>
      </c>
      <c r="B1433" t="s">
        <v>2081</v>
      </c>
      <c r="C1433" t="s">
        <v>2872</v>
      </c>
      <c r="D1433" s="7" t="s">
        <v>148</v>
      </c>
      <c r="E1433" t="s">
        <v>58</v>
      </c>
      <c r="F1433">
        <v>33</v>
      </c>
      <c r="G1433">
        <v>76</v>
      </c>
      <c r="H1433">
        <v>69</v>
      </c>
      <c r="I1433" t="s">
        <v>6475</v>
      </c>
      <c r="J1433">
        <v>76</v>
      </c>
      <c r="K1433">
        <v>314</v>
      </c>
      <c r="L1433" t="s">
        <v>5511</v>
      </c>
      <c r="M1433" s="6" t="s">
        <v>6558</v>
      </c>
      <c r="N1433" s="6" t="s">
        <v>6565</v>
      </c>
      <c r="O1433" s="6">
        <v>80</v>
      </c>
      <c r="P1433" s="6">
        <v>70</v>
      </c>
      <c r="Q1433" s="6">
        <v>73</v>
      </c>
      <c r="R1433" s="6">
        <v>75</v>
      </c>
      <c r="S1433" s="6">
        <v>74</v>
      </c>
      <c r="T1433" s="6">
        <v>79</v>
      </c>
      <c r="U1433" s="6">
        <v>76</v>
      </c>
      <c r="V1433" s="6">
        <v>78</v>
      </c>
      <c r="W1433" s="6">
        <v>70</v>
      </c>
      <c r="X1433" s="6">
        <v>75</v>
      </c>
      <c r="Y1433" s="6">
        <v>75</v>
      </c>
      <c r="Z1433" s="6">
        <v>74</v>
      </c>
      <c r="AA1433" s="6">
        <v>62</v>
      </c>
      <c r="AB1433" s="6">
        <v>62</v>
      </c>
      <c r="AC1433" s="6">
        <v>57</v>
      </c>
      <c r="AD1433" s="6">
        <v>57</v>
      </c>
      <c r="AE1433" s="6">
        <v>60</v>
      </c>
      <c r="AF1433" s="6">
        <v>71</v>
      </c>
      <c r="AG1433" s="6" t="s">
        <v>7553</v>
      </c>
      <c r="AH1433" s="6" t="s">
        <v>6694</v>
      </c>
    </row>
    <row r="1434" spans="1:34" x14ac:dyDescent="0.2">
      <c r="A1434" t="s">
        <v>3829</v>
      </c>
      <c r="B1434" t="s">
        <v>2093</v>
      </c>
      <c r="C1434" t="s">
        <v>2879</v>
      </c>
      <c r="D1434" s="7" t="s">
        <v>148</v>
      </c>
      <c r="E1434" t="s">
        <v>38</v>
      </c>
      <c r="F1434">
        <v>30</v>
      </c>
      <c r="G1434">
        <v>78</v>
      </c>
      <c r="H1434">
        <v>69</v>
      </c>
      <c r="I1434" t="s">
        <v>6426</v>
      </c>
      <c r="J1434">
        <v>74</v>
      </c>
      <c r="K1434">
        <v>298</v>
      </c>
      <c r="L1434" t="s">
        <v>5523</v>
      </c>
      <c r="M1434" s="6" t="s">
        <v>6558</v>
      </c>
      <c r="N1434" s="6" t="s">
        <v>6583</v>
      </c>
      <c r="O1434" s="6">
        <v>91</v>
      </c>
      <c r="P1434" s="6">
        <v>86</v>
      </c>
      <c r="Q1434" s="6">
        <v>85</v>
      </c>
      <c r="R1434" s="6">
        <v>78</v>
      </c>
      <c r="S1434" s="6">
        <v>85</v>
      </c>
      <c r="T1434" s="6">
        <v>72</v>
      </c>
      <c r="U1434" s="6">
        <v>81</v>
      </c>
      <c r="V1434" s="6">
        <v>75</v>
      </c>
      <c r="W1434" s="6">
        <v>76</v>
      </c>
      <c r="X1434" s="6">
        <v>68</v>
      </c>
      <c r="Y1434" s="6">
        <v>69</v>
      </c>
      <c r="Z1434" s="6">
        <v>71</v>
      </c>
      <c r="AA1434" s="6">
        <v>73</v>
      </c>
      <c r="AB1434" s="6">
        <v>67</v>
      </c>
      <c r="AC1434" s="6">
        <v>70</v>
      </c>
      <c r="AD1434" s="6">
        <v>83</v>
      </c>
      <c r="AE1434" s="6">
        <v>69</v>
      </c>
      <c r="AF1434" s="6">
        <v>76</v>
      </c>
      <c r="AG1434" s="6" t="s">
        <v>7565</v>
      </c>
      <c r="AH1434" s="6" t="s">
        <v>6855</v>
      </c>
    </row>
    <row r="1435" spans="1:34" x14ac:dyDescent="0.2">
      <c r="A1435" t="s">
        <v>3830</v>
      </c>
      <c r="B1435" t="s">
        <v>2094</v>
      </c>
      <c r="C1435" t="s">
        <v>2879</v>
      </c>
      <c r="D1435" s="7" t="s">
        <v>148</v>
      </c>
      <c r="E1435" t="s">
        <v>58</v>
      </c>
      <c r="F1435">
        <v>31</v>
      </c>
      <c r="G1435">
        <v>71</v>
      </c>
      <c r="H1435">
        <v>69</v>
      </c>
      <c r="I1435" t="s">
        <v>6436</v>
      </c>
      <c r="J1435">
        <v>74</v>
      </c>
      <c r="K1435">
        <v>317</v>
      </c>
      <c r="L1435" t="s">
        <v>5524</v>
      </c>
      <c r="M1435" s="6" t="s">
        <v>6558</v>
      </c>
      <c r="N1435" s="6" t="s">
        <v>6567</v>
      </c>
      <c r="O1435" s="6">
        <v>82</v>
      </c>
      <c r="P1435" s="6">
        <v>74</v>
      </c>
      <c r="Q1435" s="6">
        <v>75</v>
      </c>
      <c r="R1435" s="6">
        <v>66</v>
      </c>
      <c r="S1435" s="6">
        <v>86</v>
      </c>
      <c r="T1435" s="6">
        <v>76</v>
      </c>
      <c r="U1435" s="6">
        <v>80</v>
      </c>
      <c r="V1435" s="6">
        <v>82</v>
      </c>
      <c r="W1435" s="6">
        <v>70</v>
      </c>
      <c r="X1435" s="6">
        <v>76</v>
      </c>
      <c r="Y1435" s="6">
        <v>66</v>
      </c>
      <c r="Z1435" s="6">
        <v>72</v>
      </c>
      <c r="AA1435" s="6">
        <v>64</v>
      </c>
      <c r="AB1435" s="6">
        <v>75</v>
      </c>
      <c r="AC1435" s="6">
        <v>65</v>
      </c>
      <c r="AD1435" s="6">
        <v>60</v>
      </c>
      <c r="AE1435" s="6">
        <v>59</v>
      </c>
      <c r="AF1435" s="6">
        <v>70</v>
      </c>
      <c r="AG1435" s="6" t="s">
        <v>7566</v>
      </c>
      <c r="AH1435" s="6" t="s">
        <v>6617</v>
      </c>
    </row>
    <row r="1436" spans="1:34" x14ac:dyDescent="0.2">
      <c r="A1436" t="s">
        <v>3841</v>
      </c>
      <c r="B1436" t="s">
        <v>2105</v>
      </c>
      <c r="C1436" t="s">
        <v>2883</v>
      </c>
      <c r="D1436" s="7" t="s">
        <v>148</v>
      </c>
      <c r="E1436" t="s">
        <v>38</v>
      </c>
      <c r="F1436">
        <v>27</v>
      </c>
      <c r="G1436">
        <v>84</v>
      </c>
      <c r="H1436">
        <v>69</v>
      </c>
      <c r="I1436" t="s">
        <v>6445</v>
      </c>
      <c r="J1436">
        <v>73</v>
      </c>
      <c r="K1436">
        <v>216</v>
      </c>
      <c r="L1436" t="s">
        <v>5535</v>
      </c>
      <c r="M1436" s="6" t="s">
        <v>6558</v>
      </c>
      <c r="N1436" s="6" t="s">
        <v>6583</v>
      </c>
      <c r="O1436" s="6">
        <v>80</v>
      </c>
      <c r="P1436" s="6">
        <v>82</v>
      </c>
      <c r="Q1436" s="6">
        <v>74</v>
      </c>
      <c r="R1436" s="6">
        <v>81</v>
      </c>
      <c r="S1436" s="6">
        <v>74</v>
      </c>
      <c r="T1436" s="6">
        <v>75</v>
      </c>
      <c r="U1436" s="6">
        <v>80</v>
      </c>
      <c r="V1436" s="6">
        <v>79</v>
      </c>
      <c r="W1436" s="6">
        <v>69</v>
      </c>
      <c r="X1436" s="6">
        <v>75</v>
      </c>
      <c r="Y1436" s="6">
        <v>72</v>
      </c>
      <c r="Z1436" s="6">
        <v>84</v>
      </c>
      <c r="AA1436" s="6">
        <v>77</v>
      </c>
      <c r="AB1436" s="6">
        <v>68</v>
      </c>
      <c r="AC1436" s="6">
        <v>74</v>
      </c>
      <c r="AD1436" s="6">
        <v>74</v>
      </c>
      <c r="AE1436" s="6">
        <v>80</v>
      </c>
      <c r="AF1436" s="6">
        <v>74</v>
      </c>
      <c r="AG1436" s="6" t="s">
        <v>7577</v>
      </c>
      <c r="AH1436" s="6" t="s">
        <v>7417</v>
      </c>
    </row>
    <row r="1437" spans="1:34" x14ac:dyDescent="0.2">
      <c r="A1437" t="s">
        <v>3842</v>
      </c>
      <c r="B1437" t="s">
        <v>2106</v>
      </c>
      <c r="C1437" t="s">
        <v>2883</v>
      </c>
      <c r="D1437" s="7" t="s">
        <v>148</v>
      </c>
      <c r="E1437" t="s">
        <v>38</v>
      </c>
      <c r="F1437">
        <v>26</v>
      </c>
      <c r="G1437">
        <v>81</v>
      </c>
      <c r="H1437">
        <v>69</v>
      </c>
      <c r="I1437" t="s">
        <v>6446</v>
      </c>
      <c r="J1437">
        <v>70</v>
      </c>
      <c r="K1437">
        <v>207</v>
      </c>
      <c r="L1437" t="s">
        <v>5536</v>
      </c>
      <c r="M1437" s="6" t="s">
        <v>6558</v>
      </c>
      <c r="N1437" s="6" t="s">
        <v>6583</v>
      </c>
      <c r="O1437" s="6">
        <v>85</v>
      </c>
      <c r="P1437" s="6">
        <v>79</v>
      </c>
      <c r="Q1437" s="6">
        <v>88</v>
      </c>
      <c r="R1437" s="6">
        <v>78</v>
      </c>
      <c r="S1437" s="6">
        <v>80</v>
      </c>
      <c r="T1437" s="6">
        <v>81</v>
      </c>
      <c r="U1437" s="6">
        <v>86</v>
      </c>
      <c r="V1437" s="6">
        <v>66</v>
      </c>
      <c r="W1437" s="6">
        <v>78</v>
      </c>
      <c r="X1437" s="6">
        <v>70</v>
      </c>
      <c r="Y1437" s="6">
        <v>74</v>
      </c>
      <c r="Z1437" s="6">
        <v>68</v>
      </c>
      <c r="AA1437" s="6">
        <v>78</v>
      </c>
      <c r="AB1437" s="6">
        <v>81</v>
      </c>
      <c r="AC1437" s="6">
        <v>74</v>
      </c>
      <c r="AD1437" s="6">
        <v>79</v>
      </c>
      <c r="AE1437" s="6">
        <v>73</v>
      </c>
      <c r="AF1437" s="6">
        <v>79</v>
      </c>
      <c r="AG1437" s="6" t="s">
        <v>7578</v>
      </c>
      <c r="AH1437" s="6" t="s">
        <v>6640</v>
      </c>
    </row>
    <row r="1438" spans="1:34" x14ac:dyDescent="0.2">
      <c r="A1438" t="s">
        <v>3853</v>
      </c>
      <c r="B1438" t="s">
        <v>2117</v>
      </c>
      <c r="C1438" t="s">
        <v>2870</v>
      </c>
      <c r="D1438" s="7" t="s">
        <v>147</v>
      </c>
      <c r="E1438" t="s">
        <v>58</v>
      </c>
      <c r="F1438">
        <v>23</v>
      </c>
      <c r="G1438">
        <v>78</v>
      </c>
      <c r="H1438">
        <v>69</v>
      </c>
      <c r="I1438" t="s">
        <v>6523</v>
      </c>
      <c r="J1438">
        <v>70</v>
      </c>
      <c r="K1438">
        <v>225</v>
      </c>
      <c r="L1438" t="s">
        <v>5547</v>
      </c>
      <c r="M1438" s="6" t="s">
        <v>6558</v>
      </c>
      <c r="N1438" s="6" t="s">
        <v>6614</v>
      </c>
      <c r="O1438" s="6">
        <v>68</v>
      </c>
      <c r="P1438" s="6">
        <v>61</v>
      </c>
      <c r="Q1438" s="6">
        <v>77</v>
      </c>
      <c r="R1438" s="6">
        <v>56</v>
      </c>
      <c r="S1438" s="6">
        <v>68</v>
      </c>
      <c r="T1438" s="6">
        <v>82</v>
      </c>
      <c r="U1438" s="6">
        <v>71</v>
      </c>
      <c r="V1438" s="6">
        <v>70</v>
      </c>
      <c r="W1438" s="6">
        <v>73</v>
      </c>
      <c r="X1438" s="6">
        <v>68</v>
      </c>
      <c r="Y1438" s="6">
        <v>68</v>
      </c>
      <c r="Z1438" s="6">
        <v>68</v>
      </c>
      <c r="AA1438" s="6">
        <v>76</v>
      </c>
      <c r="AB1438" s="6">
        <v>70</v>
      </c>
      <c r="AC1438" s="6">
        <v>76</v>
      </c>
      <c r="AD1438" s="6">
        <v>69</v>
      </c>
      <c r="AE1438" s="6">
        <v>79</v>
      </c>
      <c r="AF1438" s="6">
        <v>75</v>
      </c>
      <c r="AG1438" s="6" t="s">
        <v>7589</v>
      </c>
      <c r="AH1438" s="6" t="s">
        <v>6656</v>
      </c>
    </row>
    <row r="1439" spans="1:34" x14ac:dyDescent="0.2">
      <c r="A1439" t="s">
        <v>3860</v>
      </c>
      <c r="B1439" t="s">
        <v>2124</v>
      </c>
      <c r="C1439" t="s">
        <v>57</v>
      </c>
      <c r="D1439" s="7" t="s">
        <v>147</v>
      </c>
      <c r="E1439" t="s">
        <v>38</v>
      </c>
      <c r="F1439">
        <v>27</v>
      </c>
      <c r="G1439">
        <v>66</v>
      </c>
      <c r="H1439">
        <v>69</v>
      </c>
      <c r="I1439" t="s">
        <v>6427</v>
      </c>
      <c r="J1439">
        <v>74</v>
      </c>
      <c r="K1439">
        <v>199</v>
      </c>
      <c r="L1439" t="s">
        <v>5554</v>
      </c>
      <c r="M1439" s="6" t="s">
        <v>6558</v>
      </c>
      <c r="N1439" s="6" t="s">
        <v>6567</v>
      </c>
      <c r="O1439" s="6">
        <v>61</v>
      </c>
      <c r="P1439" s="6">
        <v>62</v>
      </c>
      <c r="Q1439" s="6">
        <v>73</v>
      </c>
      <c r="R1439" s="6">
        <v>66</v>
      </c>
      <c r="S1439" s="6">
        <v>78</v>
      </c>
      <c r="T1439" s="6">
        <v>64</v>
      </c>
      <c r="U1439" s="6">
        <v>58</v>
      </c>
      <c r="V1439" s="6">
        <v>60</v>
      </c>
      <c r="W1439" s="6">
        <v>68</v>
      </c>
      <c r="X1439" s="6">
        <v>78</v>
      </c>
      <c r="Y1439" s="6">
        <v>66</v>
      </c>
      <c r="Z1439" s="6">
        <v>66</v>
      </c>
      <c r="AA1439" s="6">
        <v>67</v>
      </c>
      <c r="AB1439" s="6">
        <v>68</v>
      </c>
      <c r="AC1439" s="6">
        <v>62</v>
      </c>
      <c r="AD1439" s="6">
        <v>59</v>
      </c>
      <c r="AE1439" s="6">
        <v>62</v>
      </c>
      <c r="AF1439" s="6">
        <v>74</v>
      </c>
      <c r="AG1439" s="6" t="s">
        <v>6577</v>
      </c>
      <c r="AH1439" s="6" t="s">
        <v>6664</v>
      </c>
    </row>
    <row r="1440" spans="1:34" x14ac:dyDescent="0.2">
      <c r="A1440" t="s">
        <v>3861</v>
      </c>
      <c r="B1440" t="s">
        <v>2125</v>
      </c>
      <c r="C1440" t="s">
        <v>57</v>
      </c>
      <c r="D1440" s="7" t="s">
        <v>147</v>
      </c>
      <c r="E1440" t="s">
        <v>38</v>
      </c>
      <c r="F1440">
        <v>29</v>
      </c>
      <c r="G1440">
        <v>63</v>
      </c>
      <c r="H1440">
        <v>69</v>
      </c>
      <c r="I1440" t="s">
        <v>6429</v>
      </c>
      <c r="J1440">
        <v>74</v>
      </c>
      <c r="K1440">
        <v>204</v>
      </c>
      <c r="L1440" t="s">
        <v>5555</v>
      </c>
      <c r="M1440" s="6" t="s">
        <v>6558</v>
      </c>
      <c r="N1440" s="6" t="s">
        <v>6567</v>
      </c>
      <c r="O1440" s="6">
        <v>80</v>
      </c>
      <c r="P1440" s="6">
        <v>65</v>
      </c>
      <c r="Q1440" s="6">
        <v>83</v>
      </c>
      <c r="R1440" s="6">
        <v>66</v>
      </c>
      <c r="S1440" s="6">
        <v>74</v>
      </c>
      <c r="T1440" s="6">
        <v>64</v>
      </c>
      <c r="U1440" s="6">
        <v>67</v>
      </c>
      <c r="V1440" s="6">
        <v>71</v>
      </c>
      <c r="W1440" s="6">
        <v>74</v>
      </c>
      <c r="X1440" s="6">
        <v>64</v>
      </c>
      <c r="Y1440" s="6">
        <v>64</v>
      </c>
      <c r="Z1440" s="6">
        <v>77</v>
      </c>
      <c r="AA1440" s="6">
        <v>62</v>
      </c>
      <c r="AB1440" s="6">
        <v>69</v>
      </c>
      <c r="AC1440" s="6">
        <v>63</v>
      </c>
      <c r="AD1440" s="6">
        <v>67</v>
      </c>
      <c r="AE1440" s="6">
        <v>66</v>
      </c>
      <c r="AF1440" s="6">
        <v>67</v>
      </c>
      <c r="AG1440" s="6" t="s">
        <v>7596</v>
      </c>
      <c r="AH1440" s="6" t="s">
        <v>6661</v>
      </c>
    </row>
    <row r="1441" spans="1:34" x14ac:dyDescent="0.2">
      <c r="A1441" t="s">
        <v>3863</v>
      </c>
      <c r="B1441" t="s">
        <v>2127</v>
      </c>
      <c r="C1441" t="s">
        <v>2871</v>
      </c>
      <c r="D1441" s="7" t="s">
        <v>147</v>
      </c>
      <c r="E1441" t="s">
        <v>58</v>
      </c>
      <c r="F1441">
        <v>33</v>
      </c>
      <c r="G1441">
        <v>72</v>
      </c>
      <c r="H1441">
        <v>69</v>
      </c>
      <c r="I1441" t="s">
        <v>6453</v>
      </c>
      <c r="J1441">
        <v>74</v>
      </c>
      <c r="K1441">
        <v>254</v>
      </c>
      <c r="L1441" t="s">
        <v>5557</v>
      </c>
      <c r="M1441" s="6" t="s">
        <v>6558</v>
      </c>
      <c r="N1441" s="6" t="s">
        <v>6583</v>
      </c>
      <c r="O1441" s="6">
        <v>75</v>
      </c>
      <c r="P1441" s="6">
        <v>69</v>
      </c>
      <c r="Q1441" s="6">
        <v>68</v>
      </c>
      <c r="R1441" s="6">
        <v>81</v>
      </c>
      <c r="S1441" s="6">
        <v>82</v>
      </c>
      <c r="T1441" s="6">
        <v>77</v>
      </c>
      <c r="U1441" s="6">
        <v>83</v>
      </c>
      <c r="V1441" s="6">
        <v>76</v>
      </c>
      <c r="W1441" s="6">
        <v>83</v>
      </c>
      <c r="X1441" s="6">
        <v>80</v>
      </c>
      <c r="Y1441" s="6">
        <v>79</v>
      </c>
      <c r="Z1441" s="6">
        <v>77</v>
      </c>
      <c r="AA1441" s="6">
        <v>65</v>
      </c>
      <c r="AB1441" s="6">
        <v>63</v>
      </c>
      <c r="AC1441" s="6">
        <v>62</v>
      </c>
      <c r="AD1441" s="6">
        <v>69</v>
      </c>
      <c r="AE1441" s="6">
        <v>62</v>
      </c>
      <c r="AF1441" s="6">
        <v>64</v>
      </c>
      <c r="AG1441" s="6" t="s">
        <v>7598</v>
      </c>
      <c r="AH1441" s="6" t="s">
        <v>6838</v>
      </c>
    </row>
    <row r="1442" spans="1:34" x14ac:dyDescent="0.2">
      <c r="A1442" t="s">
        <v>3893</v>
      </c>
      <c r="B1442" t="s">
        <v>2157</v>
      </c>
      <c r="C1442" t="s">
        <v>2884</v>
      </c>
      <c r="D1442" s="7" t="s">
        <v>147</v>
      </c>
      <c r="E1442" t="s">
        <v>38</v>
      </c>
      <c r="F1442">
        <v>29</v>
      </c>
      <c r="G1442">
        <v>73</v>
      </c>
      <c r="H1442">
        <v>69</v>
      </c>
      <c r="I1442" t="s">
        <v>6497</v>
      </c>
      <c r="J1442">
        <v>73</v>
      </c>
      <c r="K1442">
        <v>206</v>
      </c>
      <c r="L1442" t="s">
        <v>5587</v>
      </c>
      <c r="M1442" s="6" t="s">
        <v>6558</v>
      </c>
      <c r="N1442" s="6" t="s">
        <v>6567</v>
      </c>
      <c r="O1442" s="6">
        <v>84</v>
      </c>
      <c r="P1442" s="6">
        <v>73</v>
      </c>
      <c r="Q1442" s="6">
        <v>74</v>
      </c>
      <c r="R1442" s="6">
        <v>64</v>
      </c>
      <c r="S1442" s="6">
        <v>75</v>
      </c>
      <c r="T1442" s="6">
        <v>77</v>
      </c>
      <c r="U1442" s="6">
        <v>65</v>
      </c>
      <c r="V1442" s="6">
        <v>75</v>
      </c>
      <c r="W1442" s="6">
        <v>77</v>
      </c>
      <c r="X1442" s="6">
        <v>70</v>
      </c>
      <c r="Y1442" s="6">
        <v>76</v>
      </c>
      <c r="Z1442" s="6">
        <v>84</v>
      </c>
      <c r="AA1442" s="6">
        <v>81</v>
      </c>
      <c r="AB1442" s="6">
        <v>71</v>
      </c>
      <c r="AC1442" s="6">
        <v>74</v>
      </c>
      <c r="AD1442" s="6">
        <v>67</v>
      </c>
      <c r="AE1442" s="6">
        <v>71</v>
      </c>
      <c r="AF1442" s="6">
        <v>76</v>
      </c>
      <c r="AG1442" s="6" t="s">
        <v>7628</v>
      </c>
      <c r="AH1442" s="6" t="s">
        <v>6644</v>
      </c>
    </row>
    <row r="1443" spans="1:34" x14ac:dyDescent="0.2">
      <c r="A1443" t="s">
        <v>3900</v>
      </c>
      <c r="B1443" t="s">
        <v>2164</v>
      </c>
      <c r="C1443" t="s">
        <v>2886</v>
      </c>
      <c r="D1443" s="7" t="s">
        <v>147</v>
      </c>
      <c r="E1443" t="s">
        <v>58</v>
      </c>
      <c r="F1443">
        <v>30</v>
      </c>
      <c r="G1443">
        <v>76</v>
      </c>
      <c r="H1443">
        <v>69</v>
      </c>
      <c r="I1443" t="s">
        <v>6365</v>
      </c>
      <c r="J1443">
        <v>74</v>
      </c>
      <c r="K1443">
        <v>253</v>
      </c>
      <c r="L1443" t="s">
        <v>5594</v>
      </c>
      <c r="M1443" s="6" t="s">
        <v>6558</v>
      </c>
      <c r="N1443" s="6" t="s">
        <v>6565</v>
      </c>
      <c r="O1443" s="6">
        <v>76</v>
      </c>
      <c r="P1443" s="6">
        <v>77</v>
      </c>
      <c r="Q1443" s="6">
        <v>71</v>
      </c>
      <c r="R1443" s="6">
        <v>74</v>
      </c>
      <c r="S1443" s="6">
        <v>78</v>
      </c>
      <c r="T1443" s="6">
        <v>70</v>
      </c>
      <c r="U1443" s="6">
        <v>78</v>
      </c>
      <c r="V1443" s="6">
        <v>78</v>
      </c>
      <c r="W1443" s="6">
        <v>73</v>
      </c>
      <c r="X1443" s="6">
        <v>84</v>
      </c>
      <c r="Y1443" s="6">
        <v>86</v>
      </c>
      <c r="Z1443" s="6">
        <v>76</v>
      </c>
      <c r="AA1443" s="6">
        <v>78</v>
      </c>
      <c r="AB1443" s="6">
        <v>83</v>
      </c>
      <c r="AC1443" s="6">
        <v>70</v>
      </c>
      <c r="AD1443" s="6">
        <v>74</v>
      </c>
      <c r="AE1443" s="6">
        <v>71</v>
      </c>
      <c r="AF1443" s="6">
        <v>73</v>
      </c>
      <c r="AG1443" s="6" t="s">
        <v>7635</v>
      </c>
      <c r="AH1443" s="6" t="s">
        <v>6649</v>
      </c>
    </row>
    <row r="1444" spans="1:34" x14ac:dyDescent="0.2">
      <c r="A1444" t="s">
        <v>3902</v>
      </c>
      <c r="B1444" t="s">
        <v>2166</v>
      </c>
      <c r="C1444" t="s">
        <v>53</v>
      </c>
      <c r="D1444" s="7" t="s">
        <v>144</v>
      </c>
      <c r="E1444" t="s">
        <v>38</v>
      </c>
      <c r="F1444">
        <v>23</v>
      </c>
      <c r="G1444">
        <v>78</v>
      </c>
      <c r="H1444">
        <v>69</v>
      </c>
      <c r="I1444" t="s">
        <v>6332</v>
      </c>
      <c r="J1444">
        <v>74</v>
      </c>
      <c r="K1444">
        <v>227</v>
      </c>
      <c r="L1444" t="s">
        <v>5596</v>
      </c>
      <c r="M1444" s="6" t="s">
        <v>6558</v>
      </c>
      <c r="N1444" s="6" t="s">
        <v>6583</v>
      </c>
      <c r="O1444" s="6">
        <v>83</v>
      </c>
      <c r="P1444" s="6">
        <v>65</v>
      </c>
      <c r="Q1444" s="6">
        <v>68</v>
      </c>
      <c r="R1444" s="6">
        <v>76</v>
      </c>
      <c r="S1444" s="6">
        <v>78</v>
      </c>
      <c r="T1444" s="6">
        <v>69</v>
      </c>
      <c r="U1444" s="6">
        <v>75</v>
      </c>
      <c r="V1444" s="6">
        <v>72</v>
      </c>
      <c r="W1444" s="6">
        <v>94</v>
      </c>
      <c r="X1444" s="6">
        <v>61</v>
      </c>
      <c r="Y1444" s="6">
        <v>79</v>
      </c>
      <c r="Z1444" s="6">
        <v>75</v>
      </c>
      <c r="AA1444" s="6">
        <v>71</v>
      </c>
      <c r="AB1444" s="6">
        <v>76</v>
      </c>
      <c r="AC1444" s="6">
        <v>64</v>
      </c>
      <c r="AD1444" s="6">
        <v>62</v>
      </c>
      <c r="AE1444" s="6">
        <v>71</v>
      </c>
      <c r="AF1444" s="6">
        <v>77</v>
      </c>
      <c r="AG1444" s="6" t="s">
        <v>7637</v>
      </c>
      <c r="AH1444" s="6" t="s">
        <v>6564</v>
      </c>
    </row>
    <row r="1445" spans="1:34" x14ac:dyDescent="0.2">
      <c r="A1445" t="s">
        <v>3911</v>
      </c>
      <c r="B1445" t="s">
        <v>2175</v>
      </c>
      <c r="C1445" t="s">
        <v>57</v>
      </c>
      <c r="D1445" s="7" t="s">
        <v>144</v>
      </c>
      <c r="E1445" t="s">
        <v>38</v>
      </c>
      <c r="F1445">
        <v>28</v>
      </c>
      <c r="G1445">
        <v>77</v>
      </c>
      <c r="H1445">
        <v>69</v>
      </c>
      <c r="I1445" t="s">
        <v>6360</v>
      </c>
      <c r="J1445">
        <v>73</v>
      </c>
      <c r="K1445">
        <v>208</v>
      </c>
      <c r="L1445" t="s">
        <v>5605</v>
      </c>
      <c r="M1445" s="6" t="s">
        <v>6558</v>
      </c>
      <c r="N1445" s="6" t="s">
        <v>6567</v>
      </c>
      <c r="O1445" s="6">
        <v>70</v>
      </c>
      <c r="P1445" s="6">
        <v>72</v>
      </c>
      <c r="Q1445" s="6">
        <v>74</v>
      </c>
      <c r="R1445" s="6">
        <v>68</v>
      </c>
      <c r="S1445" s="6">
        <v>85</v>
      </c>
      <c r="T1445" s="6">
        <v>67</v>
      </c>
      <c r="U1445" s="6">
        <v>76</v>
      </c>
      <c r="V1445" s="6">
        <v>80</v>
      </c>
      <c r="W1445" s="6">
        <v>69</v>
      </c>
      <c r="X1445" s="6">
        <v>77</v>
      </c>
      <c r="Y1445" s="6">
        <v>81</v>
      </c>
      <c r="Z1445" s="6">
        <v>71</v>
      </c>
      <c r="AA1445" s="6">
        <v>70</v>
      </c>
      <c r="AB1445" s="6">
        <v>71</v>
      </c>
      <c r="AC1445" s="6">
        <v>68</v>
      </c>
      <c r="AD1445" s="6">
        <v>68</v>
      </c>
      <c r="AE1445" s="6">
        <v>73</v>
      </c>
      <c r="AF1445" s="6">
        <v>71</v>
      </c>
      <c r="AG1445" s="6" t="s">
        <v>7645</v>
      </c>
      <c r="AH1445" s="6" t="s">
        <v>6658</v>
      </c>
    </row>
    <row r="1446" spans="1:34" x14ac:dyDescent="0.2">
      <c r="A1446" t="s">
        <v>3920</v>
      </c>
      <c r="B1446" t="s">
        <v>2184</v>
      </c>
      <c r="C1446" t="s">
        <v>2872</v>
      </c>
      <c r="D1446" s="7" t="s">
        <v>144</v>
      </c>
      <c r="E1446" t="s">
        <v>58</v>
      </c>
      <c r="F1446">
        <v>27</v>
      </c>
      <c r="G1446">
        <v>75</v>
      </c>
      <c r="H1446">
        <v>69</v>
      </c>
      <c r="I1446" t="s">
        <v>6320</v>
      </c>
      <c r="J1446">
        <v>76</v>
      </c>
      <c r="K1446">
        <v>337</v>
      </c>
      <c r="L1446" t="s">
        <v>5614</v>
      </c>
      <c r="M1446" s="6" t="s">
        <v>6558</v>
      </c>
      <c r="N1446" s="6" t="s">
        <v>6565</v>
      </c>
      <c r="O1446" s="6">
        <v>81</v>
      </c>
      <c r="P1446" s="6">
        <v>73</v>
      </c>
      <c r="Q1446" s="6">
        <v>64</v>
      </c>
      <c r="R1446" s="6">
        <v>72</v>
      </c>
      <c r="S1446" s="6">
        <v>69</v>
      </c>
      <c r="T1446" s="6">
        <v>72</v>
      </c>
      <c r="U1446" s="6">
        <v>82</v>
      </c>
      <c r="V1446" s="6">
        <v>78</v>
      </c>
      <c r="W1446" s="6">
        <v>74</v>
      </c>
      <c r="X1446" s="6">
        <v>74</v>
      </c>
      <c r="Y1446" s="6">
        <v>65</v>
      </c>
      <c r="Z1446" s="6">
        <v>73</v>
      </c>
      <c r="AA1446" s="6">
        <v>66</v>
      </c>
      <c r="AB1446" s="6">
        <v>69</v>
      </c>
      <c r="AC1446" s="6">
        <v>72</v>
      </c>
      <c r="AD1446" s="6">
        <v>73</v>
      </c>
      <c r="AE1446" s="6">
        <v>67</v>
      </c>
      <c r="AF1446" s="6">
        <v>66</v>
      </c>
      <c r="AG1446" s="6" t="s">
        <v>7654</v>
      </c>
      <c r="AH1446" s="6" t="s">
        <v>6694</v>
      </c>
    </row>
    <row r="1447" spans="1:34" x14ac:dyDescent="0.2">
      <c r="A1447" t="s">
        <v>3924</v>
      </c>
      <c r="B1447" t="s">
        <v>2188</v>
      </c>
      <c r="C1447" t="s">
        <v>2887</v>
      </c>
      <c r="D1447" s="7" t="s">
        <v>144</v>
      </c>
      <c r="E1447" t="s">
        <v>38</v>
      </c>
      <c r="F1447">
        <v>29</v>
      </c>
      <c r="G1447">
        <v>80</v>
      </c>
      <c r="H1447">
        <v>69</v>
      </c>
      <c r="I1447" t="s">
        <v>6370</v>
      </c>
      <c r="J1447">
        <v>75</v>
      </c>
      <c r="K1447">
        <v>323</v>
      </c>
      <c r="L1447" t="s">
        <v>5618</v>
      </c>
      <c r="M1447" s="6" t="s">
        <v>6558</v>
      </c>
      <c r="N1447" s="6" t="s">
        <v>6565</v>
      </c>
      <c r="O1447" s="6">
        <v>73</v>
      </c>
      <c r="P1447" s="6">
        <v>83</v>
      </c>
      <c r="Q1447" s="6">
        <v>82</v>
      </c>
      <c r="R1447" s="6">
        <v>75</v>
      </c>
      <c r="S1447" s="6">
        <v>89</v>
      </c>
      <c r="T1447" s="6">
        <v>78</v>
      </c>
      <c r="U1447" s="6">
        <v>81</v>
      </c>
      <c r="V1447" s="6">
        <v>76</v>
      </c>
      <c r="W1447" s="6">
        <v>74</v>
      </c>
      <c r="X1447" s="6">
        <v>80</v>
      </c>
      <c r="Y1447" s="6">
        <v>86</v>
      </c>
      <c r="Z1447" s="6">
        <v>78</v>
      </c>
      <c r="AA1447" s="6">
        <v>66</v>
      </c>
      <c r="AB1447" s="6">
        <v>69</v>
      </c>
      <c r="AC1447" s="6">
        <v>70</v>
      </c>
      <c r="AD1447" s="6">
        <v>72</v>
      </c>
      <c r="AE1447" s="6">
        <v>82</v>
      </c>
      <c r="AF1447" s="6">
        <v>67</v>
      </c>
      <c r="AG1447" s="6" t="s">
        <v>7658</v>
      </c>
      <c r="AH1447" s="6" t="s">
        <v>6674</v>
      </c>
    </row>
    <row r="1448" spans="1:34" x14ac:dyDescent="0.2">
      <c r="A1448" t="s">
        <v>3928</v>
      </c>
      <c r="B1448" t="s">
        <v>2192</v>
      </c>
      <c r="C1448" t="s">
        <v>2878</v>
      </c>
      <c r="D1448" s="7" t="s">
        <v>144</v>
      </c>
      <c r="E1448" t="s">
        <v>38</v>
      </c>
      <c r="F1448">
        <v>27</v>
      </c>
      <c r="G1448">
        <v>91</v>
      </c>
      <c r="H1448">
        <v>69</v>
      </c>
      <c r="I1448" t="s">
        <v>6407</v>
      </c>
      <c r="J1448">
        <v>76</v>
      </c>
      <c r="K1448">
        <v>267</v>
      </c>
      <c r="L1448" t="s">
        <v>5622</v>
      </c>
      <c r="M1448" s="6" t="s">
        <v>6558</v>
      </c>
      <c r="N1448" s="6" t="s">
        <v>6565</v>
      </c>
      <c r="O1448" s="6">
        <v>76</v>
      </c>
      <c r="P1448" s="6">
        <v>71</v>
      </c>
      <c r="Q1448" s="6">
        <v>73</v>
      </c>
      <c r="R1448" s="6">
        <v>70</v>
      </c>
      <c r="S1448" s="6">
        <v>86</v>
      </c>
      <c r="T1448" s="6">
        <v>75</v>
      </c>
      <c r="U1448" s="6">
        <v>84</v>
      </c>
      <c r="V1448" s="6">
        <v>80</v>
      </c>
      <c r="W1448" s="6">
        <v>87</v>
      </c>
      <c r="X1448" s="6">
        <v>75</v>
      </c>
      <c r="Y1448" s="6">
        <v>85</v>
      </c>
      <c r="Z1448" s="6">
        <v>81</v>
      </c>
      <c r="AA1448" s="6">
        <v>76</v>
      </c>
      <c r="AB1448" s="6">
        <v>82</v>
      </c>
      <c r="AC1448" s="6">
        <v>84</v>
      </c>
      <c r="AD1448" s="6">
        <v>82</v>
      </c>
      <c r="AE1448" s="6">
        <v>77</v>
      </c>
      <c r="AF1448" s="6">
        <v>70</v>
      </c>
      <c r="AG1448" s="6" t="s">
        <v>7662</v>
      </c>
      <c r="AH1448" s="6" t="s">
        <v>6612</v>
      </c>
    </row>
    <row r="1449" spans="1:34" x14ac:dyDescent="0.2">
      <c r="A1449" t="s">
        <v>3931</v>
      </c>
      <c r="B1449" t="s">
        <v>2195</v>
      </c>
      <c r="C1449" t="s">
        <v>2879</v>
      </c>
      <c r="D1449" s="7" t="s">
        <v>144</v>
      </c>
      <c r="E1449" t="s">
        <v>38</v>
      </c>
      <c r="F1449">
        <v>31</v>
      </c>
      <c r="G1449">
        <v>86</v>
      </c>
      <c r="H1449">
        <v>69</v>
      </c>
      <c r="I1449" t="s">
        <v>6309</v>
      </c>
      <c r="J1449">
        <v>76</v>
      </c>
      <c r="K1449">
        <v>304</v>
      </c>
      <c r="L1449" t="s">
        <v>5625</v>
      </c>
      <c r="M1449" s="6" t="s">
        <v>6558</v>
      </c>
      <c r="N1449" s="6" t="s">
        <v>6583</v>
      </c>
      <c r="O1449" s="6">
        <v>74</v>
      </c>
      <c r="P1449" s="6">
        <v>82</v>
      </c>
      <c r="Q1449" s="6">
        <v>90</v>
      </c>
      <c r="R1449" s="6">
        <v>79</v>
      </c>
      <c r="S1449" s="6">
        <v>87</v>
      </c>
      <c r="T1449" s="6">
        <v>84</v>
      </c>
      <c r="U1449" s="6">
        <v>80</v>
      </c>
      <c r="V1449" s="6">
        <v>83</v>
      </c>
      <c r="W1449" s="6">
        <v>90</v>
      </c>
      <c r="X1449" s="6">
        <v>77</v>
      </c>
      <c r="Y1449" s="6">
        <v>86</v>
      </c>
      <c r="Z1449" s="6">
        <v>81</v>
      </c>
      <c r="AA1449" s="6">
        <v>79</v>
      </c>
      <c r="AB1449" s="6">
        <v>82</v>
      </c>
      <c r="AC1449" s="6">
        <v>75</v>
      </c>
      <c r="AD1449" s="6">
        <v>84</v>
      </c>
      <c r="AE1449" s="6">
        <v>72</v>
      </c>
      <c r="AF1449" s="6">
        <v>80</v>
      </c>
      <c r="AG1449" s="6" t="s">
        <v>7665</v>
      </c>
      <c r="AH1449" s="6" t="s">
        <v>6855</v>
      </c>
    </row>
    <row r="1450" spans="1:34" x14ac:dyDescent="0.2">
      <c r="A1450" t="s">
        <v>3936</v>
      </c>
      <c r="B1450" t="s">
        <v>2200</v>
      </c>
      <c r="C1450" t="s">
        <v>2880</v>
      </c>
      <c r="D1450" s="7" t="s">
        <v>144</v>
      </c>
      <c r="E1450" t="s">
        <v>58</v>
      </c>
      <c r="F1450">
        <v>33</v>
      </c>
      <c r="G1450">
        <v>66</v>
      </c>
      <c r="H1450">
        <v>69</v>
      </c>
      <c r="I1450" t="s">
        <v>6364</v>
      </c>
      <c r="J1450">
        <v>77</v>
      </c>
      <c r="K1450">
        <v>248</v>
      </c>
      <c r="L1450" t="s">
        <v>5630</v>
      </c>
      <c r="M1450" s="6" t="s">
        <v>6558</v>
      </c>
      <c r="N1450" s="6" t="s">
        <v>6565</v>
      </c>
      <c r="O1450" s="6">
        <v>88</v>
      </c>
      <c r="P1450" s="6">
        <v>67</v>
      </c>
      <c r="Q1450" s="6">
        <v>70</v>
      </c>
      <c r="R1450" s="6">
        <v>72</v>
      </c>
      <c r="S1450" s="6">
        <v>78</v>
      </c>
      <c r="T1450" s="6">
        <v>75</v>
      </c>
      <c r="U1450" s="6">
        <v>78</v>
      </c>
      <c r="V1450" s="6">
        <v>78</v>
      </c>
      <c r="W1450" s="6">
        <v>72</v>
      </c>
      <c r="X1450" s="6">
        <v>67</v>
      </c>
      <c r="Y1450" s="6">
        <v>80</v>
      </c>
      <c r="Z1450" s="6">
        <v>74</v>
      </c>
      <c r="AA1450" s="6">
        <v>61</v>
      </c>
      <c r="AB1450" s="6">
        <v>63</v>
      </c>
      <c r="AC1450" s="6">
        <v>60</v>
      </c>
      <c r="AD1450" s="6">
        <v>70</v>
      </c>
      <c r="AE1450" s="6">
        <v>64</v>
      </c>
      <c r="AF1450" s="6">
        <v>59</v>
      </c>
      <c r="AG1450" s="6" t="s">
        <v>7670</v>
      </c>
      <c r="AH1450" s="6" t="s">
        <v>6623</v>
      </c>
    </row>
    <row r="1451" spans="1:34" x14ac:dyDescent="0.2">
      <c r="A1451" t="s">
        <v>3954</v>
      </c>
      <c r="B1451" t="s">
        <v>2218</v>
      </c>
      <c r="C1451" t="s">
        <v>2885</v>
      </c>
      <c r="D1451" s="7" t="s">
        <v>144</v>
      </c>
      <c r="E1451" t="s">
        <v>58</v>
      </c>
      <c r="F1451">
        <v>25</v>
      </c>
      <c r="G1451">
        <v>72</v>
      </c>
      <c r="H1451">
        <v>69</v>
      </c>
      <c r="I1451" t="s">
        <v>8327</v>
      </c>
      <c r="J1451">
        <v>75</v>
      </c>
      <c r="K1451">
        <v>255</v>
      </c>
      <c r="L1451" t="s">
        <v>5648</v>
      </c>
      <c r="M1451" s="6" t="s">
        <v>6558</v>
      </c>
      <c r="N1451" s="6" t="s">
        <v>6583</v>
      </c>
      <c r="O1451" s="6">
        <v>72</v>
      </c>
      <c r="P1451" s="6">
        <v>67</v>
      </c>
      <c r="Q1451" s="6">
        <v>69</v>
      </c>
      <c r="R1451" s="6">
        <v>78</v>
      </c>
      <c r="S1451" s="6">
        <v>79</v>
      </c>
      <c r="T1451" s="6">
        <v>72</v>
      </c>
      <c r="U1451" s="6">
        <v>75</v>
      </c>
      <c r="V1451" s="6">
        <v>67</v>
      </c>
      <c r="W1451" s="6">
        <v>70</v>
      </c>
      <c r="X1451" s="6">
        <v>77</v>
      </c>
      <c r="Y1451" s="6">
        <v>67</v>
      </c>
      <c r="Z1451" s="6">
        <v>70</v>
      </c>
      <c r="AA1451" s="6">
        <v>71</v>
      </c>
      <c r="AB1451" s="6">
        <v>66</v>
      </c>
      <c r="AC1451" s="6">
        <v>69</v>
      </c>
      <c r="AD1451" s="6">
        <v>73</v>
      </c>
      <c r="AE1451" s="6">
        <v>59</v>
      </c>
      <c r="AF1451" s="6">
        <v>71</v>
      </c>
      <c r="AG1451" s="6" t="s">
        <v>7687</v>
      </c>
      <c r="AH1451" s="6" t="s">
        <v>6628</v>
      </c>
    </row>
    <row r="1452" spans="1:34" x14ac:dyDescent="0.2">
      <c r="A1452" t="s">
        <v>3956</v>
      </c>
      <c r="B1452" t="s">
        <v>2220</v>
      </c>
      <c r="C1452" t="s">
        <v>2891</v>
      </c>
      <c r="D1452" s="7" t="s">
        <v>144</v>
      </c>
      <c r="E1452" t="s">
        <v>58</v>
      </c>
      <c r="F1452">
        <v>25</v>
      </c>
      <c r="G1452">
        <v>76</v>
      </c>
      <c r="H1452">
        <v>69</v>
      </c>
      <c r="I1452" t="s">
        <v>8328</v>
      </c>
      <c r="J1452">
        <v>72</v>
      </c>
      <c r="K1452">
        <v>235</v>
      </c>
      <c r="L1452" t="s">
        <v>5650</v>
      </c>
      <c r="M1452" s="6" t="s">
        <v>6558</v>
      </c>
      <c r="N1452" s="6" t="s">
        <v>6565</v>
      </c>
      <c r="O1452" s="6">
        <v>70</v>
      </c>
      <c r="P1452" s="6">
        <v>68</v>
      </c>
      <c r="Q1452" s="6">
        <v>78</v>
      </c>
      <c r="R1452" s="6">
        <v>72</v>
      </c>
      <c r="S1452" s="6">
        <v>82</v>
      </c>
      <c r="T1452" s="6">
        <v>72</v>
      </c>
      <c r="U1452" s="6">
        <v>72</v>
      </c>
      <c r="V1452" s="6">
        <v>72</v>
      </c>
      <c r="W1452" s="6">
        <v>73</v>
      </c>
      <c r="X1452" s="6">
        <v>79</v>
      </c>
      <c r="Y1452" s="6">
        <v>77</v>
      </c>
      <c r="Z1452" s="6">
        <v>80</v>
      </c>
      <c r="AA1452" s="6">
        <v>76</v>
      </c>
      <c r="AB1452" s="6">
        <v>74</v>
      </c>
      <c r="AC1452" s="6">
        <v>77</v>
      </c>
      <c r="AD1452" s="6">
        <v>75</v>
      </c>
      <c r="AE1452" s="6">
        <v>70</v>
      </c>
      <c r="AF1452" s="6">
        <v>67</v>
      </c>
      <c r="AG1452" s="6" t="s">
        <v>7689</v>
      </c>
      <c r="AH1452" s="6" t="s">
        <v>6824</v>
      </c>
    </row>
    <row r="1453" spans="1:34" x14ac:dyDescent="0.2">
      <c r="A1453" t="s">
        <v>3964</v>
      </c>
      <c r="B1453" t="s">
        <v>2228</v>
      </c>
      <c r="C1453" t="s">
        <v>2870</v>
      </c>
      <c r="D1453" s="7" t="s">
        <v>149</v>
      </c>
      <c r="E1453" t="s">
        <v>38</v>
      </c>
      <c r="F1453">
        <v>27</v>
      </c>
      <c r="G1453">
        <v>76</v>
      </c>
      <c r="H1453">
        <v>69</v>
      </c>
      <c r="I1453" t="s">
        <v>6316</v>
      </c>
      <c r="J1453">
        <v>68</v>
      </c>
      <c r="K1453">
        <v>215</v>
      </c>
      <c r="L1453" t="s">
        <v>5658</v>
      </c>
      <c r="M1453" s="6" t="s">
        <v>6558</v>
      </c>
      <c r="N1453" s="6" t="s">
        <v>6567</v>
      </c>
      <c r="O1453" s="6">
        <v>80</v>
      </c>
      <c r="P1453" s="6">
        <v>71</v>
      </c>
      <c r="Q1453" s="6">
        <v>73</v>
      </c>
      <c r="R1453" s="6">
        <v>68</v>
      </c>
      <c r="S1453" s="6">
        <v>76</v>
      </c>
      <c r="T1453" s="6">
        <v>63</v>
      </c>
      <c r="U1453" s="6">
        <v>87</v>
      </c>
      <c r="V1453" s="6">
        <v>76</v>
      </c>
      <c r="W1453" s="6">
        <v>75</v>
      </c>
      <c r="X1453" s="6">
        <v>66</v>
      </c>
      <c r="Y1453" s="6">
        <v>76</v>
      </c>
      <c r="Z1453" s="6">
        <v>72</v>
      </c>
      <c r="AA1453" s="6">
        <v>68</v>
      </c>
      <c r="AB1453" s="6">
        <v>69</v>
      </c>
      <c r="AC1453" s="6">
        <v>56</v>
      </c>
      <c r="AD1453" s="6">
        <v>73</v>
      </c>
      <c r="AE1453" s="6">
        <v>74</v>
      </c>
      <c r="AF1453" s="6">
        <v>68</v>
      </c>
      <c r="AG1453" s="6" t="s">
        <v>7697</v>
      </c>
      <c r="AH1453" s="6" t="s">
        <v>7048</v>
      </c>
    </row>
    <row r="1454" spans="1:34" x14ac:dyDescent="0.2">
      <c r="A1454" t="s">
        <v>3967</v>
      </c>
      <c r="B1454" t="s">
        <v>2231</v>
      </c>
      <c r="C1454" t="s">
        <v>57</v>
      </c>
      <c r="D1454" s="7" t="s">
        <v>149</v>
      </c>
      <c r="E1454" t="s">
        <v>38</v>
      </c>
      <c r="F1454">
        <v>27</v>
      </c>
      <c r="G1454">
        <v>80</v>
      </c>
      <c r="H1454">
        <v>69</v>
      </c>
      <c r="I1454" t="s">
        <v>6356</v>
      </c>
      <c r="J1454">
        <v>74</v>
      </c>
      <c r="K1454">
        <v>196</v>
      </c>
      <c r="L1454" t="s">
        <v>5661</v>
      </c>
      <c r="M1454" s="6" t="s">
        <v>6558</v>
      </c>
      <c r="N1454" s="6" t="s">
        <v>6583</v>
      </c>
      <c r="O1454" s="6">
        <v>79</v>
      </c>
      <c r="P1454" s="6">
        <v>75</v>
      </c>
      <c r="Q1454" s="6">
        <v>77</v>
      </c>
      <c r="R1454" s="6">
        <v>76</v>
      </c>
      <c r="S1454" s="6">
        <v>82</v>
      </c>
      <c r="T1454" s="6">
        <v>75</v>
      </c>
      <c r="U1454" s="6">
        <v>79</v>
      </c>
      <c r="V1454" s="6">
        <v>89</v>
      </c>
      <c r="W1454" s="6">
        <v>87</v>
      </c>
      <c r="X1454" s="6">
        <v>82</v>
      </c>
      <c r="Y1454" s="6">
        <v>86</v>
      </c>
      <c r="Z1454" s="6">
        <v>85</v>
      </c>
      <c r="AA1454" s="6">
        <v>73</v>
      </c>
      <c r="AB1454" s="6">
        <v>78</v>
      </c>
      <c r="AC1454" s="6">
        <v>72</v>
      </c>
      <c r="AD1454" s="6">
        <v>80</v>
      </c>
      <c r="AE1454" s="6">
        <v>75</v>
      </c>
      <c r="AF1454" s="6">
        <v>78</v>
      </c>
      <c r="AG1454" s="6" t="s">
        <v>7700</v>
      </c>
      <c r="AH1454" s="6" t="s">
        <v>6658</v>
      </c>
    </row>
    <row r="1455" spans="1:34" x14ac:dyDescent="0.2">
      <c r="A1455" t="s">
        <v>3971</v>
      </c>
      <c r="B1455" t="s">
        <v>2235</v>
      </c>
      <c r="C1455" t="s">
        <v>57</v>
      </c>
      <c r="D1455" s="7" t="s">
        <v>149</v>
      </c>
      <c r="E1455" t="s">
        <v>38</v>
      </c>
      <c r="F1455">
        <v>26</v>
      </c>
      <c r="G1455">
        <v>69</v>
      </c>
      <c r="H1455">
        <v>69</v>
      </c>
      <c r="I1455" t="s">
        <v>6404</v>
      </c>
      <c r="J1455">
        <v>70</v>
      </c>
      <c r="K1455">
        <v>193</v>
      </c>
      <c r="L1455" t="s">
        <v>5665</v>
      </c>
      <c r="M1455" s="6" t="s">
        <v>6558</v>
      </c>
      <c r="N1455" s="6" t="s">
        <v>6565</v>
      </c>
      <c r="O1455" s="6">
        <v>75</v>
      </c>
      <c r="P1455" s="6">
        <v>72</v>
      </c>
      <c r="Q1455" s="6">
        <v>75</v>
      </c>
      <c r="R1455" s="6">
        <v>75</v>
      </c>
      <c r="S1455" s="6">
        <v>79</v>
      </c>
      <c r="T1455" s="6">
        <v>71</v>
      </c>
      <c r="U1455" s="6">
        <v>81</v>
      </c>
      <c r="V1455" s="6">
        <v>71</v>
      </c>
      <c r="W1455" s="6">
        <v>75</v>
      </c>
      <c r="X1455" s="6">
        <v>78</v>
      </c>
      <c r="Y1455" s="6">
        <v>67</v>
      </c>
      <c r="Z1455" s="6">
        <v>71</v>
      </c>
      <c r="AA1455" s="6">
        <v>70</v>
      </c>
      <c r="AB1455" s="6">
        <v>66</v>
      </c>
      <c r="AC1455" s="6">
        <v>63</v>
      </c>
      <c r="AD1455" s="6">
        <v>78</v>
      </c>
      <c r="AE1455" s="6">
        <v>75</v>
      </c>
      <c r="AF1455" s="6">
        <v>77</v>
      </c>
      <c r="AG1455" s="6" t="s">
        <v>7704</v>
      </c>
      <c r="AH1455" s="6" t="s">
        <v>6782</v>
      </c>
    </row>
    <row r="1456" spans="1:34" x14ac:dyDescent="0.2">
      <c r="A1456" t="s">
        <v>3972</v>
      </c>
      <c r="B1456" t="s">
        <v>2236</v>
      </c>
      <c r="C1456" t="s">
        <v>2871</v>
      </c>
      <c r="D1456" s="7" t="s">
        <v>149</v>
      </c>
      <c r="E1456" t="s">
        <v>38</v>
      </c>
      <c r="F1456">
        <v>28</v>
      </c>
      <c r="G1456">
        <v>74</v>
      </c>
      <c r="H1456">
        <v>69</v>
      </c>
      <c r="I1456" t="s">
        <v>6463</v>
      </c>
      <c r="J1456">
        <v>76</v>
      </c>
      <c r="K1456">
        <v>251</v>
      </c>
      <c r="L1456" t="s">
        <v>5666</v>
      </c>
      <c r="M1456" s="6" t="s">
        <v>6558</v>
      </c>
      <c r="N1456" s="6" t="s">
        <v>6583</v>
      </c>
      <c r="O1456" s="6">
        <v>90</v>
      </c>
      <c r="P1456" s="6">
        <v>72</v>
      </c>
      <c r="Q1456" s="6">
        <v>76</v>
      </c>
      <c r="R1456" s="6">
        <v>77</v>
      </c>
      <c r="S1456" s="6">
        <v>76</v>
      </c>
      <c r="T1456" s="6">
        <v>73</v>
      </c>
      <c r="U1456" s="6">
        <v>71</v>
      </c>
      <c r="V1456" s="6">
        <v>76</v>
      </c>
      <c r="W1456" s="6">
        <v>77</v>
      </c>
      <c r="X1456" s="6">
        <v>86</v>
      </c>
      <c r="Y1456" s="6">
        <v>84</v>
      </c>
      <c r="Z1456" s="6">
        <v>74</v>
      </c>
      <c r="AA1456" s="6">
        <v>69</v>
      </c>
      <c r="AB1456" s="6">
        <v>75</v>
      </c>
      <c r="AC1456" s="6">
        <v>70</v>
      </c>
      <c r="AD1456" s="6">
        <v>61</v>
      </c>
      <c r="AE1456" s="6">
        <v>82</v>
      </c>
      <c r="AF1456" s="6">
        <v>70</v>
      </c>
      <c r="AG1456" s="6" t="s">
        <v>7705</v>
      </c>
      <c r="AH1456" s="6" t="s">
        <v>6587</v>
      </c>
    </row>
    <row r="1457" spans="1:34" x14ac:dyDescent="0.2">
      <c r="A1457" t="s">
        <v>3973</v>
      </c>
      <c r="B1457" t="s">
        <v>2237</v>
      </c>
      <c r="C1457" t="s">
        <v>2871</v>
      </c>
      <c r="D1457" s="7" t="s">
        <v>149</v>
      </c>
      <c r="E1457" t="s">
        <v>58</v>
      </c>
      <c r="F1457">
        <v>33</v>
      </c>
      <c r="G1457">
        <v>73</v>
      </c>
      <c r="H1457">
        <v>69</v>
      </c>
      <c r="I1457" t="s">
        <v>6364</v>
      </c>
      <c r="J1457">
        <v>76</v>
      </c>
      <c r="K1457">
        <v>253</v>
      </c>
      <c r="L1457" t="s">
        <v>5667</v>
      </c>
      <c r="M1457" s="6" t="s">
        <v>6558</v>
      </c>
      <c r="N1457" s="6" t="s">
        <v>6565</v>
      </c>
      <c r="O1457" s="6">
        <v>82</v>
      </c>
      <c r="P1457" s="6">
        <v>72</v>
      </c>
      <c r="Q1457" s="6">
        <v>76</v>
      </c>
      <c r="R1457" s="6">
        <v>75</v>
      </c>
      <c r="S1457" s="6">
        <v>79</v>
      </c>
      <c r="T1457" s="6">
        <v>72</v>
      </c>
      <c r="U1457" s="6">
        <v>84</v>
      </c>
      <c r="V1457" s="6">
        <v>82</v>
      </c>
      <c r="W1457" s="6">
        <v>76</v>
      </c>
      <c r="X1457" s="6">
        <v>83</v>
      </c>
      <c r="Y1457" s="6">
        <v>87</v>
      </c>
      <c r="Z1457" s="6">
        <v>75</v>
      </c>
      <c r="AA1457" s="6">
        <v>66</v>
      </c>
      <c r="AB1457" s="6">
        <v>63</v>
      </c>
      <c r="AC1457" s="6">
        <v>64</v>
      </c>
      <c r="AD1457" s="6">
        <v>72</v>
      </c>
      <c r="AE1457" s="6">
        <v>65</v>
      </c>
      <c r="AF1457" s="6">
        <v>66</v>
      </c>
      <c r="AG1457" s="6" t="s">
        <v>7706</v>
      </c>
      <c r="AH1457" s="6" t="s">
        <v>6587</v>
      </c>
    </row>
    <row r="1458" spans="1:34" x14ac:dyDescent="0.2">
      <c r="A1458" t="s">
        <v>3979</v>
      </c>
      <c r="B1458" t="s">
        <v>2243</v>
      </c>
      <c r="C1458" t="s">
        <v>2872</v>
      </c>
      <c r="D1458" s="7" t="s">
        <v>149</v>
      </c>
      <c r="E1458" t="s">
        <v>58</v>
      </c>
      <c r="F1458">
        <v>25</v>
      </c>
      <c r="G1458">
        <v>73</v>
      </c>
      <c r="H1458">
        <v>69</v>
      </c>
      <c r="I1458" t="s">
        <v>6351</v>
      </c>
      <c r="J1458">
        <v>78</v>
      </c>
      <c r="K1458">
        <v>321</v>
      </c>
      <c r="L1458" t="s">
        <v>5673</v>
      </c>
      <c r="M1458" s="6" t="s">
        <v>6558</v>
      </c>
      <c r="N1458" s="6" t="s">
        <v>6565</v>
      </c>
      <c r="O1458" s="6">
        <v>79</v>
      </c>
      <c r="P1458" s="6">
        <v>66</v>
      </c>
      <c r="Q1458" s="6">
        <v>74</v>
      </c>
      <c r="R1458" s="6">
        <v>70</v>
      </c>
      <c r="S1458" s="6">
        <v>67</v>
      </c>
      <c r="T1458" s="6">
        <v>66</v>
      </c>
      <c r="U1458" s="6">
        <v>71</v>
      </c>
      <c r="V1458" s="6">
        <v>76</v>
      </c>
      <c r="W1458" s="6">
        <v>64</v>
      </c>
      <c r="X1458" s="6">
        <v>59</v>
      </c>
      <c r="Y1458" s="6">
        <v>78</v>
      </c>
      <c r="Z1458" s="6">
        <v>67</v>
      </c>
      <c r="AA1458" s="6">
        <v>69</v>
      </c>
      <c r="AB1458" s="6">
        <v>69</v>
      </c>
      <c r="AC1458" s="6">
        <v>60</v>
      </c>
      <c r="AD1458" s="6">
        <v>64</v>
      </c>
      <c r="AE1458" s="6">
        <v>67</v>
      </c>
      <c r="AF1458" s="6">
        <v>71</v>
      </c>
      <c r="AG1458" s="6" t="s">
        <v>7712</v>
      </c>
      <c r="AH1458" s="6" t="s">
        <v>6593</v>
      </c>
    </row>
    <row r="1459" spans="1:34" x14ac:dyDescent="0.2">
      <c r="A1459" t="s">
        <v>3984</v>
      </c>
      <c r="B1459" t="s">
        <v>2248</v>
      </c>
      <c r="C1459" t="s">
        <v>2874</v>
      </c>
      <c r="D1459" s="7" t="s">
        <v>149</v>
      </c>
      <c r="E1459" t="s">
        <v>38</v>
      </c>
      <c r="F1459">
        <v>28</v>
      </c>
      <c r="G1459">
        <v>65</v>
      </c>
      <c r="H1459">
        <v>69</v>
      </c>
      <c r="I1459" t="s">
        <v>6456</v>
      </c>
      <c r="J1459">
        <v>76</v>
      </c>
      <c r="K1459">
        <v>308</v>
      </c>
      <c r="L1459" t="s">
        <v>5678</v>
      </c>
      <c r="M1459" s="6" t="s">
        <v>6558</v>
      </c>
      <c r="N1459" s="6" t="s">
        <v>6614</v>
      </c>
      <c r="O1459" s="6">
        <v>78</v>
      </c>
      <c r="P1459" s="6">
        <v>65</v>
      </c>
      <c r="Q1459" s="6">
        <v>67</v>
      </c>
      <c r="R1459" s="6">
        <v>61</v>
      </c>
      <c r="S1459" s="6">
        <v>71</v>
      </c>
      <c r="T1459" s="6">
        <v>62</v>
      </c>
      <c r="U1459" s="6">
        <v>67</v>
      </c>
      <c r="V1459" s="6">
        <v>80</v>
      </c>
      <c r="W1459" s="6">
        <v>70</v>
      </c>
      <c r="X1459" s="6">
        <v>72</v>
      </c>
      <c r="Y1459" s="6">
        <v>70</v>
      </c>
      <c r="Z1459" s="6">
        <v>72</v>
      </c>
      <c r="AA1459" s="6">
        <v>62</v>
      </c>
      <c r="AB1459" s="6">
        <v>77</v>
      </c>
      <c r="AC1459" s="6">
        <v>72</v>
      </c>
      <c r="AD1459" s="6">
        <v>73</v>
      </c>
      <c r="AE1459" s="6">
        <v>60</v>
      </c>
      <c r="AF1459" s="6">
        <v>69</v>
      </c>
      <c r="AG1459" s="6" t="s">
        <v>7717</v>
      </c>
      <c r="AH1459" s="6" t="s">
        <v>6598</v>
      </c>
    </row>
    <row r="1460" spans="1:34" x14ac:dyDescent="0.2">
      <c r="A1460" t="s">
        <v>3986</v>
      </c>
      <c r="B1460" t="s">
        <v>2250</v>
      </c>
      <c r="C1460" t="s">
        <v>2875</v>
      </c>
      <c r="D1460" s="7" t="s">
        <v>149</v>
      </c>
      <c r="E1460" t="s">
        <v>38</v>
      </c>
      <c r="F1460">
        <v>32</v>
      </c>
      <c r="G1460">
        <v>87</v>
      </c>
      <c r="H1460">
        <v>69</v>
      </c>
      <c r="I1460" t="s">
        <v>6313</v>
      </c>
      <c r="J1460">
        <v>74</v>
      </c>
      <c r="K1460">
        <v>308</v>
      </c>
      <c r="L1460" t="s">
        <v>5680</v>
      </c>
      <c r="M1460" s="6" t="s">
        <v>6558</v>
      </c>
      <c r="N1460" s="6" t="s">
        <v>6562</v>
      </c>
      <c r="O1460" s="6">
        <v>94</v>
      </c>
      <c r="P1460" s="6">
        <v>85</v>
      </c>
      <c r="Q1460" s="6">
        <v>80</v>
      </c>
      <c r="R1460" s="6">
        <v>93</v>
      </c>
      <c r="S1460" s="6">
        <v>86</v>
      </c>
      <c r="T1460" s="6">
        <v>82</v>
      </c>
      <c r="U1460" s="6">
        <v>82</v>
      </c>
      <c r="V1460" s="6">
        <v>91</v>
      </c>
      <c r="W1460" s="6">
        <v>86</v>
      </c>
      <c r="X1460" s="6">
        <v>78</v>
      </c>
      <c r="Y1460" s="6">
        <v>66</v>
      </c>
      <c r="Z1460" s="6">
        <v>84</v>
      </c>
      <c r="AA1460" s="6">
        <v>74</v>
      </c>
      <c r="AB1460" s="6">
        <v>70</v>
      </c>
      <c r="AC1460" s="6">
        <v>75</v>
      </c>
      <c r="AD1460" s="6">
        <v>74</v>
      </c>
      <c r="AE1460" s="6">
        <v>75</v>
      </c>
      <c r="AF1460" s="6">
        <v>74</v>
      </c>
      <c r="AG1460" s="6" t="s">
        <v>7719</v>
      </c>
      <c r="AH1460" s="6" t="s">
        <v>6606</v>
      </c>
    </row>
    <row r="1461" spans="1:34" x14ac:dyDescent="0.2">
      <c r="A1461" t="s">
        <v>3994</v>
      </c>
      <c r="B1461" t="s">
        <v>2258</v>
      </c>
      <c r="C1461" t="s">
        <v>2878</v>
      </c>
      <c r="D1461" s="7" t="s">
        <v>149</v>
      </c>
      <c r="E1461" t="s">
        <v>38</v>
      </c>
      <c r="F1461">
        <v>25</v>
      </c>
      <c r="G1461">
        <v>84</v>
      </c>
      <c r="H1461">
        <v>69</v>
      </c>
      <c r="I1461" t="s">
        <v>6428</v>
      </c>
      <c r="J1461">
        <v>77</v>
      </c>
      <c r="K1461">
        <v>277</v>
      </c>
      <c r="L1461" t="s">
        <v>5688</v>
      </c>
      <c r="M1461" s="6" t="s">
        <v>6558</v>
      </c>
      <c r="N1461" s="6" t="s">
        <v>6567</v>
      </c>
      <c r="O1461" s="6">
        <v>79</v>
      </c>
      <c r="P1461" s="6">
        <v>72</v>
      </c>
      <c r="Q1461" s="6">
        <v>73</v>
      </c>
      <c r="R1461" s="6">
        <v>67</v>
      </c>
      <c r="S1461" s="6">
        <v>82</v>
      </c>
      <c r="T1461" s="6">
        <v>73</v>
      </c>
      <c r="U1461" s="6">
        <v>80</v>
      </c>
      <c r="V1461" s="6">
        <v>79</v>
      </c>
      <c r="W1461" s="6">
        <v>69</v>
      </c>
      <c r="X1461" s="6">
        <v>59</v>
      </c>
      <c r="Y1461" s="6">
        <v>66</v>
      </c>
      <c r="Z1461" s="6">
        <v>76</v>
      </c>
      <c r="AA1461" s="6">
        <v>76</v>
      </c>
      <c r="AB1461" s="6">
        <v>73</v>
      </c>
      <c r="AC1461" s="6">
        <v>71</v>
      </c>
      <c r="AD1461" s="6">
        <v>83</v>
      </c>
      <c r="AE1461" s="6">
        <v>67</v>
      </c>
      <c r="AF1461" s="6">
        <v>72</v>
      </c>
      <c r="AG1461" s="6" t="s">
        <v>7727</v>
      </c>
      <c r="AH1461" s="6" t="s">
        <v>6686</v>
      </c>
    </row>
    <row r="1462" spans="1:34" x14ac:dyDescent="0.2">
      <c r="A1462" t="s">
        <v>3995</v>
      </c>
      <c r="B1462" t="s">
        <v>2259</v>
      </c>
      <c r="C1462" t="s">
        <v>2878</v>
      </c>
      <c r="D1462" s="7" t="s">
        <v>149</v>
      </c>
      <c r="E1462" t="s">
        <v>38</v>
      </c>
      <c r="F1462">
        <v>25</v>
      </c>
      <c r="G1462">
        <v>82</v>
      </c>
      <c r="H1462">
        <v>69</v>
      </c>
      <c r="I1462" t="s">
        <v>6360</v>
      </c>
      <c r="J1462">
        <v>75</v>
      </c>
      <c r="K1462">
        <v>266</v>
      </c>
      <c r="L1462" t="s">
        <v>5689</v>
      </c>
      <c r="M1462" s="6" t="s">
        <v>6558</v>
      </c>
      <c r="N1462" s="6" t="s">
        <v>6565</v>
      </c>
      <c r="O1462" s="6">
        <v>68</v>
      </c>
      <c r="P1462" s="6">
        <v>65</v>
      </c>
      <c r="Q1462" s="6">
        <v>78</v>
      </c>
      <c r="R1462" s="6">
        <v>73</v>
      </c>
      <c r="S1462" s="6">
        <v>80</v>
      </c>
      <c r="T1462" s="6">
        <v>72</v>
      </c>
      <c r="U1462" s="6">
        <v>75</v>
      </c>
      <c r="V1462" s="6">
        <v>72</v>
      </c>
      <c r="W1462" s="6">
        <v>70</v>
      </c>
      <c r="X1462" s="6">
        <v>72</v>
      </c>
      <c r="Y1462" s="6">
        <v>74</v>
      </c>
      <c r="Z1462" s="6">
        <v>72</v>
      </c>
      <c r="AA1462" s="6">
        <v>77</v>
      </c>
      <c r="AB1462" s="6">
        <v>74</v>
      </c>
      <c r="AC1462" s="6">
        <v>69</v>
      </c>
      <c r="AD1462" s="6">
        <v>76</v>
      </c>
      <c r="AE1462" s="6">
        <v>69</v>
      </c>
      <c r="AF1462" s="6">
        <v>71</v>
      </c>
      <c r="AG1462" s="6" t="s">
        <v>7728</v>
      </c>
      <c r="AH1462" s="6" t="s">
        <v>6686</v>
      </c>
    </row>
    <row r="1463" spans="1:34" x14ac:dyDescent="0.2">
      <c r="A1463" t="s">
        <v>3996</v>
      </c>
      <c r="B1463" t="s">
        <v>2260</v>
      </c>
      <c r="C1463" t="s">
        <v>2878</v>
      </c>
      <c r="D1463" s="7" t="s">
        <v>149</v>
      </c>
      <c r="E1463" t="s">
        <v>58</v>
      </c>
      <c r="F1463">
        <v>22</v>
      </c>
      <c r="G1463">
        <v>77</v>
      </c>
      <c r="H1463">
        <v>69</v>
      </c>
      <c r="I1463" t="s">
        <v>6420</v>
      </c>
      <c r="J1463">
        <v>78</v>
      </c>
      <c r="K1463">
        <v>251</v>
      </c>
      <c r="L1463" t="s">
        <v>5690</v>
      </c>
      <c r="M1463" s="6" t="s">
        <v>6558</v>
      </c>
      <c r="N1463" s="6" t="s">
        <v>6614</v>
      </c>
      <c r="O1463" s="6">
        <v>63</v>
      </c>
      <c r="P1463" s="6">
        <v>78</v>
      </c>
      <c r="Q1463" s="6">
        <v>66</v>
      </c>
      <c r="R1463" s="6">
        <v>62</v>
      </c>
      <c r="S1463" s="6">
        <v>74</v>
      </c>
      <c r="T1463" s="6">
        <v>70</v>
      </c>
      <c r="U1463" s="6">
        <v>72</v>
      </c>
      <c r="V1463" s="6">
        <v>70</v>
      </c>
      <c r="W1463" s="6">
        <v>75</v>
      </c>
      <c r="X1463" s="6">
        <v>75</v>
      </c>
      <c r="Y1463" s="6">
        <v>82</v>
      </c>
      <c r="Z1463" s="6">
        <v>69</v>
      </c>
      <c r="AA1463" s="6">
        <v>66</v>
      </c>
      <c r="AB1463" s="6">
        <v>69</v>
      </c>
      <c r="AC1463" s="6">
        <v>78</v>
      </c>
      <c r="AD1463" s="6">
        <v>71</v>
      </c>
      <c r="AE1463" s="6">
        <v>71</v>
      </c>
      <c r="AF1463" s="6">
        <v>76</v>
      </c>
      <c r="AG1463" s="6" t="s">
        <v>7729</v>
      </c>
      <c r="AH1463" s="6" t="s">
        <v>6686</v>
      </c>
    </row>
    <row r="1464" spans="1:34" x14ac:dyDescent="0.2">
      <c r="A1464" t="s">
        <v>3997</v>
      </c>
      <c r="B1464" t="s">
        <v>2261</v>
      </c>
      <c r="C1464" t="s">
        <v>2878</v>
      </c>
      <c r="D1464" s="7" t="s">
        <v>149</v>
      </c>
      <c r="E1464" t="s">
        <v>58</v>
      </c>
      <c r="F1464">
        <v>24</v>
      </c>
      <c r="G1464">
        <v>59</v>
      </c>
      <c r="H1464">
        <v>69</v>
      </c>
      <c r="I1464" t="s">
        <v>6357</v>
      </c>
      <c r="J1464">
        <v>76</v>
      </c>
      <c r="K1464">
        <v>260</v>
      </c>
      <c r="L1464" t="s">
        <v>5691</v>
      </c>
      <c r="M1464" s="6" t="s">
        <v>6558</v>
      </c>
      <c r="N1464" s="6" t="s">
        <v>6614</v>
      </c>
      <c r="O1464" s="6">
        <v>60</v>
      </c>
      <c r="P1464" s="6">
        <v>71</v>
      </c>
      <c r="Q1464" s="6">
        <v>68</v>
      </c>
      <c r="R1464" s="6">
        <v>62</v>
      </c>
      <c r="S1464" s="6">
        <v>71</v>
      </c>
      <c r="T1464" s="6">
        <v>63</v>
      </c>
      <c r="U1464" s="6">
        <v>67</v>
      </c>
      <c r="V1464" s="6">
        <v>72</v>
      </c>
      <c r="W1464" s="6">
        <v>67</v>
      </c>
      <c r="X1464" s="6">
        <v>62</v>
      </c>
      <c r="Y1464" s="6">
        <v>74</v>
      </c>
      <c r="Z1464" s="6">
        <v>67</v>
      </c>
      <c r="AA1464" s="6">
        <v>65</v>
      </c>
      <c r="AB1464" s="6">
        <v>65</v>
      </c>
      <c r="AC1464" s="6">
        <v>68</v>
      </c>
      <c r="AD1464" s="6">
        <v>64</v>
      </c>
      <c r="AE1464" s="6">
        <v>70</v>
      </c>
      <c r="AF1464" s="6">
        <v>66</v>
      </c>
      <c r="AG1464" s="6" t="s">
        <v>7730</v>
      </c>
      <c r="AH1464" s="6" t="s">
        <v>6797</v>
      </c>
    </row>
    <row r="1465" spans="1:34" x14ac:dyDescent="0.2">
      <c r="A1465" t="s">
        <v>4008</v>
      </c>
      <c r="B1465" t="s">
        <v>2272</v>
      </c>
      <c r="C1465" t="s">
        <v>61</v>
      </c>
      <c r="D1465" s="7" t="s">
        <v>149</v>
      </c>
      <c r="E1465" t="s">
        <v>38</v>
      </c>
      <c r="F1465">
        <v>29</v>
      </c>
      <c r="G1465">
        <v>65</v>
      </c>
      <c r="H1465">
        <v>69</v>
      </c>
      <c r="I1465" t="s">
        <v>6377</v>
      </c>
      <c r="J1465">
        <v>69</v>
      </c>
      <c r="K1465">
        <v>200</v>
      </c>
      <c r="L1465" t="s">
        <v>5702</v>
      </c>
      <c r="M1465" s="6" t="s">
        <v>6558</v>
      </c>
      <c r="N1465" s="6" t="s">
        <v>6567</v>
      </c>
      <c r="O1465" s="6">
        <v>70</v>
      </c>
      <c r="P1465" s="6">
        <v>70</v>
      </c>
      <c r="Q1465" s="6">
        <v>76</v>
      </c>
      <c r="R1465" s="6">
        <v>69</v>
      </c>
      <c r="S1465" s="6">
        <v>81</v>
      </c>
      <c r="T1465" s="6">
        <v>65</v>
      </c>
      <c r="U1465" s="6">
        <v>75</v>
      </c>
      <c r="V1465" s="6">
        <v>76</v>
      </c>
      <c r="W1465" s="6">
        <v>70</v>
      </c>
      <c r="X1465" s="6">
        <v>73</v>
      </c>
      <c r="Y1465" s="6">
        <v>73</v>
      </c>
      <c r="Z1465" s="6">
        <v>82</v>
      </c>
      <c r="AA1465" s="6">
        <v>70</v>
      </c>
      <c r="AB1465" s="6">
        <v>60</v>
      </c>
      <c r="AC1465" s="6">
        <v>65</v>
      </c>
      <c r="AD1465" s="6">
        <v>59</v>
      </c>
      <c r="AE1465" s="6">
        <v>66</v>
      </c>
      <c r="AF1465" s="6">
        <v>66</v>
      </c>
      <c r="AG1465" s="6" t="s">
        <v>7741</v>
      </c>
      <c r="AH1465" s="6" t="s">
        <v>6630</v>
      </c>
    </row>
    <row r="1466" spans="1:34" x14ac:dyDescent="0.2">
      <c r="A1466" t="s">
        <v>4014</v>
      </c>
      <c r="B1466" t="s">
        <v>2278</v>
      </c>
      <c r="C1466" t="s">
        <v>2889</v>
      </c>
      <c r="D1466" s="7" t="s">
        <v>149</v>
      </c>
      <c r="E1466" t="s">
        <v>58</v>
      </c>
      <c r="F1466">
        <v>32</v>
      </c>
      <c r="G1466">
        <v>56</v>
      </c>
      <c r="H1466">
        <v>69</v>
      </c>
      <c r="I1466" t="s">
        <v>6394</v>
      </c>
      <c r="J1466">
        <v>74</v>
      </c>
      <c r="K1466">
        <v>245</v>
      </c>
      <c r="L1466" t="s">
        <v>5708</v>
      </c>
      <c r="M1466" s="6" t="s">
        <v>6558</v>
      </c>
      <c r="N1466" s="6" t="s">
        <v>6583</v>
      </c>
      <c r="O1466" s="6">
        <v>78</v>
      </c>
      <c r="P1466" s="6">
        <v>76</v>
      </c>
      <c r="Q1466" s="6">
        <v>75</v>
      </c>
      <c r="R1466" s="6">
        <v>76</v>
      </c>
      <c r="S1466" s="6">
        <v>77</v>
      </c>
      <c r="T1466" s="6">
        <v>76</v>
      </c>
      <c r="U1466" s="6">
        <v>67</v>
      </c>
      <c r="V1466" s="6">
        <v>68</v>
      </c>
      <c r="W1466" s="6">
        <v>64</v>
      </c>
      <c r="X1466" s="6">
        <v>76</v>
      </c>
      <c r="Y1466" s="6">
        <v>71</v>
      </c>
      <c r="Z1466" s="6">
        <v>71</v>
      </c>
      <c r="AA1466" s="6">
        <v>65</v>
      </c>
      <c r="AB1466" s="6">
        <v>59</v>
      </c>
      <c r="AC1466" s="6">
        <v>62</v>
      </c>
      <c r="AD1466" s="6">
        <v>69</v>
      </c>
      <c r="AE1466" s="6">
        <v>60</v>
      </c>
      <c r="AF1466" s="6">
        <v>66</v>
      </c>
      <c r="AG1466" s="6" t="s">
        <v>7531</v>
      </c>
      <c r="AH1466" s="6" t="s">
        <v>6709</v>
      </c>
    </row>
    <row r="1467" spans="1:34" x14ac:dyDescent="0.2">
      <c r="A1467" t="s">
        <v>4019</v>
      </c>
      <c r="B1467" t="s">
        <v>2283</v>
      </c>
      <c r="C1467" t="s">
        <v>53</v>
      </c>
      <c r="D1467" s="7" t="s">
        <v>22</v>
      </c>
      <c r="E1467" t="s">
        <v>38</v>
      </c>
      <c r="F1467">
        <v>34</v>
      </c>
      <c r="G1467">
        <v>93</v>
      </c>
      <c r="H1467">
        <v>69</v>
      </c>
      <c r="I1467" t="s">
        <v>6371</v>
      </c>
      <c r="J1467">
        <v>73</v>
      </c>
      <c r="K1467">
        <v>222</v>
      </c>
      <c r="L1467" t="s">
        <v>5713</v>
      </c>
      <c r="M1467" s="6" t="s">
        <v>6558</v>
      </c>
      <c r="N1467" s="6" t="s">
        <v>6562</v>
      </c>
      <c r="O1467" s="6">
        <v>81</v>
      </c>
      <c r="P1467" s="6">
        <v>84</v>
      </c>
      <c r="Q1467" s="6">
        <v>87</v>
      </c>
      <c r="R1467" s="6">
        <v>89</v>
      </c>
      <c r="S1467" s="6">
        <v>85</v>
      </c>
      <c r="T1467" s="6">
        <v>84</v>
      </c>
      <c r="U1467" s="6">
        <v>84</v>
      </c>
      <c r="V1467" s="6">
        <v>84</v>
      </c>
      <c r="W1467" s="6">
        <v>94</v>
      </c>
      <c r="X1467" s="6">
        <v>79</v>
      </c>
      <c r="Y1467" s="6">
        <v>88</v>
      </c>
      <c r="Z1467" s="6">
        <v>88</v>
      </c>
      <c r="AA1467" s="6">
        <v>75</v>
      </c>
      <c r="AB1467" s="6">
        <v>80</v>
      </c>
      <c r="AC1467" s="6">
        <v>72</v>
      </c>
      <c r="AD1467" s="6">
        <v>72</v>
      </c>
      <c r="AE1467" s="6">
        <v>70</v>
      </c>
      <c r="AF1467" s="6">
        <v>67</v>
      </c>
      <c r="AG1467" s="6" t="s">
        <v>7751</v>
      </c>
      <c r="AH1467" s="6" t="s">
        <v>6770</v>
      </c>
    </row>
    <row r="1468" spans="1:34" x14ac:dyDescent="0.2">
      <c r="A1468" t="s">
        <v>4020</v>
      </c>
      <c r="B1468" t="s">
        <v>2284</v>
      </c>
      <c r="C1468" t="s">
        <v>53</v>
      </c>
      <c r="D1468" s="7" t="s">
        <v>22</v>
      </c>
      <c r="E1468" t="s">
        <v>58</v>
      </c>
      <c r="F1468">
        <v>21</v>
      </c>
      <c r="G1468">
        <v>74</v>
      </c>
      <c r="H1468">
        <v>69</v>
      </c>
      <c r="I1468" t="s">
        <v>6309</v>
      </c>
      <c r="J1468">
        <v>74</v>
      </c>
      <c r="K1468">
        <v>233</v>
      </c>
      <c r="L1468" t="s">
        <v>5714</v>
      </c>
      <c r="M1468" s="6" t="s">
        <v>6558</v>
      </c>
      <c r="N1468" s="6" t="s">
        <v>6559</v>
      </c>
      <c r="O1468" s="6">
        <v>80</v>
      </c>
      <c r="P1468" s="6">
        <v>85</v>
      </c>
      <c r="Q1468" s="6">
        <v>73</v>
      </c>
      <c r="R1468" s="6">
        <v>85</v>
      </c>
      <c r="S1468" s="6">
        <v>76</v>
      </c>
      <c r="T1468" s="6">
        <v>66</v>
      </c>
      <c r="U1468" s="6">
        <v>77</v>
      </c>
      <c r="V1468" s="6">
        <v>70</v>
      </c>
      <c r="W1468" s="6">
        <v>58</v>
      </c>
      <c r="X1468" s="6">
        <v>68</v>
      </c>
      <c r="Y1468" s="6">
        <v>71</v>
      </c>
      <c r="Z1468" s="6">
        <v>68</v>
      </c>
      <c r="AA1468" s="6">
        <v>69</v>
      </c>
      <c r="AB1468" s="6">
        <v>75</v>
      </c>
      <c r="AC1468" s="6">
        <v>71</v>
      </c>
      <c r="AD1468" s="6">
        <v>78</v>
      </c>
      <c r="AE1468" s="6">
        <v>69</v>
      </c>
      <c r="AF1468" s="6">
        <v>68</v>
      </c>
      <c r="AG1468" s="6" t="s">
        <v>7752</v>
      </c>
      <c r="AH1468" s="6" t="s">
        <v>6715</v>
      </c>
    </row>
    <row r="1469" spans="1:34" x14ac:dyDescent="0.2">
      <c r="A1469" t="s">
        <v>4024</v>
      </c>
      <c r="B1469" t="s">
        <v>2288</v>
      </c>
      <c r="C1469" t="s">
        <v>2870</v>
      </c>
      <c r="D1469" s="7" t="s">
        <v>22</v>
      </c>
      <c r="E1469" t="s">
        <v>38</v>
      </c>
      <c r="F1469">
        <v>27</v>
      </c>
      <c r="G1469">
        <v>75</v>
      </c>
      <c r="H1469">
        <v>69</v>
      </c>
      <c r="I1469" t="s">
        <v>6326</v>
      </c>
      <c r="J1469">
        <v>69</v>
      </c>
      <c r="K1469">
        <v>213</v>
      </c>
      <c r="L1469" t="s">
        <v>5718</v>
      </c>
      <c r="M1469" s="6" t="s">
        <v>6558</v>
      </c>
      <c r="N1469" s="6" t="s">
        <v>6567</v>
      </c>
      <c r="O1469" s="6">
        <v>83</v>
      </c>
      <c r="P1469" s="6">
        <v>79</v>
      </c>
      <c r="Q1469" s="6">
        <v>75</v>
      </c>
      <c r="R1469" s="6">
        <v>67</v>
      </c>
      <c r="S1469" s="6">
        <v>76</v>
      </c>
      <c r="T1469" s="6">
        <v>79</v>
      </c>
      <c r="U1469" s="6">
        <v>73</v>
      </c>
      <c r="V1469" s="6">
        <v>82</v>
      </c>
      <c r="W1469" s="6">
        <v>72</v>
      </c>
      <c r="X1469" s="6">
        <v>74</v>
      </c>
      <c r="Y1469" s="6">
        <v>83</v>
      </c>
      <c r="Z1469" s="6">
        <v>75</v>
      </c>
      <c r="AA1469" s="6">
        <v>73</v>
      </c>
      <c r="AB1469" s="6">
        <v>74</v>
      </c>
      <c r="AC1469" s="6">
        <v>73</v>
      </c>
      <c r="AD1469" s="6">
        <v>85</v>
      </c>
      <c r="AE1469" s="6">
        <v>79</v>
      </c>
      <c r="AF1469" s="6">
        <v>63</v>
      </c>
      <c r="AG1469" s="6" t="s">
        <v>7756</v>
      </c>
      <c r="AH1469" s="6" t="s">
        <v>6572</v>
      </c>
    </row>
    <row r="1470" spans="1:34" x14ac:dyDescent="0.2">
      <c r="A1470" t="s">
        <v>4025</v>
      </c>
      <c r="B1470" t="s">
        <v>2289</v>
      </c>
      <c r="C1470" t="s">
        <v>2870</v>
      </c>
      <c r="D1470" s="7" t="s">
        <v>22</v>
      </c>
      <c r="E1470" t="s">
        <v>58</v>
      </c>
      <c r="F1470">
        <v>23</v>
      </c>
      <c r="G1470">
        <v>68</v>
      </c>
      <c r="H1470">
        <v>69</v>
      </c>
      <c r="I1470" t="s">
        <v>6430</v>
      </c>
      <c r="J1470">
        <v>68</v>
      </c>
      <c r="K1470">
        <v>204</v>
      </c>
      <c r="L1470" t="s">
        <v>5719</v>
      </c>
      <c r="M1470" s="6" t="s">
        <v>6558</v>
      </c>
      <c r="N1470" s="6" t="s">
        <v>6614</v>
      </c>
      <c r="O1470" s="6">
        <v>63</v>
      </c>
      <c r="P1470" s="6">
        <v>62</v>
      </c>
      <c r="Q1470" s="6">
        <v>78</v>
      </c>
      <c r="R1470" s="6">
        <v>58</v>
      </c>
      <c r="S1470" s="6">
        <v>76</v>
      </c>
      <c r="T1470" s="6">
        <v>59</v>
      </c>
      <c r="U1470" s="6">
        <v>60</v>
      </c>
      <c r="V1470" s="6">
        <v>66</v>
      </c>
      <c r="W1470" s="6">
        <v>65</v>
      </c>
      <c r="X1470" s="6">
        <v>68</v>
      </c>
      <c r="Y1470" s="6">
        <v>67</v>
      </c>
      <c r="Z1470" s="6">
        <v>63</v>
      </c>
      <c r="AA1470" s="6">
        <v>57</v>
      </c>
      <c r="AB1470" s="6">
        <v>69</v>
      </c>
      <c r="AC1470" s="6">
        <v>71</v>
      </c>
      <c r="AD1470" s="6">
        <v>69</v>
      </c>
      <c r="AE1470" s="6">
        <v>61</v>
      </c>
      <c r="AF1470" s="6">
        <v>77</v>
      </c>
      <c r="AG1470" s="6" t="s">
        <v>7757</v>
      </c>
      <c r="AH1470" s="6" t="s">
        <v>6723</v>
      </c>
    </row>
    <row r="1471" spans="1:34" x14ac:dyDescent="0.2">
      <c r="A1471" t="s">
        <v>4031</v>
      </c>
      <c r="B1471" t="s">
        <v>2295</v>
      </c>
      <c r="C1471" t="s">
        <v>57</v>
      </c>
      <c r="D1471" s="7" t="s">
        <v>22</v>
      </c>
      <c r="E1471" t="s">
        <v>38</v>
      </c>
      <c r="F1471">
        <v>25</v>
      </c>
      <c r="G1471">
        <v>61</v>
      </c>
      <c r="H1471">
        <v>69</v>
      </c>
      <c r="I1471" t="s">
        <v>6371</v>
      </c>
      <c r="J1471">
        <v>70</v>
      </c>
      <c r="K1471">
        <v>210</v>
      </c>
      <c r="L1471" t="s">
        <v>5725</v>
      </c>
      <c r="M1471" s="6" t="s">
        <v>6558</v>
      </c>
      <c r="N1471" s="6" t="s">
        <v>6567</v>
      </c>
      <c r="O1471" s="6">
        <v>74</v>
      </c>
      <c r="P1471" s="6">
        <v>69</v>
      </c>
      <c r="Q1471" s="6">
        <v>67</v>
      </c>
      <c r="R1471" s="6">
        <v>64</v>
      </c>
      <c r="S1471" s="6">
        <v>70</v>
      </c>
      <c r="T1471" s="6">
        <v>63</v>
      </c>
      <c r="U1471" s="6">
        <v>71</v>
      </c>
      <c r="V1471" s="6">
        <v>65</v>
      </c>
      <c r="W1471" s="6">
        <v>74</v>
      </c>
      <c r="X1471" s="6">
        <v>65</v>
      </c>
      <c r="Y1471" s="6">
        <v>71</v>
      </c>
      <c r="Z1471" s="6">
        <v>62</v>
      </c>
      <c r="AA1471" s="6">
        <v>65</v>
      </c>
      <c r="AB1471" s="6">
        <v>75</v>
      </c>
      <c r="AC1471" s="6">
        <v>68</v>
      </c>
      <c r="AD1471" s="6">
        <v>70</v>
      </c>
      <c r="AE1471" s="6">
        <v>73</v>
      </c>
      <c r="AF1471" s="6">
        <v>65</v>
      </c>
      <c r="AG1471" s="6" t="s">
        <v>7763</v>
      </c>
      <c r="AH1471" s="6" t="s">
        <v>6664</v>
      </c>
    </row>
    <row r="1472" spans="1:34" x14ac:dyDescent="0.2">
      <c r="A1472" t="s">
        <v>4035</v>
      </c>
      <c r="B1472" t="s">
        <v>2299</v>
      </c>
      <c r="C1472" t="s">
        <v>2872</v>
      </c>
      <c r="D1472" s="7" t="s">
        <v>22</v>
      </c>
      <c r="E1472" t="s">
        <v>58</v>
      </c>
      <c r="F1472">
        <v>34</v>
      </c>
      <c r="G1472">
        <v>83</v>
      </c>
      <c r="H1472">
        <v>69</v>
      </c>
      <c r="I1472" t="s">
        <v>6507</v>
      </c>
      <c r="J1472">
        <v>78</v>
      </c>
      <c r="K1472">
        <v>320</v>
      </c>
      <c r="L1472" t="s">
        <v>5729</v>
      </c>
      <c r="M1472" s="6" t="s">
        <v>6558</v>
      </c>
      <c r="N1472" s="6" t="s">
        <v>6583</v>
      </c>
      <c r="O1472" s="6">
        <v>74</v>
      </c>
      <c r="P1472" s="6">
        <v>85</v>
      </c>
      <c r="Q1472" s="6">
        <v>80</v>
      </c>
      <c r="R1472" s="6">
        <v>78</v>
      </c>
      <c r="S1472" s="6">
        <v>80</v>
      </c>
      <c r="T1472" s="6">
        <v>77</v>
      </c>
      <c r="U1472" s="6">
        <v>75</v>
      </c>
      <c r="V1472" s="6">
        <v>83</v>
      </c>
      <c r="W1472" s="6">
        <v>79</v>
      </c>
      <c r="X1472" s="6">
        <v>78</v>
      </c>
      <c r="Y1472" s="6">
        <v>83</v>
      </c>
      <c r="Z1472" s="6">
        <v>89</v>
      </c>
      <c r="AA1472" s="6">
        <v>66</v>
      </c>
      <c r="AB1472" s="6">
        <v>73</v>
      </c>
      <c r="AC1472" s="6">
        <v>71</v>
      </c>
      <c r="AD1472" s="6">
        <v>68</v>
      </c>
      <c r="AE1472" s="6">
        <v>67</v>
      </c>
      <c r="AF1472" s="6">
        <v>67</v>
      </c>
      <c r="AG1472" s="6" t="s">
        <v>7767</v>
      </c>
      <c r="AH1472" s="6" t="s">
        <v>6610</v>
      </c>
    </row>
    <row r="1473" spans="1:34" x14ac:dyDescent="0.2">
      <c r="A1473" t="s">
        <v>4039</v>
      </c>
      <c r="B1473" t="s">
        <v>2303</v>
      </c>
      <c r="C1473" t="s">
        <v>2887</v>
      </c>
      <c r="D1473" s="7" t="s">
        <v>22</v>
      </c>
      <c r="E1473" t="s">
        <v>58</v>
      </c>
      <c r="F1473">
        <v>33</v>
      </c>
      <c r="G1473">
        <v>76</v>
      </c>
      <c r="H1473">
        <v>69</v>
      </c>
      <c r="I1473" t="s">
        <v>6466</v>
      </c>
      <c r="J1473">
        <v>76</v>
      </c>
      <c r="K1473">
        <v>311</v>
      </c>
      <c r="L1473" t="s">
        <v>5733</v>
      </c>
      <c r="M1473" s="6" t="s">
        <v>6558</v>
      </c>
      <c r="N1473" s="6" t="s">
        <v>6583</v>
      </c>
      <c r="O1473" s="6">
        <v>84</v>
      </c>
      <c r="P1473" s="6">
        <v>82</v>
      </c>
      <c r="Q1473" s="6">
        <v>78</v>
      </c>
      <c r="R1473" s="6">
        <v>77</v>
      </c>
      <c r="S1473" s="6">
        <v>81</v>
      </c>
      <c r="T1473" s="6">
        <v>73</v>
      </c>
      <c r="U1473" s="6">
        <v>79</v>
      </c>
      <c r="V1473" s="6">
        <v>81</v>
      </c>
      <c r="W1473" s="6">
        <v>82</v>
      </c>
      <c r="X1473" s="6">
        <v>83</v>
      </c>
      <c r="Y1473" s="6">
        <v>75</v>
      </c>
      <c r="Z1473" s="6">
        <v>88</v>
      </c>
      <c r="AA1473" s="6">
        <v>74</v>
      </c>
      <c r="AB1473" s="6">
        <v>75</v>
      </c>
      <c r="AC1473" s="6">
        <v>71</v>
      </c>
      <c r="AD1473" s="6">
        <v>69</v>
      </c>
      <c r="AE1473" s="6">
        <v>68</v>
      </c>
      <c r="AF1473" s="6">
        <v>72</v>
      </c>
      <c r="AG1473" s="6" t="s">
        <v>7771</v>
      </c>
      <c r="AH1473" s="6" t="s">
        <v>6598</v>
      </c>
    </row>
    <row r="1474" spans="1:34" x14ac:dyDescent="0.2">
      <c r="A1474" t="s">
        <v>4046</v>
      </c>
      <c r="B1474" t="s">
        <v>2310</v>
      </c>
      <c r="C1474" t="s">
        <v>2878</v>
      </c>
      <c r="D1474" s="7" t="s">
        <v>22</v>
      </c>
      <c r="E1474" t="s">
        <v>38</v>
      </c>
      <c r="F1474">
        <v>31</v>
      </c>
      <c r="G1474">
        <v>86</v>
      </c>
      <c r="H1474">
        <v>69</v>
      </c>
      <c r="I1474" t="s">
        <v>6333</v>
      </c>
      <c r="J1474">
        <v>76</v>
      </c>
      <c r="K1474">
        <v>270</v>
      </c>
      <c r="L1474" t="s">
        <v>5740</v>
      </c>
      <c r="M1474" s="6" t="s">
        <v>6558</v>
      </c>
      <c r="N1474" s="6" t="s">
        <v>6583</v>
      </c>
      <c r="O1474" s="6">
        <v>65</v>
      </c>
      <c r="P1474" s="6">
        <v>76</v>
      </c>
      <c r="Q1474" s="6">
        <v>75</v>
      </c>
      <c r="R1474" s="6">
        <v>78</v>
      </c>
      <c r="S1474" s="6">
        <v>94</v>
      </c>
      <c r="T1474" s="6">
        <v>86</v>
      </c>
      <c r="U1474" s="6">
        <v>85</v>
      </c>
      <c r="V1474" s="6">
        <v>80</v>
      </c>
      <c r="W1474" s="6">
        <v>72</v>
      </c>
      <c r="X1474" s="6">
        <v>84</v>
      </c>
      <c r="Y1474" s="6">
        <v>77</v>
      </c>
      <c r="Z1474" s="6">
        <v>69</v>
      </c>
      <c r="AA1474" s="6">
        <v>74</v>
      </c>
      <c r="AB1474" s="6">
        <v>72</v>
      </c>
      <c r="AC1474" s="6">
        <v>76</v>
      </c>
      <c r="AD1474" s="6">
        <v>77</v>
      </c>
      <c r="AE1474" s="6">
        <v>78</v>
      </c>
      <c r="AF1474" s="6">
        <v>76</v>
      </c>
      <c r="AG1474" s="6" t="s">
        <v>7778</v>
      </c>
      <c r="AH1474" s="6" t="s">
        <v>6963</v>
      </c>
    </row>
    <row r="1475" spans="1:34" x14ac:dyDescent="0.2">
      <c r="A1475" t="s">
        <v>4048</v>
      </c>
      <c r="B1475" t="s">
        <v>2312</v>
      </c>
      <c r="C1475" t="s">
        <v>2878</v>
      </c>
      <c r="D1475" s="7" t="s">
        <v>22</v>
      </c>
      <c r="E1475" t="s">
        <v>38</v>
      </c>
      <c r="F1475">
        <v>30</v>
      </c>
      <c r="G1475">
        <v>68</v>
      </c>
      <c r="H1475">
        <v>69</v>
      </c>
      <c r="I1475" t="s">
        <v>6357</v>
      </c>
      <c r="J1475">
        <v>74</v>
      </c>
      <c r="K1475">
        <v>260</v>
      </c>
      <c r="L1475" t="s">
        <v>5742</v>
      </c>
      <c r="M1475" s="6" t="s">
        <v>6558</v>
      </c>
      <c r="N1475" s="6" t="s">
        <v>6565</v>
      </c>
      <c r="O1475" s="6">
        <v>72</v>
      </c>
      <c r="P1475" s="6">
        <v>70</v>
      </c>
      <c r="Q1475" s="6">
        <v>79</v>
      </c>
      <c r="R1475" s="6">
        <v>72</v>
      </c>
      <c r="S1475" s="6">
        <v>84</v>
      </c>
      <c r="T1475" s="6">
        <v>73</v>
      </c>
      <c r="U1475" s="6">
        <v>65</v>
      </c>
      <c r="V1475" s="6">
        <v>71</v>
      </c>
      <c r="W1475" s="6">
        <v>84</v>
      </c>
      <c r="X1475" s="6">
        <v>73</v>
      </c>
      <c r="Y1475" s="6">
        <v>71</v>
      </c>
      <c r="Z1475" s="6">
        <v>70</v>
      </c>
      <c r="AA1475" s="6">
        <v>63</v>
      </c>
      <c r="AB1475" s="6">
        <v>63</v>
      </c>
      <c r="AC1475" s="6">
        <v>72</v>
      </c>
      <c r="AD1475" s="6">
        <v>69</v>
      </c>
      <c r="AE1475" s="6">
        <v>74</v>
      </c>
      <c r="AF1475" s="6">
        <v>65</v>
      </c>
      <c r="AG1475" s="6" t="s">
        <v>7780</v>
      </c>
      <c r="AH1475" s="6" t="s">
        <v>6686</v>
      </c>
    </row>
    <row r="1476" spans="1:34" x14ac:dyDescent="0.2">
      <c r="A1476" t="s">
        <v>4053</v>
      </c>
      <c r="B1476" t="s">
        <v>2317</v>
      </c>
      <c r="C1476" t="s">
        <v>2879</v>
      </c>
      <c r="D1476" s="7" t="s">
        <v>22</v>
      </c>
      <c r="E1476" t="s">
        <v>58</v>
      </c>
      <c r="F1476">
        <v>27</v>
      </c>
      <c r="G1476">
        <v>61</v>
      </c>
      <c r="H1476">
        <v>69</v>
      </c>
      <c r="I1476" t="s">
        <v>6397</v>
      </c>
      <c r="J1476">
        <v>75</v>
      </c>
      <c r="K1476">
        <v>340</v>
      </c>
      <c r="L1476" t="s">
        <v>5747</v>
      </c>
      <c r="M1476" s="6" t="s">
        <v>6558</v>
      </c>
      <c r="N1476" s="6" t="s">
        <v>6567</v>
      </c>
      <c r="O1476" s="6">
        <v>67</v>
      </c>
      <c r="P1476" s="6">
        <v>67</v>
      </c>
      <c r="Q1476" s="6">
        <v>80</v>
      </c>
      <c r="R1476" s="6">
        <v>65</v>
      </c>
      <c r="S1476" s="6">
        <v>75</v>
      </c>
      <c r="T1476" s="6">
        <v>73</v>
      </c>
      <c r="U1476" s="6">
        <v>74</v>
      </c>
      <c r="V1476" s="6">
        <v>66</v>
      </c>
      <c r="W1476" s="6">
        <v>81</v>
      </c>
      <c r="X1476" s="6">
        <v>66</v>
      </c>
      <c r="Y1476" s="6">
        <v>71</v>
      </c>
      <c r="Z1476" s="6">
        <v>61</v>
      </c>
      <c r="AA1476" s="6">
        <v>64</v>
      </c>
      <c r="AB1476" s="6">
        <v>69</v>
      </c>
      <c r="AC1476" s="6">
        <v>72</v>
      </c>
      <c r="AD1476" s="6">
        <v>73</v>
      </c>
      <c r="AE1476" s="6">
        <v>72</v>
      </c>
      <c r="AF1476" s="6">
        <v>75</v>
      </c>
      <c r="AG1476" s="6" t="s">
        <v>7785</v>
      </c>
      <c r="AH1476" s="6" t="s">
        <v>6806</v>
      </c>
    </row>
    <row r="1477" spans="1:34" x14ac:dyDescent="0.2">
      <c r="A1477" t="s">
        <v>4061</v>
      </c>
      <c r="B1477" t="s">
        <v>2325</v>
      </c>
      <c r="C1477" t="s">
        <v>61</v>
      </c>
      <c r="D1477" s="7" t="s">
        <v>22</v>
      </c>
      <c r="E1477" t="s">
        <v>58</v>
      </c>
      <c r="F1477">
        <v>30</v>
      </c>
      <c r="G1477">
        <v>58</v>
      </c>
      <c r="H1477">
        <v>69</v>
      </c>
      <c r="I1477" t="s">
        <v>6384</v>
      </c>
      <c r="J1477">
        <v>71</v>
      </c>
      <c r="K1477">
        <v>194</v>
      </c>
      <c r="L1477" t="s">
        <v>5755</v>
      </c>
      <c r="M1477" s="6" t="s">
        <v>6558</v>
      </c>
      <c r="N1477" s="6" t="s">
        <v>6565</v>
      </c>
      <c r="O1477" s="6">
        <v>78</v>
      </c>
      <c r="P1477" s="6">
        <v>77</v>
      </c>
      <c r="Q1477" s="6">
        <v>74</v>
      </c>
      <c r="R1477" s="6">
        <v>70</v>
      </c>
      <c r="S1477" s="6">
        <v>80</v>
      </c>
      <c r="T1477" s="6">
        <v>71</v>
      </c>
      <c r="U1477" s="6">
        <v>82</v>
      </c>
      <c r="V1477" s="6">
        <v>81</v>
      </c>
      <c r="W1477" s="6">
        <v>82</v>
      </c>
      <c r="X1477" s="6">
        <v>78</v>
      </c>
      <c r="Y1477" s="6">
        <v>73</v>
      </c>
      <c r="Z1477" s="6">
        <v>67</v>
      </c>
      <c r="AA1477" s="6">
        <v>68</v>
      </c>
      <c r="AB1477" s="6">
        <v>60</v>
      </c>
      <c r="AC1477" s="6">
        <v>73</v>
      </c>
      <c r="AD1477" s="6">
        <v>84</v>
      </c>
      <c r="AE1477" s="6">
        <v>68</v>
      </c>
      <c r="AF1477" s="6">
        <v>67</v>
      </c>
      <c r="AG1477" s="6" t="s">
        <v>7793</v>
      </c>
      <c r="AH1477" s="6" t="s">
        <v>6630</v>
      </c>
    </row>
    <row r="1478" spans="1:34" x14ac:dyDescent="0.2">
      <c r="A1478" t="s">
        <v>4067</v>
      </c>
      <c r="B1478" t="s">
        <v>2331</v>
      </c>
      <c r="C1478" t="s">
        <v>2884</v>
      </c>
      <c r="D1478" s="7" t="s">
        <v>22</v>
      </c>
      <c r="E1478" t="s">
        <v>38</v>
      </c>
      <c r="F1478">
        <v>28</v>
      </c>
      <c r="G1478">
        <v>79</v>
      </c>
      <c r="H1478">
        <v>69</v>
      </c>
      <c r="I1478" t="s">
        <v>6408</v>
      </c>
      <c r="J1478">
        <v>74</v>
      </c>
      <c r="K1478">
        <v>180</v>
      </c>
      <c r="L1478" t="s">
        <v>5761</v>
      </c>
      <c r="M1478" s="6" t="s">
        <v>6558</v>
      </c>
      <c r="N1478" s="6" t="s">
        <v>6567</v>
      </c>
      <c r="O1478" s="6">
        <v>71</v>
      </c>
      <c r="P1478" s="6">
        <v>77</v>
      </c>
      <c r="Q1478" s="6">
        <v>81</v>
      </c>
      <c r="R1478" s="6">
        <v>69</v>
      </c>
      <c r="S1478" s="6">
        <v>75</v>
      </c>
      <c r="T1478" s="6">
        <v>80</v>
      </c>
      <c r="U1478" s="6">
        <v>82</v>
      </c>
      <c r="V1478" s="6">
        <v>74</v>
      </c>
      <c r="W1478" s="6">
        <v>75</v>
      </c>
      <c r="X1478" s="6">
        <v>80</v>
      </c>
      <c r="Y1478" s="6">
        <v>80</v>
      </c>
      <c r="Z1478" s="6">
        <v>75</v>
      </c>
      <c r="AA1478" s="6">
        <v>81</v>
      </c>
      <c r="AB1478" s="6">
        <v>79</v>
      </c>
      <c r="AC1478" s="6">
        <v>79</v>
      </c>
      <c r="AD1478" s="6">
        <v>73</v>
      </c>
      <c r="AE1478" s="6">
        <v>76</v>
      </c>
      <c r="AF1478" s="6">
        <v>77</v>
      </c>
      <c r="AG1478" s="6" t="s">
        <v>7799</v>
      </c>
      <c r="AH1478" s="6" t="s">
        <v>6818</v>
      </c>
    </row>
    <row r="1479" spans="1:34" x14ac:dyDescent="0.2">
      <c r="A1479" t="s">
        <v>4071</v>
      </c>
      <c r="B1479" t="s">
        <v>2335</v>
      </c>
      <c r="C1479" t="s">
        <v>2885</v>
      </c>
      <c r="D1479" s="7" t="s">
        <v>22</v>
      </c>
      <c r="E1479" t="s">
        <v>38</v>
      </c>
      <c r="F1479">
        <v>23</v>
      </c>
      <c r="G1479">
        <v>70</v>
      </c>
      <c r="H1479">
        <v>69</v>
      </c>
      <c r="I1479" t="s">
        <v>6410</v>
      </c>
      <c r="J1479">
        <v>73</v>
      </c>
      <c r="K1479">
        <v>230</v>
      </c>
      <c r="L1479" t="s">
        <v>5765</v>
      </c>
      <c r="M1479" s="6" t="s">
        <v>6558</v>
      </c>
      <c r="N1479" s="6" t="s">
        <v>6567</v>
      </c>
      <c r="O1479" s="6">
        <v>74</v>
      </c>
      <c r="P1479" s="6">
        <v>66</v>
      </c>
      <c r="Q1479" s="6">
        <v>64</v>
      </c>
      <c r="R1479" s="6">
        <v>67</v>
      </c>
      <c r="S1479" s="6">
        <v>72</v>
      </c>
      <c r="T1479" s="6">
        <v>61</v>
      </c>
      <c r="U1479" s="6">
        <v>61</v>
      </c>
      <c r="V1479" s="6">
        <v>65</v>
      </c>
      <c r="W1479" s="6">
        <v>78</v>
      </c>
      <c r="X1479" s="6">
        <v>72</v>
      </c>
      <c r="Y1479" s="6">
        <v>67</v>
      </c>
      <c r="Z1479" s="6">
        <v>64</v>
      </c>
      <c r="AA1479" s="6">
        <v>70</v>
      </c>
      <c r="AB1479" s="6">
        <v>74</v>
      </c>
      <c r="AC1479" s="6">
        <v>72</v>
      </c>
      <c r="AD1479" s="6">
        <v>65</v>
      </c>
      <c r="AE1479" s="6">
        <v>74</v>
      </c>
      <c r="AF1479" s="6">
        <v>73</v>
      </c>
      <c r="AG1479" s="6" t="s">
        <v>7802</v>
      </c>
      <c r="AH1479" s="6" t="s">
        <v>6628</v>
      </c>
    </row>
    <row r="1480" spans="1:34" x14ac:dyDescent="0.2">
      <c r="A1480" t="s">
        <v>4074</v>
      </c>
      <c r="B1480" t="s">
        <v>2338</v>
      </c>
      <c r="C1480" t="s">
        <v>2891</v>
      </c>
      <c r="D1480" s="7" t="s">
        <v>22</v>
      </c>
      <c r="E1480" t="s">
        <v>38</v>
      </c>
      <c r="F1480">
        <v>28</v>
      </c>
      <c r="G1480">
        <v>70</v>
      </c>
      <c r="H1480">
        <v>69</v>
      </c>
      <c r="I1480" t="s">
        <v>6373</v>
      </c>
      <c r="J1480">
        <v>74</v>
      </c>
      <c r="K1480">
        <v>229</v>
      </c>
      <c r="L1480" t="s">
        <v>5768</v>
      </c>
      <c r="M1480" s="6" t="s">
        <v>6558</v>
      </c>
      <c r="N1480" s="6" t="s">
        <v>6567</v>
      </c>
      <c r="O1480" s="6">
        <v>87</v>
      </c>
      <c r="P1480" s="6">
        <v>69</v>
      </c>
      <c r="Q1480" s="6">
        <v>77</v>
      </c>
      <c r="R1480" s="6">
        <v>65</v>
      </c>
      <c r="S1480" s="6">
        <v>93</v>
      </c>
      <c r="T1480" s="6">
        <v>68</v>
      </c>
      <c r="U1480" s="6">
        <v>77</v>
      </c>
      <c r="V1480" s="6">
        <v>81</v>
      </c>
      <c r="W1480" s="6">
        <v>76</v>
      </c>
      <c r="X1480" s="6">
        <v>79</v>
      </c>
      <c r="Y1480" s="6">
        <v>77</v>
      </c>
      <c r="Z1480" s="6">
        <v>76</v>
      </c>
      <c r="AA1480" s="6">
        <v>72</v>
      </c>
      <c r="AB1480" s="6">
        <v>77</v>
      </c>
      <c r="AC1480" s="6">
        <v>72</v>
      </c>
      <c r="AD1480" s="6">
        <v>75</v>
      </c>
      <c r="AE1480" s="6">
        <v>71</v>
      </c>
      <c r="AF1480" s="6">
        <v>71</v>
      </c>
      <c r="AG1480" s="6" t="s">
        <v>7805</v>
      </c>
      <c r="AH1480" s="6" t="s">
        <v>7093</v>
      </c>
    </row>
    <row r="1481" spans="1:34" x14ac:dyDescent="0.2">
      <c r="A1481" t="s">
        <v>4080</v>
      </c>
      <c r="B1481" t="s">
        <v>2344</v>
      </c>
      <c r="C1481" t="s">
        <v>2870</v>
      </c>
      <c r="D1481" s="7" t="s">
        <v>25</v>
      </c>
      <c r="E1481" t="s">
        <v>58</v>
      </c>
      <c r="F1481">
        <v>29</v>
      </c>
      <c r="G1481">
        <v>84</v>
      </c>
      <c r="H1481">
        <v>69</v>
      </c>
      <c r="I1481" t="s">
        <v>6319</v>
      </c>
      <c r="J1481">
        <v>72</v>
      </c>
      <c r="K1481">
        <v>209</v>
      </c>
      <c r="L1481" t="s">
        <v>5774</v>
      </c>
      <c r="M1481" s="6" t="s">
        <v>6558</v>
      </c>
      <c r="N1481" s="6" t="s">
        <v>6583</v>
      </c>
      <c r="O1481" s="6">
        <v>90</v>
      </c>
      <c r="P1481" s="6">
        <v>70</v>
      </c>
      <c r="Q1481" s="6">
        <v>83</v>
      </c>
      <c r="R1481" s="6">
        <v>79</v>
      </c>
      <c r="S1481" s="6">
        <v>76</v>
      </c>
      <c r="T1481" s="6">
        <v>84</v>
      </c>
      <c r="U1481" s="6">
        <v>78</v>
      </c>
      <c r="V1481" s="6">
        <v>90</v>
      </c>
      <c r="W1481" s="6">
        <v>85</v>
      </c>
      <c r="X1481" s="6">
        <v>77</v>
      </c>
      <c r="Y1481" s="6">
        <v>75</v>
      </c>
      <c r="Z1481" s="6">
        <v>81</v>
      </c>
      <c r="AA1481" s="6">
        <v>79</v>
      </c>
      <c r="AB1481" s="6">
        <v>74</v>
      </c>
      <c r="AC1481" s="6">
        <v>66</v>
      </c>
      <c r="AD1481" s="6">
        <v>83</v>
      </c>
      <c r="AE1481" s="6">
        <v>65</v>
      </c>
      <c r="AF1481" s="6">
        <v>73</v>
      </c>
      <c r="AG1481" s="6" t="s">
        <v>7811</v>
      </c>
      <c r="AH1481" s="6" t="s">
        <v>6887</v>
      </c>
    </row>
    <row r="1482" spans="1:34" x14ac:dyDescent="0.2">
      <c r="A1482" t="s">
        <v>4084</v>
      </c>
      <c r="B1482" t="s">
        <v>2348</v>
      </c>
      <c r="C1482" t="s">
        <v>2870</v>
      </c>
      <c r="D1482" s="7" t="s">
        <v>25</v>
      </c>
      <c r="E1482" t="s">
        <v>38</v>
      </c>
      <c r="F1482">
        <v>28</v>
      </c>
      <c r="G1482">
        <v>70</v>
      </c>
      <c r="H1482">
        <v>69</v>
      </c>
      <c r="I1482" t="s">
        <v>54</v>
      </c>
      <c r="J1482">
        <v>68</v>
      </c>
      <c r="K1482">
        <v>229</v>
      </c>
      <c r="L1482" t="s">
        <v>5778</v>
      </c>
      <c r="M1482" s="6" t="s">
        <v>6558</v>
      </c>
      <c r="N1482" s="6" t="s">
        <v>6565</v>
      </c>
      <c r="O1482" s="6">
        <v>60</v>
      </c>
      <c r="P1482" s="6">
        <v>72</v>
      </c>
      <c r="Q1482" s="6">
        <v>72</v>
      </c>
      <c r="R1482" s="6">
        <v>72</v>
      </c>
      <c r="S1482" s="6">
        <v>69</v>
      </c>
      <c r="T1482" s="6">
        <v>70</v>
      </c>
      <c r="U1482" s="6">
        <v>69</v>
      </c>
      <c r="V1482" s="6">
        <v>74</v>
      </c>
      <c r="W1482" s="6">
        <v>67</v>
      </c>
      <c r="X1482" s="6">
        <v>68</v>
      </c>
      <c r="Y1482" s="6">
        <v>82</v>
      </c>
      <c r="Z1482" s="6">
        <v>71</v>
      </c>
      <c r="AA1482" s="6">
        <v>69</v>
      </c>
      <c r="AB1482" s="6">
        <v>73</v>
      </c>
      <c r="AC1482" s="6">
        <v>75</v>
      </c>
      <c r="AD1482" s="6">
        <v>67</v>
      </c>
      <c r="AE1482" s="6">
        <v>70</v>
      </c>
      <c r="AF1482" s="6">
        <v>73</v>
      </c>
      <c r="AG1482" s="6" t="s">
        <v>7815</v>
      </c>
      <c r="AH1482" s="6" t="s">
        <v>6656</v>
      </c>
    </row>
    <row r="1483" spans="1:34" x14ac:dyDescent="0.2">
      <c r="A1483" t="s">
        <v>4087</v>
      </c>
      <c r="B1483" t="s">
        <v>2351</v>
      </c>
      <c r="C1483" t="s">
        <v>57</v>
      </c>
      <c r="D1483" s="7" t="s">
        <v>25</v>
      </c>
      <c r="E1483" t="s">
        <v>38</v>
      </c>
      <c r="F1483">
        <v>27</v>
      </c>
      <c r="G1483">
        <v>76</v>
      </c>
      <c r="H1483">
        <v>69</v>
      </c>
      <c r="I1483" t="s">
        <v>6428</v>
      </c>
      <c r="J1483">
        <v>73</v>
      </c>
      <c r="K1483">
        <v>217</v>
      </c>
      <c r="L1483" t="s">
        <v>5781</v>
      </c>
      <c r="M1483" s="6" t="s">
        <v>6558</v>
      </c>
      <c r="N1483" s="6" t="s">
        <v>6614</v>
      </c>
      <c r="O1483" s="6">
        <v>76</v>
      </c>
      <c r="P1483" s="6">
        <v>70</v>
      </c>
      <c r="Q1483" s="6">
        <v>75</v>
      </c>
      <c r="R1483" s="6">
        <v>59</v>
      </c>
      <c r="S1483" s="6">
        <v>87</v>
      </c>
      <c r="T1483" s="6">
        <v>76</v>
      </c>
      <c r="U1483" s="6">
        <v>76</v>
      </c>
      <c r="V1483" s="6">
        <v>85</v>
      </c>
      <c r="W1483" s="6">
        <v>67</v>
      </c>
      <c r="X1483" s="6">
        <v>71</v>
      </c>
      <c r="Y1483" s="6">
        <v>88</v>
      </c>
      <c r="Z1483" s="6">
        <v>82</v>
      </c>
      <c r="AA1483" s="6">
        <v>69</v>
      </c>
      <c r="AB1483" s="6">
        <v>80</v>
      </c>
      <c r="AC1483" s="6">
        <v>75</v>
      </c>
      <c r="AD1483" s="6">
        <v>70</v>
      </c>
      <c r="AE1483" s="6">
        <v>76</v>
      </c>
      <c r="AF1483" s="6">
        <v>78</v>
      </c>
      <c r="AG1483" s="6" t="s">
        <v>7818</v>
      </c>
      <c r="AH1483" s="6" t="s">
        <v>6658</v>
      </c>
    </row>
    <row r="1484" spans="1:34" x14ac:dyDescent="0.2">
      <c r="A1484" t="s">
        <v>4090</v>
      </c>
      <c r="B1484" t="s">
        <v>2354</v>
      </c>
      <c r="C1484" t="s">
        <v>57</v>
      </c>
      <c r="D1484" s="7" t="s">
        <v>25</v>
      </c>
      <c r="E1484" t="s">
        <v>38</v>
      </c>
      <c r="F1484">
        <v>23</v>
      </c>
      <c r="G1484">
        <v>67</v>
      </c>
      <c r="H1484">
        <v>69</v>
      </c>
      <c r="I1484" t="s">
        <v>6315</v>
      </c>
      <c r="J1484">
        <v>71</v>
      </c>
      <c r="K1484">
        <v>201</v>
      </c>
      <c r="L1484" t="s">
        <v>5784</v>
      </c>
      <c r="M1484" s="6" t="s">
        <v>6558</v>
      </c>
      <c r="N1484" s="6" t="s">
        <v>6614</v>
      </c>
      <c r="O1484" s="6">
        <v>68</v>
      </c>
      <c r="P1484" s="6">
        <v>67</v>
      </c>
      <c r="Q1484" s="6">
        <v>67</v>
      </c>
      <c r="R1484" s="6">
        <v>61</v>
      </c>
      <c r="S1484" s="6">
        <v>80</v>
      </c>
      <c r="T1484" s="6">
        <v>58</v>
      </c>
      <c r="U1484" s="6">
        <v>76</v>
      </c>
      <c r="V1484" s="6">
        <v>69</v>
      </c>
      <c r="W1484" s="6">
        <v>72</v>
      </c>
      <c r="X1484" s="6">
        <v>63</v>
      </c>
      <c r="Y1484" s="6">
        <v>69</v>
      </c>
      <c r="Z1484" s="6">
        <v>73</v>
      </c>
      <c r="AA1484" s="6">
        <v>67</v>
      </c>
      <c r="AB1484" s="6">
        <v>67</v>
      </c>
      <c r="AC1484" s="6">
        <v>69</v>
      </c>
      <c r="AD1484" s="6">
        <v>65</v>
      </c>
      <c r="AE1484" s="6">
        <v>72</v>
      </c>
      <c r="AF1484" s="6">
        <v>60</v>
      </c>
      <c r="AG1484" s="6" t="s">
        <v>7821</v>
      </c>
      <c r="AH1484" s="6" t="s">
        <v>6782</v>
      </c>
    </row>
    <row r="1485" spans="1:34" x14ac:dyDescent="0.2">
      <c r="A1485" t="s">
        <v>4093</v>
      </c>
      <c r="B1485" t="s">
        <v>2357</v>
      </c>
      <c r="C1485" t="s">
        <v>2871</v>
      </c>
      <c r="D1485" s="7" t="s">
        <v>25</v>
      </c>
      <c r="E1485" t="s">
        <v>58</v>
      </c>
      <c r="F1485">
        <v>26</v>
      </c>
      <c r="G1485">
        <v>69</v>
      </c>
      <c r="H1485">
        <v>69</v>
      </c>
      <c r="I1485" t="s">
        <v>6382</v>
      </c>
      <c r="J1485">
        <v>76</v>
      </c>
      <c r="K1485">
        <v>263</v>
      </c>
      <c r="L1485" t="s">
        <v>5787</v>
      </c>
      <c r="M1485" s="6" t="s">
        <v>6558</v>
      </c>
      <c r="N1485" s="6" t="s">
        <v>6565</v>
      </c>
      <c r="O1485" s="6">
        <v>75</v>
      </c>
      <c r="P1485" s="6">
        <v>68</v>
      </c>
      <c r="Q1485" s="6">
        <v>67</v>
      </c>
      <c r="R1485" s="6">
        <v>75</v>
      </c>
      <c r="S1485" s="6">
        <v>71</v>
      </c>
      <c r="T1485" s="6">
        <v>73</v>
      </c>
      <c r="U1485" s="6">
        <v>70</v>
      </c>
      <c r="V1485" s="6">
        <v>65</v>
      </c>
      <c r="W1485" s="6">
        <v>61</v>
      </c>
      <c r="X1485" s="6">
        <v>69</v>
      </c>
      <c r="Y1485" s="6">
        <v>75</v>
      </c>
      <c r="Z1485" s="6">
        <v>72</v>
      </c>
      <c r="AA1485" s="6">
        <v>70</v>
      </c>
      <c r="AB1485" s="6">
        <v>75</v>
      </c>
      <c r="AC1485" s="6">
        <v>74</v>
      </c>
      <c r="AD1485" s="6">
        <v>61</v>
      </c>
      <c r="AE1485" s="6">
        <v>64</v>
      </c>
      <c r="AF1485" s="6">
        <v>69</v>
      </c>
      <c r="AG1485" s="6" t="s">
        <v>7824</v>
      </c>
      <c r="AH1485" s="6" t="s">
        <v>6587</v>
      </c>
    </row>
    <row r="1486" spans="1:34" x14ac:dyDescent="0.2">
      <c r="A1486" t="s">
        <v>4095</v>
      </c>
      <c r="B1486" t="s">
        <v>2359</v>
      </c>
      <c r="C1486" t="s">
        <v>2872</v>
      </c>
      <c r="D1486" s="7" t="s">
        <v>25</v>
      </c>
      <c r="E1486" t="s">
        <v>58</v>
      </c>
      <c r="F1486">
        <v>32</v>
      </c>
      <c r="G1486">
        <v>70</v>
      </c>
      <c r="H1486">
        <v>69</v>
      </c>
      <c r="I1486" t="s">
        <v>8333</v>
      </c>
      <c r="J1486">
        <v>78</v>
      </c>
      <c r="K1486">
        <v>335</v>
      </c>
      <c r="L1486" t="s">
        <v>5789</v>
      </c>
      <c r="M1486" s="6" t="s">
        <v>6558</v>
      </c>
      <c r="N1486" s="6" t="s">
        <v>6567</v>
      </c>
      <c r="O1486" s="6">
        <v>75</v>
      </c>
      <c r="P1486" s="6">
        <v>70</v>
      </c>
      <c r="Q1486" s="6">
        <v>60</v>
      </c>
      <c r="R1486" s="6">
        <v>69</v>
      </c>
      <c r="S1486" s="6">
        <v>72</v>
      </c>
      <c r="T1486" s="6">
        <v>70</v>
      </c>
      <c r="U1486" s="6">
        <v>72</v>
      </c>
      <c r="V1486" s="6">
        <v>69</v>
      </c>
      <c r="W1486" s="6">
        <v>67</v>
      </c>
      <c r="X1486" s="6">
        <v>77</v>
      </c>
      <c r="Y1486" s="6">
        <v>78</v>
      </c>
      <c r="Z1486" s="6">
        <v>61</v>
      </c>
      <c r="AA1486" s="6">
        <v>61</v>
      </c>
      <c r="AB1486" s="6">
        <v>67</v>
      </c>
      <c r="AC1486" s="6">
        <v>58</v>
      </c>
      <c r="AD1486" s="6">
        <v>62</v>
      </c>
      <c r="AE1486" s="6">
        <v>61</v>
      </c>
      <c r="AF1486" s="6">
        <v>65</v>
      </c>
      <c r="AG1486" s="6" t="s">
        <v>7826</v>
      </c>
      <c r="AH1486" s="6" t="s">
        <v>6593</v>
      </c>
    </row>
    <row r="1487" spans="1:34" x14ac:dyDescent="0.2">
      <c r="A1487" t="s">
        <v>4105</v>
      </c>
      <c r="B1487" t="s">
        <v>2369</v>
      </c>
      <c r="C1487" t="s">
        <v>2879</v>
      </c>
      <c r="D1487" s="7" t="s">
        <v>25</v>
      </c>
      <c r="E1487" t="s">
        <v>38</v>
      </c>
      <c r="F1487">
        <v>29</v>
      </c>
      <c r="G1487">
        <v>86</v>
      </c>
      <c r="H1487">
        <v>69</v>
      </c>
      <c r="I1487" t="s">
        <v>6350</v>
      </c>
      <c r="J1487">
        <v>73</v>
      </c>
      <c r="K1487">
        <v>318</v>
      </c>
      <c r="L1487" t="s">
        <v>5799</v>
      </c>
      <c r="M1487" s="6" t="s">
        <v>6558</v>
      </c>
      <c r="N1487" s="6" t="s">
        <v>6583</v>
      </c>
      <c r="O1487" s="6">
        <v>89</v>
      </c>
      <c r="P1487" s="6">
        <v>87</v>
      </c>
      <c r="Q1487" s="6">
        <v>87</v>
      </c>
      <c r="R1487" s="6">
        <v>79</v>
      </c>
      <c r="S1487" s="6">
        <v>85</v>
      </c>
      <c r="T1487" s="6">
        <v>73</v>
      </c>
      <c r="U1487" s="6">
        <v>93</v>
      </c>
      <c r="V1487" s="6">
        <v>78</v>
      </c>
      <c r="W1487" s="6">
        <v>86</v>
      </c>
      <c r="X1487" s="6">
        <v>74</v>
      </c>
      <c r="Y1487" s="6">
        <v>86</v>
      </c>
      <c r="Z1487" s="6">
        <v>82</v>
      </c>
      <c r="AA1487" s="6">
        <v>79</v>
      </c>
      <c r="AB1487" s="6">
        <v>80</v>
      </c>
      <c r="AC1487" s="6">
        <v>77</v>
      </c>
      <c r="AD1487" s="6">
        <v>76</v>
      </c>
      <c r="AE1487" s="6">
        <v>76</v>
      </c>
      <c r="AF1487" s="6">
        <v>73</v>
      </c>
      <c r="AG1487" s="6" t="s">
        <v>7836</v>
      </c>
      <c r="AH1487" s="6" t="s">
        <v>6861</v>
      </c>
    </row>
    <row r="1488" spans="1:34" x14ac:dyDescent="0.2">
      <c r="A1488" t="s">
        <v>4112</v>
      </c>
      <c r="B1488" t="s">
        <v>2376</v>
      </c>
      <c r="C1488" t="s">
        <v>61</v>
      </c>
      <c r="D1488" s="7" t="s">
        <v>25</v>
      </c>
      <c r="E1488" t="s">
        <v>38</v>
      </c>
      <c r="F1488">
        <v>28</v>
      </c>
      <c r="G1488">
        <v>86</v>
      </c>
      <c r="H1488">
        <v>69</v>
      </c>
      <c r="I1488" t="s">
        <v>6374</v>
      </c>
      <c r="J1488">
        <v>71</v>
      </c>
      <c r="K1488">
        <v>182</v>
      </c>
      <c r="L1488" t="s">
        <v>5806</v>
      </c>
      <c r="M1488" s="6" t="s">
        <v>6558</v>
      </c>
      <c r="N1488" s="6" t="s">
        <v>6559</v>
      </c>
      <c r="O1488" s="6">
        <v>81</v>
      </c>
      <c r="P1488" s="6">
        <v>76</v>
      </c>
      <c r="Q1488" s="6">
        <v>84</v>
      </c>
      <c r="R1488" s="6">
        <v>83</v>
      </c>
      <c r="S1488" s="6">
        <v>85</v>
      </c>
      <c r="T1488" s="6">
        <v>77</v>
      </c>
      <c r="U1488" s="6">
        <v>72</v>
      </c>
      <c r="V1488" s="6">
        <v>82</v>
      </c>
      <c r="W1488" s="6">
        <v>86</v>
      </c>
      <c r="X1488" s="6">
        <v>85</v>
      </c>
      <c r="Y1488" s="6">
        <v>82</v>
      </c>
      <c r="Z1488" s="6">
        <v>89</v>
      </c>
      <c r="AA1488" s="6">
        <v>82</v>
      </c>
      <c r="AB1488" s="6">
        <v>74</v>
      </c>
      <c r="AC1488" s="6">
        <v>79</v>
      </c>
      <c r="AD1488" s="6">
        <v>78</v>
      </c>
      <c r="AE1488" s="6">
        <v>82</v>
      </c>
      <c r="AF1488" s="6">
        <v>71</v>
      </c>
      <c r="AG1488" s="6" t="s">
        <v>7844</v>
      </c>
      <c r="AH1488" s="6" t="s">
        <v>6632</v>
      </c>
    </row>
    <row r="1489" spans="1:34" x14ac:dyDescent="0.2">
      <c r="A1489" t="s">
        <v>4115</v>
      </c>
      <c r="B1489" t="s">
        <v>2379</v>
      </c>
      <c r="C1489" t="s">
        <v>61</v>
      </c>
      <c r="D1489" s="7" t="s">
        <v>25</v>
      </c>
      <c r="E1489" t="s">
        <v>58</v>
      </c>
      <c r="F1489">
        <v>23</v>
      </c>
      <c r="G1489">
        <v>70</v>
      </c>
      <c r="H1489">
        <v>69</v>
      </c>
      <c r="I1489" t="s">
        <v>6392</v>
      </c>
      <c r="J1489">
        <v>70</v>
      </c>
      <c r="K1489">
        <v>200</v>
      </c>
      <c r="L1489" t="s">
        <v>5809</v>
      </c>
      <c r="M1489" s="6" t="s">
        <v>6558</v>
      </c>
      <c r="N1489" s="6" t="s">
        <v>6614</v>
      </c>
      <c r="O1489" s="6">
        <v>75</v>
      </c>
      <c r="P1489" s="6">
        <v>63</v>
      </c>
      <c r="Q1489" s="6">
        <v>69</v>
      </c>
      <c r="R1489" s="6">
        <v>56</v>
      </c>
      <c r="S1489" s="6">
        <v>85</v>
      </c>
      <c r="T1489" s="6">
        <v>67</v>
      </c>
      <c r="U1489" s="6">
        <v>80</v>
      </c>
      <c r="V1489" s="6">
        <v>71</v>
      </c>
      <c r="W1489" s="6">
        <v>69</v>
      </c>
      <c r="X1489" s="6">
        <v>78</v>
      </c>
      <c r="Y1489" s="6">
        <v>66</v>
      </c>
      <c r="Z1489" s="6">
        <v>71</v>
      </c>
      <c r="AA1489" s="6">
        <v>66</v>
      </c>
      <c r="AB1489" s="6">
        <v>74</v>
      </c>
      <c r="AC1489" s="6">
        <v>72</v>
      </c>
      <c r="AD1489" s="6">
        <v>76</v>
      </c>
      <c r="AE1489" s="6">
        <v>66</v>
      </c>
      <c r="AF1489" s="6">
        <v>74</v>
      </c>
      <c r="AG1489" s="6" t="s">
        <v>7847</v>
      </c>
      <c r="AH1489" s="6" t="s">
        <v>6630</v>
      </c>
    </row>
    <row r="1490" spans="1:34" x14ac:dyDescent="0.2">
      <c r="A1490" t="s">
        <v>4131</v>
      </c>
      <c r="B1490" t="s">
        <v>2395</v>
      </c>
      <c r="C1490" t="s">
        <v>2870</v>
      </c>
      <c r="D1490" s="7" t="s">
        <v>150</v>
      </c>
      <c r="E1490" t="s">
        <v>38</v>
      </c>
      <c r="F1490">
        <v>24</v>
      </c>
      <c r="G1490">
        <v>66</v>
      </c>
      <c r="H1490">
        <v>69</v>
      </c>
      <c r="I1490" t="s">
        <v>6466</v>
      </c>
      <c r="J1490">
        <v>69</v>
      </c>
      <c r="K1490">
        <v>218</v>
      </c>
      <c r="L1490" t="s">
        <v>5825</v>
      </c>
      <c r="M1490" s="6" t="s">
        <v>6558</v>
      </c>
      <c r="N1490" s="6" t="s">
        <v>6614</v>
      </c>
      <c r="O1490" s="6">
        <v>72</v>
      </c>
      <c r="P1490" s="6">
        <v>50</v>
      </c>
      <c r="Q1490" s="6">
        <v>65</v>
      </c>
      <c r="R1490" s="6">
        <v>61</v>
      </c>
      <c r="S1490" s="6">
        <v>68</v>
      </c>
      <c r="T1490" s="6">
        <v>67</v>
      </c>
      <c r="U1490" s="6">
        <v>68</v>
      </c>
      <c r="V1490" s="6">
        <v>71</v>
      </c>
      <c r="W1490" s="6">
        <v>75</v>
      </c>
      <c r="X1490" s="6">
        <v>64</v>
      </c>
      <c r="Y1490" s="6">
        <v>72</v>
      </c>
      <c r="Z1490" s="6">
        <v>75</v>
      </c>
      <c r="AA1490" s="6">
        <v>68</v>
      </c>
      <c r="AB1490" s="6">
        <v>67</v>
      </c>
      <c r="AC1490" s="6">
        <v>65</v>
      </c>
      <c r="AD1490" s="6">
        <v>72</v>
      </c>
      <c r="AE1490" s="6">
        <v>63</v>
      </c>
      <c r="AF1490" s="6">
        <v>64</v>
      </c>
      <c r="AG1490" s="6" t="s">
        <v>7862</v>
      </c>
      <c r="AH1490" s="6" t="s">
        <v>6721</v>
      </c>
    </row>
    <row r="1491" spans="1:34" x14ac:dyDescent="0.2">
      <c r="A1491" t="s">
        <v>4134</v>
      </c>
      <c r="B1491" t="s">
        <v>2398</v>
      </c>
      <c r="C1491" t="s">
        <v>57</v>
      </c>
      <c r="D1491" s="7" t="s">
        <v>150</v>
      </c>
      <c r="E1491" t="s">
        <v>38</v>
      </c>
      <c r="F1491">
        <v>25</v>
      </c>
      <c r="G1491">
        <v>72</v>
      </c>
      <c r="H1491">
        <v>69</v>
      </c>
      <c r="I1491" t="s">
        <v>6408</v>
      </c>
      <c r="J1491">
        <v>72</v>
      </c>
      <c r="K1491">
        <v>205</v>
      </c>
      <c r="L1491" t="s">
        <v>5828</v>
      </c>
      <c r="M1491" s="6" t="s">
        <v>6558</v>
      </c>
      <c r="N1491" s="6" t="s">
        <v>6567</v>
      </c>
      <c r="O1491" s="6">
        <v>83</v>
      </c>
      <c r="P1491" s="6">
        <v>69</v>
      </c>
      <c r="Q1491" s="6">
        <v>72</v>
      </c>
      <c r="R1491" s="6">
        <v>63</v>
      </c>
      <c r="S1491" s="6">
        <v>70</v>
      </c>
      <c r="T1491" s="6">
        <v>75</v>
      </c>
      <c r="U1491" s="6">
        <v>70</v>
      </c>
      <c r="V1491" s="6">
        <v>77</v>
      </c>
      <c r="W1491" s="6">
        <v>82</v>
      </c>
      <c r="X1491" s="6">
        <v>74</v>
      </c>
      <c r="Y1491" s="6">
        <v>81</v>
      </c>
      <c r="Z1491" s="6">
        <v>72</v>
      </c>
      <c r="AA1491" s="6">
        <v>71</v>
      </c>
      <c r="AB1491" s="6">
        <v>70</v>
      </c>
      <c r="AC1491" s="6">
        <v>72</v>
      </c>
      <c r="AD1491" s="6">
        <v>69</v>
      </c>
      <c r="AE1491" s="6">
        <v>68</v>
      </c>
      <c r="AF1491" s="6">
        <v>75</v>
      </c>
      <c r="AG1491" s="6" t="s">
        <v>7865</v>
      </c>
      <c r="AH1491" s="6" t="s">
        <v>6661</v>
      </c>
    </row>
    <row r="1492" spans="1:34" x14ac:dyDescent="0.2">
      <c r="A1492" t="s">
        <v>4135</v>
      </c>
      <c r="B1492" t="s">
        <v>2399</v>
      </c>
      <c r="C1492" t="s">
        <v>57</v>
      </c>
      <c r="D1492" s="7" t="s">
        <v>150</v>
      </c>
      <c r="E1492" t="s">
        <v>58</v>
      </c>
      <c r="F1492">
        <v>24</v>
      </c>
      <c r="G1492">
        <v>71</v>
      </c>
      <c r="H1492">
        <v>69</v>
      </c>
      <c r="I1492" t="s">
        <v>6311</v>
      </c>
      <c r="J1492">
        <v>69</v>
      </c>
      <c r="K1492">
        <v>211</v>
      </c>
      <c r="L1492" t="s">
        <v>5829</v>
      </c>
      <c r="M1492" s="6" t="s">
        <v>6558</v>
      </c>
      <c r="N1492" s="6" t="s">
        <v>6614</v>
      </c>
      <c r="O1492" s="6">
        <v>73</v>
      </c>
      <c r="P1492" s="6">
        <v>68</v>
      </c>
      <c r="Q1492" s="6">
        <v>70</v>
      </c>
      <c r="R1492" s="6">
        <v>61</v>
      </c>
      <c r="S1492" s="6">
        <v>72</v>
      </c>
      <c r="T1492" s="6">
        <v>66</v>
      </c>
      <c r="U1492" s="6">
        <v>76</v>
      </c>
      <c r="V1492" s="6">
        <v>72</v>
      </c>
      <c r="W1492" s="6">
        <v>80</v>
      </c>
      <c r="X1492" s="6">
        <v>72</v>
      </c>
      <c r="Y1492" s="6">
        <v>71</v>
      </c>
      <c r="Z1492" s="6">
        <v>70</v>
      </c>
      <c r="AA1492" s="6">
        <v>70</v>
      </c>
      <c r="AB1492" s="6">
        <v>68</v>
      </c>
      <c r="AC1492" s="6">
        <v>70</v>
      </c>
      <c r="AD1492" s="6">
        <v>81</v>
      </c>
      <c r="AE1492" s="6">
        <v>70</v>
      </c>
      <c r="AF1492" s="6">
        <v>79</v>
      </c>
      <c r="AG1492" s="6" t="s">
        <v>7866</v>
      </c>
      <c r="AH1492" s="6" t="s">
        <v>6581</v>
      </c>
    </row>
    <row r="1493" spans="1:34" x14ac:dyDescent="0.2">
      <c r="A1493" t="s">
        <v>4143</v>
      </c>
      <c r="B1493" t="s">
        <v>2407</v>
      </c>
      <c r="C1493" t="s">
        <v>2874</v>
      </c>
      <c r="D1493" s="7" t="s">
        <v>150</v>
      </c>
      <c r="E1493" t="s">
        <v>58</v>
      </c>
      <c r="F1493">
        <v>24</v>
      </c>
      <c r="G1493">
        <v>84</v>
      </c>
      <c r="H1493">
        <v>69</v>
      </c>
      <c r="I1493" t="s">
        <v>6354</v>
      </c>
      <c r="J1493">
        <v>73</v>
      </c>
      <c r="K1493">
        <v>319</v>
      </c>
      <c r="L1493" t="s">
        <v>5837</v>
      </c>
      <c r="M1493" s="6" t="s">
        <v>6558</v>
      </c>
      <c r="N1493" s="6" t="s">
        <v>6565</v>
      </c>
      <c r="O1493" s="6">
        <v>74</v>
      </c>
      <c r="P1493" s="6">
        <v>71</v>
      </c>
      <c r="Q1493" s="6">
        <v>64</v>
      </c>
      <c r="R1493" s="6">
        <v>73</v>
      </c>
      <c r="S1493" s="6">
        <v>62</v>
      </c>
      <c r="T1493" s="6">
        <v>67</v>
      </c>
      <c r="U1493" s="6">
        <v>80</v>
      </c>
      <c r="V1493" s="6">
        <v>75</v>
      </c>
      <c r="W1493" s="6">
        <v>71</v>
      </c>
      <c r="X1493" s="6">
        <v>74</v>
      </c>
      <c r="Y1493" s="6">
        <v>79</v>
      </c>
      <c r="Z1493" s="6">
        <v>71</v>
      </c>
      <c r="AA1493" s="6">
        <v>73</v>
      </c>
      <c r="AB1493" s="6">
        <v>69</v>
      </c>
      <c r="AC1493" s="6">
        <v>63</v>
      </c>
      <c r="AD1493" s="6">
        <v>60</v>
      </c>
      <c r="AE1493" s="6">
        <v>68</v>
      </c>
      <c r="AF1493" s="6">
        <v>70</v>
      </c>
      <c r="AG1493" s="6" t="s">
        <v>7874</v>
      </c>
      <c r="AH1493" s="6" t="s">
        <v>6598</v>
      </c>
    </row>
    <row r="1494" spans="1:34" x14ac:dyDescent="0.2">
      <c r="A1494" t="s">
        <v>4146</v>
      </c>
      <c r="B1494" t="s">
        <v>2410</v>
      </c>
      <c r="C1494" t="s">
        <v>2874</v>
      </c>
      <c r="D1494" s="7" t="s">
        <v>150</v>
      </c>
      <c r="E1494" t="s">
        <v>38</v>
      </c>
      <c r="F1494">
        <v>22</v>
      </c>
      <c r="G1494">
        <v>67</v>
      </c>
      <c r="H1494">
        <v>69</v>
      </c>
      <c r="I1494" t="s">
        <v>6354</v>
      </c>
      <c r="J1494">
        <v>74</v>
      </c>
      <c r="K1494">
        <v>302</v>
      </c>
      <c r="L1494" t="s">
        <v>5840</v>
      </c>
      <c r="M1494" s="6" t="s">
        <v>6733</v>
      </c>
      <c r="N1494" s="6" t="s">
        <v>6614</v>
      </c>
      <c r="O1494" s="6">
        <v>74</v>
      </c>
      <c r="P1494" s="6">
        <v>65</v>
      </c>
      <c r="Q1494" s="6">
        <v>64</v>
      </c>
      <c r="R1494" s="6">
        <v>57</v>
      </c>
      <c r="S1494" s="6">
        <v>71</v>
      </c>
      <c r="T1494" s="6">
        <v>62</v>
      </c>
      <c r="U1494" s="6">
        <v>62</v>
      </c>
      <c r="V1494" s="6">
        <v>64</v>
      </c>
      <c r="W1494" s="6">
        <v>66</v>
      </c>
      <c r="X1494" s="6">
        <v>60</v>
      </c>
      <c r="Y1494" s="6">
        <v>64</v>
      </c>
      <c r="Z1494" s="6">
        <v>58</v>
      </c>
      <c r="AA1494" s="6">
        <v>65</v>
      </c>
      <c r="AB1494" s="6">
        <v>75</v>
      </c>
      <c r="AC1494" s="6">
        <v>71</v>
      </c>
      <c r="AD1494" s="6">
        <v>69</v>
      </c>
      <c r="AE1494" s="6">
        <v>66</v>
      </c>
      <c r="AF1494" s="6">
        <v>74</v>
      </c>
      <c r="AG1494" s="6" t="s">
        <v>7877</v>
      </c>
      <c r="AH1494" s="6" t="s">
        <v>6674</v>
      </c>
    </row>
    <row r="1495" spans="1:34" x14ac:dyDescent="0.2">
      <c r="A1495" t="s">
        <v>4147</v>
      </c>
      <c r="B1495" t="s">
        <v>2411</v>
      </c>
      <c r="C1495" t="s">
        <v>2887</v>
      </c>
      <c r="D1495" s="7" t="s">
        <v>150</v>
      </c>
      <c r="E1495" t="s">
        <v>38</v>
      </c>
      <c r="F1495">
        <v>33</v>
      </c>
      <c r="G1495">
        <v>69</v>
      </c>
      <c r="H1495">
        <v>69</v>
      </c>
      <c r="I1495" t="s">
        <v>6506</v>
      </c>
      <c r="J1495">
        <v>74</v>
      </c>
      <c r="K1495">
        <v>312</v>
      </c>
      <c r="L1495" t="s">
        <v>5841</v>
      </c>
      <c r="M1495" s="6" t="s">
        <v>6558</v>
      </c>
      <c r="N1495" s="6" t="s">
        <v>6567</v>
      </c>
      <c r="O1495" s="6">
        <v>78</v>
      </c>
      <c r="P1495" s="6">
        <v>67</v>
      </c>
      <c r="Q1495" s="6">
        <v>77</v>
      </c>
      <c r="R1495" s="6">
        <v>67</v>
      </c>
      <c r="S1495" s="6">
        <v>71</v>
      </c>
      <c r="T1495" s="6">
        <v>77</v>
      </c>
      <c r="U1495" s="6">
        <v>81</v>
      </c>
      <c r="V1495" s="6">
        <v>75</v>
      </c>
      <c r="W1495" s="6">
        <v>74</v>
      </c>
      <c r="X1495" s="6">
        <v>70</v>
      </c>
      <c r="Y1495" s="6">
        <v>80</v>
      </c>
      <c r="Z1495" s="6">
        <v>79</v>
      </c>
      <c r="AA1495" s="6">
        <v>65</v>
      </c>
      <c r="AB1495" s="6">
        <v>73</v>
      </c>
      <c r="AC1495" s="6">
        <v>66</v>
      </c>
      <c r="AD1495" s="6">
        <v>70</v>
      </c>
      <c r="AE1495" s="6">
        <v>59</v>
      </c>
      <c r="AF1495" s="6">
        <v>63</v>
      </c>
      <c r="AG1495" s="6" t="s">
        <v>7878</v>
      </c>
      <c r="AH1495" s="6" t="s">
        <v>6598</v>
      </c>
    </row>
    <row r="1496" spans="1:34" x14ac:dyDescent="0.2">
      <c r="A1496" t="s">
        <v>4148</v>
      </c>
      <c r="B1496" t="s">
        <v>2412</v>
      </c>
      <c r="C1496" t="s">
        <v>2875</v>
      </c>
      <c r="D1496" s="7" t="s">
        <v>150</v>
      </c>
      <c r="E1496" t="s">
        <v>38</v>
      </c>
      <c r="F1496">
        <v>33</v>
      </c>
      <c r="G1496">
        <v>81</v>
      </c>
      <c r="H1496">
        <v>69</v>
      </c>
      <c r="I1496" t="s">
        <v>6340</v>
      </c>
      <c r="J1496">
        <v>74</v>
      </c>
      <c r="K1496">
        <v>297</v>
      </c>
      <c r="L1496" t="s">
        <v>5842</v>
      </c>
      <c r="M1496" s="6" t="s">
        <v>6558</v>
      </c>
      <c r="N1496" s="6" t="s">
        <v>6562</v>
      </c>
      <c r="O1496" s="6">
        <v>91</v>
      </c>
      <c r="P1496" s="6">
        <v>82</v>
      </c>
      <c r="Q1496" s="6">
        <v>78</v>
      </c>
      <c r="R1496" s="6">
        <v>88</v>
      </c>
      <c r="S1496" s="6">
        <v>77</v>
      </c>
      <c r="T1496" s="6">
        <v>81</v>
      </c>
      <c r="U1496" s="6">
        <v>82</v>
      </c>
      <c r="V1496" s="6">
        <v>78</v>
      </c>
      <c r="W1496" s="6">
        <v>83</v>
      </c>
      <c r="X1496" s="6">
        <v>82</v>
      </c>
      <c r="Y1496" s="6">
        <v>85</v>
      </c>
      <c r="Z1496" s="6">
        <v>75</v>
      </c>
      <c r="AA1496" s="6">
        <v>71</v>
      </c>
      <c r="AB1496" s="6">
        <v>67</v>
      </c>
      <c r="AC1496" s="6">
        <v>64</v>
      </c>
      <c r="AD1496" s="6">
        <v>59</v>
      </c>
      <c r="AE1496" s="6">
        <v>63</v>
      </c>
      <c r="AF1496" s="6">
        <v>67</v>
      </c>
      <c r="AG1496" s="6" t="s">
        <v>7879</v>
      </c>
      <c r="AH1496" s="6" t="s">
        <v>6606</v>
      </c>
    </row>
    <row r="1497" spans="1:34" x14ac:dyDescent="0.2">
      <c r="A1497" t="s">
        <v>4153</v>
      </c>
      <c r="B1497" t="s">
        <v>2417</v>
      </c>
      <c r="C1497" t="s">
        <v>2878</v>
      </c>
      <c r="D1497" s="7" t="s">
        <v>150</v>
      </c>
      <c r="E1497" t="s">
        <v>58</v>
      </c>
      <c r="F1497">
        <v>31</v>
      </c>
      <c r="G1497">
        <v>75</v>
      </c>
      <c r="H1497">
        <v>69</v>
      </c>
      <c r="I1497" t="s">
        <v>6466</v>
      </c>
      <c r="J1497">
        <v>76</v>
      </c>
      <c r="K1497">
        <v>271</v>
      </c>
      <c r="L1497" t="s">
        <v>5847</v>
      </c>
      <c r="M1497" s="6" t="s">
        <v>6558</v>
      </c>
      <c r="N1497" s="6" t="s">
        <v>6565</v>
      </c>
      <c r="O1497" s="6">
        <v>72</v>
      </c>
      <c r="P1497" s="6">
        <v>72</v>
      </c>
      <c r="Q1497" s="6">
        <v>81</v>
      </c>
      <c r="R1497" s="6">
        <v>75</v>
      </c>
      <c r="S1497" s="6">
        <v>86</v>
      </c>
      <c r="T1497" s="6">
        <v>69</v>
      </c>
      <c r="U1497" s="6">
        <v>72</v>
      </c>
      <c r="V1497" s="6">
        <v>82</v>
      </c>
      <c r="W1497" s="6">
        <v>83</v>
      </c>
      <c r="X1497" s="6">
        <v>70</v>
      </c>
      <c r="Y1497" s="6">
        <v>75</v>
      </c>
      <c r="Z1497" s="6">
        <v>73</v>
      </c>
      <c r="AA1497" s="6">
        <v>70</v>
      </c>
      <c r="AB1497" s="6">
        <v>73</v>
      </c>
      <c r="AC1497" s="6">
        <v>62</v>
      </c>
      <c r="AD1497" s="6">
        <v>64</v>
      </c>
      <c r="AE1497" s="6">
        <v>65</v>
      </c>
      <c r="AF1497" s="6">
        <v>62</v>
      </c>
      <c r="AG1497" s="6" t="s">
        <v>7884</v>
      </c>
      <c r="AH1497" s="6" t="s">
        <v>6682</v>
      </c>
    </row>
    <row r="1498" spans="1:34" x14ac:dyDescent="0.2">
      <c r="A1498" t="s">
        <v>4155</v>
      </c>
      <c r="B1498" t="s">
        <v>2419</v>
      </c>
      <c r="C1498" t="s">
        <v>2878</v>
      </c>
      <c r="D1498" s="7" t="s">
        <v>150</v>
      </c>
      <c r="E1498" t="s">
        <v>38</v>
      </c>
      <c r="F1498">
        <v>26</v>
      </c>
      <c r="G1498">
        <v>71</v>
      </c>
      <c r="H1498">
        <v>69</v>
      </c>
      <c r="I1498" t="s">
        <v>6382</v>
      </c>
      <c r="J1498">
        <v>75</v>
      </c>
      <c r="K1498">
        <v>258</v>
      </c>
      <c r="L1498" t="s">
        <v>5849</v>
      </c>
      <c r="M1498" s="6" t="s">
        <v>6558</v>
      </c>
      <c r="N1498" s="6" t="s">
        <v>6567</v>
      </c>
      <c r="O1498" s="6">
        <v>70</v>
      </c>
      <c r="P1498" s="6">
        <v>74</v>
      </c>
      <c r="Q1498" s="6">
        <v>64</v>
      </c>
      <c r="R1498" s="6">
        <v>68</v>
      </c>
      <c r="S1498" s="6">
        <v>87</v>
      </c>
      <c r="T1498" s="6">
        <v>69</v>
      </c>
      <c r="U1498" s="6">
        <v>72</v>
      </c>
      <c r="V1498" s="6">
        <v>73</v>
      </c>
      <c r="W1498" s="6">
        <v>76</v>
      </c>
      <c r="X1498" s="6">
        <v>76</v>
      </c>
      <c r="Y1498" s="6">
        <v>67</v>
      </c>
      <c r="Z1498" s="6">
        <v>74</v>
      </c>
      <c r="AA1498" s="6">
        <v>73</v>
      </c>
      <c r="AB1498" s="6">
        <v>68</v>
      </c>
      <c r="AC1498" s="6">
        <v>69</v>
      </c>
      <c r="AD1498" s="6">
        <v>71</v>
      </c>
      <c r="AE1498" s="6">
        <v>68</v>
      </c>
      <c r="AF1498" s="6">
        <v>70</v>
      </c>
      <c r="AG1498" s="6" t="s">
        <v>7886</v>
      </c>
      <c r="AH1498" s="6" t="s">
        <v>6686</v>
      </c>
    </row>
    <row r="1499" spans="1:34" x14ac:dyDescent="0.2">
      <c r="A1499" t="s">
        <v>4161</v>
      </c>
      <c r="B1499" t="s">
        <v>2425</v>
      </c>
      <c r="C1499" t="s">
        <v>61</v>
      </c>
      <c r="D1499" s="7" t="s">
        <v>150</v>
      </c>
      <c r="E1499" t="s">
        <v>38</v>
      </c>
      <c r="F1499">
        <v>29</v>
      </c>
      <c r="G1499">
        <v>82</v>
      </c>
      <c r="H1499">
        <v>69</v>
      </c>
      <c r="I1499" t="s">
        <v>6387</v>
      </c>
      <c r="J1499">
        <v>73</v>
      </c>
      <c r="K1499">
        <v>207</v>
      </c>
      <c r="L1499" t="s">
        <v>5855</v>
      </c>
      <c r="M1499" s="6" t="s">
        <v>6558</v>
      </c>
      <c r="N1499" s="6" t="s">
        <v>6565</v>
      </c>
      <c r="O1499" s="6">
        <v>77</v>
      </c>
      <c r="P1499" s="6">
        <v>86</v>
      </c>
      <c r="Q1499" s="6">
        <v>80</v>
      </c>
      <c r="R1499" s="6">
        <v>70</v>
      </c>
      <c r="S1499" s="6">
        <v>85</v>
      </c>
      <c r="T1499" s="6">
        <v>72</v>
      </c>
      <c r="U1499" s="6">
        <v>71</v>
      </c>
      <c r="V1499" s="6">
        <v>84</v>
      </c>
      <c r="W1499" s="6">
        <v>68</v>
      </c>
      <c r="X1499" s="6">
        <v>71</v>
      </c>
      <c r="Y1499" s="6">
        <v>72</v>
      </c>
      <c r="Z1499" s="6">
        <v>81</v>
      </c>
      <c r="AA1499" s="6">
        <v>76</v>
      </c>
      <c r="AB1499" s="6">
        <v>74</v>
      </c>
      <c r="AC1499" s="6">
        <v>75</v>
      </c>
      <c r="AD1499" s="6">
        <v>71</v>
      </c>
      <c r="AE1499" s="6">
        <v>71</v>
      </c>
      <c r="AF1499" s="6">
        <v>76</v>
      </c>
      <c r="AG1499" s="6" t="s">
        <v>7892</v>
      </c>
      <c r="AH1499" s="6" t="s">
        <v>6694</v>
      </c>
    </row>
    <row r="1500" spans="1:34" x14ac:dyDescent="0.2">
      <c r="A1500" t="s">
        <v>4166</v>
      </c>
      <c r="B1500" t="s">
        <v>2430</v>
      </c>
      <c r="C1500" t="s">
        <v>61</v>
      </c>
      <c r="D1500" s="7" t="s">
        <v>150</v>
      </c>
      <c r="E1500" t="s">
        <v>38</v>
      </c>
      <c r="F1500">
        <v>25</v>
      </c>
      <c r="G1500">
        <v>62</v>
      </c>
      <c r="H1500">
        <v>69</v>
      </c>
      <c r="I1500" t="s">
        <v>6380</v>
      </c>
      <c r="J1500">
        <v>71</v>
      </c>
      <c r="K1500">
        <v>180</v>
      </c>
      <c r="L1500" t="s">
        <v>5860</v>
      </c>
      <c r="M1500" s="6" t="s">
        <v>6558</v>
      </c>
      <c r="N1500" s="6" t="s">
        <v>6567</v>
      </c>
      <c r="O1500" s="6">
        <v>78</v>
      </c>
      <c r="P1500" s="6">
        <v>63</v>
      </c>
      <c r="Q1500" s="6">
        <v>70</v>
      </c>
      <c r="R1500" s="6">
        <v>64</v>
      </c>
      <c r="S1500" s="6">
        <v>75</v>
      </c>
      <c r="T1500" s="6">
        <v>70</v>
      </c>
      <c r="U1500" s="6">
        <v>68</v>
      </c>
      <c r="V1500" s="6">
        <v>69</v>
      </c>
      <c r="W1500" s="6">
        <v>72</v>
      </c>
      <c r="X1500" s="6">
        <v>70</v>
      </c>
      <c r="Y1500" s="6">
        <v>74</v>
      </c>
      <c r="Z1500" s="6">
        <v>63</v>
      </c>
      <c r="AA1500" s="6">
        <v>68</v>
      </c>
      <c r="AB1500" s="6">
        <v>64</v>
      </c>
      <c r="AC1500" s="6">
        <v>66</v>
      </c>
      <c r="AD1500" s="6">
        <v>71</v>
      </c>
      <c r="AE1500" s="6">
        <v>68</v>
      </c>
      <c r="AF1500" s="6">
        <v>69</v>
      </c>
      <c r="AG1500" s="6" t="s">
        <v>7897</v>
      </c>
      <c r="AH1500" s="6" t="s">
        <v>6630</v>
      </c>
    </row>
    <row r="1501" spans="1:34" x14ac:dyDescent="0.2">
      <c r="A1501" t="s">
        <v>4174</v>
      </c>
      <c r="B1501" t="s">
        <v>2438</v>
      </c>
      <c r="C1501" t="s">
        <v>2885</v>
      </c>
      <c r="D1501" s="7" t="s">
        <v>150</v>
      </c>
      <c r="E1501" t="s">
        <v>38</v>
      </c>
      <c r="F1501">
        <v>23</v>
      </c>
      <c r="G1501">
        <v>86</v>
      </c>
      <c r="H1501">
        <v>69</v>
      </c>
      <c r="I1501" t="s">
        <v>6456</v>
      </c>
      <c r="J1501">
        <v>73</v>
      </c>
      <c r="K1501">
        <v>230</v>
      </c>
      <c r="L1501" t="s">
        <v>5868</v>
      </c>
      <c r="M1501" s="6" t="s">
        <v>6558</v>
      </c>
      <c r="N1501" s="6" t="s">
        <v>6567</v>
      </c>
      <c r="O1501" s="6">
        <v>60</v>
      </c>
      <c r="P1501" s="6">
        <v>70</v>
      </c>
      <c r="Q1501" s="6">
        <v>72</v>
      </c>
      <c r="R1501" s="6">
        <v>65</v>
      </c>
      <c r="S1501" s="6">
        <v>77</v>
      </c>
      <c r="T1501" s="6">
        <v>74</v>
      </c>
      <c r="U1501" s="6">
        <v>67</v>
      </c>
      <c r="V1501" s="6">
        <v>77</v>
      </c>
      <c r="W1501" s="6">
        <v>63</v>
      </c>
      <c r="X1501" s="6">
        <v>64</v>
      </c>
      <c r="Y1501" s="6">
        <v>64</v>
      </c>
      <c r="Z1501" s="6">
        <v>70</v>
      </c>
      <c r="AA1501" s="6">
        <v>75</v>
      </c>
      <c r="AB1501" s="6">
        <v>69</v>
      </c>
      <c r="AC1501" s="6">
        <v>67</v>
      </c>
      <c r="AD1501" s="6">
        <v>68</v>
      </c>
      <c r="AE1501" s="6">
        <v>75</v>
      </c>
      <c r="AF1501" s="6">
        <v>81</v>
      </c>
      <c r="AG1501" s="6" t="s">
        <v>7905</v>
      </c>
      <c r="AH1501" s="6" t="s">
        <v>6628</v>
      </c>
    </row>
    <row r="1502" spans="1:34" x14ac:dyDescent="0.2">
      <c r="A1502" t="s">
        <v>4177</v>
      </c>
      <c r="B1502" t="s">
        <v>2441</v>
      </c>
      <c r="C1502" t="s">
        <v>2890</v>
      </c>
      <c r="D1502" s="7" t="s">
        <v>150</v>
      </c>
      <c r="E1502" t="s">
        <v>38</v>
      </c>
      <c r="F1502">
        <v>26</v>
      </c>
      <c r="G1502">
        <v>68</v>
      </c>
      <c r="H1502">
        <v>69</v>
      </c>
      <c r="I1502" t="s">
        <v>6340</v>
      </c>
      <c r="J1502">
        <v>70</v>
      </c>
      <c r="K1502">
        <v>185</v>
      </c>
      <c r="L1502" t="s">
        <v>5871</v>
      </c>
      <c r="M1502" s="6" t="s">
        <v>6558</v>
      </c>
      <c r="N1502" s="6" t="s">
        <v>6559</v>
      </c>
      <c r="O1502" s="6">
        <v>71</v>
      </c>
      <c r="P1502" s="6">
        <v>70</v>
      </c>
      <c r="Q1502" s="6">
        <v>67</v>
      </c>
      <c r="R1502" s="6">
        <v>85</v>
      </c>
      <c r="S1502" s="6">
        <v>74</v>
      </c>
      <c r="T1502" s="6">
        <v>80</v>
      </c>
      <c r="U1502" s="6">
        <v>74</v>
      </c>
      <c r="V1502" s="6">
        <v>68</v>
      </c>
      <c r="W1502" s="6">
        <v>78</v>
      </c>
      <c r="X1502" s="6">
        <v>64</v>
      </c>
      <c r="Y1502" s="6">
        <v>78</v>
      </c>
      <c r="Z1502" s="6">
        <v>77</v>
      </c>
      <c r="AA1502" s="6">
        <v>68</v>
      </c>
      <c r="AB1502" s="6">
        <v>77</v>
      </c>
      <c r="AC1502" s="6">
        <v>73</v>
      </c>
      <c r="AD1502" s="6">
        <v>68</v>
      </c>
      <c r="AE1502" s="6">
        <v>69</v>
      </c>
      <c r="AF1502" s="6">
        <v>71</v>
      </c>
      <c r="AG1502" s="6" t="s">
        <v>7908</v>
      </c>
      <c r="AH1502" s="6" t="s">
        <v>6630</v>
      </c>
    </row>
    <row r="1503" spans="1:34" x14ac:dyDescent="0.2">
      <c r="A1503" t="s">
        <v>4178</v>
      </c>
      <c r="B1503" t="s">
        <v>2442</v>
      </c>
      <c r="C1503" t="s">
        <v>2891</v>
      </c>
      <c r="D1503" s="7" t="s">
        <v>150</v>
      </c>
      <c r="E1503" t="s">
        <v>38</v>
      </c>
      <c r="F1503">
        <v>28</v>
      </c>
      <c r="G1503">
        <v>81</v>
      </c>
      <c r="H1503">
        <v>69</v>
      </c>
      <c r="I1503" t="s">
        <v>6326</v>
      </c>
      <c r="J1503">
        <v>74</v>
      </c>
      <c r="K1503">
        <v>226</v>
      </c>
      <c r="L1503" t="s">
        <v>5872</v>
      </c>
      <c r="M1503" s="6" t="s">
        <v>6558</v>
      </c>
      <c r="N1503" s="6" t="s">
        <v>6583</v>
      </c>
      <c r="O1503" s="6">
        <v>89</v>
      </c>
      <c r="P1503" s="6">
        <v>71</v>
      </c>
      <c r="Q1503" s="6">
        <v>83</v>
      </c>
      <c r="R1503" s="6">
        <v>80</v>
      </c>
      <c r="S1503" s="6">
        <v>78</v>
      </c>
      <c r="T1503" s="6">
        <v>73</v>
      </c>
      <c r="U1503" s="6">
        <v>73</v>
      </c>
      <c r="V1503" s="6">
        <v>83</v>
      </c>
      <c r="W1503" s="6">
        <v>74</v>
      </c>
      <c r="X1503" s="6">
        <v>70</v>
      </c>
      <c r="Y1503" s="6">
        <v>82</v>
      </c>
      <c r="Z1503" s="6">
        <v>84</v>
      </c>
      <c r="AA1503" s="6">
        <v>75</v>
      </c>
      <c r="AB1503" s="6">
        <v>75</v>
      </c>
      <c r="AC1503" s="6">
        <v>74</v>
      </c>
      <c r="AD1503" s="6">
        <v>75</v>
      </c>
      <c r="AE1503" s="6">
        <v>74</v>
      </c>
      <c r="AF1503" s="6">
        <v>72</v>
      </c>
      <c r="AG1503" s="6" t="s">
        <v>7909</v>
      </c>
      <c r="AH1503" s="6" t="s">
        <v>7093</v>
      </c>
    </row>
    <row r="1504" spans="1:34" x14ac:dyDescent="0.2">
      <c r="A1504" t="s">
        <v>4179</v>
      </c>
      <c r="B1504" t="s">
        <v>2443</v>
      </c>
      <c r="C1504" t="s">
        <v>2886</v>
      </c>
      <c r="D1504" s="7" t="s">
        <v>150</v>
      </c>
      <c r="E1504" t="s">
        <v>38</v>
      </c>
      <c r="F1504">
        <v>29</v>
      </c>
      <c r="G1504">
        <v>78</v>
      </c>
      <c r="H1504">
        <v>69</v>
      </c>
      <c r="I1504" t="s">
        <v>6317</v>
      </c>
      <c r="J1504">
        <v>75</v>
      </c>
      <c r="K1504">
        <v>246</v>
      </c>
      <c r="L1504" t="s">
        <v>5873</v>
      </c>
      <c r="M1504" s="6" t="s">
        <v>6558</v>
      </c>
      <c r="N1504" s="6" t="s">
        <v>6567</v>
      </c>
      <c r="O1504" s="6">
        <v>82</v>
      </c>
      <c r="P1504" s="6">
        <v>78</v>
      </c>
      <c r="Q1504" s="6">
        <v>79</v>
      </c>
      <c r="R1504" s="6">
        <v>69</v>
      </c>
      <c r="S1504" s="6">
        <v>79</v>
      </c>
      <c r="T1504" s="6">
        <v>72</v>
      </c>
      <c r="U1504" s="6">
        <v>79</v>
      </c>
      <c r="V1504" s="6">
        <v>80</v>
      </c>
      <c r="W1504" s="6">
        <v>94</v>
      </c>
      <c r="X1504" s="6">
        <v>80</v>
      </c>
      <c r="Y1504" s="6">
        <v>74</v>
      </c>
      <c r="Z1504" s="6">
        <v>80</v>
      </c>
      <c r="AA1504" s="6">
        <v>70</v>
      </c>
      <c r="AB1504" s="6">
        <v>75</v>
      </c>
      <c r="AC1504" s="6">
        <v>71</v>
      </c>
      <c r="AD1504" s="6">
        <v>77</v>
      </c>
      <c r="AE1504" s="6">
        <v>72</v>
      </c>
      <c r="AF1504" s="6">
        <v>71</v>
      </c>
      <c r="AG1504" s="6" t="s">
        <v>7910</v>
      </c>
      <c r="AH1504" s="6" t="s">
        <v>6649</v>
      </c>
    </row>
    <row r="1505" spans="1:34" x14ac:dyDescent="0.2">
      <c r="A1505" t="s">
        <v>4184</v>
      </c>
      <c r="B1505" t="s">
        <v>2448</v>
      </c>
      <c r="C1505" t="s">
        <v>2870</v>
      </c>
      <c r="D1505" s="7" t="s">
        <v>151</v>
      </c>
      <c r="E1505" t="s">
        <v>58</v>
      </c>
      <c r="F1505">
        <v>24</v>
      </c>
      <c r="G1505">
        <v>70</v>
      </c>
      <c r="H1505">
        <v>69</v>
      </c>
      <c r="I1505" t="s">
        <v>6506</v>
      </c>
      <c r="J1505">
        <v>72</v>
      </c>
      <c r="K1505">
        <v>230</v>
      </c>
      <c r="L1505" t="s">
        <v>5878</v>
      </c>
      <c r="M1505" s="6" t="s">
        <v>6558</v>
      </c>
      <c r="N1505" s="6" t="s">
        <v>6567</v>
      </c>
      <c r="O1505" s="6">
        <v>63</v>
      </c>
      <c r="P1505" s="6">
        <v>68</v>
      </c>
      <c r="Q1505" s="6">
        <v>73</v>
      </c>
      <c r="R1505" s="6">
        <v>65</v>
      </c>
      <c r="S1505" s="6">
        <v>82</v>
      </c>
      <c r="T1505" s="6">
        <v>58</v>
      </c>
      <c r="U1505" s="6">
        <v>75</v>
      </c>
      <c r="V1505" s="6">
        <v>78</v>
      </c>
      <c r="W1505" s="6">
        <v>60</v>
      </c>
      <c r="X1505" s="6">
        <v>73</v>
      </c>
      <c r="Y1505" s="6">
        <v>62</v>
      </c>
      <c r="Z1505" s="6">
        <v>77</v>
      </c>
      <c r="AA1505" s="6">
        <v>70</v>
      </c>
      <c r="AB1505" s="6">
        <v>71</v>
      </c>
      <c r="AC1505" s="6">
        <v>65</v>
      </c>
      <c r="AD1505" s="6">
        <v>69</v>
      </c>
      <c r="AE1505" s="6">
        <v>68</v>
      </c>
      <c r="AF1505" s="6">
        <v>72</v>
      </c>
      <c r="AG1505" s="6" t="s">
        <v>7915</v>
      </c>
      <c r="AH1505" s="6" t="s">
        <v>6656</v>
      </c>
    </row>
    <row r="1506" spans="1:34" x14ac:dyDescent="0.2">
      <c r="A1506" t="s">
        <v>4186</v>
      </c>
      <c r="B1506" t="s">
        <v>2450</v>
      </c>
      <c r="C1506" t="s">
        <v>57</v>
      </c>
      <c r="D1506" s="7" t="s">
        <v>151</v>
      </c>
      <c r="E1506" t="s">
        <v>38</v>
      </c>
      <c r="F1506">
        <v>26</v>
      </c>
      <c r="G1506">
        <v>87</v>
      </c>
      <c r="H1506">
        <v>69</v>
      </c>
      <c r="I1506" t="s">
        <v>8331</v>
      </c>
      <c r="J1506">
        <v>72</v>
      </c>
      <c r="K1506">
        <v>190</v>
      </c>
      <c r="L1506" t="s">
        <v>5880</v>
      </c>
      <c r="M1506" s="6" t="s">
        <v>6558</v>
      </c>
      <c r="N1506" s="6" t="s">
        <v>6565</v>
      </c>
      <c r="O1506" s="6">
        <v>75</v>
      </c>
      <c r="P1506" s="6">
        <v>81</v>
      </c>
      <c r="Q1506" s="6">
        <v>78</v>
      </c>
      <c r="R1506" s="6">
        <v>75</v>
      </c>
      <c r="S1506" s="6">
        <v>80</v>
      </c>
      <c r="T1506" s="6">
        <v>74</v>
      </c>
      <c r="U1506" s="6">
        <v>70</v>
      </c>
      <c r="V1506" s="6">
        <v>74</v>
      </c>
      <c r="W1506" s="6">
        <v>81</v>
      </c>
      <c r="X1506" s="6">
        <v>76</v>
      </c>
      <c r="Y1506" s="6">
        <v>82</v>
      </c>
      <c r="Z1506" s="6">
        <v>88</v>
      </c>
      <c r="AA1506" s="6">
        <v>78</v>
      </c>
      <c r="AB1506" s="6">
        <v>82</v>
      </c>
      <c r="AC1506" s="6">
        <v>75</v>
      </c>
      <c r="AD1506" s="6">
        <v>80</v>
      </c>
      <c r="AE1506" s="6">
        <v>75</v>
      </c>
      <c r="AF1506" s="6">
        <v>72</v>
      </c>
      <c r="AG1506" s="6" t="s">
        <v>7917</v>
      </c>
      <c r="AH1506" s="6" t="s">
        <v>6670</v>
      </c>
    </row>
    <row r="1507" spans="1:34" x14ac:dyDescent="0.2">
      <c r="A1507" t="s">
        <v>4194</v>
      </c>
      <c r="B1507" t="s">
        <v>2458</v>
      </c>
      <c r="C1507" t="s">
        <v>2872</v>
      </c>
      <c r="D1507" s="7" t="s">
        <v>151</v>
      </c>
      <c r="E1507" t="s">
        <v>58</v>
      </c>
      <c r="F1507">
        <v>30</v>
      </c>
      <c r="G1507">
        <v>85</v>
      </c>
      <c r="H1507">
        <v>69</v>
      </c>
      <c r="I1507" t="s">
        <v>6350</v>
      </c>
      <c r="J1507">
        <v>78</v>
      </c>
      <c r="K1507">
        <v>317</v>
      </c>
      <c r="L1507" t="s">
        <v>5888</v>
      </c>
      <c r="M1507" s="6" t="s">
        <v>6558</v>
      </c>
      <c r="N1507" s="6" t="s">
        <v>6559</v>
      </c>
      <c r="O1507" s="6">
        <v>81</v>
      </c>
      <c r="P1507" s="6">
        <v>71</v>
      </c>
      <c r="Q1507" s="6">
        <v>70</v>
      </c>
      <c r="R1507" s="6">
        <v>83</v>
      </c>
      <c r="S1507" s="6">
        <v>75</v>
      </c>
      <c r="T1507" s="6">
        <v>76</v>
      </c>
      <c r="U1507" s="6">
        <v>74</v>
      </c>
      <c r="V1507" s="6">
        <v>68</v>
      </c>
      <c r="W1507" s="6">
        <v>73</v>
      </c>
      <c r="X1507" s="6">
        <v>70</v>
      </c>
      <c r="Y1507" s="6">
        <v>73</v>
      </c>
      <c r="Z1507" s="6">
        <v>82</v>
      </c>
      <c r="AA1507" s="6">
        <v>77</v>
      </c>
      <c r="AB1507" s="6">
        <v>66</v>
      </c>
      <c r="AC1507" s="6">
        <v>74</v>
      </c>
      <c r="AD1507" s="6">
        <v>71</v>
      </c>
      <c r="AE1507" s="6">
        <v>68</v>
      </c>
      <c r="AF1507" s="6">
        <v>71</v>
      </c>
      <c r="AG1507" s="6" t="s">
        <v>7926</v>
      </c>
      <c r="AH1507" s="6" t="s">
        <v>6680</v>
      </c>
    </row>
    <row r="1508" spans="1:34" x14ac:dyDescent="0.2">
      <c r="A1508" t="s">
        <v>4199</v>
      </c>
      <c r="B1508" t="s">
        <v>2463</v>
      </c>
      <c r="C1508" t="s">
        <v>2874</v>
      </c>
      <c r="D1508" s="7" t="s">
        <v>151</v>
      </c>
      <c r="E1508" t="s">
        <v>58</v>
      </c>
      <c r="F1508">
        <v>32</v>
      </c>
      <c r="G1508">
        <v>75</v>
      </c>
      <c r="H1508">
        <v>69</v>
      </c>
      <c r="I1508" t="s">
        <v>6383</v>
      </c>
      <c r="J1508">
        <v>76</v>
      </c>
      <c r="K1508">
        <v>300</v>
      </c>
      <c r="L1508" t="s">
        <v>5893</v>
      </c>
      <c r="M1508" s="6" t="s">
        <v>6558</v>
      </c>
      <c r="N1508" s="6" t="s">
        <v>6567</v>
      </c>
      <c r="O1508" s="6">
        <v>72</v>
      </c>
      <c r="P1508" s="6">
        <v>80</v>
      </c>
      <c r="Q1508" s="6">
        <v>74</v>
      </c>
      <c r="R1508" s="6">
        <v>66</v>
      </c>
      <c r="S1508" s="6">
        <v>82</v>
      </c>
      <c r="T1508" s="6">
        <v>73</v>
      </c>
      <c r="U1508" s="6">
        <v>82</v>
      </c>
      <c r="V1508" s="6">
        <v>85</v>
      </c>
      <c r="W1508" s="6">
        <v>79</v>
      </c>
      <c r="X1508" s="6">
        <v>85</v>
      </c>
      <c r="Y1508" s="6">
        <v>81</v>
      </c>
      <c r="Z1508" s="6">
        <v>77</v>
      </c>
      <c r="AA1508" s="6">
        <v>65</v>
      </c>
      <c r="AB1508" s="6">
        <v>66</v>
      </c>
      <c r="AC1508" s="6">
        <v>72</v>
      </c>
      <c r="AD1508" s="6">
        <v>61</v>
      </c>
      <c r="AE1508" s="6">
        <v>65</v>
      </c>
      <c r="AF1508" s="6">
        <v>66</v>
      </c>
      <c r="AG1508" s="6" t="s">
        <v>7931</v>
      </c>
      <c r="AH1508" s="6" t="s">
        <v>6674</v>
      </c>
    </row>
    <row r="1509" spans="1:34" x14ac:dyDescent="0.2">
      <c r="A1509" t="s">
        <v>4206</v>
      </c>
      <c r="B1509" t="s">
        <v>2470</v>
      </c>
      <c r="C1509" t="s">
        <v>2878</v>
      </c>
      <c r="D1509" s="7" t="s">
        <v>151</v>
      </c>
      <c r="E1509" t="s">
        <v>58</v>
      </c>
      <c r="F1509">
        <v>24</v>
      </c>
      <c r="G1509">
        <v>77</v>
      </c>
      <c r="H1509">
        <v>69</v>
      </c>
      <c r="I1509" t="s">
        <v>6367</v>
      </c>
      <c r="J1509">
        <v>76</v>
      </c>
      <c r="K1509">
        <v>270</v>
      </c>
      <c r="L1509" t="s">
        <v>5900</v>
      </c>
      <c r="M1509" s="6" t="s">
        <v>6558</v>
      </c>
      <c r="N1509" s="6" t="s">
        <v>6565</v>
      </c>
      <c r="O1509" s="6">
        <v>78</v>
      </c>
      <c r="P1509" s="6">
        <v>62</v>
      </c>
      <c r="Q1509" s="6">
        <v>80</v>
      </c>
      <c r="R1509" s="6">
        <v>73</v>
      </c>
      <c r="S1509" s="6">
        <v>81</v>
      </c>
      <c r="T1509" s="6">
        <v>76</v>
      </c>
      <c r="U1509" s="6">
        <v>75</v>
      </c>
      <c r="V1509" s="6">
        <v>70</v>
      </c>
      <c r="W1509" s="6">
        <v>73</v>
      </c>
      <c r="X1509" s="6">
        <v>73</v>
      </c>
      <c r="Y1509" s="6">
        <v>63</v>
      </c>
      <c r="Z1509" s="6">
        <v>79</v>
      </c>
      <c r="AA1509" s="6">
        <v>70</v>
      </c>
      <c r="AB1509" s="6">
        <v>74</v>
      </c>
      <c r="AC1509" s="6">
        <v>68</v>
      </c>
      <c r="AD1509" s="6">
        <v>73</v>
      </c>
      <c r="AE1509" s="6">
        <v>70</v>
      </c>
      <c r="AF1509" s="6">
        <v>78</v>
      </c>
      <c r="AG1509" s="6" t="s">
        <v>7938</v>
      </c>
      <c r="AH1509" s="6" t="s">
        <v>6612</v>
      </c>
    </row>
    <row r="1510" spans="1:34" x14ac:dyDescent="0.2">
      <c r="A1510" t="s">
        <v>4210</v>
      </c>
      <c r="B1510" t="s">
        <v>2474</v>
      </c>
      <c r="C1510" t="s">
        <v>2879</v>
      </c>
      <c r="D1510" s="7" t="s">
        <v>151</v>
      </c>
      <c r="E1510" t="s">
        <v>58</v>
      </c>
      <c r="F1510">
        <v>30</v>
      </c>
      <c r="G1510">
        <v>80</v>
      </c>
      <c r="H1510">
        <v>69</v>
      </c>
      <c r="I1510" t="s">
        <v>6413</v>
      </c>
      <c r="J1510">
        <v>73</v>
      </c>
      <c r="K1510">
        <v>290</v>
      </c>
      <c r="L1510" t="s">
        <v>5904</v>
      </c>
      <c r="M1510" s="6" t="s">
        <v>6558</v>
      </c>
      <c r="N1510" s="6" t="s">
        <v>6565</v>
      </c>
      <c r="O1510" s="6">
        <v>78</v>
      </c>
      <c r="P1510" s="6">
        <v>60</v>
      </c>
      <c r="Q1510" s="6">
        <v>72</v>
      </c>
      <c r="R1510" s="6">
        <v>70</v>
      </c>
      <c r="S1510" s="6">
        <v>66</v>
      </c>
      <c r="T1510" s="6">
        <v>68</v>
      </c>
      <c r="U1510" s="6">
        <v>84</v>
      </c>
      <c r="V1510" s="6">
        <v>69</v>
      </c>
      <c r="W1510" s="6">
        <v>71</v>
      </c>
      <c r="X1510" s="6">
        <v>70</v>
      </c>
      <c r="Y1510" s="6">
        <v>86</v>
      </c>
      <c r="Z1510" s="6">
        <v>81</v>
      </c>
      <c r="AA1510" s="6">
        <v>69</v>
      </c>
      <c r="AB1510" s="6">
        <v>66</v>
      </c>
      <c r="AC1510" s="6">
        <v>68</v>
      </c>
      <c r="AD1510" s="6">
        <v>72</v>
      </c>
      <c r="AE1510" s="6">
        <v>67</v>
      </c>
      <c r="AF1510" s="6">
        <v>68</v>
      </c>
      <c r="AG1510" s="6" t="s">
        <v>7942</v>
      </c>
      <c r="AH1510" s="6" t="s">
        <v>6617</v>
      </c>
    </row>
    <row r="1511" spans="1:34" x14ac:dyDescent="0.2">
      <c r="A1511" t="s">
        <v>4213</v>
      </c>
      <c r="B1511" t="s">
        <v>2477</v>
      </c>
      <c r="C1511" t="s">
        <v>2879</v>
      </c>
      <c r="D1511" s="7" t="s">
        <v>151</v>
      </c>
      <c r="E1511" t="s">
        <v>58</v>
      </c>
      <c r="F1511">
        <v>31</v>
      </c>
      <c r="G1511">
        <v>69</v>
      </c>
      <c r="H1511">
        <v>69</v>
      </c>
      <c r="I1511" t="s">
        <v>8326</v>
      </c>
      <c r="J1511">
        <v>73</v>
      </c>
      <c r="K1511">
        <v>324</v>
      </c>
      <c r="L1511" t="s">
        <v>5907</v>
      </c>
      <c r="M1511" s="6" t="s">
        <v>6558</v>
      </c>
      <c r="N1511" s="6" t="s">
        <v>6565</v>
      </c>
      <c r="O1511" s="6">
        <v>68</v>
      </c>
      <c r="P1511" s="6">
        <v>70</v>
      </c>
      <c r="Q1511" s="6">
        <v>70</v>
      </c>
      <c r="R1511" s="6">
        <v>75</v>
      </c>
      <c r="S1511" s="6">
        <v>72</v>
      </c>
      <c r="T1511" s="6">
        <v>76</v>
      </c>
      <c r="U1511" s="6">
        <v>87</v>
      </c>
      <c r="V1511" s="6">
        <v>71</v>
      </c>
      <c r="W1511" s="6">
        <v>74</v>
      </c>
      <c r="X1511" s="6">
        <v>71</v>
      </c>
      <c r="Y1511" s="6">
        <v>76</v>
      </c>
      <c r="Z1511" s="6">
        <v>70</v>
      </c>
      <c r="AA1511" s="6">
        <v>69</v>
      </c>
      <c r="AB1511" s="6">
        <v>72</v>
      </c>
      <c r="AC1511" s="6">
        <v>61</v>
      </c>
      <c r="AD1511" s="6">
        <v>72</v>
      </c>
      <c r="AE1511" s="6">
        <v>69</v>
      </c>
      <c r="AF1511" s="6">
        <v>64</v>
      </c>
      <c r="AG1511" s="6" t="s">
        <v>7945</v>
      </c>
      <c r="AH1511" s="6" t="s">
        <v>6619</v>
      </c>
    </row>
    <row r="1512" spans="1:34" x14ac:dyDescent="0.2">
      <c r="A1512" t="s">
        <v>4215</v>
      </c>
      <c r="B1512" t="s">
        <v>2479</v>
      </c>
      <c r="C1512" t="s">
        <v>2880</v>
      </c>
      <c r="D1512" s="7" t="s">
        <v>151</v>
      </c>
      <c r="E1512" t="s">
        <v>58</v>
      </c>
      <c r="F1512">
        <v>33</v>
      </c>
      <c r="G1512">
        <v>77</v>
      </c>
      <c r="H1512">
        <v>69</v>
      </c>
      <c r="I1512" t="s">
        <v>6412</v>
      </c>
      <c r="J1512">
        <v>75</v>
      </c>
      <c r="K1512">
        <v>265</v>
      </c>
      <c r="L1512" t="s">
        <v>5909</v>
      </c>
      <c r="M1512" s="6" t="s">
        <v>6558</v>
      </c>
      <c r="N1512" s="6" t="s">
        <v>6583</v>
      </c>
      <c r="O1512" s="6">
        <v>87</v>
      </c>
      <c r="P1512" s="6">
        <v>85</v>
      </c>
      <c r="Q1512" s="6">
        <v>76</v>
      </c>
      <c r="R1512" s="6">
        <v>81</v>
      </c>
      <c r="S1512" s="6">
        <v>75</v>
      </c>
      <c r="T1512" s="6">
        <v>85</v>
      </c>
      <c r="U1512" s="6">
        <v>91</v>
      </c>
      <c r="V1512" s="6">
        <v>85</v>
      </c>
      <c r="W1512" s="6">
        <v>79</v>
      </c>
      <c r="X1512" s="6">
        <v>70</v>
      </c>
      <c r="Y1512" s="6">
        <v>74</v>
      </c>
      <c r="Z1512" s="6">
        <v>84</v>
      </c>
      <c r="AA1512" s="6">
        <v>62</v>
      </c>
      <c r="AB1512" s="6">
        <v>63</v>
      </c>
      <c r="AC1512" s="6">
        <v>62</v>
      </c>
      <c r="AD1512" s="6">
        <v>77</v>
      </c>
      <c r="AE1512" s="6">
        <v>70</v>
      </c>
      <c r="AF1512" s="6">
        <v>59</v>
      </c>
      <c r="AG1512" s="6" t="s">
        <v>7947</v>
      </c>
      <c r="AH1512" s="6" t="s">
        <v>6623</v>
      </c>
    </row>
    <row r="1513" spans="1:34" x14ac:dyDescent="0.2">
      <c r="A1513" t="s">
        <v>4224</v>
      </c>
      <c r="B1513" t="s">
        <v>2488</v>
      </c>
      <c r="C1513" t="s">
        <v>2882</v>
      </c>
      <c r="D1513" s="7" t="s">
        <v>151</v>
      </c>
      <c r="E1513" t="s">
        <v>58</v>
      </c>
      <c r="F1513">
        <v>29</v>
      </c>
      <c r="G1513">
        <v>59</v>
      </c>
      <c r="H1513">
        <v>69</v>
      </c>
      <c r="I1513" t="s">
        <v>6324</v>
      </c>
      <c r="J1513">
        <v>74</v>
      </c>
      <c r="K1513">
        <v>201</v>
      </c>
      <c r="L1513" t="s">
        <v>5918</v>
      </c>
      <c r="M1513" s="6" t="s">
        <v>6558</v>
      </c>
      <c r="N1513" s="6" t="s">
        <v>6562</v>
      </c>
      <c r="O1513" s="6">
        <v>70</v>
      </c>
      <c r="P1513" s="6">
        <v>75</v>
      </c>
      <c r="Q1513" s="6">
        <v>68</v>
      </c>
      <c r="R1513" s="6">
        <v>86</v>
      </c>
      <c r="S1513" s="6">
        <v>72</v>
      </c>
      <c r="T1513" s="6">
        <v>66</v>
      </c>
      <c r="U1513" s="6">
        <v>67</v>
      </c>
      <c r="V1513" s="6">
        <v>66</v>
      </c>
      <c r="W1513" s="6">
        <v>79</v>
      </c>
      <c r="X1513" s="6">
        <v>74</v>
      </c>
      <c r="Y1513" s="6">
        <v>79</v>
      </c>
      <c r="Z1513" s="6">
        <v>68</v>
      </c>
      <c r="AA1513" s="6">
        <v>63</v>
      </c>
      <c r="AB1513" s="6">
        <v>61</v>
      </c>
      <c r="AC1513" s="6">
        <v>60</v>
      </c>
      <c r="AD1513" s="6">
        <v>73</v>
      </c>
      <c r="AE1513" s="6">
        <v>63</v>
      </c>
      <c r="AF1513" s="6">
        <v>67</v>
      </c>
      <c r="AG1513" s="6" t="s">
        <v>7956</v>
      </c>
      <c r="AH1513" s="6" t="s">
        <v>6636</v>
      </c>
    </row>
    <row r="1514" spans="1:34" x14ac:dyDescent="0.2">
      <c r="A1514" t="s">
        <v>4227</v>
      </c>
      <c r="B1514" t="s">
        <v>2491</v>
      </c>
      <c r="C1514" t="s">
        <v>2883</v>
      </c>
      <c r="D1514" s="7" t="s">
        <v>151</v>
      </c>
      <c r="E1514" t="s">
        <v>38</v>
      </c>
      <c r="F1514">
        <v>27</v>
      </c>
      <c r="G1514">
        <v>62</v>
      </c>
      <c r="H1514">
        <v>69</v>
      </c>
      <c r="I1514" t="s">
        <v>6423</v>
      </c>
      <c r="J1514">
        <v>73</v>
      </c>
      <c r="K1514">
        <v>207</v>
      </c>
      <c r="L1514" t="s">
        <v>5921</v>
      </c>
      <c r="M1514" s="6" t="s">
        <v>6558</v>
      </c>
      <c r="N1514" s="6" t="s">
        <v>6565</v>
      </c>
      <c r="O1514" s="6">
        <v>81</v>
      </c>
      <c r="P1514" s="6">
        <v>67</v>
      </c>
      <c r="Q1514" s="6">
        <v>67</v>
      </c>
      <c r="R1514" s="6">
        <v>72</v>
      </c>
      <c r="S1514" s="6">
        <v>73</v>
      </c>
      <c r="T1514" s="6">
        <v>74</v>
      </c>
      <c r="U1514" s="6">
        <v>74</v>
      </c>
      <c r="V1514" s="6">
        <v>72</v>
      </c>
      <c r="W1514" s="6">
        <v>83</v>
      </c>
      <c r="X1514" s="6">
        <v>64</v>
      </c>
      <c r="Y1514" s="6">
        <v>68</v>
      </c>
      <c r="Z1514" s="6">
        <v>79</v>
      </c>
      <c r="AA1514" s="6">
        <v>70</v>
      </c>
      <c r="AB1514" s="6">
        <v>71</v>
      </c>
      <c r="AC1514" s="6">
        <v>68</v>
      </c>
      <c r="AD1514" s="6">
        <v>73</v>
      </c>
      <c r="AE1514" s="6">
        <v>67</v>
      </c>
      <c r="AF1514" s="6">
        <v>74</v>
      </c>
      <c r="AG1514" s="6" t="s">
        <v>7959</v>
      </c>
      <c r="AH1514" s="6" t="s">
        <v>6640</v>
      </c>
    </row>
    <row r="1515" spans="1:34" x14ac:dyDescent="0.2">
      <c r="A1515" t="s">
        <v>4228</v>
      </c>
      <c r="B1515" t="s">
        <v>2492</v>
      </c>
      <c r="C1515" t="s">
        <v>2888</v>
      </c>
      <c r="D1515" s="7" t="s">
        <v>151</v>
      </c>
      <c r="E1515" t="s">
        <v>38</v>
      </c>
      <c r="F1515">
        <v>24</v>
      </c>
      <c r="G1515">
        <v>79</v>
      </c>
      <c r="H1515">
        <v>69</v>
      </c>
      <c r="I1515" t="s">
        <v>6313</v>
      </c>
      <c r="J1515">
        <v>72</v>
      </c>
      <c r="K1515">
        <v>170</v>
      </c>
      <c r="L1515" t="s">
        <v>5922</v>
      </c>
      <c r="M1515" s="6" t="s">
        <v>6558</v>
      </c>
      <c r="N1515" s="6" t="s">
        <v>6565</v>
      </c>
      <c r="O1515" s="6">
        <v>86</v>
      </c>
      <c r="P1515" s="6">
        <v>76</v>
      </c>
      <c r="Q1515" s="6">
        <v>79</v>
      </c>
      <c r="R1515" s="6">
        <v>73</v>
      </c>
      <c r="S1515" s="6">
        <v>68</v>
      </c>
      <c r="T1515" s="6">
        <v>78</v>
      </c>
      <c r="U1515" s="6">
        <v>73</v>
      </c>
      <c r="V1515" s="6">
        <v>87</v>
      </c>
      <c r="W1515" s="6">
        <v>76</v>
      </c>
      <c r="X1515" s="6">
        <v>66</v>
      </c>
      <c r="Y1515" s="6">
        <v>72</v>
      </c>
      <c r="Z1515" s="6">
        <v>77</v>
      </c>
      <c r="AA1515" s="6">
        <v>75</v>
      </c>
      <c r="AB1515" s="6">
        <v>81</v>
      </c>
      <c r="AC1515" s="6">
        <v>63</v>
      </c>
      <c r="AD1515" s="6">
        <v>76</v>
      </c>
      <c r="AE1515" s="6">
        <v>74</v>
      </c>
      <c r="AF1515" s="6">
        <v>77</v>
      </c>
      <c r="AG1515" s="6" t="s">
        <v>7960</v>
      </c>
      <c r="AH1515" s="6" t="s">
        <v>6707</v>
      </c>
    </row>
    <row r="1516" spans="1:34" x14ac:dyDescent="0.2">
      <c r="A1516" t="s">
        <v>4229</v>
      </c>
      <c r="B1516" t="s">
        <v>2493</v>
      </c>
      <c r="C1516" t="s">
        <v>2884</v>
      </c>
      <c r="D1516" s="7" t="s">
        <v>151</v>
      </c>
      <c r="E1516" t="s">
        <v>38</v>
      </c>
      <c r="F1516">
        <v>32</v>
      </c>
      <c r="G1516">
        <v>74</v>
      </c>
      <c r="H1516">
        <v>69</v>
      </c>
      <c r="I1516" t="s">
        <v>8335</v>
      </c>
      <c r="J1516">
        <v>76</v>
      </c>
      <c r="K1516">
        <v>217</v>
      </c>
      <c r="L1516" t="s">
        <v>5923</v>
      </c>
      <c r="M1516" s="6" t="s">
        <v>6558</v>
      </c>
      <c r="N1516" s="6" t="s">
        <v>6562</v>
      </c>
      <c r="O1516" s="6">
        <v>85</v>
      </c>
      <c r="P1516" s="6">
        <v>75</v>
      </c>
      <c r="Q1516" s="6">
        <v>91</v>
      </c>
      <c r="R1516" s="6">
        <v>91</v>
      </c>
      <c r="S1516" s="6">
        <v>83</v>
      </c>
      <c r="T1516" s="6">
        <v>81</v>
      </c>
      <c r="U1516" s="6">
        <v>93</v>
      </c>
      <c r="V1516" s="6">
        <v>82</v>
      </c>
      <c r="W1516" s="6">
        <v>79</v>
      </c>
      <c r="X1516" s="6">
        <v>80</v>
      </c>
      <c r="Y1516" s="6">
        <v>84</v>
      </c>
      <c r="Z1516" s="6">
        <v>88</v>
      </c>
      <c r="AA1516" s="6">
        <v>74</v>
      </c>
      <c r="AB1516" s="6">
        <v>86</v>
      </c>
      <c r="AC1516" s="6">
        <v>76</v>
      </c>
      <c r="AD1516" s="6">
        <v>71</v>
      </c>
      <c r="AE1516" s="6">
        <v>75</v>
      </c>
      <c r="AF1516" s="6">
        <v>64</v>
      </c>
      <c r="AG1516" s="6" t="s">
        <v>7961</v>
      </c>
      <c r="AH1516" s="6" t="s">
        <v>6644</v>
      </c>
    </row>
    <row r="1517" spans="1:34" x14ac:dyDescent="0.2">
      <c r="A1517" t="s">
        <v>4230</v>
      </c>
      <c r="B1517" t="s">
        <v>2494</v>
      </c>
      <c r="C1517" t="s">
        <v>2889</v>
      </c>
      <c r="D1517" s="7" t="s">
        <v>151</v>
      </c>
      <c r="E1517" t="s">
        <v>38</v>
      </c>
      <c r="F1517">
        <v>26</v>
      </c>
      <c r="G1517">
        <v>68</v>
      </c>
      <c r="H1517">
        <v>69</v>
      </c>
      <c r="I1517" t="s">
        <v>6502</v>
      </c>
      <c r="J1517">
        <v>74</v>
      </c>
      <c r="K1517">
        <v>248</v>
      </c>
      <c r="L1517" t="s">
        <v>5924</v>
      </c>
      <c r="M1517" s="6" t="s">
        <v>6558</v>
      </c>
      <c r="N1517" s="6" t="s">
        <v>6565</v>
      </c>
      <c r="O1517" s="6">
        <v>82</v>
      </c>
      <c r="P1517" s="6">
        <v>74</v>
      </c>
      <c r="Q1517" s="6">
        <v>61</v>
      </c>
      <c r="R1517" s="6">
        <v>72</v>
      </c>
      <c r="S1517" s="6">
        <v>70</v>
      </c>
      <c r="T1517" s="6">
        <v>63</v>
      </c>
      <c r="U1517" s="6">
        <v>76</v>
      </c>
      <c r="V1517" s="6">
        <v>68</v>
      </c>
      <c r="W1517" s="6">
        <v>76</v>
      </c>
      <c r="X1517" s="6">
        <v>69</v>
      </c>
      <c r="Y1517" s="6">
        <v>82</v>
      </c>
      <c r="Z1517" s="6">
        <v>64</v>
      </c>
      <c r="AA1517" s="6">
        <v>66</v>
      </c>
      <c r="AB1517" s="6">
        <v>70</v>
      </c>
      <c r="AC1517" s="6">
        <v>80</v>
      </c>
      <c r="AD1517" s="6">
        <v>63</v>
      </c>
      <c r="AE1517" s="6">
        <v>63</v>
      </c>
      <c r="AF1517" s="6">
        <v>65</v>
      </c>
      <c r="AG1517" s="6" t="s">
        <v>7962</v>
      </c>
      <c r="AH1517" s="6" t="s">
        <v>6709</v>
      </c>
    </row>
    <row r="1518" spans="1:34" x14ac:dyDescent="0.2">
      <c r="A1518" t="s">
        <v>4235</v>
      </c>
      <c r="B1518" t="s">
        <v>2499</v>
      </c>
      <c r="C1518" t="s">
        <v>2886</v>
      </c>
      <c r="D1518" s="7" t="s">
        <v>151</v>
      </c>
      <c r="E1518" t="s">
        <v>38</v>
      </c>
      <c r="F1518">
        <v>25</v>
      </c>
      <c r="G1518">
        <v>77</v>
      </c>
      <c r="H1518">
        <v>69</v>
      </c>
      <c r="I1518" t="s">
        <v>6502</v>
      </c>
      <c r="J1518">
        <v>74</v>
      </c>
      <c r="K1518">
        <v>230</v>
      </c>
      <c r="L1518" t="s">
        <v>5929</v>
      </c>
      <c r="M1518" s="6" t="s">
        <v>6558</v>
      </c>
      <c r="N1518" s="6" t="s">
        <v>6583</v>
      </c>
      <c r="O1518" s="6">
        <v>75</v>
      </c>
      <c r="P1518" s="6">
        <v>77</v>
      </c>
      <c r="Q1518" s="6">
        <v>66</v>
      </c>
      <c r="R1518" s="6">
        <v>80</v>
      </c>
      <c r="S1518" s="6">
        <v>84</v>
      </c>
      <c r="T1518" s="6">
        <v>74</v>
      </c>
      <c r="U1518" s="6">
        <v>84</v>
      </c>
      <c r="V1518" s="6">
        <v>78</v>
      </c>
      <c r="W1518" s="6">
        <v>81</v>
      </c>
      <c r="X1518" s="6">
        <v>82</v>
      </c>
      <c r="Y1518" s="6">
        <v>73</v>
      </c>
      <c r="Z1518" s="6">
        <v>82</v>
      </c>
      <c r="AA1518" s="6">
        <v>72</v>
      </c>
      <c r="AB1518" s="6">
        <v>74</v>
      </c>
      <c r="AC1518" s="6">
        <v>74</v>
      </c>
      <c r="AD1518" s="6">
        <v>82</v>
      </c>
      <c r="AE1518" s="6">
        <v>78</v>
      </c>
      <c r="AF1518" s="6">
        <v>80</v>
      </c>
      <c r="AG1518" s="6" t="s">
        <v>7967</v>
      </c>
      <c r="AH1518" s="6" t="s">
        <v>6649</v>
      </c>
    </row>
    <row r="1519" spans="1:34" x14ac:dyDescent="0.2">
      <c r="A1519" t="s">
        <v>4240</v>
      </c>
      <c r="B1519" t="s">
        <v>2504</v>
      </c>
      <c r="C1519" t="s">
        <v>57</v>
      </c>
      <c r="D1519" s="7" t="s">
        <v>152</v>
      </c>
      <c r="E1519" t="s">
        <v>38</v>
      </c>
      <c r="F1519">
        <v>24</v>
      </c>
      <c r="G1519">
        <v>81</v>
      </c>
      <c r="H1519">
        <v>69</v>
      </c>
      <c r="I1519" t="s">
        <v>6308</v>
      </c>
      <c r="J1519">
        <v>71</v>
      </c>
      <c r="K1519">
        <v>204</v>
      </c>
      <c r="L1519" t="s">
        <v>5934</v>
      </c>
      <c r="M1519" s="6" t="s">
        <v>6558</v>
      </c>
      <c r="N1519" s="6" t="s">
        <v>6567</v>
      </c>
      <c r="O1519" s="6">
        <v>78</v>
      </c>
      <c r="P1519" s="6">
        <v>64</v>
      </c>
      <c r="Q1519" s="6">
        <v>77</v>
      </c>
      <c r="R1519" s="6">
        <v>67</v>
      </c>
      <c r="S1519" s="6">
        <v>77</v>
      </c>
      <c r="T1519" s="6">
        <v>76</v>
      </c>
      <c r="U1519" s="6">
        <v>72</v>
      </c>
      <c r="V1519" s="6">
        <v>74</v>
      </c>
      <c r="W1519" s="6">
        <v>71</v>
      </c>
      <c r="X1519" s="6">
        <v>63</v>
      </c>
      <c r="Y1519" s="6">
        <v>71</v>
      </c>
      <c r="Z1519" s="6">
        <v>78</v>
      </c>
      <c r="AA1519" s="6">
        <v>76</v>
      </c>
      <c r="AB1519" s="6">
        <v>73</v>
      </c>
      <c r="AC1519" s="6">
        <v>71</v>
      </c>
      <c r="AD1519" s="6">
        <v>82</v>
      </c>
      <c r="AE1519" s="6">
        <v>72</v>
      </c>
      <c r="AF1519" s="6">
        <v>83</v>
      </c>
      <c r="AG1519" s="6" t="s">
        <v>7971</v>
      </c>
      <c r="AH1519" s="6" t="s">
        <v>6581</v>
      </c>
    </row>
    <row r="1520" spans="1:34" x14ac:dyDescent="0.2">
      <c r="A1520" t="s">
        <v>4242</v>
      </c>
      <c r="B1520" t="s">
        <v>2506</v>
      </c>
      <c r="C1520" t="s">
        <v>57</v>
      </c>
      <c r="D1520" s="7" t="s">
        <v>152</v>
      </c>
      <c r="E1520" t="s">
        <v>38</v>
      </c>
      <c r="F1520">
        <v>25</v>
      </c>
      <c r="G1520">
        <v>75</v>
      </c>
      <c r="H1520">
        <v>69</v>
      </c>
      <c r="I1520" t="s">
        <v>6314</v>
      </c>
      <c r="J1520">
        <v>74</v>
      </c>
      <c r="K1520">
        <v>225</v>
      </c>
      <c r="L1520" t="s">
        <v>5936</v>
      </c>
      <c r="M1520" s="6" t="s">
        <v>6558</v>
      </c>
      <c r="N1520" s="6" t="s">
        <v>6567</v>
      </c>
      <c r="O1520" s="6">
        <v>79</v>
      </c>
      <c r="P1520" s="6">
        <v>66</v>
      </c>
      <c r="Q1520" s="6">
        <v>81</v>
      </c>
      <c r="R1520" s="6">
        <v>67</v>
      </c>
      <c r="S1520" s="6">
        <v>85</v>
      </c>
      <c r="T1520" s="6">
        <v>70</v>
      </c>
      <c r="U1520" s="6">
        <v>81</v>
      </c>
      <c r="V1520" s="6">
        <v>77</v>
      </c>
      <c r="W1520" s="6">
        <v>75</v>
      </c>
      <c r="X1520" s="6">
        <v>78</v>
      </c>
      <c r="Y1520" s="6">
        <v>82</v>
      </c>
      <c r="Z1520" s="6">
        <v>81</v>
      </c>
      <c r="AA1520" s="6">
        <v>74</v>
      </c>
      <c r="AB1520" s="6">
        <v>74</v>
      </c>
      <c r="AC1520" s="6">
        <v>74</v>
      </c>
      <c r="AD1520" s="6">
        <v>70</v>
      </c>
      <c r="AE1520" s="6">
        <v>67</v>
      </c>
      <c r="AF1520" s="6">
        <v>75</v>
      </c>
      <c r="AG1520" s="6" t="s">
        <v>7973</v>
      </c>
      <c r="AH1520" s="6" t="s">
        <v>6576</v>
      </c>
    </row>
    <row r="1521" spans="1:34" x14ac:dyDescent="0.2">
      <c r="A1521" t="s">
        <v>4247</v>
      </c>
      <c r="B1521" t="s">
        <v>2511</v>
      </c>
      <c r="C1521" t="s">
        <v>57</v>
      </c>
      <c r="D1521" s="7" t="s">
        <v>152</v>
      </c>
      <c r="E1521" t="s">
        <v>38</v>
      </c>
      <c r="F1521">
        <v>28</v>
      </c>
      <c r="G1521">
        <v>59</v>
      </c>
      <c r="H1521">
        <v>69</v>
      </c>
      <c r="I1521" t="s">
        <v>6379</v>
      </c>
      <c r="J1521">
        <v>71</v>
      </c>
      <c r="K1521">
        <v>187</v>
      </c>
      <c r="L1521" t="s">
        <v>5941</v>
      </c>
      <c r="M1521" s="6" t="s">
        <v>6558</v>
      </c>
      <c r="N1521" s="6" t="s">
        <v>6567</v>
      </c>
      <c r="O1521" s="6">
        <v>65</v>
      </c>
      <c r="P1521" s="6">
        <v>67</v>
      </c>
      <c r="Q1521" s="6">
        <v>67</v>
      </c>
      <c r="R1521" s="6">
        <v>64</v>
      </c>
      <c r="S1521" s="6">
        <v>76</v>
      </c>
      <c r="T1521" s="6">
        <v>66</v>
      </c>
      <c r="U1521" s="6">
        <v>73</v>
      </c>
      <c r="V1521" s="6">
        <v>70</v>
      </c>
      <c r="W1521" s="6">
        <v>72</v>
      </c>
      <c r="X1521" s="6">
        <v>62</v>
      </c>
      <c r="Y1521" s="6">
        <v>74</v>
      </c>
      <c r="Z1521" s="6">
        <v>73</v>
      </c>
      <c r="AA1521" s="6">
        <v>66</v>
      </c>
      <c r="AB1521" s="6">
        <v>75</v>
      </c>
      <c r="AC1521" s="6">
        <v>65</v>
      </c>
      <c r="AD1521" s="6">
        <v>77</v>
      </c>
      <c r="AE1521" s="6">
        <v>69</v>
      </c>
      <c r="AF1521" s="6">
        <v>70</v>
      </c>
      <c r="AG1521" s="6" t="s">
        <v>7978</v>
      </c>
      <c r="AH1521" s="6" t="s">
        <v>6670</v>
      </c>
    </row>
    <row r="1522" spans="1:34" x14ac:dyDescent="0.2">
      <c r="A1522" t="s">
        <v>4248</v>
      </c>
      <c r="B1522" t="s">
        <v>2512</v>
      </c>
      <c r="C1522" t="s">
        <v>2871</v>
      </c>
      <c r="D1522" s="7" t="s">
        <v>152</v>
      </c>
      <c r="E1522" t="s">
        <v>38</v>
      </c>
      <c r="F1522">
        <v>30</v>
      </c>
      <c r="G1522">
        <v>86</v>
      </c>
      <c r="H1522">
        <v>69</v>
      </c>
      <c r="I1522" t="s">
        <v>6411</v>
      </c>
      <c r="J1522">
        <v>74</v>
      </c>
      <c r="K1522">
        <v>247</v>
      </c>
      <c r="L1522" t="s">
        <v>5942</v>
      </c>
      <c r="M1522" s="6" t="s">
        <v>6558</v>
      </c>
      <c r="N1522" s="6" t="s">
        <v>6565</v>
      </c>
      <c r="O1522" s="6">
        <v>78</v>
      </c>
      <c r="P1522" s="6">
        <v>67</v>
      </c>
      <c r="Q1522" s="6">
        <v>84</v>
      </c>
      <c r="R1522" s="6">
        <v>73</v>
      </c>
      <c r="S1522" s="6">
        <v>78</v>
      </c>
      <c r="T1522" s="6">
        <v>82</v>
      </c>
      <c r="U1522" s="6">
        <v>74</v>
      </c>
      <c r="V1522" s="6">
        <v>82</v>
      </c>
      <c r="W1522" s="6">
        <v>70</v>
      </c>
      <c r="X1522" s="6">
        <v>78</v>
      </c>
      <c r="Y1522" s="6">
        <v>81</v>
      </c>
      <c r="Z1522" s="6">
        <v>77</v>
      </c>
      <c r="AA1522" s="6">
        <v>78</v>
      </c>
      <c r="AB1522" s="6">
        <v>74</v>
      </c>
      <c r="AC1522" s="6">
        <v>84</v>
      </c>
      <c r="AD1522" s="6">
        <v>76</v>
      </c>
      <c r="AE1522" s="6">
        <v>74</v>
      </c>
      <c r="AF1522" s="6">
        <v>84</v>
      </c>
      <c r="AG1522" s="6" t="s">
        <v>7979</v>
      </c>
      <c r="AH1522" s="6" t="s">
        <v>6591</v>
      </c>
    </row>
    <row r="1523" spans="1:34" x14ac:dyDescent="0.2">
      <c r="A1523" t="s">
        <v>4250</v>
      </c>
      <c r="B1523" t="s">
        <v>2514</v>
      </c>
      <c r="C1523" t="s">
        <v>2871</v>
      </c>
      <c r="D1523" s="7" t="s">
        <v>152</v>
      </c>
      <c r="E1523" t="s">
        <v>58</v>
      </c>
      <c r="F1523">
        <v>32</v>
      </c>
      <c r="G1523">
        <v>68</v>
      </c>
      <c r="H1523">
        <v>69</v>
      </c>
      <c r="I1523" t="s">
        <v>6315</v>
      </c>
      <c r="J1523">
        <v>76</v>
      </c>
      <c r="K1523">
        <v>270</v>
      </c>
      <c r="L1523" t="s">
        <v>5944</v>
      </c>
      <c r="M1523" s="6" t="s">
        <v>6558</v>
      </c>
      <c r="N1523" s="6" t="s">
        <v>6559</v>
      </c>
      <c r="O1523" s="6">
        <v>81</v>
      </c>
      <c r="P1523" s="6">
        <v>78</v>
      </c>
      <c r="Q1523" s="6">
        <v>69</v>
      </c>
      <c r="R1523" s="6">
        <v>82</v>
      </c>
      <c r="S1523" s="6">
        <v>78</v>
      </c>
      <c r="T1523" s="6">
        <v>75</v>
      </c>
      <c r="U1523" s="6">
        <v>77</v>
      </c>
      <c r="V1523" s="6">
        <v>72</v>
      </c>
      <c r="W1523" s="6">
        <v>74</v>
      </c>
      <c r="X1523" s="6">
        <v>71</v>
      </c>
      <c r="Y1523" s="6">
        <v>84</v>
      </c>
      <c r="Z1523" s="6">
        <v>82</v>
      </c>
      <c r="AA1523" s="6">
        <v>68</v>
      </c>
      <c r="AB1523" s="6">
        <v>65</v>
      </c>
      <c r="AC1523" s="6">
        <v>69</v>
      </c>
      <c r="AD1523" s="6">
        <v>67</v>
      </c>
      <c r="AE1523" s="6">
        <v>69</v>
      </c>
      <c r="AF1523" s="6">
        <v>65</v>
      </c>
      <c r="AG1523" s="6" t="s">
        <v>7981</v>
      </c>
      <c r="AH1523" s="6" t="s">
        <v>6587</v>
      </c>
    </row>
    <row r="1524" spans="1:34" x14ac:dyDescent="0.2">
      <c r="A1524" t="s">
        <v>4251</v>
      </c>
      <c r="B1524" t="s">
        <v>2515</v>
      </c>
      <c r="C1524" t="s">
        <v>2871</v>
      </c>
      <c r="D1524" s="7" t="s">
        <v>152</v>
      </c>
      <c r="E1524" t="s">
        <v>38</v>
      </c>
      <c r="F1524">
        <v>28</v>
      </c>
      <c r="G1524">
        <v>66</v>
      </c>
      <c r="H1524">
        <v>69</v>
      </c>
      <c r="I1524" t="s">
        <v>6461</v>
      </c>
      <c r="J1524">
        <v>78</v>
      </c>
      <c r="K1524">
        <v>262</v>
      </c>
      <c r="L1524" t="s">
        <v>5945</v>
      </c>
      <c r="M1524" s="6" t="s">
        <v>6558</v>
      </c>
      <c r="N1524" s="6" t="s">
        <v>6583</v>
      </c>
      <c r="O1524" s="6">
        <v>68</v>
      </c>
      <c r="P1524" s="6">
        <v>68</v>
      </c>
      <c r="Q1524" s="6">
        <v>77</v>
      </c>
      <c r="R1524" s="6">
        <v>77</v>
      </c>
      <c r="S1524" s="6">
        <v>66</v>
      </c>
      <c r="T1524" s="6">
        <v>69</v>
      </c>
      <c r="U1524" s="6">
        <v>71</v>
      </c>
      <c r="V1524" s="6">
        <v>70</v>
      </c>
      <c r="W1524" s="6">
        <v>69</v>
      </c>
      <c r="X1524" s="6">
        <v>70</v>
      </c>
      <c r="Y1524" s="6">
        <v>81</v>
      </c>
      <c r="Z1524" s="6">
        <v>82</v>
      </c>
      <c r="AA1524" s="6">
        <v>60</v>
      </c>
      <c r="AB1524" s="6">
        <v>71</v>
      </c>
      <c r="AC1524" s="6">
        <v>72</v>
      </c>
      <c r="AD1524" s="6">
        <v>69</v>
      </c>
      <c r="AE1524" s="6">
        <v>73</v>
      </c>
      <c r="AF1524" s="6">
        <v>77</v>
      </c>
      <c r="AG1524" s="6" t="s">
        <v>7982</v>
      </c>
      <c r="AH1524" s="6" t="s">
        <v>6585</v>
      </c>
    </row>
    <row r="1525" spans="1:34" x14ac:dyDescent="0.2">
      <c r="A1525" t="s">
        <v>4257</v>
      </c>
      <c r="B1525" t="s">
        <v>2521</v>
      </c>
      <c r="C1525" t="s">
        <v>2876</v>
      </c>
      <c r="D1525" s="7" t="s">
        <v>152</v>
      </c>
      <c r="E1525" t="s">
        <v>58</v>
      </c>
      <c r="F1525">
        <v>32</v>
      </c>
      <c r="G1525">
        <v>59</v>
      </c>
      <c r="H1525">
        <v>69</v>
      </c>
      <c r="I1525" t="s">
        <v>6388</v>
      </c>
      <c r="J1525">
        <v>74</v>
      </c>
      <c r="K1525">
        <v>335</v>
      </c>
      <c r="L1525" t="s">
        <v>5951</v>
      </c>
      <c r="M1525" s="6" t="s">
        <v>6558</v>
      </c>
      <c r="N1525" s="6" t="s">
        <v>6583</v>
      </c>
      <c r="O1525" s="6">
        <v>77</v>
      </c>
      <c r="P1525" s="6">
        <v>74</v>
      </c>
      <c r="Q1525" s="6">
        <v>71</v>
      </c>
      <c r="R1525" s="6">
        <v>80</v>
      </c>
      <c r="S1525" s="6">
        <v>79</v>
      </c>
      <c r="T1525" s="6">
        <v>73</v>
      </c>
      <c r="U1525" s="6">
        <v>81</v>
      </c>
      <c r="V1525" s="6">
        <v>78</v>
      </c>
      <c r="W1525" s="6">
        <v>67</v>
      </c>
      <c r="X1525" s="6">
        <v>76</v>
      </c>
      <c r="Y1525" s="6">
        <v>64</v>
      </c>
      <c r="Z1525" s="6">
        <v>79</v>
      </c>
      <c r="AA1525" s="6">
        <v>67</v>
      </c>
      <c r="AB1525" s="6">
        <v>75</v>
      </c>
      <c r="AC1525" s="6">
        <v>68</v>
      </c>
      <c r="AD1525" s="6">
        <v>68</v>
      </c>
      <c r="AE1525" s="6">
        <v>65</v>
      </c>
      <c r="AF1525" s="6">
        <v>71</v>
      </c>
      <c r="AG1525" s="6" t="s">
        <v>7987</v>
      </c>
      <c r="AH1525" s="6" t="s">
        <v>6600</v>
      </c>
    </row>
    <row r="1526" spans="1:34" x14ac:dyDescent="0.2">
      <c r="A1526" t="s">
        <v>4259</v>
      </c>
      <c r="B1526" t="s">
        <v>2523</v>
      </c>
      <c r="C1526" t="s">
        <v>2878</v>
      </c>
      <c r="D1526" s="7" t="s">
        <v>152</v>
      </c>
      <c r="E1526" t="s">
        <v>38</v>
      </c>
      <c r="F1526">
        <v>28</v>
      </c>
      <c r="G1526">
        <v>90</v>
      </c>
      <c r="H1526">
        <v>69</v>
      </c>
      <c r="I1526" t="s">
        <v>6456</v>
      </c>
      <c r="J1526">
        <v>75</v>
      </c>
      <c r="K1526">
        <v>274</v>
      </c>
      <c r="L1526" t="s">
        <v>5953</v>
      </c>
      <c r="M1526" s="6" t="s">
        <v>6558</v>
      </c>
      <c r="N1526" s="6" t="s">
        <v>6559</v>
      </c>
      <c r="O1526" s="6">
        <v>68</v>
      </c>
      <c r="P1526" s="6">
        <v>78</v>
      </c>
      <c r="Q1526" s="6">
        <v>90</v>
      </c>
      <c r="R1526" s="6">
        <v>82</v>
      </c>
      <c r="S1526" s="6">
        <v>76</v>
      </c>
      <c r="T1526" s="6">
        <v>72</v>
      </c>
      <c r="U1526" s="6">
        <v>78</v>
      </c>
      <c r="V1526" s="6">
        <v>84</v>
      </c>
      <c r="W1526" s="6">
        <v>74</v>
      </c>
      <c r="X1526" s="6">
        <v>75</v>
      </c>
      <c r="Y1526" s="6">
        <v>83</v>
      </c>
      <c r="Z1526" s="6">
        <v>69</v>
      </c>
      <c r="AA1526" s="6">
        <v>76</v>
      </c>
      <c r="AB1526" s="6">
        <v>76</v>
      </c>
      <c r="AC1526" s="6">
        <v>72</v>
      </c>
      <c r="AD1526" s="6">
        <v>78</v>
      </c>
      <c r="AE1526" s="6">
        <v>75</v>
      </c>
      <c r="AF1526" s="6">
        <v>75</v>
      </c>
      <c r="AG1526" s="6" t="s">
        <v>7989</v>
      </c>
      <c r="AH1526" s="6" t="s">
        <v>6612</v>
      </c>
    </row>
    <row r="1527" spans="1:34" x14ac:dyDescent="0.2">
      <c r="A1527" t="s">
        <v>4277</v>
      </c>
      <c r="B1527" t="s">
        <v>2540</v>
      </c>
      <c r="C1527" t="s">
        <v>2883</v>
      </c>
      <c r="D1527" s="7" t="s">
        <v>152</v>
      </c>
      <c r="E1527" t="s">
        <v>38</v>
      </c>
      <c r="F1527">
        <v>28</v>
      </c>
      <c r="G1527">
        <v>64</v>
      </c>
      <c r="H1527">
        <v>69</v>
      </c>
      <c r="I1527" t="s">
        <v>6313</v>
      </c>
      <c r="J1527">
        <v>71</v>
      </c>
      <c r="K1527">
        <v>205</v>
      </c>
      <c r="L1527" t="s">
        <v>5971</v>
      </c>
      <c r="M1527" s="6" t="s">
        <v>6558</v>
      </c>
      <c r="N1527" s="6" t="s">
        <v>6614</v>
      </c>
      <c r="O1527" s="6">
        <v>71</v>
      </c>
      <c r="P1527" s="6">
        <v>69</v>
      </c>
      <c r="Q1527" s="6">
        <v>65</v>
      </c>
      <c r="R1527" s="6">
        <v>58</v>
      </c>
      <c r="S1527" s="6">
        <v>62</v>
      </c>
      <c r="T1527" s="6">
        <v>70</v>
      </c>
      <c r="U1527" s="6">
        <v>69</v>
      </c>
      <c r="V1527" s="6">
        <v>71</v>
      </c>
      <c r="W1527" s="6">
        <v>73</v>
      </c>
      <c r="X1527" s="6">
        <v>62</v>
      </c>
      <c r="Y1527" s="6">
        <v>78</v>
      </c>
      <c r="Z1527" s="6">
        <v>66</v>
      </c>
      <c r="AA1527" s="6">
        <v>68</v>
      </c>
      <c r="AB1527" s="6">
        <v>68</v>
      </c>
      <c r="AC1527" s="6">
        <v>66</v>
      </c>
      <c r="AD1527" s="6">
        <v>67</v>
      </c>
      <c r="AE1527" s="6">
        <v>66</v>
      </c>
      <c r="AF1527" s="6">
        <v>68</v>
      </c>
      <c r="AG1527" s="6" t="s">
        <v>8007</v>
      </c>
      <c r="AH1527" s="6" t="s">
        <v>6640</v>
      </c>
    </row>
    <row r="1528" spans="1:34" x14ac:dyDescent="0.2">
      <c r="A1528" t="s">
        <v>4285</v>
      </c>
      <c r="B1528" t="s">
        <v>2548</v>
      </c>
      <c r="C1528" t="s">
        <v>2885</v>
      </c>
      <c r="D1528" s="7" t="s">
        <v>152</v>
      </c>
      <c r="E1528" t="s">
        <v>58</v>
      </c>
      <c r="F1528">
        <v>25</v>
      </c>
      <c r="G1528">
        <v>76</v>
      </c>
      <c r="H1528">
        <v>69</v>
      </c>
      <c r="I1528" t="s">
        <v>6322</v>
      </c>
      <c r="J1528">
        <v>75</v>
      </c>
      <c r="K1528">
        <v>235</v>
      </c>
      <c r="L1528" t="s">
        <v>5979</v>
      </c>
      <c r="M1528" s="6" t="s">
        <v>6558</v>
      </c>
      <c r="N1528" s="6" t="s">
        <v>6583</v>
      </c>
      <c r="O1528" s="6">
        <v>66</v>
      </c>
      <c r="P1528" s="6">
        <v>65</v>
      </c>
      <c r="Q1528" s="6">
        <v>66</v>
      </c>
      <c r="R1528" s="6">
        <v>77</v>
      </c>
      <c r="S1528" s="6">
        <v>81</v>
      </c>
      <c r="T1528" s="6">
        <v>63</v>
      </c>
      <c r="U1528" s="6">
        <v>77</v>
      </c>
      <c r="V1528" s="6">
        <v>67</v>
      </c>
      <c r="W1528" s="6">
        <v>69</v>
      </c>
      <c r="X1528" s="6">
        <v>61</v>
      </c>
      <c r="Y1528" s="6">
        <v>71</v>
      </c>
      <c r="Z1528" s="6">
        <v>64</v>
      </c>
      <c r="AA1528" s="6">
        <v>65</v>
      </c>
      <c r="AB1528" s="6">
        <v>75</v>
      </c>
      <c r="AC1528" s="6">
        <v>70</v>
      </c>
      <c r="AD1528" s="6">
        <v>79</v>
      </c>
      <c r="AE1528" s="6">
        <v>70</v>
      </c>
      <c r="AF1528" s="6">
        <v>70</v>
      </c>
      <c r="AG1528" s="6" t="s">
        <v>8014</v>
      </c>
      <c r="AH1528" s="6" t="s">
        <v>6628</v>
      </c>
    </row>
    <row r="1529" spans="1:34" x14ac:dyDescent="0.2">
      <c r="A1529" t="s">
        <v>4292</v>
      </c>
      <c r="B1529" t="s">
        <v>2555</v>
      </c>
      <c r="C1529" t="s">
        <v>53</v>
      </c>
      <c r="D1529" s="7" t="s">
        <v>153</v>
      </c>
      <c r="E1529" t="s">
        <v>58</v>
      </c>
      <c r="F1529">
        <v>32</v>
      </c>
      <c r="G1529">
        <v>66</v>
      </c>
      <c r="H1529">
        <v>69</v>
      </c>
      <c r="I1529" t="s">
        <v>6369</v>
      </c>
      <c r="J1529">
        <v>74</v>
      </c>
      <c r="K1529">
        <v>225</v>
      </c>
      <c r="L1529" t="s">
        <v>5986</v>
      </c>
      <c r="M1529" s="6" t="s">
        <v>6558</v>
      </c>
      <c r="N1529" s="6" t="s">
        <v>6559</v>
      </c>
      <c r="O1529" s="6">
        <v>81</v>
      </c>
      <c r="P1529" s="6">
        <v>76</v>
      </c>
      <c r="Q1529" s="6">
        <v>70</v>
      </c>
      <c r="R1529" s="6">
        <v>82</v>
      </c>
      <c r="S1529" s="6">
        <v>71</v>
      </c>
      <c r="T1529" s="6">
        <v>76</v>
      </c>
      <c r="U1529" s="6">
        <v>78</v>
      </c>
      <c r="V1529" s="6">
        <v>77</v>
      </c>
      <c r="W1529" s="6">
        <v>81</v>
      </c>
      <c r="X1529" s="6">
        <v>62</v>
      </c>
      <c r="Y1529" s="6">
        <v>71</v>
      </c>
      <c r="Z1529" s="6">
        <v>80</v>
      </c>
      <c r="AA1529" s="6">
        <v>60</v>
      </c>
      <c r="AB1529" s="6">
        <v>65</v>
      </c>
      <c r="AC1529" s="6">
        <v>63</v>
      </c>
      <c r="AD1529" s="6">
        <v>67</v>
      </c>
      <c r="AE1529" s="6">
        <v>64</v>
      </c>
      <c r="AF1529" s="6">
        <v>59</v>
      </c>
      <c r="AG1529" s="6" t="s">
        <v>8021</v>
      </c>
      <c r="AH1529" s="6" t="s">
        <v>7149</v>
      </c>
    </row>
    <row r="1530" spans="1:34" x14ac:dyDescent="0.2">
      <c r="A1530" t="s">
        <v>4300</v>
      </c>
      <c r="B1530" t="s">
        <v>2563</v>
      </c>
      <c r="C1530" t="s">
        <v>57</v>
      </c>
      <c r="D1530" s="7" t="s">
        <v>153</v>
      </c>
      <c r="E1530" t="s">
        <v>38</v>
      </c>
      <c r="F1530">
        <v>21</v>
      </c>
      <c r="G1530">
        <v>62</v>
      </c>
      <c r="H1530">
        <v>69</v>
      </c>
      <c r="I1530" t="s">
        <v>6392</v>
      </c>
      <c r="J1530">
        <v>71</v>
      </c>
      <c r="K1530">
        <v>200</v>
      </c>
      <c r="L1530" t="s">
        <v>5994</v>
      </c>
      <c r="M1530" s="6" t="s">
        <v>6558</v>
      </c>
      <c r="N1530" s="6" t="s">
        <v>6614</v>
      </c>
      <c r="O1530" s="6">
        <v>71</v>
      </c>
      <c r="P1530" s="6">
        <v>63</v>
      </c>
      <c r="Q1530" s="6">
        <v>68</v>
      </c>
      <c r="R1530" s="6">
        <v>58</v>
      </c>
      <c r="S1530" s="6">
        <v>60</v>
      </c>
      <c r="T1530" s="6">
        <v>67</v>
      </c>
      <c r="U1530" s="6">
        <v>66</v>
      </c>
      <c r="V1530" s="6">
        <v>66</v>
      </c>
      <c r="W1530" s="6">
        <v>67</v>
      </c>
      <c r="X1530" s="6">
        <v>63</v>
      </c>
      <c r="Y1530" s="6">
        <v>59</v>
      </c>
      <c r="Z1530" s="6">
        <v>66</v>
      </c>
      <c r="AA1530" s="6">
        <v>64</v>
      </c>
      <c r="AB1530" s="6">
        <v>66</v>
      </c>
      <c r="AC1530" s="6">
        <v>66</v>
      </c>
      <c r="AD1530" s="6">
        <v>67</v>
      </c>
      <c r="AE1530" s="6">
        <v>66</v>
      </c>
      <c r="AF1530" s="6">
        <v>62</v>
      </c>
      <c r="AG1530" s="6" t="s">
        <v>8029</v>
      </c>
      <c r="AH1530" s="6" t="s">
        <v>6661</v>
      </c>
    </row>
    <row r="1531" spans="1:34" x14ac:dyDescent="0.2">
      <c r="A1531" t="s">
        <v>4302</v>
      </c>
      <c r="B1531" t="s">
        <v>2565</v>
      </c>
      <c r="C1531" t="s">
        <v>2871</v>
      </c>
      <c r="D1531" s="7" t="s">
        <v>153</v>
      </c>
      <c r="E1531" t="s">
        <v>38</v>
      </c>
      <c r="F1531">
        <v>30</v>
      </c>
      <c r="G1531">
        <v>90</v>
      </c>
      <c r="H1531">
        <v>69</v>
      </c>
      <c r="I1531" t="s">
        <v>6358</v>
      </c>
      <c r="J1531">
        <v>74</v>
      </c>
      <c r="K1531">
        <v>270</v>
      </c>
      <c r="L1531" t="s">
        <v>5996</v>
      </c>
      <c r="M1531" s="6" t="s">
        <v>6558</v>
      </c>
      <c r="N1531" s="6" t="s">
        <v>6583</v>
      </c>
      <c r="O1531" s="6">
        <v>84</v>
      </c>
      <c r="P1531" s="6">
        <v>75</v>
      </c>
      <c r="Q1531" s="6">
        <v>83</v>
      </c>
      <c r="R1531" s="6">
        <v>77</v>
      </c>
      <c r="S1531" s="6">
        <v>79</v>
      </c>
      <c r="T1531" s="6">
        <v>81</v>
      </c>
      <c r="U1531" s="6">
        <v>86</v>
      </c>
      <c r="V1531" s="6">
        <v>70</v>
      </c>
      <c r="W1531" s="6">
        <v>85</v>
      </c>
      <c r="X1531" s="6">
        <v>76</v>
      </c>
      <c r="Y1531" s="6">
        <v>79</v>
      </c>
      <c r="Z1531" s="6">
        <v>81</v>
      </c>
      <c r="AA1531" s="6">
        <v>75</v>
      </c>
      <c r="AB1531" s="6">
        <v>76</v>
      </c>
      <c r="AC1531" s="6">
        <v>77</v>
      </c>
      <c r="AD1531" s="6">
        <v>72</v>
      </c>
      <c r="AE1531" s="6">
        <v>73</v>
      </c>
      <c r="AF1531" s="6">
        <v>77</v>
      </c>
      <c r="AG1531" s="6" t="s">
        <v>8031</v>
      </c>
      <c r="AH1531" s="6" t="s">
        <v>6587</v>
      </c>
    </row>
    <row r="1532" spans="1:34" x14ac:dyDescent="0.2">
      <c r="A1532" t="s">
        <v>4303</v>
      </c>
      <c r="B1532" t="s">
        <v>2566</v>
      </c>
      <c r="C1532" t="s">
        <v>2871</v>
      </c>
      <c r="D1532" s="7" t="s">
        <v>153</v>
      </c>
      <c r="E1532" t="s">
        <v>38</v>
      </c>
      <c r="F1532">
        <v>28</v>
      </c>
      <c r="G1532">
        <v>74</v>
      </c>
      <c r="H1532">
        <v>69</v>
      </c>
      <c r="I1532" t="s">
        <v>6380</v>
      </c>
      <c r="J1532">
        <v>76</v>
      </c>
      <c r="K1532">
        <v>252</v>
      </c>
      <c r="L1532" t="s">
        <v>5997</v>
      </c>
      <c r="M1532" s="6" t="s">
        <v>6558</v>
      </c>
      <c r="N1532" s="6" t="s">
        <v>6583</v>
      </c>
      <c r="O1532" s="6">
        <v>67</v>
      </c>
      <c r="P1532" s="6">
        <v>77</v>
      </c>
      <c r="Q1532" s="6">
        <v>77</v>
      </c>
      <c r="R1532" s="6">
        <v>79</v>
      </c>
      <c r="S1532" s="6">
        <v>78</v>
      </c>
      <c r="T1532" s="6">
        <v>77</v>
      </c>
      <c r="U1532" s="6">
        <v>81</v>
      </c>
      <c r="V1532" s="6">
        <v>84</v>
      </c>
      <c r="W1532" s="6">
        <v>92</v>
      </c>
      <c r="X1532" s="6">
        <v>71</v>
      </c>
      <c r="Y1532" s="6">
        <v>79</v>
      </c>
      <c r="Z1532" s="6">
        <v>81</v>
      </c>
      <c r="AA1532" s="6">
        <v>78</v>
      </c>
      <c r="AB1532" s="6">
        <v>77</v>
      </c>
      <c r="AC1532" s="6">
        <v>75</v>
      </c>
      <c r="AD1532" s="6">
        <v>78</v>
      </c>
      <c r="AE1532" s="6">
        <v>79</v>
      </c>
      <c r="AF1532" s="6">
        <v>78</v>
      </c>
      <c r="AG1532" s="6" t="s">
        <v>8032</v>
      </c>
      <c r="AH1532" s="6" t="s">
        <v>6585</v>
      </c>
    </row>
    <row r="1533" spans="1:34" x14ac:dyDescent="0.2">
      <c r="A1533" t="s">
        <v>4307</v>
      </c>
      <c r="B1533" t="s">
        <v>2570</v>
      </c>
      <c r="C1533" t="s">
        <v>2872</v>
      </c>
      <c r="D1533" s="7" t="s">
        <v>153</v>
      </c>
      <c r="E1533" t="s">
        <v>38</v>
      </c>
      <c r="F1533">
        <v>24</v>
      </c>
      <c r="G1533">
        <v>81</v>
      </c>
      <c r="H1533">
        <v>69</v>
      </c>
      <c r="I1533" t="s">
        <v>6419</v>
      </c>
      <c r="J1533">
        <v>77</v>
      </c>
      <c r="K1533">
        <v>318</v>
      </c>
      <c r="L1533" t="s">
        <v>6001</v>
      </c>
      <c r="M1533" s="6" t="s">
        <v>6558</v>
      </c>
      <c r="N1533" s="6" t="s">
        <v>6567</v>
      </c>
      <c r="O1533" s="6">
        <v>79</v>
      </c>
      <c r="P1533" s="6">
        <v>69</v>
      </c>
      <c r="Q1533" s="6">
        <v>71</v>
      </c>
      <c r="R1533" s="6">
        <v>69</v>
      </c>
      <c r="S1533" s="6">
        <v>68</v>
      </c>
      <c r="T1533" s="6">
        <v>75</v>
      </c>
      <c r="U1533" s="6">
        <v>70</v>
      </c>
      <c r="V1533" s="6">
        <v>77</v>
      </c>
      <c r="W1533" s="6">
        <v>72</v>
      </c>
      <c r="X1533" s="6">
        <v>70</v>
      </c>
      <c r="Y1533" s="6">
        <v>79</v>
      </c>
      <c r="Z1533" s="6">
        <v>75</v>
      </c>
      <c r="AA1533" s="6">
        <v>77</v>
      </c>
      <c r="AB1533" s="6">
        <v>72</v>
      </c>
      <c r="AC1533" s="6">
        <v>71</v>
      </c>
      <c r="AD1533" s="6">
        <v>68</v>
      </c>
      <c r="AE1533" s="6">
        <v>70</v>
      </c>
      <c r="AF1533" s="6">
        <v>78</v>
      </c>
      <c r="AG1533" s="6" t="s">
        <v>8036</v>
      </c>
      <c r="AH1533" s="6" t="s">
        <v>6610</v>
      </c>
    </row>
    <row r="1534" spans="1:34" x14ac:dyDescent="0.2">
      <c r="A1534" t="s">
        <v>4314</v>
      </c>
      <c r="B1534" t="s">
        <v>2577</v>
      </c>
      <c r="C1534" t="s">
        <v>2877</v>
      </c>
      <c r="D1534" s="7" t="s">
        <v>153</v>
      </c>
      <c r="E1534" t="s">
        <v>38</v>
      </c>
      <c r="F1534">
        <v>28</v>
      </c>
      <c r="G1534">
        <v>82</v>
      </c>
      <c r="H1534">
        <v>69</v>
      </c>
      <c r="I1534" t="s">
        <v>6395</v>
      </c>
      <c r="J1534">
        <v>75</v>
      </c>
      <c r="K1534">
        <v>314</v>
      </c>
      <c r="L1534" t="s">
        <v>6008</v>
      </c>
      <c r="M1534" s="6" t="s">
        <v>6558</v>
      </c>
      <c r="N1534" s="6" t="s">
        <v>6583</v>
      </c>
      <c r="O1534" s="6">
        <v>85</v>
      </c>
      <c r="P1534" s="6">
        <v>80</v>
      </c>
      <c r="Q1534" s="6">
        <v>74</v>
      </c>
      <c r="R1534" s="6">
        <v>77</v>
      </c>
      <c r="S1534" s="6">
        <v>78</v>
      </c>
      <c r="T1534" s="6">
        <v>66</v>
      </c>
      <c r="U1534" s="6">
        <v>94</v>
      </c>
      <c r="V1534" s="6">
        <v>82</v>
      </c>
      <c r="W1534" s="6">
        <v>69</v>
      </c>
      <c r="X1534" s="6">
        <v>82</v>
      </c>
      <c r="Y1534" s="6">
        <v>85</v>
      </c>
      <c r="Z1534" s="6">
        <v>85</v>
      </c>
      <c r="AA1534" s="6">
        <v>81</v>
      </c>
      <c r="AB1534" s="6">
        <v>84</v>
      </c>
      <c r="AC1534" s="6">
        <v>75</v>
      </c>
      <c r="AD1534" s="6">
        <v>77</v>
      </c>
      <c r="AE1534" s="6">
        <v>84</v>
      </c>
      <c r="AF1534" s="6">
        <v>78</v>
      </c>
      <c r="AG1534" s="6" t="s">
        <v>8043</v>
      </c>
      <c r="AH1534" s="6" t="s">
        <v>6596</v>
      </c>
    </row>
    <row r="1535" spans="1:34" x14ac:dyDescent="0.2">
      <c r="A1535" t="s">
        <v>4316</v>
      </c>
      <c r="B1535" t="s">
        <v>2579</v>
      </c>
      <c r="C1535" t="s">
        <v>2878</v>
      </c>
      <c r="D1535" s="7" t="s">
        <v>153</v>
      </c>
      <c r="E1535" t="s">
        <v>38</v>
      </c>
      <c r="F1535">
        <v>28</v>
      </c>
      <c r="G1535">
        <v>75</v>
      </c>
      <c r="H1535">
        <v>69</v>
      </c>
      <c r="I1535" t="s">
        <v>62</v>
      </c>
      <c r="J1535">
        <v>75</v>
      </c>
      <c r="K1535">
        <v>290</v>
      </c>
      <c r="L1535" t="s">
        <v>6010</v>
      </c>
      <c r="M1535" s="6" t="s">
        <v>6558</v>
      </c>
      <c r="N1535" s="6" t="s">
        <v>6565</v>
      </c>
      <c r="O1535" s="6">
        <v>69</v>
      </c>
      <c r="P1535" s="6">
        <v>68</v>
      </c>
      <c r="Q1535" s="6">
        <v>73</v>
      </c>
      <c r="R1535" s="6">
        <v>73</v>
      </c>
      <c r="S1535" s="6">
        <v>89</v>
      </c>
      <c r="T1535" s="6">
        <v>67</v>
      </c>
      <c r="U1535" s="6">
        <v>68</v>
      </c>
      <c r="V1535" s="6">
        <v>74</v>
      </c>
      <c r="W1535" s="6">
        <v>72</v>
      </c>
      <c r="X1535" s="6">
        <v>80</v>
      </c>
      <c r="Y1535" s="6">
        <v>77</v>
      </c>
      <c r="Z1535" s="6">
        <v>72</v>
      </c>
      <c r="AA1535" s="6">
        <v>70</v>
      </c>
      <c r="AB1535" s="6">
        <v>77</v>
      </c>
      <c r="AC1535" s="6">
        <v>70</v>
      </c>
      <c r="AD1535" s="6">
        <v>78</v>
      </c>
      <c r="AE1535" s="6">
        <v>63</v>
      </c>
      <c r="AF1535" s="6">
        <v>77</v>
      </c>
      <c r="AG1535" s="6" t="s">
        <v>8045</v>
      </c>
      <c r="AH1535" s="6" t="s">
        <v>6797</v>
      </c>
    </row>
    <row r="1536" spans="1:34" x14ac:dyDescent="0.2">
      <c r="A1536" t="s">
        <v>4320</v>
      </c>
      <c r="B1536" t="s">
        <v>2583</v>
      </c>
      <c r="C1536" t="s">
        <v>2879</v>
      </c>
      <c r="D1536" s="7" t="s">
        <v>153</v>
      </c>
      <c r="E1536" t="s">
        <v>38</v>
      </c>
      <c r="F1536">
        <v>27</v>
      </c>
      <c r="G1536">
        <v>70</v>
      </c>
      <c r="H1536">
        <v>69</v>
      </c>
      <c r="I1536" t="s">
        <v>6367</v>
      </c>
      <c r="J1536">
        <v>73</v>
      </c>
      <c r="K1536">
        <v>318</v>
      </c>
      <c r="L1536" t="s">
        <v>6014</v>
      </c>
      <c r="M1536" s="6" t="s">
        <v>6558</v>
      </c>
      <c r="N1536" s="6" t="s">
        <v>6567</v>
      </c>
      <c r="O1536" s="6">
        <v>63</v>
      </c>
      <c r="P1536" s="6">
        <v>72</v>
      </c>
      <c r="Q1536" s="6">
        <v>61</v>
      </c>
      <c r="R1536" s="6">
        <v>64</v>
      </c>
      <c r="S1536" s="6">
        <v>75</v>
      </c>
      <c r="T1536" s="6">
        <v>67</v>
      </c>
      <c r="U1536" s="6">
        <v>76</v>
      </c>
      <c r="V1536" s="6">
        <v>70</v>
      </c>
      <c r="W1536" s="6">
        <v>72</v>
      </c>
      <c r="X1536" s="6">
        <v>69</v>
      </c>
      <c r="Y1536" s="6">
        <v>76</v>
      </c>
      <c r="Z1536" s="6">
        <v>71</v>
      </c>
      <c r="AA1536" s="6">
        <v>71</v>
      </c>
      <c r="AB1536" s="6">
        <v>70</v>
      </c>
      <c r="AC1536" s="6">
        <v>73</v>
      </c>
      <c r="AD1536" s="6">
        <v>68</v>
      </c>
      <c r="AE1536" s="6">
        <v>64</v>
      </c>
      <c r="AF1536" s="6">
        <v>73</v>
      </c>
      <c r="AG1536" s="6" t="s">
        <v>8049</v>
      </c>
      <c r="AH1536" s="6" t="s">
        <v>6617</v>
      </c>
    </row>
    <row r="1537" spans="1:34" x14ac:dyDescent="0.2">
      <c r="A1537" t="s">
        <v>4321</v>
      </c>
      <c r="B1537" t="s">
        <v>2584</v>
      </c>
      <c r="C1537" t="s">
        <v>2879</v>
      </c>
      <c r="D1537" s="7" t="s">
        <v>153</v>
      </c>
      <c r="E1537" t="s">
        <v>38</v>
      </c>
      <c r="F1537">
        <v>26</v>
      </c>
      <c r="G1537">
        <v>62</v>
      </c>
      <c r="H1537">
        <v>69</v>
      </c>
      <c r="I1537" t="s">
        <v>6370</v>
      </c>
      <c r="J1537">
        <v>72</v>
      </c>
      <c r="K1537">
        <v>304</v>
      </c>
      <c r="L1537" t="s">
        <v>6015</v>
      </c>
      <c r="M1537" s="6" t="s">
        <v>6558</v>
      </c>
      <c r="N1537" s="6" t="s">
        <v>6567</v>
      </c>
      <c r="O1537" s="6">
        <v>71</v>
      </c>
      <c r="P1537" s="6">
        <v>67</v>
      </c>
      <c r="Q1537" s="6">
        <v>75</v>
      </c>
      <c r="R1537" s="6">
        <v>67</v>
      </c>
      <c r="S1537" s="6">
        <v>73</v>
      </c>
      <c r="T1537" s="6">
        <v>68</v>
      </c>
      <c r="U1537" s="6">
        <v>73</v>
      </c>
      <c r="V1537" s="6">
        <v>78</v>
      </c>
      <c r="W1537" s="6">
        <v>72</v>
      </c>
      <c r="X1537" s="6">
        <v>59</v>
      </c>
      <c r="Y1537" s="6">
        <v>73</v>
      </c>
      <c r="Z1537" s="6">
        <v>66</v>
      </c>
      <c r="AA1537" s="6">
        <v>74</v>
      </c>
      <c r="AB1537" s="6">
        <v>68</v>
      </c>
      <c r="AC1537" s="6">
        <v>65</v>
      </c>
      <c r="AD1537" s="6">
        <v>79</v>
      </c>
      <c r="AE1537" s="6">
        <v>71</v>
      </c>
      <c r="AF1537" s="6">
        <v>75</v>
      </c>
      <c r="AG1537" s="6" t="s">
        <v>8050</v>
      </c>
      <c r="AH1537" s="6" t="s">
        <v>6861</v>
      </c>
    </row>
    <row r="1538" spans="1:34" x14ac:dyDescent="0.2">
      <c r="A1538" t="s">
        <v>4323</v>
      </c>
      <c r="B1538" t="s">
        <v>2586</v>
      </c>
      <c r="C1538" t="s">
        <v>2880</v>
      </c>
      <c r="D1538" s="7" t="s">
        <v>153</v>
      </c>
      <c r="E1538" t="s">
        <v>38</v>
      </c>
      <c r="F1538">
        <v>24</v>
      </c>
      <c r="G1538">
        <v>76</v>
      </c>
      <c r="H1538">
        <v>69</v>
      </c>
      <c r="I1538" t="s">
        <v>6311</v>
      </c>
      <c r="J1538">
        <v>75</v>
      </c>
      <c r="K1538">
        <v>235</v>
      </c>
      <c r="L1538" t="s">
        <v>6017</v>
      </c>
      <c r="M1538" s="6" t="s">
        <v>6558</v>
      </c>
      <c r="N1538" s="6" t="s">
        <v>6565</v>
      </c>
      <c r="O1538" s="6">
        <v>63</v>
      </c>
      <c r="P1538" s="6">
        <v>70</v>
      </c>
      <c r="Q1538" s="6">
        <v>64</v>
      </c>
      <c r="R1538" s="6">
        <v>71</v>
      </c>
      <c r="S1538" s="6">
        <v>70</v>
      </c>
      <c r="T1538" s="6">
        <v>70</v>
      </c>
      <c r="U1538" s="6">
        <v>78</v>
      </c>
      <c r="V1538" s="6">
        <v>72</v>
      </c>
      <c r="W1538" s="6">
        <v>75</v>
      </c>
      <c r="X1538" s="6">
        <v>82</v>
      </c>
      <c r="Y1538" s="6">
        <v>73</v>
      </c>
      <c r="Z1538" s="6">
        <v>75</v>
      </c>
      <c r="AA1538" s="6">
        <v>70</v>
      </c>
      <c r="AB1538" s="6">
        <v>73</v>
      </c>
      <c r="AC1538" s="6">
        <v>71</v>
      </c>
      <c r="AD1538" s="6">
        <v>71</v>
      </c>
      <c r="AE1538" s="6">
        <v>70</v>
      </c>
      <c r="AF1538" s="6">
        <v>72</v>
      </c>
      <c r="AG1538" s="6" t="s">
        <v>8052</v>
      </c>
      <c r="AH1538" s="6" t="s">
        <v>6623</v>
      </c>
    </row>
    <row r="1539" spans="1:34" x14ac:dyDescent="0.2">
      <c r="A1539" t="s">
        <v>4325</v>
      </c>
      <c r="B1539" t="s">
        <v>2588</v>
      </c>
      <c r="C1539" t="s">
        <v>2881</v>
      </c>
      <c r="D1539" s="7" t="s">
        <v>153</v>
      </c>
      <c r="E1539" t="s">
        <v>38</v>
      </c>
      <c r="F1539">
        <v>26</v>
      </c>
      <c r="G1539">
        <v>63</v>
      </c>
      <c r="H1539">
        <v>69</v>
      </c>
      <c r="I1539" t="s">
        <v>6325</v>
      </c>
      <c r="J1539">
        <v>73</v>
      </c>
      <c r="K1539">
        <v>252</v>
      </c>
      <c r="L1539" t="s">
        <v>6019</v>
      </c>
      <c r="M1539" s="6" t="s">
        <v>6558</v>
      </c>
      <c r="N1539" s="6" t="s">
        <v>6583</v>
      </c>
      <c r="O1539" s="6">
        <v>86</v>
      </c>
      <c r="P1539" s="6">
        <v>70</v>
      </c>
      <c r="Q1539" s="6">
        <v>66</v>
      </c>
      <c r="R1539" s="6">
        <v>80</v>
      </c>
      <c r="S1539" s="6">
        <v>67</v>
      </c>
      <c r="T1539" s="6">
        <v>71</v>
      </c>
      <c r="U1539" s="6">
        <v>77</v>
      </c>
      <c r="V1539" s="6">
        <v>71</v>
      </c>
      <c r="W1539" s="6">
        <v>64</v>
      </c>
      <c r="X1539" s="6">
        <v>68</v>
      </c>
      <c r="Y1539" s="6">
        <v>75</v>
      </c>
      <c r="Z1539" s="6">
        <v>79</v>
      </c>
      <c r="AA1539" s="6">
        <v>72</v>
      </c>
      <c r="AB1539" s="6">
        <v>72</v>
      </c>
      <c r="AC1539" s="6">
        <v>66</v>
      </c>
      <c r="AD1539" s="6">
        <v>69</v>
      </c>
      <c r="AE1539" s="6">
        <v>65</v>
      </c>
      <c r="AF1539" s="6">
        <v>62</v>
      </c>
      <c r="AG1539" s="6" t="s">
        <v>8054</v>
      </c>
      <c r="AH1539" s="6" t="s">
        <v>6692</v>
      </c>
    </row>
    <row r="1540" spans="1:34" x14ac:dyDescent="0.2">
      <c r="A1540" t="s">
        <v>4328</v>
      </c>
      <c r="B1540" t="s">
        <v>2591</v>
      </c>
      <c r="C1540" t="s">
        <v>61</v>
      </c>
      <c r="D1540" s="7" t="s">
        <v>153</v>
      </c>
      <c r="E1540" t="s">
        <v>38</v>
      </c>
      <c r="F1540">
        <v>30</v>
      </c>
      <c r="G1540">
        <v>73</v>
      </c>
      <c r="H1540">
        <v>69</v>
      </c>
      <c r="I1540" t="s">
        <v>6318</v>
      </c>
      <c r="J1540">
        <v>70</v>
      </c>
      <c r="K1540">
        <v>195</v>
      </c>
      <c r="L1540" t="s">
        <v>6022</v>
      </c>
      <c r="M1540" s="6" t="s">
        <v>6558</v>
      </c>
      <c r="N1540" s="6" t="s">
        <v>6567</v>
      </c>
      <c r="O1540" s="6">
        <v>82</v>
      </c>
      <c r="P1540" s="6">
        <v>71</v>
      </c>
      <c r="Q1540" s="6">
        <v>71</v>
      </c>
      <c r="R1540" s="6">
        <v>68</v>
      </c>
      <c r="S1540" s="6">
        <v>82</v>
      </c>
      <c r="T1540" s="6">
        <v>71</v>
      </c>
      <c r="U1540" s="6">
        <v>79</v>
      </c>
      <c r="V1540" s="6">
        <v>73</v>
      </c>
      <c r="W1540" s="6">
        <v>73</v>
      </c>
      <c r="X1540" s="6">
        <v>76</v>
      </c>
      <c r="Y1540" s="6">
        <v>81</v>
      </c>
      <c r="Z1540" s="6">
        <v>79</v>
      </c>
      <c r="AA1540" s="6">
        <v>74</v>
      </c>
      <c r="AB1540" s="6">
        <v>73</v>
      </c>
      <c r="AC1540" s="6">
        <v>65</v>
      </c>
      <c r="AD1540" s="6">
        <v>72</v>
      </c>
      <c r="AE1540" s="6">
        <v>69</v>
      </c>
      <c r="AF1540" s="6">
        <v>73</v>
      </c>
      <c r="AG1540" s="6" t="s">
        <v>8057</v>
      </c>
      <c r="AH1540" s="6" t="s">
        <v>7408</v>
      </c>
    </row>
    <row r="1541" spans="1:34" x14ac:dyDescent="0.2">
      <c r="A1541" t="s">
        <v>4330</v>
      </c>
      <c r="B1541" t="s">
        <v>2593</v>
      </c>
      <c r="C1541" t="s">
        <v>2882</v>
      </c>
      <c r="D1541" s="7" t="s">
        <v>153</v>
      </c>
      <c r="E1541" t="s">
        <v>38</v>
      </c>
      <c r="F1541">
        <v>28</v>
      </c>
      <c r="G1541">
        <v>71</v>
      </c>
      <c r="H1541">
        <v>69</v>
      </c>
      <c r="I1541" t="s">
        <v>6417</v>
      </c>
      <c r="J1541">
        <v>70</v>
      </c>
      <c r="K1541">
        <v>190</v>
      </c>
      <c r="L1541" t="s">
        <v>6024</v>
      </c>
      <c r="M1541" s="6" t="s">
        <v>6558</v>
      </c>
      <c r="N1541" s="6" t="s">
        <v>6567</v>
      </c>
      <c r="O1541" s="6">
        <v>78</v>
      </c>
      <c r="P1541" s="6">
        <v>73</v>
      </c>
      <c r="Q1541" s="6">
        <v>61</v>
      </c>
      <c r="R1541" s="6">
        <v>69</v>
      </c>
      <c r="S1541" s="6">
        <v>68</v>
      </c>
      <c r="T1541" s="6">
        <v>71</v>
      </c>
      <c r="U1541" s="6">
        <v>70</v>
      </c>
      <c r="V1541" s="6">
        <v>68</v>
      </c>
      <c r="W1541" s="6">
        <v>78</v>
      </c>
      <c r="X1541" s="6">
        <v>68</v>
      </c>
      <c r="Y1541" s="6">
        <v>77</v>
      </c>
      <c r="Z1541" s="6">
        <v>86</v>
      </c>
      <c r="AA1541" s="6">
        <v>65</v>
      </c>
      <c r="AB1541" s="6">
        <v>68</v>
      </c>
      <c r="AC1541" s="6">
        <v>77</v>
      </c>
      <c r="AD1541" s="6">
        <v>69</v>
      </c>
      <c r="AE1541" s="6">
        <v>71</v>
      </c>
      <c r="AF1541" s="6">
        <v>78</v>
      </c>
      <c r="AG1541" s="6" t="s">
        <v>8059</v>
      </c>
      <c r="AH1541" s="6" t="s">
        <v>6636</v>
      </c>
    </row>
    <row r="1542" spans="1:34" x14ac:dyDescent="0.2">
      <c r="A1542" t="s">
        <v>4334</v>
      </c>
      <c r="B1542" t="s">
        <v>2597</v>
      </c>
      <c r="C1542" t="s">
        <v>2888</v>
      </c>
      <c r="D1542" s="7" t="s">
        <v>153</v>
      </c>
      <c r="E1542" t="s">
        <v>58</v>
      </c>
      <c r="F1542">
        <v>32</v>
      </c>
      <c r="G1542">
        <v>56</v>
      </c>
      <c r="H1542">
        <v>69</v>
      </c>
      <c r="I1542" t="s">
        <v>6361</v>
      </c>
      <c r="J1542">
        <v>71</v>
      </c>
      <c r="K1542">
        <v>195</v>
      </c>
      <c r="L1542" t="s">
        <v>6028</v>
      </c>
      <c r="M1542" s="6" t="s">
        <v>6558</v>
      </c>
      <c r="N1542" s="6" t="s">
        <v>6583</v>
      </c>
      <c r="O1542" s="6">
        <v>59</v>
      </c>
      <c r="P1542" s="6">
        <v>81</v>
      </c>
      <c r="Q1542" s="6">
        <v>73</v>
      </c>
      <c r="R1542" s="6">
        <v>77</v>
      </c>
      <c r="S1542" s="6">
        <v>78</v>
      </c>
      <c r="T1542" s="6">
        <v>70</v>
      </c>
      <c r="U1542" s="6">
        <v>57</v>
      </c>
      <c r="V1542" s="6">
        <v>78</v>
      </c>
      <c r="W1542" s="6">
        <v>75</v>
      </c>
      <c r="X1542" s="6">
        <v>70</v>
      </c>
      <c r="Y1542" s="6">
        <v>78</v>
      </c>
      <c r="Z1542" s="6">
        <v>65</v>
      </c>
      <c r="AA1542" s="6">
        <v>60</v>
      </c>
      <c r="AB1542" s="6">
        <v>72</v>
      </c>
      <c r="AC1542" s="6">
        <v>65</v>
      </c>
      <c r="AD1542" s="6">
        <v>70</v>
      </c>
      <c r="AE1542" s="6">
        <v>63</v>
      </c>
      <c r="AF1542" s="6">
        <v>69</v>
      </c>
      <c r="AG1542" s="6" t="s">
        <v>8063</v>
      </c>
      <c r="AH1542" s="6" t="s">
        <v>6707</v>
      </c>
    </row>
    <row r="1543" spans="1:34" x14ac:dyDescent="0.2">
      <c r="A1543" t="s">
        <v>4339</v>
      </c>
      <c r="B1543" t="s">
        <v>2602</v>
      </c>
      <c r="C1543" t="s">
        <v>2891</v>
      </c>
      <c r="D1543" s="7" t="s">
        <v>153</v>
      </c>
      <c r="E1543" t="s">
        <v>38</v>
      </c>
      <c r="F1543">
        <v>30</v>
      </c>
      <c r="G1543">
        <v>74</v>
      </c>
      <c r="H1543">
        <v>69</v>
      </c>
      <c r="I1543" t="s">
        <v>6418</v>
      </c>
      <c r="J1543">
        <v>74</v>
      </c>
      <c r="K1543">
        <v>236</v>
      </c>
      <c r="L1543" t="s">
        <v>6033</v>
      </c>
      <c r="M1543" s="6" t="s">
        <v>6558</v>
      </c>
      <c r="N1543" s="6" t="s">
        <v>6565</v>
      </c>
      <c r="O1543" s="6">
        <v>85</v>
      </c>
      <c r="P1543" s="6">
        <v>68</v>
      </c>
      <c r="Q1543" s="6">
        <v>73</v>
      </c>
      <c r="R1543" s="6">
        <v>75</v>
      </c>
      <c r="S1543" s="6">
        <v>80</v>
      </c>
      <c r="T1543" s="6">
        <v>74</v>
      </c>
      <c r="U1543" s="6">
        <v>68</v>
      </c>
      <c r="V1543" s="6">
        <v>79</v>
      </c>
      <c r="W1543" s="6">
        <v>76</v>
      </c>
      <c r="X1543" s="6">
        <v>65</v>
      </c>
      <c r="Y1543" s="6">
        <v>78</v>
      </c>
      <c r="Z1543" s="6">
        <v>78</v>
      </c>
      <c r="AA1543" s="6">
        <v>65</v>
      </c>
      <c r="AB1543" s="6">
        <v>70</v>
      </c>
      <c r="AC1543" s="6">
        <v>69</v>
      </c>
      <c r="AD1543" s="6">
        <v>75</v>
      </c>
      <c r="AE1543" s="6">
        <v>70</v>
      </c>
      <c r="AF1543" s="6">
        <v>66</v>
      </c>
      <c r="AG1543" s="6" t="s">
        <v>8067</v>
      </c>
      <c r="AH1543" s="6" t="s">
        <v>7093</v>
      </c>
    </row>
    <row r="1544" spans="1:34" x14ac:dyDescent="0.2">
      <c r="A1544" t="s">
        <v>4340</v>
      </c>
      <c r="B1544" t="s">
        <v>2603</v>
      </c>
      <c r="C1544" t="s">
        <v>2886</v>
      </c>
      <c r="D1544" s="7" t="s">
        <v>153</v>
      </c>
      <c r="E1544" t="s">
        <v>38</v>
      </c>
      <c r="F1544">
        <v>28</v>
      </c>
      <c r="G1544">
        <v>81</v>
      </c>
      <c r="H1544">
        <v>69</v>
      </c>
      <c r="I1544" t="s">
        <v>6330</v>
      </c>
      <c r="J1544">
        <v>75</v>
      </c>
      <c r="K1544">
        <v>243</v>
      </c>
      <c r="L1544" t="s">
        <v>6034</v>
      </c>
      <c r="M1544" s="6" t="s">
        <v>6558</v>
      </c>
      <c r="N1544" s="6" t="s">
        <v>6559</v>
      </c>
      <c r="O1544" s="6">
        <v>74</v>
      </c>
      <c r="P1544" s="6">
        <v>76</v>
      </c>
      <c r="Q1544" s="6">
        <v>73</v>
      </c>
      <c r="R1544" s="6">
        <v>82</v>
      </c>
      <c r="S1544" s="6">
        <v>78</v>
      </c>
      <c r="T1544" s="6">
        <v>73</v>
      </c>
      <c r="U1544" s="6">
        <v>69</v>
      </c>
      <c r="V1544" s="6">
        <v>79</v>
      </c>
      <c r="W1544" s="6">
        <v>86</v>
      </c>
      <c r="X1544" s="6">
        <v>85</v>
      </c>
      <c r="Y1544" s="6">
        <v>83</v>
      </c>
      <c r="Z1544" s="6">
        <v>67</v>
      </c>
      <c r="AA1544" s="6">
        <v>76</v>
      </c>
      <c r="AB1544" s="6">
        <v>73</v>
      </c>
      <c r="AC1544" s="6">
        <v>74</v>
      </c>
      <c r="AD1544" s="6">
        <v>69</v>
      </c>
      <c r="AE1544" s="6">
        <v>75</v>
      </c>
      <c r="AF1544" s="6">
        <v>77</v>
      </c>
      <c r="AG1544" s="6" t="s">
        <v>8068</v>
      </c>
      <c r="AH1544" s="6" t="s">
        <v>6649</v>
      </c>
    </row>
    <row r="1545" spans="1:34" x14ac:dyDescent="0.2">
      <c r="A1545" t="s">
        <v>4347</v>
      </c>
      <c r="B1545" t="s">
        <v>2610</v>
      </c>
      <c r="C1545" t="s">
        <v>57</v>
      </c>
      <c r="D1545" s="7" t="s">
        <v>156</v>
      </c>
      <c r="E1545" t="s">
        <v>38</v>
      </c>
      <c r="F1545">
        <v>23</v>
      </c>
      <c r="G1545">
        <v>76</v>
      </c>
      <c r="H1545">
        <v>69</v>
      </c>
      <c r="I1545" t="s">
        <v>6396</v>
      </c>
      <c r="J1545">
        <v>73</v>
      </c>
      <c r="K1545">
        <v>207</v>
      </c>
      <c r="L1545" t="s">
        <v>6041</v>
      </c>
      <c r="M1545" s="6" t="s">
        <v>6558</v>
      </c>
      <c r="N1545" s="6" t="s">
        <v>6565</v>
      </c>
      <c r="O1545" s="6">
        <v>73</v>
      </c>
      <c r="P1545" s="6">
        <v>69</v>
      </c>
      <c r="Q1545" s="6">
        <v>74</v>
      </c>
      <c r="R1545" s="6">
        <v>72</v>
      </c>
      <c r="S1545" s="6">
        <v>78</v>
      </c>
      <c r="T1545" s="6">
        <v>70</v>
      </c>
      <c r="U1545" s="6">
        <v>72</v>
      </c>
      <c r="V1545" s="6">
        <v>79</v>
      </c>
      <c r="W1545" s="6">
        <v>79</v>
      </c>
      <c r="X1545" s="6">
        <v>68</v>
      </c>
      <c r="Y1545" s="6">
        <v>71</v>
      </c>
      <c r="Z1545" s="6">
        <v>72</v>
      </c>
      <c r="AA1545" s="6">
        <v>74</v>
      </c>
      <c r="AB1545" s="6">
        <v>74</v>
      </c>
      <c r="AC1545" s="6">
        <v>73</v>
      </c>
      <c r="AD1545" s="6">
        <v>74</v>
      </c>
      <c r="AE1545" s="6">
        <v>73</v>
      </c>
      <c r="AF1545" s="6">
        <v>81</v>
      </c>
      <c r="AG1545" s="6" t="s">
        <v>8074</v>
      </c>
      <c r="AH1545" s="6" t="s">
        <v>6730</v>
      </c>
    </row>
    <row r="1546" spans="1:34" x14ac:dyDescent="0.2">
      <c r="A1546" t="s">
        <v>4348</v>
      </c>
      <c r="B1546" t="s">
        <v>2611</v>
      </c>
      <c r="C1546" t="s">
        <v>57</v>
      </c>
      <c r="D1546" s="7" t="s">
        <v>156</v>
      </c>
      <c r="E1546" t="s">
        <v>38</v>
      </c>
      <c r="F1546">
        <v>26</v>
      </c>
      <c r="G1546">
        <v>69</v>
      </c>
      <c r="H1546">
        <v>69</v>
      </c>
      <c r="I1546" t="s">
        <v>6337</v>
      </c>
      <c r="J1546">
        <v>73</v>
      </c>
      <c r="K1546">
        <v>219</v>
      </c>
      <c r="L1546" t="s">
        <v>6042</v>
      </c>
      <c r="M1546" s="6" t="s">
        <v>6558</v>
      </c>
      <c r="N1546" s="6" t="s">
        <v>6565</v>
      </c>
      <c r="O1546" s="6">
        <v>70</v>
      </c>
      <c r="P1546" s="6">
        <v>69</v>
      </c>
      <c r="Q1546" s="6">
        <v>62</v>
      </c>
      <c r="R1546" s="6">
        <v>73</v>
      </c>
      <c r="S1546" s="6">
        <v>73</v>
      </c>
      <c r="T1546" s="6">
        <v>75</v>
      </c>
      <c r="U1546" s="6">
        <v>74</v>
      </c>
      <c r="V1546" s="6">
        <v>76</v>
      </c>
      <c r="W1546" s="6">
        <v>64</v>
      </c>
      <c r="X1546" s="6">
        <v>75</v>
      </c>
      <c r="Y1546" s="6">
        <v>80</v>
      </c>
      <c r="Z1546" s="6">
        <v>68</v>
      </c>
      <c r="AA1546" s="6">
        <v>70</v>
      </c>
      <c r="AB1546" s="6">
        <v>65</v>
      </c>
      <c r="AC1546" s="6">
        <v>70</v>
      </c>
      <c r="AD1546" s="6">
        <v>72</v>
      </c>
      <c r="AE1546" s="6">
        <v>67</v>
      </c>
      <c r="AF1546" s="6">
        <v>70</v>
      </c>
      <c r="AG1546" s="6" t="s">
        <v>8075</v>
      </c>
      <c r="AH1546" s="6" t="s">
        <v>6574</v>
      </c>
    </row>
    <row r="1547" spans="1:34" x14ac:dyDescent="0.2">
      <c r="A1547" t="s">
        <v>4350</v>
      </c>
      <c r="B1547" t="s">
        <v>2613</v>
      </c>
      <c r="C1547" t="s">
        <v>2871</v>
      </c>
      <c r="D1547" s="7" t="s">
        <v>156</v>
      </c>
      <c r="E1547" t="s">
        <v>38</v>
      </c>
      <c r="F1547">
        <v>24</v>
      </c>
      <c r="G1547">
        <v>77</v>
      </c>
      <c r="H1547">
        <v>69</v>
      </c>
      <c r="I1547" t="s">
        <v>6338</v>
      </c>
      <c r="J1547">
        <v>75</v>
      </c>
      <c r="K1547">
        <v>262</v>
      </c>
      <c r="L1547" t="s">
        <v>6044</v>
      </c>
      <c r="M1547" s="6" t="s">
        <v>6558</v>
      </c>
      <c r="N1547" s="6" t="s">
        <v>6565</v>
      </c>
      <c r="O1547" s="6">
        <v>82</v>
      </c>
      <c r="P1547" s="6">
        <v>77</v>
      </c>
      <c r="Q1547" s="6">
        <v>74</v>
      </c>
      <c r="R1547" s="6">
        <v>74</v>
      </c>
      <c r="S1547" s="6">
        <v>72</v>
      </c>
      <c r="T1547" s="6">
        <v>78</v>
      </c>
      <c r="U1547" s="6">
        <v>82</v>
      </c>
      <c r="V1547" s="6">
        <v>80</v>
      </c>
      <c r="W1547" s="6">
        <v>77</v>
      </c>
      <c r="X1547" s="6">
        <v>77</v>
      </c>
      <c r="Y1547" s="6">
        <v>77</v>
      </c>
      <c r="Z1547" s="6">
        <v>86</v>
      </c>
      <c r="AA1547" s="6">
        <v>71</v>
      </c>
      <c r="AB1547" s="6">
        <v>85</v>
      </c>
      <c r="AC1547" s="6">
        <v>75</v>
      </c>
      <c r="AD1547" s="6">
        <v>79</v>
      </c>
      <c r="AE1547" s="6">
        <v>67</v>
      </c>
      <c r="AF1547" s="6">
        <v>75</v>
      </c>
      <c r="AG1547" s="6" t="s">
        <v>8077</v>
      </c>
      <c r="AH1547" s="6" t="s">
        <v>6587</v>
      </c>
    </row>
    <row r="1548" spans="1:34" x14ac:dyDescent="0.2">
      <c r="A1548" t="s">
        <v>4361</v>
      </c>
      <c r="B1548" t="s">
        <v>2624</v>
      </c>
      <c r="C1548" t="s">
        <v>2877</v>
      </c>
      <c r="D1548" s="7" t="s">
        <v>156</v>
      </c>
      <c r="E1548" t="s">
        <v>38</v>
      </c>
      <c r="F1548">
        <v>29</v>
      </c>
      <c r="G1548">
        <v>69</v>
      </c>
      <c r="H1548">
        <v>69</v>
      </c>
      <c r="I1548" t="s">
        <v>6336</v>
      </c>
      <c r="J1548">
        <v>77</v>
      </c>
      <c r="K1548">
        <v>308</v>
      </c>
      <c r="L1548" t="s">
        <v>6055</v>
      </c>
      <c r="M1548" s="6" t="s">
        <v>6558</v>
      </c>
      <c r="N1548" s="6" t="s">
        <v>6567</v>
      </c>
      <c r="O1548" s="6">
        <v>82</v>
      </c>
      <c r="P1548" s="6">
        <v>78</v>
      </c>
      <c r="Q1548" s="6">
        <v>73</v>
      </c>
      <c r="R1548" s="6">
        <v>65</v>
      </c>
      <c r="S1548" s="6">
        <v>82</v>
      </c>
      <c r="T1548" s="6">
        <v>72</v>
      </c>
      <c r="U1548" s="6">
        <v>65</v>
      </c>
      <c r="V1548" s="6">
        <v>79</v>
      </c>
      <c r="W1548" s="6">
        <v>85</v>
      </c>
      <c r="X1548" s="6">
        <v>74</v>
      </c>
      <c r="Y1548" s="6">
        <v>77</v>
      </c>
      <c r="Z1548" s="6">
        <v>67</v>
      </c>
      <c r="AA1548" s="6">
        <v>74</v>
      </c>
      <c r="AB1548" s="6">
        <v>70</v>
      </c>
      <c r="AC1548" s="6">
        <v>74</v>
      </c>
      <c r="AD1548" s="6">
        <v>68</v>
      </c>
      <c r="AE1548" s="6">
        <v>63</v>
      </c>
      <c r="AF1548" s="6">
        <v>74</v>
      </c>
      <c r="AG1548" s="6" t="s">
        <v>8088</v>
      </c>
      <c r="AH1548" s="6" t="s">
        <v>6596</v>
      </c>
    </row>
    <row r="1549" spans="1:34" x14ac:dyDescent="0.2">
      <c r="A1549" t="s">
        <v>4364</v>
      </c>
      <c r="B1549" t="s">
        <v>2627</v>
      </c>
      <c r="C1549" t="s">
        <v>2878</v>
      </c>
      <c r="D1549" s="7" t="s">
        <v>156</v>
      </c>
      <c r="E1549" t="s">
        <v>38</v>
      </c>
      <c r="F1549">
        <v>31</v>
      </c>
      <c r="G1549">
        <v>71</v>
      </c>
      <c r="H1549">
        <v>69</v>
      </c>
      <c r="I1549" t="s">
        <v>6302</v>
      </c>
      <c r="J1549">
        <v>74</v>
      </c>
      <c r="K1549">
        <v>256</v>
      </c>
      <c r="L1549" t="s">
        <v>6058</v>
      </c>
      <c r="M1549" s="6" t="s">
        <v>6558</v>
      </c>
      <c r="N1549" s="6" t="s">
        <v>6567</v>
      </c>
      <c r="O1549" s="6">
        <v>65</v>
      </c>
      <c r="P1549" s="6">
        <v>70</v>
      </c>
      <c r="Q1549" s="6">
        <v>71</v>
      </c>
      <c r="R1549" s="6">
        <v>67</v>
      </c>
      <c r="S1549" s="6">
        <v>72</v>
      </c>
      <c r="T1549" s="6">
        <v>75</v>
      </c>
      <c r="U1549" s="6">
        <v>66</v>
      </c>
      <c r="V1549" s="6">
        <v>76</v>
      </c>
      <c r="W1549" s="6">
        <v>72</v>
      </c>
      <c r="X1549" s="6">
        <v>75</v>
      </c>
      <c r="Y1549" s="6">
        <v>81</v>
      </c>
      <c r="Z1549" s="6">
        <v>74</v>
      </c>
      <c r="AA1549" s="6">
        <v>60</v>
      </c>
      <c r="AB1549" s="6">
        <v>63</v>
      </c>
      <c r="AC1549" s="6">
        <v>65</v>
      </c>
      <c r="AD1549" s="6">
        <v>75</v>
      </c>
      <c r="AE1549" s="6">
        <v>67</v>
      </c>
      <c r="AF1549" s="6">
        <v>68</v>
      </c>
      <c r="AG1549" s="6" t="s">
        <v>8091</v>
      </c>
      <c r="AH1549" s="6" t="s">
        <v>6686</v>
      </c>
    </row>
    <row r="1550" spans="1:34" x14ac:dyDescent="0.2">
      <c r="A1550" t="s">
        <v>4368</v>
      </c>
      <c r="B1550" t="s">
        <v>2631</v>
      </c>
      <c r="C1550" t="s">
        <v>2879</v>
      </c>
      <c r="D1550" s="7" t="s">
        <v>156</v>
      </c>
      <c r="E1550" t="s">
        <v>58</v>
      </c>
      <c r="F1550">
        <v>30</v>
      </c>
      <c r="G1550">
        <v>75</v>
      </c>
      <c r="H1550">
        <v>69</v>
      </c>
      <c r="I1550" t="s">
        <v>6386</v>
      </c>
      <c r="J1550">
        <v>72</v>
      </c>
      <c r="K1550">
        <v>290</v>
      </c>
      <c r="L1550" t="s">
        <v>6062</v>
      </c>
      <c r="M1550" s="6" t="s">
        <v>6558</v>
      </c>
      <c r="N1550" s="6" t="s">
        <v>6567</v>
      </c>
      <c r="O1550" s="6">
        <v>69</v>
      </c>
      <c r="P1550" s="6">
        <v>63</v>
      </c>
      <c r="Q1550" s="6">
        <v>72</v>
      </c>
      <c r="R1550" s="6">
        <v>65</v>
      </c>
      <c r="S1550" s="6">
        <v>75</v>
      </c>
      <c r="T1550" s="6">
        <v>84</v>
      </c>
      <c r="U1550" s="6">
        <v>79</v>
      </c>
      <c r="V1550" s="6">
        <v>82</v>
      </c>
      <c r="W1550" s="6">
        <v>82</v>
      </c>
      <c r="X1550" s="6">
        <v>73</v>
      </c>
      <c r="Y1550" s="6">
        <v>74</v>
      </c>
      <c r="Z1550" s="6">
        <v>78</v>
      </c>
      <c r="AA1550" s="6">
        <v>69</v>
      </c>
      <c r="AB1550" s="6">
        <v>69</v>
      </c>
      <c r="AC1550" s="6">
        <v>64</v>
      </c>
      <c r="AD1550" s="6">
        <v>69</v>
      </c>
      <c r="AE1550" s="6">
        <v>63</v>
      </c>
      <c r="AF1550" s="6">
        <v>70</v>
      </c>
      <c r="AG1550" s="6" t="s">
        <v>8095</v>
      </c>
      <c r="AH1550" s="6" t="s">
        <v>6617</v>
      </c>
    </row>
    <row r="1551" spans="1:34" x14ac:dyDescent="0.2">
      <c r="A1551" t="s">
        <v>4369</v>
      </c>
      <c r="B1551" t="s">
        <v>2632</v>
      </c>
      <c r="C1551" t="s">
        <v>2879</v>
      </c>
      <c r="D1551" s="7" t="s">
        <v>156</v>
      </c>
      <c r="E1551" t="s">
        <v>38</v>
      </c>
      <c r="F1551">
        <v>27</v>
      </c>
      <c r="G1551">
        <v>74</v>
      </c>
      <c r="H1551">
        <v>69</v>
      </c>
      <c r="I1551" t="s">
        <v>6351</v>
      </c>
      <c r="J1551">
        <v>74</v>
      </c>
      <c r="K1551">
        <v>320</v>
      </c>
      <c r="L1551" t="s">
        <v>6063</v>
      </c>
      <c r="M1551" s="6" t="s">
        <v>6558</v>
      </c>
      <c r="N1551" s="6" t="s">
        <v>6565</v>
      </c>
      <c r="O1551" s="6">
        <v>77</v>
      </c>
      <c r="P1551" s="6">
        <v>69</v>
      </c>
      <c r="Q1551" s="6">
        <v>71</v>
      </c>
      <c r="R1551" s="6">
        <v>72</v>
      </c>
      <c r="S1551" s="6">
        <v>75</v>
      </c>
      <c r="T1551" s="6">
        <v>75</v>
      </c>
      <c r="U1551" s="6">
        <v>85</v>
      </c>
      <c r="V1551" s="6">
        <v>71</v>
      </c>
      <c r="W1551" s="6">
        <v>72</v>
      </c>
      <c r="X1551" s="6">
        <v>81</v>
      </c>
      <c r="Y1551" s="6">
        <v>86</v>
      </c>
      <c r="Z1551" s="6">
        <v>77</v>
      </c>
      <c r="AA1551" s="6">
        <v>69</v>
      </c>
      <c r="AB1551" s="6">
        <v>80</v>
      </c>
      <c r="AC1551" s="6">
        <v>74</v>
      </c>
      <c r="AD1551" s="6">
        <v>67</v>
      </c>
      <c r="AE1551" s="6">
        <v>72</v>
      </c>
      <c r="AF1551" s="6">
        <v>70</v>
      </c>
      <c r="AG1551" s="6" t="s">
        <v>8096</v>
      </c>
      <c r="AH1551" s="6" t="s">
        <v>6752</v>
      </c>
    </row>
    <row r="1552" spans="1:34" x14ac:dyDescent="0.2">
      <c r="A1552" t="s">
        <v>4371</v>
      </c>
      <c r="B1552" t="s">
        <v>2634</v>
      </c>
      <c r="C1552" t="s">
        <v>2879</v>
      </c>
      <c r="D1552" s="7" t="s">
        <v>156</v>
      </c>
      <c r="E1552" t="s">
        <v>58</v>
      </c>
      <c r="F1552">
        <v>24</v>
      </c>
      <c r="G1552">
        <v>63</v>
      </c>
      <c r="H1552">
        <v>69</v>
      </c>
      <c r="I1552" t="s">
        <v>6383</v>
      </c>
      <c r="J1552">
        <v>74</v>
      </c>
      <c r="K1552">
        <v>305</v>
      </c>
      <c r="L1552" t="s">
        <v>6065</v>
      </c>
      <c r="M1552" s="6" t="s">
        <v>6558</v>
      </c>
      <c r="N1552" s="6" t="s">
        <v>6614</v>
      </c>
      <c r="O1552" s="6">
        <v>73</v>
      </c>
      <c r="P1552" s="6">
        <v>64</v>
      </c>
      <c r="Q1552" s="6">
        <v>68</v>
      </c>
      <c r="R1552" s="6">
        <v>59</v>
      </c>
      <c r="S1552" s="6">
        <v>54</v>
      </c>
      <c r="T1552" s="6">
        <v>65</v>
      </c>
      <c r="U1552" s="6">
        <v>71</v>
      </c>
      <c r="V1552" s="6">
        <v>60</v>
      </c>
      <c r="W1552" s="6">
        <v>62</v>
      </c>
      <c r="X1552" s="6">
        <v>63</v>
      </c>
      <c r="Y1552" s="6">
        <v>75</v>
      </c>
      <c r="Z1552" s="6">
        <v>70</v>
      </c>
      <c r="AA1552" s="6">
        <v>67</v>
      </c>
      <c r="AB1552" s="6">
        <v>69</v>
      </c>
      <c r="AC1552" s="6">
        <v>51</v>
      </c>
      <c r="AD1552" s="6">
        <v>65</v>
      </c>
      <c r="AE1552" s="6">
        <v>65</v>
      </c>
      <c r="AF1552" s="6">
        <v>67</v>
      </c>
      <c r="AG1552" s="6" t="s">
        <v>8098</v>
      </c>
      <c r="AH1552" s="6" t="s">
        <v>6617</v>
      </c>
    </row>
    <row r="1553" spans="1:34" x14ac:dyDescent="0.2">
      <c r="A1553" t="s">
        <v>4372</v>
      </c>
      <c r="B1553" t="s">
        <v>2635</v>
      </c>
      <c r="C1553" t="s">
        <v>2880</v>
      </c>
      <c r="D1553" s="7" t="s">
        <v>156</v>
      </c>
      <c r="E1553" t="s">
        <v>38</v>
      </c>
      <c r="F1553">
        <v>23</v>
      </c>
      <c r="G1553">
        <v>81</v>
      </c>
      <c r="H1553">
        <v>69</v>
      </c>
      <c r="I1553" t="s">
        <v>8334</v>
      </c>
      <c r="J1553">
        <v>75</v>
      </c>
      <c r="K1553">
        <v>247</v>
      </c>
      <c r="L1553" t="s">
        <v>6066</v>
      </c>
      <c r="M1553" s="6" t="s">
        <v>6558</v>
      </c>
      <c r="N1553" s="6" t="s">
        <v>6583</v>
      </c>
      <c r="O1553" s="6">
        <v>83</v>
      </c>
      <c r="P1553" s="6">
        <v>64</v>
      </c>
      <c r="Q1553" s="6">
        <v>71</v>
      </c>
      <c r="R1553" s="6">
        <v>79</v>
      </c>
      <c r="S1553" s="6">
        <v>58</v>
      </c>
      <c r="T1553" s="6">
        <v>71</v>
      </c>
      <c r="U1553" s="6">
        <v>72</v>
      </c>
      <c r="V1553" s="6">
        <v>65</v>
      </c>
      <c r="W1553" s="6">
        <v>68</v>
      </c>
      <c r="X1553" s="6">
        <v>78</v>
      </c>
      <c r="Y1553" s="6">
        <v>69</v>
      </c>
      <c r="Z1553" s="6">
        <v>73</v>
      </c>
      <c r="AA1553" s="6">
        <v>66</v>
      </c>
      <c r="AB1553" s="6">
        <v>68</v>
      </c>
      <c r="AC1553" s="6">
        <v>64</v>
      </c>
      <c r="AD1553" s="6">
        <v>72</v>
      </c>
      <c r="AE1553" s="6">
        <v>64</v>
      </c>
      <c r="AF1553" s="6">
        <v>62</v>
      </c>
      <c r="AG1553" s="6" t="s">
        <v>8099</v>
      </c>
      <c r="AH1553" s="6" t="s">
        <v>6623</v>
      </c>
    </row>
    <row r="1554" spans="1:34" x14ac:dyDescent="0.2">
      <c r="A1554" t="s">
        <v>4379</v>
      </c>
      <c r="B1554" t="s">
        <v>2642</v>
      </c>
      <c r="C1554" t="s">
        <v>2882</v>
      </c>
      <c r="D1554" s="7" t="s">
        <v>156</v>
      </c>
      <c r="E1554" t="s">
        <v>58</v>
      </c>
      <c r="F1554">
        <v>28</v>
      </c>
      <c r="G1554">
        <v>76</v>
      </c>
      <c r="H1554">
        <v>69</v>
      </c>
      <c r="I1554" t="s">
        <v>6310</v>
      </c>
      <c r="J1554">
        <v>71</v>
      </c>
      <c r="K1554">
        <v>193</v>
      </c>
      <c r="L1554" t="s">
        <v>6073</v>
      </c>
      <c r="M1554" s="6" t="s">
        <v>6558</v>
      </c>
      <c r="N1554" s="6" t="s">
        <v>6567</v>
      </c>
      <c r="O1554" s="6">
        <v>74</v>
      </c>
      <c r="P1554" s="6">
        <v>75</v>
      </c>
      <c r="Q1554" s="6">
        <v>76</v>
      </c>
      <c r="R1554" s="6">
        <v>63</v>
      </c>
      <c r="S1554" s="6">
        <v>78</v>
      </c>
      <c r="T1554" s="6">
        <v>77</v>
      </c>
      <c r="U1554" s="6">
        <v>80</v>
      </c>
      <c r="V1554" s="6">
        <v>74</v>
      </c>
      <c r="W1554" s="6">
        <v>76</v>
      </c>
      <c r="X1554" s="6">
        <v>78</v>
      </c>
      <c r="Y1554" s="6">
        <v>77</v>
      </c>
      <c r="Z1554" s="6">
        <v>80</v>
      </c>
      <c r="AA1554" s="6">
        <v>70</v>
      </c>
      <c r="AB1554" s="6">
        <v>72</v>
      </c>
      <c r="AC1554" s="6">
        <v>73</v>
      </c>
      <c r="AD1554" s="6">
        <v>67</v>
      </c>
      <c r="AE1554" s="6">
        <v>74</v>
      </c>
      <c r="AF1554" s="6">
        <v>75</v>
      </c>
      <c r="AG1554" s="6" t="s">
        <v>8106</v>
      </c>
      <c r="AH1554" s="6" t="s">
        <v>6636</v>
      </c>
    </row>
    <row r="1555" spans="1:34" x14ac:dyDescent="0.2">
      <c r="A1555" t="s">
        <v>4383</v>
      </c>
      <c r="B1555" t="s">
        <v>2646</v>
      </c>
      <c r="C1555" t="s">
        <v>2888</v>
      </c>
      <c r="D1555" s="7" t="s">
        <v>156</v>
      </c>
      <c r="E1555" t="s">
        <v>58</v>
      </c>
      <c r="F1555">
        <v>33</v>
      </c>
      <c r="G1555">
        <v>59</v>
      </c>
      <c r="H1555">
        <v>69</v>
      </c>
      <c r="I1555" t="s">
        <v>6348</v>
      </c>
      <c r="J1555">
        <v>70</v>
      </c>
      <c r="K1555">
        <v>170</v>
      </c>
      <c r="L1555" t="s">
        <v>6077</v>
      </c>
      <c r="M1555" s="6" t="s">
        <v>6558</v>
      </c>
      <c r="N1555" s="6" t="s">
        <v>6565</v>
      </c>
      <c r="O1555" s="6">
        <v>73</v>
      </c>
      <c r="P1555" s="6">
        <v>72</v>
      </c>
      <c r="Q1555" s="6">
        <v>77</v>
      </c>
      <c r="R1555" s="6">
        <v>75</v>
      </c>
      <c r="S1555" s="6">
        <v>82</v>
      </c>
      <c r="T1555" s="6">
        <v>74</v>
      </c>
      <c r="U1555" s="6">
        <v>67</v>
      </c>
      <c r="V1555" s="6">
        <v>76</v>
      </c>
      <c r="W1555" s="6">
        <v>81</v>
      </c>
      <c r="X1555" s="6">
        <v>78</v>
      </c>
      <c r="Y1555" s="6">
        <v>76</v>
      </c>
      <c r="Z1555" s="6">
        <v>78</v>
      </c>
      <c r="AA1555" s="6">
        <v>65</v>
      </c>
      <c r="AB1555" s="6">
        <v>67</v>
      </c>
      <c r="AC1555" s="6">
        <v>59</v>
      </c>
      <c r="AD1555" s="6">
        <v>63</v>
      </c>
      <c r="AE1555" s="6">
        <v>65</v>
      </c>
      <c r="AF1555" s="6">
        <v>61</v>
      </c>
      <c r="AG1555" s="6" t="s">
        <v>8109</v>
      </c>
      <c r="AH1555" s="6" t="s">
        <v>6980</v>
      </c>
    </row>
    <row r="1556" spans="1:34" x14ac:dyDescent="0.2">
      <c r="A1556" t="s">
        <v>4385</v>
      </c>
      <c r="B1556" t="s">
        <v>2648</v>
      </c>
      <c r="C1556" t="s">
        <v>2889</v>
      </c>
      <c r="D1556" s="7" t="s">
        <v>156</v>
      </c>
      <c r="E1556" t="s">
        <v>38</v>
      </c>
      <c r="F1556">
        <v>29</v>
      </c>
      <c r="G1556">
        <v>64</v>
      </c>
      <c r="H1556">
        <v>69</v>
      </c>
      <c r="I1556" t="s">
        <v>6322</v>
      </c>
      <c r="J1556">
        <v>76</v>
      </c>
      <c r="K1556">
        <v>255</v>
      </c>
      <c r="L1556" t="s">
        <v>6079</v>
      </c>
      <c r="M1556" s="6" t="s">
        <v>6558</v>
      </c>
      <c r="N1556" s="6" t="s">
        <v>6583</v>
      </c>
      <c r="O1556" s="6">
        <v>78</v>
      </c>
      <c r="P1556" s="6">
        <v>76</v>
      </c>
      <c r="Q1556" s="6">
        <v>79</v>
      </c>
      <c r="R1556" s="6">
        <v>80</v>
      </c>
      <c r="S1556" s="6">
        <v>71</v>
      </c>
      <c r="T1556" s="6">
        <v>66</v>
      </c>
      <c r="U1556" s="6">
        <v>69</v>
      </c>
      <c r="V1556" s="6">
        <v>73</v>
      </c>
      <c r="W1556" s="6">
        <v>71</v>
      </c>
      <c r="X1556" s="6">
        <v>69</v>
      </c>
      <c r="Y1556" s="6">
        <v>65</v>
      </c>
      <c r="Z1556" s="6">
        <v>72</v>
      </c>
      <c r="AA1556" s="6">
        <v>62</v>
      </c>
      <c r="AB1556" s="6">
        <v>62</v>
      </c>
      <c r="AC1556" s="6">
        <v>68</v>
      </c>
      <c r="AD1556" s="6">
        <v>65</v>
      </c>
      <c r="AE1556" s="6">
        <v>66</v>
      </c>
      <c r="AF1556" s="6">
        <v>67</v>
      </c>
      <c r="AG1556" s="6" t="s">
        <v>8111</v>
      </c>
      <c r="AH1556" s="6" t="s">
        <v>6709</v>
      </c>
    </row>
    <row r="1557" spans="1:34" x14ac:dyDescent="0.2">
      <c r="A1557" t="s">
        <v>4394</v>
      </c>
      <c r="B1557" t="s">
        <v>2657</v>
      </c>
      <c r="C1557" t="s">
        <v>53</v>
      </c>
      <c r="D1557" s="7" t="s">
        <v>158</v>
      </c>
      <c r="E1557" t="s">
        <v>38</v>
      </c>
      <c r="F1557">
        <v>24</v>
      </c>
      <c r="G1557">
        <v>73</v>
      </c>
      <c r="H1557">
        <v>69</v>
      </c>
      <c r="I1557" t="s">
        <v>6338</v>
      </c>
      <c r="J1557">
        <v>74</v>
      </c>
      <c r="K1557">
        <v>216</v>
      </c>
      <c r="L1557" t="s">
        <v>6088</v>
      </c>
      <c r="M1557" s="6" t="s">
        <v>6558</v>
      </c>
      <c r="N1557" s="6" t="s">
        <v>6583</v>
      </c>
      <c r="O1557" s="6">
        <v>77</v>
      </c>
      <c r="P1557" s="6">
        <v>74</v>
      </c>
      <c r="Q1557" s="6">
        <v>74</v>
      </c>
      <c r="R1557" s="6">
        <v>77</v>
      </c>
      <c r="S1557" s="6">
        <v>75</v>
      </c>
      <c r="T1557" s="6">
        <v>67</v>
      </c>
      <c r="U1557" s="6">
        <v>67</v>
      </c>
      <c r="V1557" s="6">
        <v>71</v>
      </c>
      <c r="W1557" s="6">
        <v>74</v>
      </c>
      <c r="X1557" s="6">
        <v>72</v>
      </c>
      <c r="Y1557" s="6">
        <v>75</v>
      </c>
      <c r="Z1557" s="6">
        <v>70</v>
      </c>
      <c r="AA1557" s="6">
        <v>67</v>
      </c>
      <c r="AB1557" s="6">
        <v>68</v>
      </c>
      <c r="AC1557" s="6">
        <v>63</v>
      </c>
      <c r="AD1557" s="6">
        <v>68</v>
      </c>
      <c r="AE1557" s="6">
        <v>70</v>
      </c>
      <c r="AF1557" s="6">
        <v>68</v>
      </c>
      <c r="AG1557" s="6" t="s">
        <v>7150</v>
      </c>
      <c r="AH1557" s="6" t="s">
        <v>6570</v>
      </c>
    </row>
    <row r="1558" spans="1:34" x14ac:dyDescent="0.2">
      <c r="A1558" t="s">
        <v>4401</v>
      </c>
      <c r="B1558" t="s">
        <v>2664</v>
      </c>
      <c r="C1558" t="s">
        <v>2870</v>
      </c>
      <c r="D1558" s="7" t="s">
        <v>158</v>
      </c>
      <c r="E1558" t="s">
        <v>38</v>
      </c>
      <c r="F1558">
        <v>25</v>
      </c>
      <c r="G1558">
        <v>70</v>
      </c>
      <c r="H1558">
        <v>69</v>
      </c>
      <c r="I1558" t="s">
        <v>6362</v>
      </c>
      <c r="J1558">
        <v>71</v>
      </c>
      <c r="K1558">
        <v>211</v>
      </c>
      <c r="L1558" t="s">
        <v>6095</v>
      </c>
      <c r="M1558" s="6" t="s">
        <v>6558</v>
      </c>
      <c r="N1558" s="6" t="s">
        <v>6614</v>
      </c>
      <c r="O1558" s="6">
        <v>80</v>
      </c>
      <c r="P1558" s="6">
        <v>61</v>
      </c>
      <c r="Q1558" s="6">
        <v>75</v>
      </c>
      <c r="R1558" s="6">
        <v>61</v>
      </c>
      <c r="S1558" s="6">
        <v>75</v>
      </c>
      <c r="T1558" s="6">
        <v>73</v>
      </c>
      <c r="U1558" s="6">
        <v>79</v>
      </c>
      <c r="V1558" s="6">
        <v>73</v>
      </c>
      <c r="W1558" s="6">
        <v>65</v>
      </c>
      <c r="X1558" s="6">
        <v>69</v>
      </c>
      <c r="Y1558" s="6">
        <v>79</v>
      </c>
      <c r="Z1558" s="6">
        <v>77</v>
      </c>
      <c r="AA1558" s="6">
        <v>72</v>
      </c>
      <c r="AB1558" s="6">
        <v>73</v>
      </c>
      <c r="AC1558" s="6">
        <v>73</v>
      </c>
      <c r="AD1558" s="6">
        <v>64</v>
      </c>
      <c r="AE1558" s="6">
        <v>65</v>
      </c>
      <c r="AF1558" s="6">
        <v>69</v>
      </c>
      <c r="AG1558" s="6" t="s">
        <v>8126</v>
      </c>
      <c r="AH1558" s="6" t="s">
        <v>6885</v>
      </c>
    </row>
    <row r="1559" spans="1:34" x14ac:dyDescent="0.2">
      <c r="A1559" t="s">
        <v>4403</v>
      </c>
      <c r="B1559" t="s">
        <v>2666</v>
      </c>
      <c r="C1559" t="s">
        <v>57</v>
      </c>
      <c r="D1559" s="7" t="s">
        <v>158</v>
      </c>
      <c r="E1559" t="s">
        <v>38</v>
      </c>
      <c r="F1559">
        <v>28</v>
      </c>
      <c r="G1559">
        <v>76</v>
      </c>
      <c r="H1559">
        <v>69</v>
      </c>
      <c r="I1559" t="s">
        <v>6323</v>
      </c>
      <c r="J1559">
        <v>73</v>
      </c>
      <c r="K1559">
        <v>195</v>
      </c>
      <c r="L1559" t="s">
        <v>6097</v>
      </c>
      <c r="M1559" s="6" t="s">
        <v>6558</v>
      </c>
      <c r="N1559" s="6" t="s">
        <v>6567</v>
      </c>
      <c r="O1559" s="6">
        <v>79</v>
      </c>
      <c r="P1559" s="6">
        <v>77</v>
      </c>
      <c r="Q1559" s="6">
        <v>71</v>
      </c>
      <c r="R1559" s="6">
        <v>66</v>
      </c>
      <c r="S1559" s="6">
        <v>80</v>
      </c>
      <c r="T1559" s="6">
        <v>72</v>
      </c>
      <c r="U1559" s="6">
        <v>77</v>
      </c>
      <c r="V1559" s="6">
        <v>81</v>
      </c>
      <c r="W1559" s="6">
        <v>77</v>
      </c>
      <c r="X1559" s="6">
        <v>71</v>
      </c>
      <c r="Y1559" s="6">
        <v>82</v>
      </c>
      <c r="Z1559" s="6">
        <v>66</v>
      </c>
      <c r="AA1559" s="6">
        <v>77</v>
      </c>
      <c r="AB1559" s="6">
        <v>76</v>
      </c>
      <c r="AC1559" s="6">
        <v>81</v>
      </c>
      <c r="AD1559" s="6">
        <v>73</v>
      </c>
      <c r="AE1559" s="6">
        <v>74</v>
      </c>
      <c r="AF1559" s="6">
        <v>81</v>
      </c>
      <c r="AG1559" s="6" t="s">
        <v>8128</v>
      </c>
      <c r="AH1559" s="6" t="s">
        <v>6574</v>
      </c>
    </row>
    <row r="1560" spans="1:34" x14ac:dyDescent="0.2">
      <c r="A1560" t="s">
        <v>4406</v>
      </c>
      <c r="B1560" t="s">
        <v>2669</v>
      </c>
      <c r="C1560" t="s">
        <v>57</v>
      </c>
      <c r="D1560" s="7" t="s">
        <v>158</v>
      </c>
      <c r="E1560" t="s">
        <v>38</v>
      </c>
      <c r="F1560">
        <v>25</v>
      </c>
      <c r="G1560">
        <v>64</v>
      </c>
      <c r="H1560">
        <v>69</v>
      </c>
      <c r="I1560" t="s">
        <v>6323</v>
      </c>
      <c r="J1560">
        <v>70</v>
      </c>
      <c r="K1560">
        <v>193</v>
      </c>
      <c r="L1560" t="s">
        <v>6100</v>
      </c>
      <c r="M1560" s="6" t="s">
        <v>6558</v>
      </c>
      <c r="N1560" s="6" t="s">
        <v>6567</v>
      </c>
      <c r="O1560" s="6">
        <v>70</v>
      </c>
      <c r="P1560" s="6">
        <v>62</v>
      </c>
      <c r="Q1560" s="6">
        <v>60</v>
      </c>
      <c r="R1560" s="6">
        <v>68</v>
      </c>
      <c r="S1560" s="6">
        <v>70</v>
      </c>
      <c r="T1560" s="6">
        <v>68</v>
      </c>
      <c r="U1560" s="6">
        <v>68</v>
      </c>
      <c r="V1560" s="6">
        <v>68</v>
      </c>
      <c r="W1560" s="6">
        <v>66</v>
      </c>
      <c r="X1560" s="6">
        <v>69</v>
      </c>
      <c r="Y1560" s="6">
        <v>77</v>
      </c>
      <c r="Z1560" s="6">
        <v>63</v>
      </c>
      <c r="AA1560" s="6">
        <v>63</v>
      </c>
      <c r="AB1560" s="6">
        <v>65</v>
      </c>
      <c r="AC1560" s="6">
        <v>71</v>
      </c>
      <c r="AD1560" s="6">
        <v>63</v>
      </c>
      <c r="AE1560" s="6">
        <v>68</v>
      </c>
      <c r="AF1560" s="6">
        <v>71</v>
      </c>
      <c r="AG1560" s="6" t="s">
        <v>7762</v>
      </c>
      <c r="AH1560" s="6" t="s">
        <v>6581</v>
      </c>
    </row>
    <row r="1561" spans="1:34" x14ac:dyDescent="0.2">
      <c r="A1561" t="s">
        <v>4407</v>
      </c>
      <c r="B1561" t="s">
        <v>2670</v>
      </c>
      <c r="C1561" t="s">
        <v>2871</v>
      </c>
      <c r="D1561" s="7" t="s">
        <v>158</v>
      </c>
      <c r="E1561" t="s">
        <v>58</v>
      </c>
      <c r="F1561">
        <v>27</v>
      </c>
      <c r="G1561">
        <v>72</v>
      </c>
      <c r="H1561">
        <v>69</v>
      </c>
      <c r="I1561" t="s">
        <v>6350</v>
      </c>
      <c r="J1561">
        <v>76</v>
      </c>
      <c r="K1561">
        <v>253</v>
      </c>
      <c r="L1561" t="s">
        <v>6101</v>
      </c>
      <c r="M1561" s="6" t="s">
        <v>6558</v>
      </c>
      <c r="N1561" s="6" t="s">
        <v>6565</v>
      </c>
      <c r="O1561" s="6">
        <v>75</v>
      </c>
      <c r="P1561" s="6">
        <v>75</v>
      </c>
      <c r="Q1561" s="6">
        <v>69</v>
      </c>
      <c r="R1561" s="6">
        <v>74</v>
      </c>
      <c r="S1561" s="6">
        <v>82</v>
      </c>
      <c r="T1561" s="6">
        <v>72</v>
      </c>
      <c r="U1561" s="6">
        <v>63</v>
      </c>
      <c r="V1561" s="6">
        <v>72</v>
      </c>
      <c r="W1561" s="6">
        <v>84</v>
      </c>
      <c r="X1561" s="6">
        <v>73</v>
      </c>
      <c r="Y1561" s="6">
        <v>75</v>
      </c>
      <c r="Z1561" s="6">
        <v>79</v>
      </c>
      <c r="AA1561" s="6">
        <v>72</v>
      </c>
      <c r="AB1561" s="6">
        <v>72</v>
      </c>
      <c r="AC1561" s="6">
        <v>71</v>
      </c>
      <c r="AD1561" s="6">
        <v>74</v>
      </c>
      <c r="AE1561" s="6">
        <v>72</v>
      </c>
      <c r="AF1561" s="6">
        <v>71</v>
      </c>
      <c r="AG1561" s="6" t="s">
        <v>8131</v>
      </c>
      <c r="AH1561" s="6" t="s">
        <v>6591</v>
      </c>
    </row>
    <row r="1562" spans="1:34" x14ac:dyDescent="0.2">
      <c r="A1562" t="s">
        <v>4410</v>
      </c>
      <c r="B1562" t="s">
        <v>2673</v>
      </c>
      <c r="C1562" t="s">
        <v>2871</v>
      </c>
      <c r="D1562" s="7" t="s">
        <v>158</v>
      </c>
      <c r="E1562" t="s">
        <v>58</v>
      </c>
      <c r="F1562">
        <v>32</v>
      </c>
      <c r="G1562">
        <v>62</v>
      </c>
      <c r="H1562">
        <v>69</v>
      </c>
      <c r="I1562" t="s">
        <v>6377</v>
      </c>
      <c r="J1562">
        <v>77</v>
      </c>
      <c r="K1562">
        <v>259</v>
      </c>
      <c r="L1562" t="s">
        <v>6104</v>
      </c>
      <c r="M1562" s="6" t="s">
        <v>6558</v>
      </c>
      <c r="N1562" s="6" t="s">
        <v>6562</v>
      </c>
      <c r="O1562" s="6">
        <v>72</v>
      </c>
      <c r="P1562" s="6">
        <v>65</v>
      </c>
      <c r="Q1562" s="6">
        <v>72</v>
      </c>
      <c r="R1562" s="6">
        <v>85</v>
      </c>
      <c r="S1562" s="6">
        <v>72</v>
      </c>
      <c r="T1562" s="6">
        <v>72</v>
      </c>
      <c r="U1562" s="6">
        <v>70</v>
      </c>
      <c r="V1562" s="6">
        <v>62</v>
      </c>
      <c r="W1562" s="6">
        <v>78</v>
      </c>
      <c r="X1562" s="6">
        <v>67</v>
      </c>
      <c r="Y1562" s="6">
        <v>86</v>
      </c>
      <c r="Z1562" s="6">
        <v>73</v>
      </c>
      <c r="AA1562" s="6">
        <v>64</v>
      </c>
      <c r="AB1562" s="6">
        <v>72</v>
      </c>
      <c r="AC1562" s="6">
        <v>55</v>
      </c>
      <c r="AD1562" s="6">
        <v>64</v>
      </c>
      <c r="AE1562" s="6">
        <v>64</v>
      </c>
      <c r="AF1562" s="6">
        <v>71</v>
      </c>
      <c r="AG1562" s="6" t="s">
        <v>8134</v>
      </c>
      <c r="AH1562" s="6" t="s">
        <v>6737</v>
      </c>
    </row>
    <row r="1563" spans="1:34" x14ac:dyDescent="0.2">
      <c r="A1563" t="s">
        <v>4412</v>
      </c>
      <c r="B1563" t="s">
        <v>2675</v>
      </c>
      <c r="C1563" t="s">
        <v>2872</v>
      </c>
      <c r="D1563" s="7" t="s">
        <v>158</v>
      </c>
      <c r="E1563" t="s">
        <v>58</v>
      </c>
      <c r="F1563">
        <v>32</v>
      </c>
      <c r="G1563">
        <v>78</v>
      </c>
      <c r="H1563">
        <v>69</v>
      </c>
      <c r="I1563" t="s">
        <v>6344</v>
      </c>
      <c r="J1563">
        <v>76</v>
      </c>
      <c r="K1563">
        <v>318</v>
      </c>
      <c r="L1563" t="s">
        <v>6106</v>
      </c>
      <c r="M1563" s="6" t="s">
        <v>6558</v>
      </c>
      <c r="N1563" s="6" t="s">
        <v>6583</v>
      </c>
      <c r="O1563" s="6">
        <v>76</v>
      </c>
      <c r="P1563" s="6">
        <v>86</v>
      </c>
      <c r="Q1563" s="6">
        <v>81</v>
      </c>
      <c r="R1563" s="6">
        <v>79</v>
      </c>
      <c r="S1563" s="6">
        <v>71</v>
      </c>
      <c r="T1563" s="6">
        <v>69</v>
      </c>
      <c r="U1563" s="6">
        <v>70</v>
      </c>
      <c r="V1563" s="6">
        <v>76</v>
      </c>
      <c r="W1563" s="6">
        <v>75</v>
      </c>
      <c r="X1563" s="6">
        <v>81</v>
      </c>
      <c r="Y1563" s="6">
        <v>75</v>
      </c>
      <c r="Z1563" s="6">
        <v>80</v>
      </c>
      <c r="AA1563" s="6">
        <v>67</v>
      </c>
      <c r="AB1563" s="6">
        <v>65</v>
      </c>
      <c r="AC1563" s="6">
        <v>67</v>
      </c>
      <c r="AD1563" s="6">
        <v>62</v>
      </c>
      <c r="AE1563" s="6">
        <v>69</v>
      </c>
      <c r="AF1563" s="6">
        <v>70</v>
      </c>
      <c r="AG1563" s="6" t="s">
        <v>8135</v>
      </c>
      <c r="AH1563" s="6" t="s">
        <v>6593</v>
      </c>
    </row>
    <row r="1564" spans="1:34" x14ac:dyDescent="0.2">
      <c r="A1564" t="s">
        <v>4413</v>
      </c>
      <c r="B1564" t="s">
        <v>2676</v>
      </c>
      <c r="C1564" t="s">
        <v>2873</v>
      </c>
      <c r="D1564" s="7" t="s">
        <v>158</v>
      </c>
      <c r="E1564" t="s">
        <v>38</v>
      </c>
      <c r="F1564">
        <v>29</v>
      </c>
      <c r="G1564">
        <v>85</v>
      </c>
      <c r="H1564">
        <v>69</v>
      </c>
      <c r="I1564" t="s">
        <v>6337</v>
      </c>
      <c r="J1564">
        <v>77</v>
      </c>
      <c r="K1564">
        <v>321</v>
      </c>
      <c r="L1564" t="s">
        <v>6107</v>
      </c>
      <c r="M1564" s="6" t="s">
        <v>6558</v>
      </c>
      <c r="N1564" s="6" t="s">
        <v>6565</v>
      </c>
      <c r="O1564" s="6">
        <v>78</v>
      </c>
      <c r="P1564" s="6">
        <v>74</v>
      </c>
      <c r="Q1564" s="6">
        <v>83</v>
      </c>
      <c r="R1564" s="6">
        <v>73</v>
      </c>
      <c r="S1564" s="6">
        <v>73</v>
      </c>
      <c r="T1564" s="6">
        <v>73</v>
      </c>
      <c r="U1564" s="6">
        <v>79</v>
      </c>
      <c r="V1564" s="6">
        <v>83</v>
      </c>
      <c r="W1564" s="6">
        <v>79</v>
      </c>
      <c r="X1564" s="6">
        <v>81</v>
      </c>
      <c r="Y1564" s="6">
        <v>88</v>
      </c>
      <c r="Z1564" s="6">
        <v>86</v>
      </c>
      <c r="AA1564" s="6">
        <v>74</v>
      </c>
      <c r="AB1564" s="6">
        <v>77</v>
      </c>
      <c r="AC1564" s="6">
        <v>72</v>
      </c>
      <c r="AD1564" s="6">
        <v>72</v>
      </c>
      <c r="AE1564" s="6">
        <v>74</v>
      </c>
      <c r="AF1564" s="6">
        <v>82</v>
      </c>
      <c r="AG1564" s="6" t="s">
        <v>8136</v>
      </c>
      <c r="AH1564" s="6" t="s">
        <v>6596</v>
      </c>
    </row>
    <row r="1565" spans="1:34" x14ac:dyDescent="0.2">
      <c r="A1565" t="s">
        <v>4414</v>
      </c>
      <c r="B1565" t="s">
        <v>2677</v>
      </c>
      <c r="C1565" t="s">
        <v>2874</v>
      </c>
      <c r="D1565" s="7" t="s">
        <v>158</v>
      </c>
      <c r="E1565" t="s">
        <v>38</v>
      </c>
      <c r="F1565">
        <v>23</v>
      </c>
      <c r="G1565">
        <v>82</v>
      </c>
      <c r="H1565">
        <v>69</v>
      </c>
      <c r="I1565" t="s">
        <v>8327</v>
      </c>
      <c r="J1565">
        <v>75</v>
      </c>
      <c r="K1565">
        <v>314</v>
      </c>
      <c r="L1565" t="s">
        <v>6108</v>
      </c>
      <c r="M1565" s="6" t="s">
        <v>6558</v>
      </c>
      <c r="N1565" s="6" t="s">
        <v>6567</v>
      </c>
      <c r="O1565" s="6">
        <v>72</v>
      </c>
      <c r="P1565" s="6">
        <v>68</v>
      </c>
      <c r="Q1565" s="6">
        <v>70</v>
      </c>
      <c r="R1565" s="6">
        <v>68</v>
      </c>
      <c r="S1565" s="6">
        <v>78</v>
      </c>
      <c r="T1565" s="6">
        <v>69</v>
      </c>
      <c r="U1565" s="6">
        <v>68</v>
      </c>
      <c r="V1565" s="6">
        <v>65</v>
      </c>
      <c r="W1565" s="6">
        <v>65</v>
      </c>
      <c r="X1565" s="6">
        <v>72</v>
      </c>
      <c r="Y1565" s="6">
        <v>71</v>
      </c>
      <c r="Z1565" s="6">
        <v>76</v>
      </c>
      <c r="AA1565" s="6">
        <v>72</v>
      </c>
      <c r="AB1565" s="6">
        <v>69</v>
      </c>
      <c r="AC1565" s="6">
        <v>73</v>
      </c>
      <c r="AD1565" s="6">
        <v>70</v>
      </c>
      <c r="AE1565" s="6">
        <v>72</v>
      </c>
      <c r="AF1565" s="6">
        <v>70</v>
      </c>
      <c r="AG1565" s="6" t="s">
        <v>8137</v>
      </c>
      <c r="AH1565" s="6" t="s">
        <v>6598</v>
      </c>
    </row>
    <row r="1566" spans="1:34" x14ac:dyDescent="0.2">
      <c r="A1566" t="s">
        <v>4418</v>
      </c>
      <c r="B1566" t="s">
        <v>2681</v>
      </c>
      <c r="C1566" t="s">
        <v>2887</v>
      </c>
      <c r="D1566" s="7" t="s">
        <v>158</v>
      </c>
      <c r="E1566" t="s">
        <v>38</v>
      </c>
      <c r="F1566">
        <v>24</v>
      </c>
      <c r="G1566">
        <v>71</v>
      </c>
      <c r="H1566">
        <v>69</v>
      </c>
      <c r="I1566" t="s">
        <v>6314</v>
      </c>
      <c r="J1566">
        <v>75</v>
      </c>
      <c r="K1566">
        <v>322</v>
      </c>
      <c r="L1566" t="s">
        <v>6112</v>
      </c>
      <c r="M1566" s="6" t="s">
        <v>6558</v>
      </c>
      <c r="N1566" s="6" t="s">
        <v>6583</v>
      </c>
      <c r="O1566" s="6">
        <v>81</v>
      </c>
      <c r="P1566" s="6">
        <v>73</v>
      </c>
      <c r="Q1566" s="6">
        <v>83</v>
      </c>
      <c r="R1566" s="6">
        <v>76</v>
      </c>
      <c r="S1566" s="6">
        <v>64</v>
      </c>
      <c r="T1566" s="6">
        <v>72</v>
      </c>
      <c r="U1566" s="6">
        <v>79</v>
      </c>
      <c r="V1566" s="6">
        <v>71</v>
      </c>
      <c r="W1566" s="6">
        <v>85</v>
      </c>
      <c r="X1566" s="6">
        <v>70</v>
      </c>
      <c r="Y1566" s="6">
        <v>74</v>
      </c>
      <c r="Z1566" s="6">
        <v>70</v>
      </c>
      <c r="AA1566" s="6">
        <v>71</v>
      </c>
      <c r="AB1566" s="6">
        <v>75</v>
      </c>
      <c r="AC1566" s="6">
        <v>83</v>
      </c>
      <c r="AD1566" s="6">
        <v>75</v>
      </c>
      <c r="AE1566" s="6">
        <v>62</v>
      </c>
      <c r="AF1566" s="6">
        <v>68</v>
      </c>
      <c r="AG1566" s="6" t="s">
        <v>8141</v>
      </c>
      <c r="AH1566" s="6" t="s">
        <v>6600</v>
      </c>
    </row>
    <row r="1567" spans="1:34" x14ac:dyDescent="0.2">
      <c r="A1567" t="s">
        <v>4419</v>
      </c>
      <c r="B1567" t="s">
        <v>2682</v>
      </c>
      <c r="C1567" t="s">
        <v>2875</v>
      </c>
      <c r="D1567" s="7" t="s">
        <v>158</v>
      </c>
      <c r="E1567" t="s">
        <v>38</v>
      </c>
      <c r="F1567">
        <v>28</v>
      </c>
      <c r="G1567">
        <v>79</v>
      </c>
      <c r="H1567">
        <v>69</v>
      </c>
      <c r="I1567" t="s">
        <v>6461</v>
      </c>
      <c r="J1567">
        <v>73</v>
      </c>
      <c r="K1567">
        <v>313</v>
      </c>
      <c r="L1567" t="s">
        <v>6113</v>
      </c>
      <c r="M1567" s="6" t="s">
        <v>6558</v>
      </c>
      <c r="N1567" s="6" t="s">
        <v>6559</v>
      </c>
      <c r="O1567" s="6">
        <v>86</v>
      </c>
      <c r="P1567" s="6">
        <v>75</v>
      </c>
      <c r="Q1567" s="6">
        <v>82</v>
      </c>
      <c r="R1567" s="6">
        <v>84</v>
      </c>
      <c r="S1567" s="6">
        <v>78</v>
      </c>
      <c r="T1567" s="6">
        <v>84</v>
      </c>
      <c r="U1567" s="6">
        <v>91</v>
      </c>
      <c r="V1567" s="6">
        <v>90</v>
      </c>
      <c r="W1567" s="6">
        <v>74</v>
      </c>
      <c r="X1567" s="6">
        <v>73</v>
      </c>
      <c r="Y1567" s="6">
        <v>76</v>
      </c>
      <c r="Z1567" s="6">
        <v>88</v>
      </c>
      <c r="AA1567" s="6">
        <v>77</v>
      </c>
      <c r="AB1567" s="6">
        <v>83</v>
      </c>
      <c r="AC1567" s="6">
        <v>82</v>
      </c>
      <c r="AD1567" s="6">
        <v>67</v>
      </c>
      <c r="AE1567" s="6">
        <v>68</v>
      </c>
      <c r="AF1567" s="6">
        <v>74</v>
      </c>
      <c r="AG1567" s="6" t="s">
        <v>8142</v>
      </c>
      <c r="AH1567" s="6" t="s">
        <v>6606</v>
      </c>
    </row>
    <row r="1568" spans="1:34" x14ac:dyDescent="0.2">
      <c r="A1568" t="s">
        <v>4424</v>
      </c>
      <c r="B1568" t="s">
        <v>2687</v>
      </c>
      <c r="C1568" t="s">
        <v>2879</v>
      </c>
      <c r="D1568" s="7" t="s">
        <v>158</v>
      </c>
      <c r="E1568" t="s">
        <v>38</v>
      </c>
      <c r="F1568">
        <v>23</v>
      </c>
      <c r="G1568">
        <v>88</v>
      </c>
      <c r="H1568">
        <v>69</v>
      </c>
      <c r="I1568" t="s">
        <v>8333</v>
      </c>
      <c r="J1568">
        <v>76</v>
      </c>
      <c r="K1568">
        <v>326</v>
      </c>
      <c r="L1568" t="s">
        <v>6118</v>
      </c>
      <c r="M1568" s="6" t="s">
        <v>6558</v>
      </c>
      <c r="N1568" s="6" t="s">
        <v>6583</v>
      </c>
      <c r="O1568" s="6">
        <v>78</v>
      </c>
      <c r="P1568" s="6">
        <v>79</v>
      </c>
      <c r="Q1568" s="6">
        <v>72</v>
      </c>
      <c r="R1568" s="6">
        <v>78</v>
      </c>
      <c r="S1568" s="6">
        <v>75</v>
      </c>
      <c r="T1568" s="6">
        <v>68</v>
      </c>
      <c r="U1568" s="6">
        <v>75</v>
      </c>
      <c r="V1568" s="6">
        <v>70</v>
      </c>
      <c r="W1568" s="6">
        <v>82</v>
      </c>
      <c r="X1568" s="6">
        <v>74</v>
      </c>
      <c r="Y1568" s="6">
        <v>72</v>
      </c>
      <c r="Z1568" s="6">
        <v>75</v>
      </c>
      <c r="AA1568" s="6">
        <v>73</v>
      </c>
      <c r="AB1568" s="6">
        <v>74</v>
      </c>
      <c r="AC1568" s="6">
        <v>69</v>
      </c>
      <c r="AD1568" s="6">
        <v>83</v>
      </c>
      <c r="AE1568" s="6">
        <v>76</v>
      </c>
      <c r="AF1568" s="6">
        <v>82</v>
      </c>
      <c r="AG1568" s="6" t="s">
        <v>8147</v>
      </c>
      <c r="AH1568" s="6" t="s">
        <v>6619</v>
      </c>
    </row>
    <row r="1569" spans="1:34" x14ac:dyDescent="0.2">
      <c r="A1569" t="s">
        <v>4425</v>
      </c>
      <c r="B1569" t="s">
        <v>2688</v>
      </c>
      <c r="C1569" t="s">
        <v>2879</v>
      </c>
      <c r="D1569" s="7" t="s">
        <v>158</v>
      </c>
      <c r="E1569" t="s">
        <v>58</v>
      </c>
      <c r="F1569">
        <v>32</v>
      </c>
      <c r="G1569">
        <v>80</v>
      </c>
      <c r="H1569">
        <v>69</v>
      </c>
      <c r="I1569" t="s">
        <v>6472</v>
      </c>
      <c r="J1569">
        <v>74</v>
      </c>
      <c r="K1569">
        <v>315</v>
      </c>
      <c r="L1569" t="s">
        <v>6119</v>
      </c>
      <c r="M1569" s="6" t="s">
        <v>6558</v>
      </c>
      <c r="N1569" s="6" t="s">
        <v>6583</v>
      </c>
      <c r="O1569" s="6">
        <v>85</v>
      </c>
      <c r="P1569" s="6">
        <v>71</v>
      </c>
      <c r="Q1569" s="6">
        <v>82</v>
      </c>
      <c r="R1569" s="6">
        <v>78</v>
      </c>
      <c r="S1569" s="6">
        <v>78</v>
      </c>
      <c r="T1569" s="6">
        <v>75</v>
      </c>
      <c r="U1569" s="6">
        <v>70</v>
      </c>
      <c r="V1569" s="6">
        <v>78</v>
      </c>
      <c r="W1569" s="6">
        <v>85</v>
      </c>
      <c r="X1569" s="6">
        <v>71</v>
      </c>
      <c r="Y1569" s="6">
        <v>65</v>
      </c>
      <c r="Z1569" s="6">
        <v>80</v>
      </c>
      <c r="AA1569" s="6">
        <v>76</v>
      </c>
      <c r="AB1569" s="6">
        <v>72</v>
      </c>
      <c r="AC1569" s="6">
        <v>73</v>
      </c>
      <c r="AD1569" s="6">
        <v>67</v>
      </c>
      <c r="AE1569" s="6">
        <v>69</v>
      </c>
      <c r="AF1569" s="6">
        <v>63</v>
      </c>
      <c r="AG1569" s="6" t="s">
        <v>8148</v>
      </c>
      <c r="AH1569" s="6" t="s">
        <v>6617</v>
      </c>
    </row>
    <row r="1570" spans="1:34" x14ac:dyDescent="0.2">
      <c r="A1570" t="s">
        <v>4426</v>
      </c>
      <c r="B1570" t="s">
        <v>2689</v>
      </c>
      <c r="C1570" t="s">
        <v>2879</v>
      </c>
      <c r="D1570" s="7" t="s">
        <v>158</v>
      </c>
      <c r="E1570" t="s">
        <v>38</v>
      </c>
      <c r="F1570">
        <v>27</v>
      </c>
      <c r="G1570">
        <v>75</v>
      </c>
      <c r="H1570">
        <v>69</v>
      </c>
      <c r="I1570" t="s">
        <v>8335</v>
      </c>
      <c r="J1570">
        <v>73</v>
      </c>
      <c r="K1570">
        <v>300</v>
      </c>
      <c r="L1570" t="s">
        <v>6120</v>
      </c>
      <c r="M1570" s="6" t="s">
        <v>6558</v>
      </c>
      <c r="N1570" s="6" t="s">
        <v>6567</v>
      </c>
      <c r="O1570" s="6">
        <v>80</v>
      </c>
      <c r="P1570" s="6">
        <v>79</v>
      </c>
      <c r="Q1570" s="6">
        <v>78</v>
      </c>
      <c r="R1570" s="6">
        <v>68</v>
      </c>
      <c r="S1570" s="6">
        <v>88</v>
      </c>
      <c r="T1570" s="6">
        <v>75</v>
      </c>
      <c r="U1570" s="6">
        <v>84</v>
      </c>
      <c r="V1570" s="6">
        <v>80</v>
      </c>
      <c r="W1570" s="6">
        <v>76</v>
      </c>
      <c r="X1570" s="6">
        <v>79</v>
      </c>
      <c r="Y1570" s="6">
        <v>80</v>
      </c>
      <c r="Z1570" s="6">
        <v>71</v>
      </c>
      <c r="AA1570" s="6">
        <v>75</v>
      </c>
      <c r="AB1570" s="6">
        <v>76</v>
      </c>
      <c r="AC1570" s="6">
        <v>65</v>
      </c>
      <c r="AD1570" s="6">
        <v>66</v>
      </c>
      <c r="AE1570" s="6">
        <v>71</v>
      </c>
      <c r="AF1570" s="6">
        <v>82</v>
      </c>
      <c r="AG1570" s="6" t="s">
        <v>8149</v>
      </c>
      <c r="AH1570" s="6" t="s">
        <v>6617</v>
      </c>
    </row>
    <row r="1571" spans="1:34" x14ac:dyDescent="0.2">
      <c r="A1571" t="s">
        <v>4428</v>
      </c>
      <c r="B1571" t="s">
        <v>2691</v>
      </c>
      <c r="C1571" t="s">
        <v>2879</v>
      </c>
      <c r="D1571" s="7" t="s">
        <v>158</v>
      </c>
      <c r="E1571" t="s">
        <v>38</v>
      </c>
      <c r="F1571">
        <v>25</v>
      </c>
      <c r="G1571">
        <v>67</v>
      </c>
      <c r="H1571">
        <v>69</v>
      </c>
      <c r="I1571" t="s">
        <v>6493</v>
      </c>
      <c r="J1571">
        <v>72</v>
      </c>
      <c r="K1571">
        <v>304</v>
      </c>
      <c r="L1571" t="s">
        <v>6122</v>
      </c>
      <c r="M1571" s="6" t="s">
        <v>6558</v>
      </c>
      <c r="N1571" s="6" t="s">
        <v>6614</v>
      </c>
      <c r="O1571" s="6">
        <v>65</v>
      </c>
      <c r="P1571" s="6">
        <v>74</v>
      </c>
      <c r="Q1571" s="6">
        <v>72</v>
      </c>
      <c r="R1571" s="6">
        <v>62</v>
      </c>
      <c r="S1571" s="6">
        <v>75</v>
      </c>
      <c r="T1571" s="6">
        <v>69</v>
      </c>
      <c r="U1571" s="6">
        <v>67</v>
      </c>
      <c r="V1571" s="6">
        <v>71</v>
      </c>
      <c r="W1571" s="6">
        <v>65</v>
      </c>
      <c r="X1571" s="6">
        <v>73</v>
      </c>
      <c r="Y1571" s="6">
        <v>75</v>
      </c>
      <c r="Z1571" s="6">
        <v>64</v>
      </c>
      <c r="AA1571" s="6">
        <v>71</v>
      </c>
      <c r="AB1571" s="6">
        <v>69</v>
      </c>
      <c r="AC1571" s="6">
        <v>73</v>
      </c>
      <c r="AD1571" s="6">
        <v>67</v>
      </c>
      <c r="AE1571" s="6">
        <v>69</v>
      </c>
      <c r="AF1571" s="6">
        <v>64</v>
      </c>
      <c r="AG1571" s="6" t="s">
        <v>8151</v>
      </c>
      <c r="AH1571" s="6" t="s">
        <v>6617</v>
      </c>
    </row>
    <row r="1572" spans="1:34" x14ac:dyDescent="0.2">
      <c r="A1572" t="s">
        <v>4429</v>
      </c>
      <c r="B1572" t="s">
        <v>2692</v>
      </c>
      <c r="C1572" t="s">
        <v>2880</v>
      </c>
      <c r="D1572" s="7" t="s">
        <v>158</v>
      </c>
      <c r="E1572" t="s">
        <v>38</v>
      </c>
      <c r="F1572">
        <v>23</v>
      </c>
      <c r="G1572">
        <v>78</v>
      </c>
      <c r="H1572">
        <v>69</v>
      </c>
      <c r="I1572" t="s">
        <v>6419</v>
      </c>
      <c r="J1572">
        <v>74</v>
      </c>
      <c r="K1572">
        <v>243</v>
      </c>
      <c r="L1572" t="s">
        <v>6123</v>
      </c>
      <c r="M1572" s="6" t="s">
        <v>6558</v>
      </c>
      <c r="N1572" s="6" t="s">
        <v>6583</v>
      </c>
      <c r="O1572" s="6">
        <v>67</v>
      </c>
      <c r="P1572" s="6">
        <v>77</v>
      </c>
      <c r="Q1572" s="6">
        <v>73</v>
      </c>
      <c r="R1572" s="6">
        <v>77</v>
      </c>
      <c r="S1572" s="6">
        <v>81</v>
      </c>
      <c r="T1572" s="6">
        <v>77</v>
      </c>
      <c r="U1572" s="6">
        <v>77</v>
      </c>
      <c r="V1572" s="6">
        <v>72</v>
      </c>
      <c r="W1572" s="6">
        <v>72</v>
      </c>
      <c r="X1572" s="6">
        <v>73</v>
      </c>
      <c r="Y1572" s="6">
        <v>65</v>
      </c>
      <c r="Z1572" s="6">
        <v>69</v>
      </c>
      <c r="AA1572" s="6">
        <v>76</v>
      </c>
      <c r="AB1572" s="6">
        <v>64</v>
      </c>
      <c r="AC1572" s="6">
        <v>71</v>
      </c>
      <c r="AD1572" s="6">
        <v>73</v>
      </c>
      <c r="AE1572" s="6">
        <v>75</v>
      </c>
      <c r="AF1572" s="6">
        <v>67</v>
      </c>
      <c r="AG1572" s="6" t="s">
        <v>8152</v>
      </c>
      <c r="AH1572" s="6" t="s">
        <v>6623</v>
      </c>
    </row>
    <row r="1573" spans="1:34" x14ac:dyDescent="0.2">
      <c r="A1573" t="s">
        <v>4433</v>
      </c>
      <c r="B1573" t="s">
        <v>2696</v>
      </c>
      <c r="C1573" t="s">
        <v>61</v>
      </c>
      <c r="D1573" s="7" t="s">
        <v>158</v>
      </c>
      <c r="E1573" t="s">
        <v>38</v>
      </c>
      <c r="F1573">
        <v>25</v>
      </c>
      <c r="G1573">
        <v>85</v>
      </c>
      <c r="H1573">
        <v>69</v>
      </c>
      <c r="I1573" t="s">
        <v>8332</v>
      </c>
      <c r="J1573">
        <v>69</v>
      </c>
      <c r="K1573">
        <v>197</v>
      </c>
      <c r="L1573" t="s">
        <v>6127</v>
      </c>
      <c r="M1573" s="6" t="s">
        <v>6558</v>
      </c>
      <c r="N1573" s="6" t="s">
        <v>6567</v>
      </c>
      <c r="O1573" s="6">
        <v>76</v>
      </c>
      <c r="P1573" s="6">
        <v>72</v>
      </c>
      <c r="Q1573" s="6">
        <v>77</v>
      </c>
      <c r="R1573" s="6">
        <v>64</v>
      </c>
      <c r="S1573" s="6">
        <v>86</v>
      </c>
      <c r="T1573" s="6">
        <v>76</v>
      </c>
      <c r="U1573" s="6">
        <v>77</v>
      </c>
      <c r="V1573" s="6">
        <v>77</v>
      </c>
      <c r="W1573" s="6">
        <v>77</v>
      </c>
      <c r="X1573" s="6">
        <v>67</v>
      </c>
      <c r="Y1573" s="6">
        <v>74</v>
      </c>
      <c r="Z1573" s="6">
        <v>77</v>
      </c>
      <c r="AA1573" s="6">
        <v>76</v>
      </c>
      <c r="AB1573" s="6">
        <v>74</v>
      </c>
      <c r="AC1573" s="6">
        <v>80</v>
      </c>
      <c r="AD1573" s="6">
        <v>70</v>
      </c>
      <c r="AE1573" s="6">
        <v>80</v>
      </c>
      <c r="AF1573" s="6">
        <v>79</v>
      </c>
      <c r="AG1573" s="6" t="s">
        <v>8156</v>
      </c>
      <c r="AH1573" s="6" t="s">
        <v>7408</v>
      </c>
    </row>
    <row r="1574" spans="1:34" x14ac:dyDescent="0.2">
      <c r="A1574" t="s">
        <v>4435</v>
      </c>
      <c r="B1574" t="s">
        <v>2698</v>
      </c>
      <c r="C1574" t="s">
        <v>61</v>
      </c>
      <c r="D1574" s="7" t="s">
        <v>158</v>
      </c>
      <c r="E1574" t="s">
        <v>38</v>
      </c>
      <c r="F1574">
        <v>28</v>
      </c>
      <c r="G1574">
        <v>82</v>
      </c>
      <c r="H1574">
        <v>69</v>
      </c>
      <c r="I1574" t="s">
        <v>6317</v>
      </c>
      <c r="J1574">
        <v>71</v>
      </c>
      <c r="K1574">
        <v>180</v>
      </c>
      <c r="L1574" t="s">
        <v>6129</v>
      </c>
      <c r="M1574" s="6" t="s">
        <v>6558</v>
      </c>
      <c r="N1574" s="6" t="s">
        <v>6567</v>
      </c>
      <c r="O1574" s="6">
        <v>80</v>
      </c>
      <c r="P1574" s="6">
        <v>76</v>
      </c>
      <c r="Q1574" s="6">
        <v>84</v>
      </c>
      <c r="R1574" s="6">
        <v>66</v>
      </c>
      <c r="S1574" s="6">
        <v>85</v>
      </c>
      <c r="T1574" s="6">
        <v>83</v>
      </c>
      <c r="U1574" s="6">
        <v>76</v>
      </c>
      <c r="V1574" s="6">
        <v>73</v>
      </c>
      <c r="W1574" s="6">
        <v>85</v>
      </c>
      <c r="X1574" s="6">
        <v>79</v>
      </c>
      <c r="Y1574" s="6">
        <v>84</v>
      </c>
      <c r="Z1574" s="6">
        <v>80</v>
      </c>
      <c r="AA1574" s="6">
        <v>80</v>
      </c>
      <c r="AB1574" s="6">
        <v>86</v>
      </c>
      <c r="AC1574" s="6">
        <v>76</v>
      </c>
      <c r="AD1574" s="6">
        <v>80</v>
      </c>
      <c r="AE1574" s="6">
        <v>77</v>
      </c>
      <c r="AF1574" s="6">
        <v>77</v>
      </c>
      <c r="AG1574" s="6" t="s">
        <v>8158</v>
      </c>
      <c r="AH1574" s="6" t="s">
        <v>7082</v>
      </c>
    </row>
    <row r="1575" spans="1:34" x14ac:dyDescent="0.2">
      <c r="A1575" t="s">
        <v>4438</v>
      </c>
      <c r="B1575" t="s">
        <v>2701</v>
      </c>
      <c r="C1575" t="s">
        <v>2883</v>
      </c>
      <c r="D1575" s="7" t="s">
        <v>158</v>
      </c>
      <c r="E1575" t="s">
        <v>38</v>
      </c>
      <c r="F1575">
        <v>25</v>
      </c>
      <c r="G1575">
        <v>82</v>
      </c>
      <c r="H1575">
        <v>69</v>
      </c>
      <c r="I1575" t="s">
        <v>6368</v>
      </c>
      <c r="J1575">
        <v>72</v>
      </c>
      <c r="K1575">
        <v>203</v>
      </c>
      <c r="L1575" t="s">
        <v>6132</v>
      </c>
      <c r="M1575" s="6" t="s">
        <v>6558</v>
      </c>
      <c r="N1575" s="6" t="s">
        <v>6583</v>
      </c>
      <c r="O1575" s="6">
        <v>71</v>
      </c>
      <c r="P1575" s="6">
        <v>73</v>
      </c>
      <c r="Q1575" s="6">
        <v>79</v>
      </c>
      <c r="R1575" s="6">
        <v>79</v>
      </c>
      <c r="S1575" s="6">
        <v>75</v>
      </c>
      <c r="T1575" s="6">
        <v>75</v>
      </c>
      <c r="U1575" s="6">
        <v>81</v>
      </c>
      <c r="V1575" s="6">
        <v>70</v>
      </c>
      <c r="W1575" s="6">
        <v>68</v>
      </c>
      <c r="X1575" s="6">
        <v>82</v>
      </c>
      <c r="Y1575" s="6">
        <v>74</v>
      </c>
      <c r="Z1575" s="6">
        <v>85</v>
      </c>
      <c r="AA1575" s="6">
        <v>74</v>
      </c>
      <c r="AB1575" s="6">
        <v>76</v>
      </c>
      <c r="AC1575" s="6">
        <v>77</v>
      </c>
      <c r="AD1575" s="6">
        <v>71</v>
      </c>
      <c r="AE1575" s="6">
        <v>76</v>
      </c>
      <c r="AF1575" s="6">
        <v>79</v>
      </c>
      <c r="AG1575" s="6" t="s">
        <v>8161</v>
      </c>
      <c r="AH1575" s="6" t="s">
        <v>6640</v>
      </c>
    </row>
    <row r="1576" spans="1:34" x14ac:dyDescent="0.2">
      <c r="A1576" t="s">
        <v>4441</v>
      </c>
      <c r="B1576" t="s">
        <v>2704</v>
      </c>
      <c r="C1576" t="s">
        <v>2888</v>
      </c>
      <c r="D1576" s="7" t="s">
        <v>158</v>
      </c>
      <c r="E1576" t="s">
        <v>38</v>
      </c>
      <c r="F1576">
        <v>33</v>
      </c>
      <c r="G1576">
        <v>64</v>
      </c>
      <c r="H1576">
        <v>69</v>
      </c>
      <c r="I1576" t="s">
        <v>6354</v>
      </c>
      <c r="J1576">
        <v>72</v>
      </c>
      <c r="K1576">
        <v>190</v>
      </c>
      <c r="L1576" t="s">
        <v>6135</v>
      </c>
      <c r="M1576" s="6" t="s">
        <v>6558</v>
      </c>
      <c r="N1576" s="6" t="s">
        <v>6565</v>
      </c>
      <c r="O1576" s="6">
        <v>77</v>
      </c>
      <c r="P1576" s="6">
        <v>77</v>
      </c>
      <c r="Q1576" s="6">
        <v>76</v>
      </c>
      <c r="R1576" s="6">
        <v>73</v>
      </c>
      <c r="S1576" s="6">
        <v>77</v>
      </c>
      <c r="T1576" s="6">
        <v>70</v>
      </c>
      <c r="U1576" s="6">
        <v>75</v>
      </c>
      <c r="V1576" s="6">
        <v>77</v>
      </c>
      <c r="W1576" s="6">
        <v>81</v>
      </c>
      <c r="X1576" s="6">
        <v>76</v>
      </c>
      <c r="Y1576" s="6">
        <v>82</v>
      </c>
      <c r="Z1576" s="6">
        <v>80</v>
      </c>
      <c r="AA1576" s="6">
        <v>71</v>
      </c>
      <c r="AB1576" s="6">
        <v>67</v>
      </c>
      <c r="AC1576" s="6">
        <v>59</v>
      </c>
      <c r="AD1576" s="6">
        <v>68</v>
      </c>
      <c r="AE1576" s="6">
        <v>68</v>
      </c>
      <c r="AF1576" s="6">
        <v>69</v>
      </c>
      <c r="AG1576" s="6" t="s">
        <v>8164</v>
      </c>
      <c r="AH1576" s="6" t="s">
        <v>6707</v>
      </c>
    </row>
    <row r="1577" spans="1:34" x14ac:dyDescent="0.2">
      <c r="A1577" t="s">
        <v>4443</v>
      </c>
      <c r="B1577" t="s">
        <v>2706</v>
      </c>
      <c r="C1577" t="s">
        <v>2889</v>
      </c>
      <c r="D1577" s="7" t="s">
        <v>158</v>
      </c>
      <c r="E1577" t="s">
        <v>38</v>
      </c>
      <c r="F1577">
        <v>26</v>
      </c>
      <c r="G1577">
        <v>78</v>
      </c>
      <c r="H1577">
        <v>69</v>
      </c>
      <c r="I1577" t="s">
        <v>6325</v>
      </c>
      <c r="J1577">
        <v>73</v>
      </c>
      <c r="K1577">
        <v>254</v>
      </c>
      <c r="L1577" t="s">
        <v>6137</v>
      </c>
      <c r="M1577" s="6" t="s">
        <v>6558</v>
      </c>
      <c r="N1577" s="6" t="s">
        <v>6583</v>
      </c>
      <c r="O1577" s="6">
        <v>79</v>
      </c>
      <c r="P1577" s="6">
        <v>65</v>
      </c>
      <c r="Q1577" s="6">
        <v>67</v>
      </c>
      <c r="R1577" s="6">
        <v>76</v>
      </c>
      <c r="S1577" s="6">
        <v>64</v>
      </c>
      <c r="T1577" s="6">
        <v>71</v>
      </c>
      <c r="U1577" s="6">
        <v>67</v>
      </c>
      <c r="V1577" s="6">
        <v>62</v>
      </c>
      <c r="W1577" s="6">
        <v>69</v>
      </c>
      <c r="X1577" s="6">
        <v>75</v>
      </c>
      <c r="Y1577" s="6">
        <v>73</v>
      </c>
      <c r="Z1577" s="6">
        <v>75</v>
      </c>
      <c r="AA1577" s="6">
        <v>73</v>
      </c>
      <c r="AB1577" s="6">
        <v>66</v>
      </c>
      <c r="AC1577" s="6">
        <v>66</v>
      </c>
      <c r="AD1577" s="6">
        <v>69</v>
      </c>
      <c r="AE1577" s="6">
        <v>69</v>
      </c>
      <c r="AF1577" s="6">
        <v>74</v>
      </c>
      <c r="AG1577" s="6" t="s">
        <v>8166</v>
      </c>
      <c r="AH1577" s="6" t="s">
        <v>6709</v>
      </c>
    </row>
    <row r="1578" spans="1:34" x14ac:dyDescent="0.2">
      <c r="A1578" t="s">
        <v>4445</v>
      </c>
      <c r="B1578" t="s">
        <v>2708</v>
      </c>
      <c r="C1578" t="s">
        <v>2885</v>
      </c>
      <c r="D1578" s="7" t="s">
        <v>158</v>
      </c>
      <c r="E1578" t="s">
        <v>38</v>
      </c>
      <c r="F1578">
        <v>29</v>
      </c>
      <c r="G1578">
        <v>67</v>
      </c>
      <c r="H1578">
        <v>69</v>
      </c>
      <c r="I1578" t="s">
        <v>6430</v>
      </c>
      <c r="J1578">
        <v>72</v>
      </c>
      <c r="K1578">
        <v>249</v>
      </c>
      <c r="L1578" t="s">
        <v>6139</v>
      </c>
      <c r="M1578" s="6" t="s">
        <v>6558</v>
      </c>
      <c r="N1578" s="6" t="s">
        <v>6583</v>
      </c>
      <c r="O1578" s="6">
        <v>62</v>
      </c>
      <c r="P1578" s="6">
        <v>69</v>
      </c>
      <c r="Q1578" s="6">
        <v>70</v>
      </c>
      <c r="R1578" s="6">
        <v>79</v>
      </c>
      <c r="S1578" s="6">
        <v>72</v>
      </c>
      <c r="T1578" s="6">
        <v>73</v>
      </c>
      <c r="U1578" s="6">
        <v>67</v>
      </c>
      <c r="V1578" s="6">
        <v>78</v>
      </c>
      <c r="W1578" s="6">
        <v>80</v>
      </c>
      <c r="X1578" s="6">
        <v>77</v>
      </c>
      <c r="Y1578" s="6">
        <v>66</v>
      </c>
      <c r="Z1578" s="6">
        <v>78</v>
      </c>
      <c r="AA1578" s="6">
        <v>59</v>
      </c>
      <c r="AB1578" s="6">
        <v>65</v>
      </c>
      <c r="AC1578" s="6">
        <v>68</v>
      </c>
      <c r="AD1578" s="6">
        <v>64</v>
      </c>
      <c r="AE1578" s="6">
        <v>60</v>
      </c>
      <c r="AF1578" s="6">
        <v>66</v>
      </c>
      <c r="AG1578" s="6" t="s">
        <v>7126</v>
      </c>
      <c r="AH1578" s="6" t="s">
        <v>6628</v>
      </c>
    </row>
    <row r="1579" spans="1:34" x14ac:dyDescent="0.2">
      <c r="A1579" t="s">
        <v>4447</v>
      </c>
      <c r="B1579" t="s">
        <v>2710</v>
      </c>
      <c r="C1579" t="s">
        <v>2890</v>
      </c>
      <c r="D1579" s="7" t="s">
        <v>158</v>
      </c>
      <c r="E1579" t="s">
        <v>38</v>
      </c>
      <c r="F1579">
        <v>26</v>
      </c>
      <c r="G1579">
        <v>64</v>
      </c>
      <c r="H1579">
        <v>69</v>
      </c>
      <c r="I1579" t="s">
        <v>6401</v>
      </c>
      <c r="J1579">
        <v>68</v>
      </c>
      <c r="K1579">
        <v>185</v>
      </c>
      <c r="L1579" t="s">
        <v>6141</v>
      </c>
      <c r="M1579" s="6" t="s">
        <v>6558</v>
      </c>
      <c r="N1579" s="6" t="s">
        <v>6583</v>
      </c>
      <c r="O1579" s="6">
        <v>65</v>
      </c>
      <c r="P1579" s="6">
        <v>70</v>
      </c>
      <c r="Q1579" s="6">
        <v>71</v>
      </c>
      <c r="R1579" s="6">
        <v>77</v>
      </c>
      <c r="S1579" s="6">
        <v>75</v>
      </c>
      <c r="T1579" s="6">
        <v>75</v>
      </c>
      <c r="U1579" s="6">
        <v>63</v>
      </c>
      <c r="V1579" s="6">
        <v>80</v>
      </c>
      <c r="W1579" s="6">
        <v>63</v>
      </c>
      <c r="X1579" s="6">
        <v>60</v>
      </c>
      <c r="Y1579" s="6">
        <v>73</v>
      </c>
      <c r="Z1579" s="6">
        <v>75</v>
      </c>
      <c r="AA1579" s="6">
        <v>69</v>
      </c>
      <c r="AB1579" s="6">
        <v>68</v>
      </c>
      <c r="AC1579" s="6">
        <v>64</v>
      </c>
      <c r="AD1579" s="6">
        <v>62</v>
      </c>
      <c r="AE1579" s="6">
        <v>68</v>
      </c>
      <c r="AF1579" s="6">
        <v>71</v>
      </c>
      <c r="AG1579" s="6" t="s">
        <v>8169</v>
      </c>
      <c r="AH1579" s="6" t="s">
        <v>6630</v>
      </c>
    </row>
    <row r="1580" spans="1:34" x14ac:dyDescent="0.2">
      <c r="A1580" t="s">
        <v>4449</v>
      </c>
      <c r="B1580" t="s">
        <v>2712</v>
      </c>
      <c r="C1580" t="s">
        <v>2891</v>
      </c>
      <c r="D1580" s="7" t="s">
        <v>158</v>
      </c>
      <c r="E1580" t="s">
        <v>38</v>
      </c>
      <c r="F1580">
        <v>27</v>
      </c>
      <c r="G1580">
        <v>57</v>
      </c>
      <c r="H1580">
        <v>69</v>
      </c>
      <c r="I1580" t="s">
        <v>6301</v>
      </c>
      <c r="J1580">
        <v>75</v>
      </c>
      <c r="K1580">
        <v>241</v>
      </c>
      <c r="L1580" t="s">
        <v>6143</v>
      </c>
      <c r="M1580" s="6" t="s">
        <v>6558</v>
      </c>
      <c r="N1580" s="6" t="s">
        <v>6565</v>
      </c>
      <c r="O1580" s="6">
        <v>76</v>
      </c>
      <c r="P1580" s="6">
        <v>73</v>
      </c>
      <c r="Q1580" s="6">
        <v>78</v>
      </c>
      <c r="R1580" s="6">
        <v>70</v>
      </c>
      <c r="S1580" s="6">
        <v>78</v>
      </c>
      <c r="T1580" s="6">
        <v>71</v>
      </c>
      <c r="U1580" s="6">
        <v>78</v>
      </c>
      <c r="V1580" s="6">
        <v>78</v>
      </c>
      <c r="W1580" s="6">
        <v>77</v>
      </c>
      <c r="X1580" s="6">
        <v>67</v>
      </c>
      <c r="Y1580" s="6">
        <v>80</v>
      </c>
      <c r="Z1580" s="6">
        <v>79</v>
      </c>
      <c r="AA1580" s="6">
        <v>69</v>
      </c>
      <c r="AB1580" s="6">
        <v>73</v>
      </c>
      <c r="AC1580" s="6">
        <v>65</v>
      </c>
      <c r="AD1580" s="6">
        <v>75</v>
      </c>
      <c r="AE1580" s="6">
        <v>70</v>
      </c>
      <c r="AF1580" s="6">
        <v>71</v>
      </c>
      <c r="AG1580" s="6" t="s">
        <v>8171</v>
      </c>
      <c r="AH1580" s="6" t="s">
        <v>7093</v>
      </c>
    </row>
    <row r="1581" spans="1:34" x14ac:dyDescent="0.2">
      <c r="A1581" t="s">
        <v>4451</v>
      </c>
      <c r="B1581" t="s">
        <v>2714</v>
      </c>
      <c r="C1581" t="s">
        <v>53</v>
      </c>
      <c r="D1581" s="7" t="s">
        <v>145</v>
      </c>
      <c r="E1581" t="s">
        <v>58</v>
      </c>
      <c r="F1581">
        <v>30</v>
      </c>
      <c r="G1581">
        <v>76</v>
      </c>
      <c r="H1581">
        <v>69</v>
      </c>
      <c r="I1581" t="s">
        <v>6334</v>
      </c>
      <c r="J1581">
        <v>74</v>
      </c>
      <c r="K1581">
        <v>237</v>
      </c>
      <c r="L1581" t="s">
        <v>6145</v>
      </c>
      <c r="M1581" s="6" t="s">
        <v>6558</v>
      </c>
      <c r="N1581" s="6" t="s">
        <v>6562</v>
      </c>
      <c r="O1581" s="6">
        <v>82</v>
      </c>
      <c r="P1581" s="6">
        <v>76</v>
      </c>
      <c r="Q1581" s="6">
        <v>72</v>
      </c>
      <c r="R1581" s="6">
        <v>85</v>
      </c>
      <c r="S1581" s="6">
        <v>87</v>
      </c>
      <c r="T1581" s="6">
        <v>76</v>
      </c>
      <c r="U1581" s="6">
        <v>75</v>
      </c>
      <c r="V1581" s="6">
        <v>75</v>
      </c>
      <c r="W1581" s="6">
        <v>82</v>
      </c>
      <c r="X1581" s="6">
        <v>63</v>
      </c>
      <c r="Y1581" s="6">
        <v>74</v>
      </c>
      <c r="Z1581" s="6">
        <v>76</v>
      </c>
      <c r="AA1581" s="6">
        <v>70</v>
      </c>
      <c r="AB1581" s="6">
        <v>66</v>
      </c>
      <c r="AC1581" s="6">
        <v>68</v>
      </c>
      <c r="AD1581" s="6">
        <v>78</v>
      </c>
      <c r="AE1581" s="6">
        <v>64</v>
      </c>
      <c r="AF1581" s="6">
        <v>71</v>
      </c>
      <c r="AG1581" s="6" t="s">
        <v>8173</v>
      </c>
      <c r="AH1581" s="6" t="s">
        <v>6990</v>
      </c>
    </row>
    <row r="1582" spans="1:34" x14ac:dyDescent="0.2">
      <c r="A1582" t="s">
        <v>4453</v>
      </c>
      <c r="B1582" t="s">
        <v>2716</v>
      </c>
      <c r="C1582" t="s">
        <v>2870</v>
      </c>
      <c r="D1582" s="7" t="s">
        <v>145</v>
      </c>
      <c r="E1582" t="s">
        <v>38</v>
      </c>
      <c r="F1582">
        <v>24</v>
      </c>
      <c r="G1582">
        <v>82</v>
      </c>
      <c r="H1582">
        <v>69</v>
      </c>
      <c r="I1582" t="s">
        <v>6338</v>
      </c>
      <c r="J1582">
        <v>71</v>
      </c>
      <c r="K1582">
        <v>220</v>
      </c>
      <c r="L1582" t="s">
        <v>6147</v>
      </c>
      <c r="M1582" s="6" t="s">
        <v>6558</v>
      </c>
      <c r="N1582" s="6" t="s">
        <v>6583</v>
      </c>
      <c r="O1582" s="6">
        <v>78</v>
      </c>
      <c r="P1582" s="6">
        <v>75</v>
      </c>
      <c r="Q1582" s="6">
        <v>87</v>
      </c>
      <c r="R1582" s="6">
        <v>81</v>
      </c>
      <c r="S1582" s="6">
        <v>86</v>
      </c>
      <c r="T1582" s="6">
        <v>71</v>
      </c>
      <c r="U1582" s="6">
        <v>70</v>
      </c>
      <c r="V1582" s="6">
        <v>78</v>
      </c>
      <c r="W1582" s="6">
        <v>79</v>
      </c>
      <c r="X1582" s="6">
        <v>75</v>
      </c>
      <c r="Y1582" s="6">
        <v>80</v>
      </c>
      <c r="Z1582" s="6">
        <v>74</v>
      </c>
      <c r="AA1582" s="6">
        <v>70</v>
      </c>
      <c r="AB1582" s="6">
        <v>80</v>
      </c>
      <c r="AC1582" s="6">
        <v>71</v>
      </c>
      <c r="AD1582" s="6">
        <v>75</v>
      </c>
      <c r="AE1582" s="6">
        <v>77</v>
      </c>
      <c r="AF1582" s="6">
        <v>77</v>
      </c>
      <c r="AG1582" s="6" t="s">
        <v>8175</v>
      </c>
      <c r="AH1582" s="6" t="s">
        <v>6572</v>
      </c>
    </row>
    <row r="1583" spans="1:34" x14ac:dyDescent="0.2">
      <c r="A1583" t="s">
        <v>4455</v>
      </c>
      <c r="B1583" t="s">
        <v>2718</v>
      </c>
      <c r="C1583" t="s">
        <v>2870</v>
      </c>
      <c r="D1583" s="7" t="s">
        <v>145</v>
      </c>
      <c r="E1583" t="s">
        <v>58</v>
      </c>
      <c r="F1583">
        <v>30</v>
      </c>
      <c r="G1583">
        <v>69</v>
      </c>
      <c r="H1583">
        <v>69</v>
      </c>
      <c r="I1583" t="s">
        <v>6464</v>
      </c>
      <c r="J1583">
        <v>69</v>
      </c>
      <c r="K1583">
        <v>227</v>
      </c>
      <c r="L1583" t="s">
        <v>6149</v>
      </c>
      <c r="M1583" s="6" t="s">
        <v>6558</v>
      </c>
      <c r="N1583" s="6" t="s">
        <v>6567</v>
      </c>
      <c r="O1583" s="6">
        <v>78</v>
      </c>
      <c r="P1583" s="6">
        <v>71</v>
      </c>
      <c r="Q1583" s="6">
        <v>78</v>
      </c>
      <c r="R1583" s="6">
        <v>63</v>
      </c>
      <c r="S1583" s="6">
        <v>76</v>
      </c>
      <c r="T1583" s="6">
        <v>66</v>
      </c>
      <c r="U1583" s="6">
        <v>76</v>
      </c>
      <c r="V1583" s="6">
        <v>76</v>
      </c>
      <c r="W1583" s="6">
        <v>73</v>
      </c>
      <c r="X1583" s="6">
        <v>70</v>
      </c>
      <c r="Y1583" s="6">
        <v>76</v>
      </c>
      <c r="Z1583" s="6">
        <v>70</v>
      </c>
      <c r="AA1583" s="6">
        <v>73</v>
      </c>
      <c r="AB1583" s="6">
        <v>67</v>
      </c>
      <c r="AC1583" s="6">
        <v>72</v>
      </c>
      <c r="AD1583" s="6">
        <v>66</v>
      </c>
      <c r="AE1583" s="6">
        <v>68</v>
      </c>
      <c r="AF1583" s="6">
        <v>76</v>
      </c>
      <c r="AG1583" s="6" t="s">
        <v>8177</v>
      </c>
      <c r="AH1583" s="6" t="s">
        <v>6656</v>
      </c>
    </row>
    <row r="1584" spans="1:34" x14ac:dyDescent="0.2">
      <c r="A1584" t="s">
        <v>4457</v>
      </c>
      <c r="B1584" t="s">
        <v>2720</v>
      </c>
      <c r="C1584" t="s">
        <v>57</v>
      </c>
      <c r="D1584" s="7" t="s">
        <v>145</v>
      </c>
      <c r="E1584" t="s">
        <v>58</v>
      </c>
      <c r="F1584">
        <v>25</v>
      </c>
      <c r="G1584">
        <v>75</v>
      </c>
      <c r="H1584">
        <v>69</v>
      </c>
      <c r="I1584" t="s">
        <v>6307</v>
      </c>
      <c r="J1584">
        <v>72</v>
      </c>
      <c r="K1584">
        <v>200</v>
      </c>
      <c r="L1584" t="s">
        <v>6151</v>
      </c>
      <c r="M1584" s="6" t="s">
        <v>6558</v>
      </c>
      <c r="N1584" s="6" t="s">
        <v>6614</v>
      </c>
      <c r="O1584" s="6">
        <v>91</v>
      </c>
      <c r="P1584" s="6">
        <v>67</v>
      </c>
      <c r="Q1584" s="6">
        <v>63</v>
      </c>
      <c r="R1584" s="6">
        <v>61</v>
      </c>
      <c r="S1584" s="6">
        <v>74</v>
      </c>
      <c r="T1584" s="6">
        <v>73</v>
      </c>
      <c r="U1584" s="6">
        <v>70</v>
      </c>
      <c r="V1584" s="6">
        <v>76</v>
      </c>
      <c r="W1584" s="6">
        <v>73</v>
      </c>
      <c r="X1584" s="6">
        <v>64</v>
      </c>
      <c r="Y1584" s="6">
        <v>72</v>
      </c>
      <c r="Z1584" s="6">
        <v>66</v>
      </c>
      <c r="AA1584" s="6">
        <v>69</v>
      </c>
      <c r="AB1584" s="6">
        <v>70</v>
      </c>
      <c r="AC1584" s="6">
        <v>71</v>
      </c>
      <c r="AD1584" s="6">
        <v>79</v>
      </c>
      <c r="AE1584" s="6">
        <v>67</v>
      </c>
      <c r="AF1584" s="6">
        <v>73</v>
      </c>
      <c r="AG1584" s="6" t="s">
        <v>8179</v>
      </c>
      <c r="AH1584" s="6" t="s">
        <v>6574</v>
      </c>
    </row>
    <row r="1585" spans="1:34" x14ac:dyDescent="0.2">
      <c r="A1585" t="s">
        <v>4459</v>
      </c>
      <c r="B1585" t="s">
        <v>2722</v>
      </c>
      <c r="C1585" t="s">
        <v>57</v>
      </c>
      <c r="D1585" s="7" t="s">
        <v>145</v>
      </c>
      <c r="E1585" t="s">
        <v>38</v>
      </c>
      <c r="F1585">
        <v>23</v>
      </c>
      <c r="G1585">
        <v>72</v>
      </c>
      <c r="H1585">
        <v>69</v>
      </c>
      <c r="I1585" t="s">
        <v>6383</v>
      </c>
      <c r="J1585">
        <v>74</v>
      </c>
      <c r="K1585">
        <v>221</v>
      </c>
      <c r="L1585" t="s">
        <v>6153</v>
      </c>
      <c r="M1585" s="6" t="s">
        <v>6558</v>
      </c>
      <c r="N1585" s="6" t="s">
        <v>6565</v>
      </c>
      <c r="O1585" s="6">
        <v>71</v>
      </c>
      <c r="P1585" s="6">
        <v>71</v>
      </c>
      <c r="Q1585" s="6">
        <v>79</v>
      </c>
      <c r="R1585" s="6">
        <v>73</v>
      </c>
      <c r="S1585" s="6">
        <v>78</v>
      </c>
      <c r="T1585" s="6">
        <v>75</v>
      </c>
      <c r="U1585" s="6">
        <v>63</v>
      </c>
      <c r="V1585" s="6">
        <v>76</v>
      </c>
      <c r="W1585" s="6">
        <v>75</v>
      </c>
      <c r="X1585" s="6">
        <v>67</v>
      </c>
      <c r="Y1585" s="6">
        <v>78</v>
      </c>
      <c r="Z1585" s="6">
        <v>78</v>
      </c>
      <c r="AA1585" s="6">
        <v>67</v>
      </c>
      <c r="AB1585" s="6">
        <v>76</v>
      </c>
      <c r="AC1585" s="6">
        <v>70</v>
      </c>
      <c r="AD1585" s="6">
        <v>65</v>
      </c>
      <c r="AE1585" s="6">
        <v>69</v>
      </c>
      <c r="AF1585" s="6">
        <v>61</v>
      </c>
      <c r="AG1585" s="6" t="s">
        <v>8181</v>
      </c>
      <c r="AH1585" s="6" t="s">
        <v>6661</v>
      </c>
    </row>
    <row r="1586" spans="1:34" x14ac:dyDescent="0.2">
      <c r="A1586" t="s">
        <v>4461</v>
      </c>
      <c r="B1586" t="s">
        <v>2724</v>
      </c>
      <c r="C1586" t="s">
        <v>57</v>
      </c>
      <c r="D1586" s="7" t="s">
        <v>145</v>
      </c>
      <c r="E1586" t="s">
        <v>38</v>
      </c>
      <c r="F1586">
        <v>26</v>
      </c>
      <c r="G1586">
        <v>67</v>
      </c>
      <c r="H1586">
        <v>69</v>
      </c>
      <c r="I1586" t="s">
        <v>6428</v>
      </c>
      <c r="J1586">
        <v>70</v>
      </c>
      <c r="K1586">
        <v>209</v>
      </c>
      <c r="L1586" t="s">
        <v>6155</v>
      </c>
      <c r="M1586" s="6" t="s">
        <v>6558</v>
      </c>
      <c r="N1586" s="6" t="s">
        <v>6565</v>
      </c>
      <c r="O1586" s="6">
        <v>70</v>
      </c>
      <c r="P1586" s="6">
        <v>68</v>
      </c>
      <c r="Q1586" s="6">
        <v>67</v>
      </c>
      <c r="R1586" s="6">
        <v>74</v>
      </c>
      <c r="S1586" s="6">
        <v>73</v>
      </c>
      <c r="T1586" s="6">
        <v>73</v>
      </c>
      <c r="U1586" s="6">
        <v>71</v>
      </c>
      <c r="V1586" s="6">
        <v>69</v>
      </c>
      <c r="W1586" s="6">
        <v>80</v>
      </c>
      <c r="X1586" s="6">
        <v>66</v>
      </c>
      <c r="Y1586" s="6">
        <v>70</v>
      </c>
      <c r="Z1586" s="6">
        <v>74</v>
      </c>
      <c r="AA1586" s="6">
        <v>74</v>
      </c>
      <c r="AB1586" s="6">
        <v>73</v>
      </c>
      <c r="AC1586" s="6">
        <v>80</v>
      </c>
      <c r="AD1586" s="6">
        <v>75</v>
      </c>
      <c r="AE1586" s="6">
        <v>67</v>
      </c>
      <c r="AF1586" s="6">
        <v>73</v>
      </c>
      <c r="AG1586" s="6" t="s">
        <v>8183</v>
      </c>
      <c r="AH1586" s="6" t="s">
        <v>6782</v>
      </c>
    </row>
    <row r="1587" spans="1:34" x14ac:dyDescent="0.2">
      <c r="A1587" t="s">
        <v>4463</v>
      </c>
      <c r="B1587" t="s">
        <v>2726</v>
      </c>
      <c r="C1587" t="s">
        <v>2871</v>
      </c>
      <c r="D1587" s="7" t="s">
        <v>145</v>
      </c>
      <c r="E1587" t="s">
        <v>58</v>
      </c>
      <c r="F1587">
        <v>28</v>
      </c>
      <c r="G1587">
        <v>80</v>
      </c>
      <c r="H1587">
        <v>69</v>
      </c>
      <c r="I1587" t="s">
        <v>59</v>
      </c>
      <c r="J1587">
        <v>76</v>
      </c>
      <c r="K1587">
        <v>257</v>
      </c>
      <c r="L1587" t="s">
        <v>6157</v>
      </c>
      <c r="M1587" s="6" t="s">
        <v>6558</v>
      </c>
      <c r="N1587" s="6" t="s">
        <v>6565</v>
      </c>
      <c r="O1587" s="6">
        <v>74</v>
      </c>
      <c r="P1587" s="6">
        <v>74</v>
      </c>
      <c r="Q1587" s="6">
        <v>68</v>
      </c>
      <c r="R1587" s="6">
        <v>74</v>
      </c>
      <c r="S1587" s="6">
        <v>75</v>
      </c>
      <c r="T1587" s="6">
        <v>72</v>
      </c>
      <c r="U1587" s="6">
        <v>78</v>
      </c>
      <c r="V1587" s="6">
        <v>75</v>
      </c>
      <c r="W1587" s="6">
        <v>71</v>
      </c>
      <c r="X1587" s="6">
        <v>70</v>
      </c>
      <c r="Y1587" s="6">
        <v>81</v>
      </c>
      <c r="Z1587" s="6">
        <v>80</v>
      </c>
      <c r="AA1587" s="6">
        <v>73</v>
      </c>
      <c r="AB1587" s="6">
        <v>71</v>
      </c>
      <c r="AC1587" s="6">
        <v>68</v>
      </c>
      <c r="AD1587" s="6">
        <v>78</v>
      </c>
      <c r="AE1587" s="6">
        <v>69</v>
      </c>
      <c r="AF1587" s="6">
        <v>77</v>
      </c>
      <c r="AG1587" s="6" t="s">
        <v>8185</v>
      </c>
      <c r="AH1587" s="6" t="s">
        <v>7219</v>
      </c>
    </row>
    <row r="1588" spans="1:34" x14ac:dyDescent="0.2">
      <c r="A1588" t="s">
        <v>4465</v>
      </c>
      <c r="B1588" t="s">
        <v>2728</v>
      </c>
      <c r="C1588" t="s">
        <v>2871</v>
      </c>
      <c r="D1588" s="7" t="s">
        <v>145</v>
      </c>
      <c r="E1588" t="s">
        <v>38</v>
      </c>
      <c r="F1588">
        <v>24</v>
      </c>
      <c r="G1588">
        <v>66</v>
      </c>
      <c r="H1588">
        <v>69</v>
      </c>
      <c r="I1588" t="s">
        <v>6370</v>
      </c>
      <c r="J1588">
        <v>77</v>
      </c>
      <c r="K1588">
        <v>254</v>
      </c>
      <c r="L1588" t="s">
        <v>6159</v>
      </c>
      <c r="M1588" s="6" t="s">
        <v>6558</v>
      </c>
      <c r="N1588" s="6" t="s">
        <v>6567</v>
      </c>
      <c r="O1588" s="6">
        <v>76</v>
      </c>
      <c r="P1588" s="6">
        <v>69</v>
      </c>
      <c r="Q1588" s="6">
        <v>69</v>
      </c>
      <c r="R1588" s="6">
        <v>69</v>
      </c>
      <c r="S1588" s="6">
        <v>81</v>
      </c>
      <c r="T1588" s="6">
        <v>74</v>
      </c>
      <c r="U1588" s="6">
        <v>80</v>
      </c>
      <c r="V1588" s="6">
        <v>67</v>
      </c>
      <c r="W1588" s="6">
        <v>74</v>
      </c>
      <c r="X1588" s="6">
        <v>70</v>
      </c>
      <c r="Y1588" s="6">
        <v>67</v>
      </c>
      <c r="Z1588" s="6">
        <v>80</v>
      </c>
      <c r="AA1588" s="6">
        <v>64</v>
      </c>
      <c r="AB1588" s="6">
        <v>68</v>
      </c>
      <c r="AC1588" s="6">
        <v>70</v>
      </c>
      <c r="AD1588" s="6">
        <v>71</v>
      </c>
      <c r="AE1588" s="6">
        <v>66</v>
      </c>
      <c r="AF1588" s="6">
        <v>73</v>
      </c>
      <c r="AG1588" s="6" t="s">
        <v>8187</v>
      </c>
      <c r="AH1588" s="6" t="s">
        <v>6585</v>
      </c>
    </row>
    <row r="1589" spans="1:34" x14ac:dyDescent="0.2">
      <c r="A1589" t="s">
        <v>4467</v>
      </c>
      <c r="B1589" t="s">
        <v>2730</v>
      </c>
      <c r="C1589" t="s">
        <v>2874</v>
      </c>
      <c r="D1589" s="7" t="s">
        <v>145</v>
      </c>
      <c r="E1589" t="s">
        <v>38</v>
      </c>
      <c r="F1589">
        <v>25</v>
      </c>
      <c r="G1589">
        <v>79</v>
      </c>
      <c r="H1589">
        <v>69</v>
      </c>
      <c r="I1589" t="s">
        <v>59</v>
      </c>
      <c r="J1589">
        <v>75</v>
      </c>
      <c r="K1589">
        <v>327</v>
      </c>
      <c r="L1589" t="s">
        <v>6161</v>
      </c>
      <c r="M1589" s="6" t="s">
        <v>6558</v>
      </c>
      <c r="N1589" s="6" t="s">
        <v>6565</v>
      </c>
      <c r="O1589" s="6">
        <v>78</v>
      </c>
      <c r="P1589" s="6">
        <v>64</v>
      </c>
      <c r="Q1589" s="6">
        <v>77</v>
      </c>
      <c r="R1589" s="6">
        <v>70</v>
      </c>
      <c r="S1589" s="6">
        <v>71</v>
      </c>
      <c r="T1589" s="6">
        <v>75</v>
      </c>
      <c r="U1589" s="6">
        <v>75</v>
      </c>
      <c r="V1589" s="6">
        <v>74</v>
      </c>
      <c r="W1589" s="6">
        <v>67</v>
      </c>
      <c r="X1589" s="6">
        <v>72</v>
      </c>
      <c r="Y1589" s="6">
        <v>81</v>
      </c>
      <c r="Z1589" s="6">
        <v>73</v>
      </c>
      <c r="AA1589" s="6">
        <v>73</v>
      </c>
      <c r="AB1589" s="6">
        <v>78</v>
      </c>
      <c r="AC1589" s="6">
        <v>74</v>
      </c>
      <c r="AD1589" s="6">
        <v>75</v>
      </c>
      <c r="AE1589" s="6">
        <v>68</v>
      </c>
      <c r="AF1589" s="6">
        <v>71</v>
      </c>
      <c r="AG1589" s="6" t="s">
        <v>8189</v>
      </c>
      <c r="AH1589" s="6" t="s">
        <v>6598</v>
      </c>
    </row>
    <row r="1590" spans="1:34" x14ac:dyDescent="0.2">
      <c r="A1590" t="s">
        <v>4469</v>
      </c>
      <c r="B1590" t="s">
        <v>2732</v>
      </c>
      <c r="C1590" t="s">
        <v>2887</v>
      </c>
      <c r="D1590" s="7" t="s">
        <v>145</v>
      </c>
      <c r="E1590" t="s">
        <v>38</v>
      </c>
      <c r="F1590">
        <v>26</v>
      </c>
      <c r="G1590">
        <v>77</v>
      </c>
      <c r="H1590">
        <v>69</v>
      </c>
      <c r="I1590" t="s">
        <v>8335</v>
      </c>
      <c r="J1590">
        <v>75</v>
      </c>
      <c r="K1590">
        <v>319</v>
      </c>
      <c r="L1590" t="s">
        <v>6163</v>
      </c>
      <c r="M1590" s="6" t="s">
        <v>6558</v>
      </c>
      <c r="N1590" s="6" t="s">
        <v>6583</v>
      </c>
      <c r="O1590" s="6">
        <v>87</v>
      </c>
      <c r="P1590" s="6">
        <v>76</v>
      </c>
      <c r="Q1590" s="6">
        <v>70</v>
      </c>
      <c r="R1590" s="6">
        <v>77</v>
      </c>
      <c r="S1590" s="6">
        <v>77</v>
      </c>
      <c r="T1590" s="6">
        <v>70</v>
      </c>
      <c r="U1590" s="6">
        <v>73</v>
      </c>
      <c r="V1590" s="6">
        <v>81</v>
      </c>
      <c r="W1590" s="6">
        <v>85</v>
      </c>
      <c r="X1590" s="6">
        <v>73</v>
      </c>
      <c r="Y1590" s="6">
        <v>82</v>
      </c>
      <c r="Z1590" s="6">
        <v>72</v>
      </c>
      <c r="AA1590" s="6">
        <v>75</v>
      </c>
      <c r="AB1590" s="6">
        <v>70</v>
      </c>
      <c r="AC1590" s="6">
        <v>70</v>
      </c>
      <c r="AD1590" s="6">
        <v>73</v>
      </c>
      <c r="AE1590" s="6">
        <v>76</v>
      </c>
      <c r="AF1590" s="6">
        <v>72</v>
      </c>
      <c r="AG1590" s="6" t="s">
        <v>8191</v>
      </c>
      <c r="AH1590" s="6" t="s">
        <v>6598</v>
      </c>
    </row>
    <row r="1591" spans="1:34" x14ac:dyDescent="0.2">
      <c r="A1591" t="s">
        <v>4471</v>
      </c>
      <c r="B1591" t="s">
        <v>2734</v>
      </c>
      <c r="C1591" t="s">
        <v>2876</v>
      </c>
      <c r="D1591" s="7" t="s">
        <v>145</v>
      </c>
      <c r="E1591" t="s">
        <v>38</v>
      </c>
      <c r="F1591">
        <v>27</v>
      </c>
      <c r="G1591">
        <v>82</v>
      </c>
      <c r="H1591">
        <v>69</v>
      </c>
      <c r="I1591" t="s">
        <v>8333</v>
      </c>
      <c r="J1591">
        <v>73</v>
      </c>
      <c r="K1591">
        <v>300</v>
      </c>
      <c r="L1591" t="s">
        <v>6165</v>
      </c>
      <c r="M1591" s="6" t="s">
        <v>6558</v>
      </c>
      <c r="N1591" s="6" t="s">
        <v>6567</v>
      </c>
      <c r="O1591" s="6">
        <v>80</v>
      </c>
      <c r="P1591" s="6">
        <v>74</v>
      </c>
      <c r="Q1591" s="6">
        <v>64</v>
      </c>
      <c r="R1591" s="6">
        <v>68</v>
      </c>
      <c r="S1591" s="6">
        <v>75</v>
      </c>
      <c r="T1591" s="6">
        <v>73</v>
      </c>
      <c r="U1591" s="6">
        <v>80</v>
      </c>
      <c r="V1591" s="6">
        <v>71</v>
      </c>
      <c r="W1591" s="6">
        <v>72</v>
      </c>
      <c r="X1591" s="6">
        <v>75</v>
      </c>
      <c r="Y1591" s="6">
        <v>82</v>
      </c>
      <c r="Z1591" s="6">
        <v>80</v>
      </c>
      <c r="AA1591" s="6">
        <v>76</v>
      </c>
      <c r="AB1591" s="6">
        <v>75</v>
      </c>
      <c r="AC1591" s="6">
        <v>76</v>
      </c>
      <c r="AD1591" s="6">
        <v>76</v>
      </c>
      <c r="AE1591" s="6">
        <v>76</v>
      </c>
      <c r="AF1591" s="6">
        <v>78</v>
      </c>
      <c r="AG1591" s="6" t="s">
        <v>8193</v>
      </c>
      <c r="AH1591" s="6" t="s">
        <v>6598</v>
      </c>
    </row>
    <row r="1592" spans="1:34" x14ac:dyDescent="0.2">
      <c r="A1592" t="s">
        <v>4473</v>
      </c>
      <c r="B1592" t="s">
        <v>2736</v>
      </c>
      <c r="C1592" t="s">
        <v>2878</v>
      </c>
      <c r="D1592" s="7" t="s">
        <v>145</v>
      </c>
      <c r="E1592" t="s">
        <v>38</v>
      </c>
      <c r="F1592">
        <v>29</v>
      </c>
      <c r="G1592">
        <v>82</v>
      </c>
      <c r="H1592">
        <v>69</v>
      </c>
      <c r="I1592" t="s">
        <v>6333</v>
      </c>
      <c r="J1592">
        <v>74</v>
      </c>
      <c r="K1592">
        <v>263</v>
      </c>
      <c r="L1592" t="s">
        <v>6167</v>
      </c>
      <c r="M1592" s="6" t="s">
        <v>6558</v>
      </c>
      <c r="N1592" s="6" t="s">
        <v>6559</v>
      </c>
      <c r="O1592" s="6">
        <v>82</v>
      </c>
      <c r="P1592" s="6">
        <v>81</v>
      </c>
      <c r="Q1592" s="6">
        <v>81</v>
      </c>
      <c r="R1592" s="6">
        <v>82</v>
      </c>
      <c r="S1592" s="6">
        <v>83</v>
      </c>
      <c r="T1592" s="6">
        <v>79</v>
      </c>
      <c r="U1592" s="6">
        <v>75</v>
      </c>
      <c r="V1592" s="6">
        <v>83</v>
      </c>
      <c r="W1592" s="6">
        <v>93</v>
      </c>
      <c r="X1592" s="6">
        <v>76</v>
      </c>
      <c r="Y1592" s="6">
        <v>80</v>
      </c>
      <c r="Z1592" s="6">
        <v>87</v>
      </c>
      <c r="AA1592" s="6">
        <v>73</v>
      </c>
      <c r="AB1592" s="6">
        <v>72</v>
      </c>
      <c r="AC1592" s="6">
        <v>72</v>
      </c>
      <c r="AD1592" s="6">
        <v>80</v>
      </c>
      <c r="AE1592" s="6">
        <v>77</v>
      </c>
      <c r="AF1592" s="6">
        <v>77</v>
      </c>
      <c r="AG1592" s="6" t="s">
        <v>8195</v>
      </c>
      <c r="AH1592" s="6" t="s">
        <v>6686</v>
      </c>
    </row>
    <row r="1593" spans="1:34" x14ac:dyDescent="0.2">
      <c r="A1593" t="s">
        <v>4475</v>
      </c>
      <c r="B1593" t="s">
        <v>2738</v>
      </c>
      <c r="C1593" t="s">
        <v>2878</v>
      </c>
      <c r="D1593" s="7" t="s">
        <v>145</v>
      </c>
      <c r="E1593" t="s">
        <v>38</v>
      </c>
      <c r="F1593">
        <v>24</v>
      </c>
      <c r="G1593">
        <v>74</v>
      </c>
      <c r="H1593">
        <v>69</v>
      </c>
      <c r="I1593" t="s">
        <v>6429</v>
      </c>
      <c r="J1593">
        <v>75</v>
      </c>
      <c r="K1593">
        <v>278</v>
      </c>
      <c r="L1593" t="s">
        <v>6169</v>
      </c>
      <c r="M1593" s="6" t="s">
        <v>6558</v>
      </c>
      <c r="N1593" s="6" t="s">
        <v>6565</v>
      </c>
      <c r="O1593" s="6">
        <v>75</v>
      </c>
      <c r="P1593" s="6">
        <v>66</v>
      </c>
      <c r="Q1593" s="6">
        <v>83</v>
      </c>
      <c r="R1593" s="6">
        <v>71</v>
      </c>
      <c r="S1593" s="6">
        <v>80</v>
      </c>
      <c r="T1593" s="6">
        <v>67</v>
      </c>
      <c r="U1593" s="6">
        <v>73</v>
      </c>
      <c r="V1593" s="6">
        <v>71</v>
      </c>
      <c r="W1593" s="6">
        <v>78</v>
      </c>
      <c r="X1593" s="6">
        <v>57</v>
      </c>
      <c r="Y1593" s="6">
        <v>69</v>
      </c>
      <c r="Z1593" s="6">
        <v>66</v>
      </c>
      <c r="AA1593" s="6">
        <v>68</v>
      </c>
      <c r="AB1593" s="6">
        <v>60</v>
      </c>
      <c r="AC1593" s="6">
        <v>68</v>
      </c>
      <c r="AD1593" s="6">
        <v>68</v>
      </c>
      <c r="AE1593" s="6">
        <v>66</v>
      </c>
      <c r="AF1593" s="6">
        <v>68</v>
      </c>
      <c r="AG1593" s="6" t="s">
        <v>8197</v>
      </c>
      <c r="AH1593" s="6" t="s">
        <v>6963</v>
      </c>
    </row>
    <row r="1594" spans="1:34" x14ac:dyDescent="0.2">
      <c r="A1594" t="s">
        <v>4477</v>
      </c>
      <c r="B1594" t="s">
        <v>2740</v>
      </c>
      <c r="C1594" t="s">
        <v>2878</v>
      </c>
      <c r="D1594" s="7" t="s">
        <v>145</v>
      </c>
      <c r="E1594" t="s">
        <v>38</v>
      </c>
      <c r="F1594">
        <v>23</v>
      </c>
      <c r="G1594">
        <v>67</v>
      </c>
      <c r="H1594">
        <v>69</v>
      </c>
      <c r="I1594" t="s">
        <v>6413</v>
      </c>
      <c r="J1594">
        <v>77</v>
      </c>
      <c r="K1594">
        <v>273</v>
      </c>
      <c r="L1594" t="s">
        <v>6171</v>
      </c>
      <c r="M1594" s="6" t="s">
        <v>6558</v>
      </c>
      <c r="N1594" s="6" t="s">
        <v>6567</v>
      </c>
      <c r="O1594" s="6">
        <v>62</v>
      </c>
      <c r="P1594" s="6">
        <v>71</v>
      </c>
      <c r="Q1594" s="6">
        <v>63</v>
      </c>
      <c r="R1594" s="6">
        <v>66</v>
      </c>
      <c r="S1594" s="6">
        <v>79</v>
      </c>
      <c r="T1594" s="6">
        <v>67</v>
      </c>
      <c r="U1594" s="6">
        <v>71</v>
      </c>
      <c r="V1594" s="6">
        <v>75</v>
      </c>
      <c r="W1594" s="6">
        <v>65</v>
      </c>
      <c r="X1594" s="6">
        <v>58</v>
      </c>
      <c r="Y1594" s="6">
        <v>64</v>
      </c>
      <c r="Z1594" s="6">
        <v>70</v>
      </c>
      <c r="AA1594" s="6">
        <v>72</v>
      </c>
      <c r="AB1594" s="6">
        <v>64</v>
      </c>
      <c r="AC1594" s="6">
        <v>62</v>
      </c>
      <c r="AD1594" s="6">
        <v>68</v>
      </c>
      <c r="AE1594" s="6">
        <v>63</v>
      </c>
      <c r="AF1594" s="6">
        <v>64</v>
      </c>
      <c r="AG1594" s="6" t="s">
        <v>8199</v>
      </c>
      <c r="AH1594" s="6" t="s">
        <v>6612</v>
      </c>
    </row>
    <row r="1595" spans="1:34" x14ac:dyDescent="0.2">
      <c r="A1595" t="s">
        <v>4479</v>
      </c>
      <c r="B1595" t="s">
        <v>2742</v>
      </c>
      <c r="C1595" t="s">
        <v>2879</v>
      </c>
      <c r="D1595" s="7" t="s">
        <v>145</v>
      </c>
      <c r="E1595" t="s">
        <v>38</v>
      </c>
      <c r="F1595">
        <v>29</v>
      </c>
      <c r="G1595">
        <v>80</v>
      </c>
      <c r="H1595">
        <v>69</v>
      </c>
      <c r="I1595" t="s">
        <v>6314</v>
      </c>
      <c r="J1595">
        <v>75</v>
      </c>
      <c r="K1595">
        <v>316</v>
      </c>
      <c r="L1595" t="s">
        <v>6173</v>
      </c>
      <c r="M1595" s="6" t="s">
        <v>6558</v>
      </c>
      <c r="N1595" s="6" t="s">
        <v>6567</v>
      </c>
      <c r="O1595" s="6">
        <v>84</v>
      </c>
      <c r="P1595" s="6">
        <v>80</v>
      </c>
      <c r="Q1595" s="6">
        <v>82</v>
      </c>
      <c r="R1595" s="6">
        <v>67</v>
      </c>
      <c r="S1595" s="6">
        <v>83</v>
      </c>
      <c r="T1595" s="6">
        <v>78</v>
      </c>
      <c r="U1595" s="6">
        <v>75</v>
      </c>
      <c r="V1595" s="6">
        <v>70</v>
      </c>
      <c r="W1595" s="6">
        <v>68</v>
      </c>
      <c r="X1595" s="6">
        <v>77</v>
      </c>
      <c r="Y1595" s="6">
        <v>76</v>
      </c>
      <c r="Z1595" s="6">
        <v>79</v>
      </c>
      <c r="AA1595" s="6">
        <v>66</v>
      </c>
      <c r="AB1595" s="6">
        <v>83</v>
      </c>
      <c r="AC1595" s="6">
        <v>66</v>
      </c>
      <c r="AD1595" s="6">
        <v>73</v>
      </c>
      <c r="AE1595" s="6">
        <v>67</v>
      </c>
      <c r="AF1595" s="6">
        <v>77</v>
      </c>
      <c r="AG1595" s="6" t="s">
        <v>8201</v>
      </c>
      <c r="AH1595" s="6" t="s">
        <v>6617</v>
      </c>
    </row>
    <row r="1596" spans="1:34" x14ac:dyDescent="0.2">
      <c r="A1596" t="s">
        <v>4481</v>
      </c>
      <c r="B1596" t="s">
        <v>2744</v>
      </c>
      <c r="C1596" t="s">
        <v>2879</v>
      </c>
      <c r="D1596" s="7" t="s">
        <v>145</v>
      </c>
      <c r="E1596" t="s">
        <v>38</v>
      </c>
      <c r="F1596">
        <v>23</v>
      </c>
      <c r="G1596">
        <v>68</v>
      </c>
      <c r="H1596">
        <v>69</v>
      </c>
      <c r="I1596" t="s">
        <v>6333</v>
      </c>
      <c r="J1596">
        <v>74</v>
      </c>
      <c r="K1596">
        <v>340</v>
      </c>
      <c r="L1596" t="s">
        <v>6175</v>
      </c>
      <c r="M1596" s="6" t="s">
        <v>6558</v>
      </c>
      <c r="N1596" s="6" t="s">
        <v>6614</v>
      </c>
      <c r="O1596" s="6">
        <v>64</v>
      </c>
      <c r="P1596" s="6">
        <v>65</v>
      </c>
      <c r="Q1596" s="6">
        <v>70</v>
      </c>
      <c r="R1596" s="6">
        <v>51</v>
      </c>
      <c r="S1596" s="6">
        <v>77</v>
      </c>
      <c r="T1596" s="6">
        <v>65</v>
      </c>
      <c r="U1596" s="6">
        <v>66</v>
      </c>
      <c r="V1596" s="6">
        <v>71</v>
      </c>
      <c r="W1596" s="6">
        <v>66</v>
      </c>
      <c r="X1596" s="6">
        <v>59</v>
      </c>
      <c r="Y1596" s="6">
        <v>75</v>
      </c>
      <c r="Z1596" s="6">
        <v>70</v>
      </c>
      <c r="AA1596" s="6">
        <v>68</v>
      </c>
      <c r="AB1596" s="6">
        <v>62</v>
      </c>
      <c r="AC1596" s="6">
        <v>67</v>
      </c>
      <c r="AD1596" s="6">
        <v>73</v>
      </c>
      <c r="AE1596" s="6">
        <v>71</v>
      </c>
      <c r="AF1596" s="6">
        <v>70</v>
      </c>
      <c r="AG1596" s="6" t="s">
        <v>8203</v>
      </c>
      <c r="AH1596" s="6" t="s">
        <v>6752</v>
      </c>
    </row>
    <row r="1597" spans="1:34" x14ac:dyDescent="0.2">
      <c r="A1597" t="s">
        <v>4483</v>
      </c>
      <c r="B1597" t="s">
        <v>2746</v>
      </c>
      <c r="C1597" t="s">
        <v>2880</v>
      </c>
      <c r="D1597" s="7" t="s">
        <v>145</v>
      </c>
      <c r="E1597" t="s">
        <v>38</v>
      </c>
      <c r="F1597">
        <v>23</v>
      </c>
      <c r="G1597">
        <v>86</v>
      </c>
      <c r="H1597">
        <v>69</v>
      </c>
      <c r="I1597" t="s">
        <v>6313</v>
      </c>
      <c r="J1597">
        <v>74</v>
      </c>
      <c r="K1597">
        <v>258</v>
      </c>
      <c r="L1597" t="s">
        <v>6177</v>
      </c>
      <c r="M1597" s="6" t="s">
        <v>6558</v>
      </c>
      <c r="N1597" s="6" t="s">
        <v>6583</v>
      </c>
      <c r="O1597" s="6">
        <v>76</v>
      </c>
      <c r="P1597" s="6">
        <v>74</v>
      </c>
      <c r="Q1597" s="6">
        <v>69</v>
      </c>
      <c r="R1597" s="6">
        <v>77</v>
      </c>
      <c r="S1597" s="6">
        <v>74</v>
      </c>
      <c r="T1597" s="6">
        <v>69</v>
      </c>
      <c r="U1597" s="6">
        <v>71</v>
      </c>
      <c r="V1597" s="6">
        <v>72</v>
      </c>
      <c r="W1597" s="6">
        <v>73</v>
      </c>
      <c r="X1597" s="6">
        <v>67</v>
      </c>
      <c r="Y1597" s="6">
        <v>68</v>
      </c>
      <c r="Z1597" s="6">
        <v>72</v>
      </c>
      <c r="AA1597" s="6">
        <v>73</v>
      </c>
      <c r="AB1597" s="6">
        <v>75</v>
      </c>
      <c r="AC1597" s="6">
        <v>73</v>
      </c>
      <c r="AD1597" s="6">
        <v>72</v>
      </c>
      <c r="AE1597" s="6">
        <v>74</v>
      </c>
      <c r="AF1597" s="6">
        <v>76</v>
      </c>
      <c r="AG1597" s="6" t="s">
        <v>8205</v>
      </c>
      <c r="AH1597" s="6" t="s">
        <v>6623</v>
      </c>
    </row>
    <row r="1598" spans="1:34" x14ac:dyDescent="0.2">
      <c r="A1598" t="s">
        <v>4485</v>
      </c>
      <c r="B1598" t="s">
        <v>2748</v>
      </c>
      <c r="C1598" t="s">
        <v>2880</v>
      </c>
      <c r="D1598" s="7" t="s">
        <v>145</v>
      </c>
      <c r="E1598" t="s">
        <v>58</v>
      </c>
      <c r="F1598">
        <v>23</v>
      </c>
      <c r="G1598">
        <v>73</v>
      </c>
      <c r="H1598">
        <v>69</v>
      </c>
      <c r="I1598" t="s">
        <v>6309</v>
      </c>
      <c r="J1598">
        <v>74</v>
      </c>
      <c r="K1598">
        <v>264</v>
      </c>
      <c r="L1598" t="s">
        <v>6179</v>
      </c>
      <c r="M1598" s="6" t="s">
        <v>6558</v>
      </c>
      <c r="N1598" s="6" t="s">
        <v>6565</v>
      </c>
      <c r="O1598" s="6">
        <v>72</v>
      </c>
      <c r="P1598" s="6">
        <v>70</v>
      </c>
      <c r="Q1598" s="6">
        <v>60</v>
      </c>
      <c r="R1598" s="6">
        <v>72</v>
      </c>
      <c r="S1598" s="6">
        <v>69</v>
      </c>
      <c r="T1598" s="6">
        <v>67</v>
      </c>
      <c r="U1598" s="6">
        <v>77</v>
      </c>
      <c r="V1598" s="6">
        <v>69</v>
      </c>
      <c r="W1598" s="6">
        <v>75</v>
      </c>
      <c r="X1598" s="6">
        <v>60</v>
      </c>
      <c r="Y1598" s="6">
        <v>65</v>
      </c>
      <c r="Z1598" s="6">
        <v>72</v>
      </c>
      <c r="AA1598" s="6">
        <v>75</v>
      </c>
      <c r="AB1598" s="6">
        <v>72</v>
      </c>
      <c r="AC1598" s="6">
        <v>73</v>
      </c>
      <c r="AD1598" s="6">
        <v>76</v>
      </c>
      <c r="AE1598" s="6">
        <v>71</v>
      </c>
      <c r="AF1598" s="6">
        <v>69</v>
      </c>
      <c r="AG1598" s="6" t="s">
        <v>8207</v>
      </c>
      <c r="AH1598" s="6" t="s">
        <v>6623</v>
      </c>
    </row>
    <row r="1599" spans="1:34" x14ac:dyDescent="0.2">
      <c r="A1599" t="s">
        <v>4487</v>
      </c>
      <c r="B1599" t="s">
        <v>2750</v>
      </c>
      <c r="C1599" t="s">
        <v>2881</v>
      </c>
      <c r="D1599" s="7" t="s">
        <v>145</v>
      </c>
      <c r="E1599" t="s">
        <v>38</v>
      </c>
      <c r="F1599">
        <v>27</v>
      </c>
      <c r="G1599">
        <v>86</v>
      </c>
      <c r="H1599">
        <v>69</v>
      </c>
      <c r="I1599" t="s">
        <v>8327</v>
      </c>
      <c r="J1599">
        <v>73</v>
      </c>
      <c r="K1599">
        <v>255</v>
      </c>
      <c r="L1599" t="s">
        <v>6181</v>
      </c>
      <c r="M1599" s="6" t="s">
        <v>6558</v>
      </c>
      <c r="N1599" s="6" t="s">
        <v>6559</v>
      </c>
      <c r="O1599" s="6">
        <v>78</v>
      </c>
      <c r="P1599" s="6">
        <v>79</v>
      </c>
      <c r="Q1599" s="6">
        <v>76</v>
      </c>
      <c r="R1599" s="6">
        <v>87</v>
      </c>
      <c r="S1599" s="6">
        <v>87</v>
      </c>
      <c r="T1599" s="6">
        <v>75</v>
      </c>
      <c r="U1599" s="6">
        <v>76</v>
      </c>
      <c r="V1599" s="6">
        <v>76</v>
      </c>
      <c r="W1599" s="6">
        <v>91</v>
      </c>
      <c r="X1599" s="6">
        <v>78</v>
      </c>
      <c r="Y1599" s="6">
        <v>83</v>
      </c>
      <c r="Z1599" s="6">
        <v>82</v>
      </c>
      <c r="AA1599" s="6">
        <v>74</v>
      </c>
      <c r="AB1599" s="6">
        <v>80</v>
      </c>
      <c r="AC1599" s="6">
        <v>76</v>
      </c>
      <c r="AD1599" s="6">
        <v>79</v>
      </c>
      <c r="AE1599" s="6">
        <v>78</v>
      </c>
      <c r="AF1599" s="6">
        <v>77</v>
      </c>
      <c r="AG1599" s="6" t="s">
        <v>8209</v>
      </c>
      <c r="AH1599" s="6" t="s">
        <v>6628</v>
      </c>
    </row>
    <row r="1600" spans="1:34" x14ac:dyDescent="0.2">
      <c r="A1600" t="s">
        <v>4489</v>
      </c>
      <c r="B1600" t="s">
        <v>2752</v>
      </c>
      <c r="C1600" t="s">
        <v>61</v>
      </c>
      <c r="D1600" s="7" t="s">
        <v>145</v>
      </c>
      <c r="E1600" t="s">
        <v>38</v>
      </c>
      <c r="F1600">
        <v>24</v>
      </c>
      <c r="G1600">
        <v>71</v>
      </c>
      <c r="H1600">
        <v>69</v>
      </c>
      <c r="I1600" t="s">
        <v>6396</v>
      </c>
      <c r="J1600">
        <v>72</v>
      </c>
      <c r="K1600">
        <v>185</v>
      </c>
      <c r="L1600" t="s">
        <v>6183</v>
      </c>
      <c r="M1600" s="6" t="s">
        <v>6558</v>
      </c>
      <c r="N1600" s="6" t="s">
        <v>6567</v>
      </c>
      <c r="O1600" s="6">
        <v>84</v>
      </c>
      <c r="P1600" s="6">
        <v>74</v>
      </c>
      <c r="Q1600" s="6">
        <v>77</v>
      </c>
      <c r="R1600" s="6">
        <v>64</v>
      </c>
      <c r="S1600" s="6">
        <v>75</v>
      </c>
      <c r="T1600" s="6">
        <v>69</v>
      </c>
      <c r="U1600" s="6">
        <v>78</v>
      </c>
      <c r="V1600" s="6">
        <v>76</v>
      </c>
      <c r="W1600" s="6">
        <v>70</v>
      </c>
      <c r="X1600" s="6">
        <v>68</v>
      </c>
      <c r="Y1600" s="6">
        <v>74</v>
      </c>
      <c r="Z1600" s="6">
        <v>72</v>
      </c>
      <c r="AA1600" s="6">
        <v>72</v>
      </c>
      <c r="AB1600" s="6">
        <v>67</v>
      </c>
      <c r="AC1600" s="6">
        <v>71</v>
      </c>
      <c r="AD1600" s="6">
        <v>78</v>
      </c>
      <c r="AE1600" s="6">
        <v>78</v>
      </c>
      <c r="AF1600" s="6">
        <v>73</v>
      </c>
      <c r="AG1600" s="6" t="s">
        <v>8211</v>
      </c>
      <c r="AH1600" s="6" t="s">
        <v>6696</v>
      </c>
    </row>
    <row r="1601" spans="1:34" x14ac:dyDescent="0.2">
      <c r="A1601" t="s">
        <v>4491</v>
      </c>
      <c r="B1601" t="s">
        <v>2754</v>
      </c>
      <c r="C1601" t="s">
        <v>61</v>
      </c>
      <c r="D1601" s="7" t="s">
        <v>145</v>
      </c>
      <c r="E1601" t="s">
        <v>58</v>
      </c>
      <c r="F1601">
        <v>29</v>
      </c>
      <c r="G1601">
        <v>65</v>
      </c>
      <c r="H1601">
        <v>69</v>
      </c>
      <c r="I1601" t="s">
        <v>6460</v>
      </c>
      <c r="J1601">
        <v>72</v>
      </c>
      <c r="K1601">
        <v>181</v>
      </c>
      <c r="L1601" t="s">
        <v>6185</v>
      </c>
      <c r="M1601" s="6" t="s">
        <v>6558</v>
      </c>
      <c r="N1601" s="6" t="s">
        <v>6583</v>
      </c>
      <c r="O1601" s="6">
        <v>58</v>
      </c>
      <c r="P1601" s="6">
        <v>70</v>
      </c>
      <c r="Q1601" s="6">
        <v>65</v>
      </c>
      <c r="R1601" s="6">
        <v>77</v>
      </c>
      <c r="S1601" s="6">
        <v>82</v>
      </c>
      <c r="T1601" s="6">
        <v>60</v>
      </c>
      <c r="U1601" s="6">
        <v>65</v>
      </c>
      <c r="V1601" s="6">
        <v>72</v>
      </c>
      <c r="W1601" s="6">
        <v>70</v>
      </c>
      <c r="X1601" s="6">
        <v>64</v>
      </c>
      <c r="Y1601" s="6">
        <v>69</v>
      </c>
      <c r="Z1601" s="6">
        <v>70</v>
      </c>
      <c r="AA1601" s="6">
        <v>68</v>
      </c>
      <c r="AB1601" s="6">
        <v>60</v>
      </c>
      <c r="AC1601" s="6">
        <v>60</v>
      </c>
      <c r="AD1601" s="6">
        <v>72</v>
      </c>
      <c r="AE1601" s="6">
        <v>60</v>
      </c>
      <c r="AF1601" s="6">
        <v>71</v>
      </c>
      <c r="AG1601" s="6" t="s">
        <v>8213</v>
      </c>
      <c r="AH1601" s="6" t="s">
        <v>6696</v>
      </c>
    </row>
    <row r="1602" spans="1:34" x14ac:dyDescent="0.2">
      <c r="A1602" t="s">
        <v>4493</v>
      </c>
      <c r="B1602" t="s">
        <v>2756</v>
      </c>
      <c r="C1602" t="s">
        <v>2882</v>
      </c>
      <c r="D1602" s="7" t="s">
        <v>145</v>
      </c>
      <c r="E1602" t="s">
        <v>38</v>
      </c>
      <c r="F1602">
        <v>22</v>
      </c>
      <c r="G1602">
        <v>74</v>
      </c>
      <c r="H1602">
        <v>69</v>
      </c>
      <c r="I1602" t="s">
        <v>6346</v>
      </c>
      <c r="J1602">
        <v>75</v>
      </c>
      <c r="K1602">
        <v>214</v>
      </c>
      <c r="L1602" t="s">
        <v>6187</v>
      </c>
      <c r="M1602" s="6" t="s">
        <v>6558</v>
      </c>
      <c r="N1602" s="6" t="s">
        <v>6565</v>
      </c>
      <c r="O1602" s="6">
        <v>92</v>
      </c>
      <c r="P1602" s="6">
        <v>74</v>
      </c>
      <c r="Q1602" s="6">
        <v>74</v>
      </c>
      <c r="R1602" s="6">
        <v>74</v>
      </c>
      <c r="S1602" s="6">
        <v>74</v>
      </c>
      <c r="T1602" s="6">
        <v>67</v>
      </c>
      <c r="U1602" s="6">
        <v>80</v>
      </c>
      <c r="V1602" s="6">
        <v>69</v>
      </c>
      <c r="W1602" s="6">
        <v>70</v>
      </c>
      <c r="X1602" s="6">
        <v>70</v>
      </c>
      <c r="Y1602" s="6">
        <v>70</v>
      </c>
      <c r="Z1602" s="6">
        <v>71</v>
      </c>
      <c r="AA1602" s="6">
        <v>75</v>
      </c>
      <c r="AB1602" s="6">
        <v>76</v>
      </c>
      <c r="AC1602" s="6">
        <v>68</v>
      </c>
      <c r="AD1602" s="6">
        <v>70</v>
      </c>
      <c r="AE1602" s="6">
        <v>76</v>
      </c>
      <c r="AF1602" s="6">
        <v>81</v>
      </c>
      <c r="AG1602" s="6" t="s">
        <v>8215</v>
      </c>
      <c r="AH1602" s="6" t="s">
        <v>6636</v>
      </c>
    </row>
    <row r="1603" spans="1:34" x14ac:dyDescent="0.2">
      <c r="A1603" t="s">
        <v>4495</v>
      </c>
      <c r="B1603" t="s">
        <v>2758</v>
      </c>
      <c r="C1603" t="s">
        <v>2883</v>
      </c>
      <c r="D1603" s="7" t="s">
        <v>145</v>
      </c>
      <c r="E1603" t="s">
        <v>58</v>
      </c>
      <c r="F1603">
        <v>31</v>
      </c>
      <c r="G1603">
        <v>79</v>
      </c>
      <c r="H1603">
        <v>69</v>
      </c>
      <c r="I1603" t="s">
        <v>6355</v>
      </c>
      <c r="J1603">
        <v>72</v>
      </c>
      <c r="K1603">
        <v>218</v>
      </c>
      <c r="L1603" t="s">
        <v>6189</v>
      </c>
      <c r="M1603" s="6" t="s">
        <v>6558</v>
      </c>
      <c r="N1603" s="6" t="s">
        <v>6559</v>
      </c>
      <c r="O1603" s="6">
        <v>71</v>
      </c>
      <c r="P1603" s="6">
        <v>79</v>
      </c>
      <c r="Q1603" s="6">
        <v>83</v>
      </c>
      <c r="R1603" s="6">
        <v>84</v>
      </c>
      <c r="S1603" s="6">
        <v>80</v>
      </c>
      <c r="T1603" s="6">
        <v>81</v>
      </c>
      <c r="U1603" s="6">
        <v>89</v>
      </c>
      <c r="V1603" s="6">
        <v>79</v>
      </c>
      <c r="W1603" s="6">
        <v>83</v>
      </c>
      <c r="X1603" s="6">
        <v>84</v>
      </c>
      <c r="Y1603" s="6">
        <v>81</v>
      </c>
      <c r="Z1603" s="6">
        <v>76</v>
      </c>
      <c r="AA1603" s="6">
        <v>71</v>
      </c>
      <c r="AB1603" s="6">
        <v>65</v>
      </c>
      <c r="AC1603" s="6">
        <v>63</v>
      </c>
      <c r="AD1603" s="6">
        <v>61</v>
      </c>
      <c r="AE1603" s="6">
        <v>68</v>
      </c>
      <c r="AF1603" s="6">
        <v>67</v>
      </c>
      <c r="AG1603" s="6" t="s">
        <v>8217</v>
      </c>
      <c r="AH1603" s="6" t="s">
        <v>6640</v>
      </c>
    </row>
    <row r="1604" spans="1:34" x14ac:dyDescent="0.2">
      <c r="A1604" t="s">
        <v>4497</v>
      </c>
      <c r="B1604" t="s">
        <v>2760</v>
      </c>
      <c r="C1604" t="s">
        <v>2883</v>
      </c>
      <c r="D1604" s="7" t="s">
        <v>145</v>
      </c>
      <c r="E1604" t="s">
        <v>58</v>
      </c>
      <c r="F1604">
        <v>31</v>
      </c>
      <c r="G1604">
        <v>70</v>
      </c>
      <c r="H1604">
        <v>69</v>
      </c>
      <c r="I1604" t="s">
        <v>6379</v>
      </c>
      <c r="J1604">
        <v>72</v>
      </c>
      <c r="K1604">
        <v>204</v>
      </c>
      <c r="L1604" t="s">
        <v>6191</v>
      </c>
      <c r="M1604" s="6" t="s">
        <v>6558</v>
      </c>
      <c r="N1604" s="6" t="s">
        <v>6565</v>
      </c>
      <c r="O1604" s="6">
        <v>75</v>
      </c>
      <c r="P1604" s="6">
        <v>77</v>
      </c>
      <c r="Q1604" s="6">
        <v>80</v>
      </c>
      <c r="R1604" s="6">
        <v>75</v>
      </c>
      <c r="S1604" s="6">
        <v>74</v>
      </c>
      <c r="T1604" s="6">
        <v>76</v>
      </c>
      <c r="U1604" s="6">
        <v>75</v>
      </c>
      <c r="V1604" s="6">
        <v>71</v>
      </c>
      <c r="W1604" s="6">
        <v>81</v>
      </c>
      <c r="X1604" s="6">
        <v>69</v>
      </c>
      <c r="Y1604" s="6">
        <v>75</v>
      </c>
      <c r="Z1604" s="6">
        <v>67</v>
      </c>
      <c r="AA1604" s="6">
        <v>72</v>
      </c>
      <c r="AB1604" s="6">
        <v>59</v>
      </c>
      <c r="AC1604" s="6">
        <v>62</v>
      </c>
      <c r="AD1604" s="6">
        <v>65</v>
      </c>
      <c r="AE1604" s="6">
        <v>61</v>
      </c>
      <c r="AF1604" s="6">
        <v>55</v>
      </c>
      <c r="AG1604" s="6" t="s">
        <v>8219</v>
      </c>
      <c r="AH1604" s="6" t="s">
        <v>6640</v>
      </c>
    </row>
    <row r="1605" spans="1:34" x14ac:dyDescent="0.2">
      <c r="A1605" t="s">
        <v>4499</v>
      </c>
      <c r="B1605" t="s">
        <v>2762</v>
      </c>
      <c r="C1605" t="s">
        <v>2889</v>
      </c>
      <c r="D1605" s="7" t="s">
        <v>145</v>
      </c>
      <c r="E1605" t="s">
        <v>38</v>
      </c>
      <c r="F1605">
        <v>22</v>
      </c>
      <c r="G1605">
        <v>76</v>
      </c>
      <c r="H1605">
        <v>69</v>
      </c>
      <c r="I1605" t="s">
        <v>6329</v>
      </c>
      <c r="J1605">
        <v>74</v>
      </c>
      <c r="K1605">
        <v>257</v>
      </c>
      <c r="L1605" t="s">
        <v>6193</v>
      </c>
      <c r="M1605" s="6" t="s">
        <v>6558</v>
      </c>
      <c r="N1605" s="6" t="s">
        <v>6567</v>
      </c>
      <c r="O1605" s="6">
        <v>75</v>
      </c>
      <c r="P1605" s="6">
        <v>63</v>
      </c>
      <c r="Q1605" s="6">
        <v>79</v>
      </c>
      <c r="R1605" s="6">
        <v>66</v>
      </c>
      <c r="S1605" s="6">
        <v>61</v>
      </c>
      <c r="T1605" s="6">
        <v>59</v>
      </c>
      <c r="U1605" s="6">
        <v>69</v>
      </c>
      <c r="V1605" s="6">
        <v>62</v>
      </c>
      <c r="W1605" s="6">
        <v>63</v>
      </c>
      <c r="X1605" s="6">
        <v>66</v>
      </c>
      <c r="Y1605" s="6">
        <v>79</v>
      </c>
      <c r="Z1605" s="6">
        <v>75</v>
      </c>
      <c r="AA1605" s="6">
        <v>67</v>
      </c>
      <c r="AB1605" s="6">
        <v>76</v>
      </c>
      <c r="AC1605" s="6">
        <v>65</v>
      </c>
      <c r="AD1605" s="6">
        <v>70</v>
      </c>
      <c r="AE1605" s="6">
        <v>73</v>
      </c>
      <c r="AF1605" s="6">
        <v>65</v>
      </c>
      <c r="AG1605" s="6" t="s">
        <v>8221</v>
      </c>
      <c r="AH1605" s="6" t="s">
        <v>6709</v>
      </c>
    </row>
    <row r="1606" spans="1:34" x14ac:dyDescent="0.2">
      <c r="A1606" t="s">
        <v>4501</v>
      </c>
      <c r="B1606" t="s">
        <v>2764</v>
      </c>
      <c r="C1606" t="s">
        <v>2885</v>
      </c>
      <c r="D1606" s="7" t="s">
        <v>145</v>
      </c>
      <c r="E1606" t="s">
        <v>58</v>
      </c>
      <c r="F1606">
        <v>33</v>
      </c>
      <c r="G1606">
        <v>72</v>
      </c>
      <c r="H1606">
        <v>69</v>
      </c>
      <c r="I1606" t="s">
        <v>6428</v>
      </c>
      <c r="J1606">
        <v>75</v>
      </c>
      <c r="K1606">
        <v>248</v>
      </c>
      <c r="L1606" t="s">
        <v>6195</v>
      </c>
      <c r="M1606" s="6" t="s">
        <v>6558</v>
      </c>
      <c r="N1606" s="6" t="s">
        <v>6583</v>
      </c>
      <c r="O1606" s="6">
        <v>66</v>
      </c>
      <c r="P1606" s="6">
        <v>75</v>
      </c>
      <c r="Q1606" s="6">
        <v>79</v>
      </c>
      <c r="R1606" s="6">
        <v>80</v>
      </c>
      <c r="S1606" s="6">
        <v>70</v>
      </c>
      <c r="T1606" s="6">
        <v>77</v>
      </c>
      <c r="U1606" s="6">
        <v>72</v>
      </c>
      <c r="V1606" s="6">
        <v>78</v>
      </c>
      <c r="W1606" s="6">
        <v>69</v>
      </c>
      <c r="X1606" s="6">
        <v>72</v>
      </c>
      <c r="Y1606" s="6">
        <v>78</v>
      </c>
      <c r="Z1606" s="6">
        <v>71</v>
      </c>
      <c r="AA1606" s="6">
        <v>64</v>
      </c>
      <c r="AB1606" s="6">
        <v>64</v>
      </c>
      <c r="AC1606" s="6">
        <v>61</v>
      </c>
      <c r="AD1606" s="6">
        <v>68</v>
      </c>
      <c r="AE1606" s="6">
        <v>55</v>
      </c>
      <c r="AF1606" s="6">
        <v>61</v>
      </c>
      <c r="AG1606" s="6" t="s">
        <v>8223</v>
      </c>
      <c r="AH1606" s="6" t="s">
        <v>6628</v>
      </c>
    </row>
    <row r="1607" spans="1:34" x14ac:dyDescent="0.2">
      <c r="A1607" t="s">
        <v>4503</v>
      </c>
      <c r="B1607" t="s">
        <v>2766</v>
      </c>
      <c r="C1607" t="s">
        <v>2885</v>
      </c>
      <c r="D1607" s="7" t="s">
        <v>145</v>
      </c>
      <c r="E1607" t="s">
        <v>38</v>
      </c>
      <c r="F1607">
        <v>26</v>
      </c>
      <c r="G1607">
        <v>66</v>
      </c>
      <c r="H1607">
        <v>69</v>
      </c>
      <c r="I1607" t="s">
        <v>6466</v>
      </c>
      <c r="J1607">
        <v>74</v>
      </c>
      <c r="K1607">
        <v>252</v>
      </c>
      <c r="L1607" t="s">
        <v>6197</v>
      </c>
      <c r="M1607" s="6" t="s">
        <v>6558</v>
      </c>
      <c r="N1607" s="6" t="s">
        <v>6614</v>
      </c>
      <c r="O1607" s="6">
        <v>71</v>
      </c>
      <c r="P1607" s="6">
        <v>63</v>
      </c>
      <c r="Q1607" s="6">
        <v>74</v>
      </c>
      <c r="R1607" s="6">
        <v>62</v>
      </c>
      <c r="S1607" s="6">
        <v>73</v>
      </c>
      <c r="T1607" s="6">
        <v>65</v>
      </c>
      <c r="U1607" s="6">
        <v>69</v>
      </c>
      <c r="V1607" s="6">
        <v>72</v>
      </c>
      <c r="W1607" s="6">
        <v>74</v>
      </c>
      <c r="X1607" s="6">
        <v>80</v>
      </c>
      <c r="Y1607" s="6">
        <v>74</v>
      </c>
      <c r="Z1607" s="6">
        <v>78</v>
      </c>
      <c r="AA1607" s="6">
        <v>67</v>
      </c>
      <c r="AB1607" s="6">
        <v>67</v>
      </c>
      <c r="AC1607" s="6">
        <v>72</v>
      </c>
      <c r="AD1607" s="6">
        <v>70</v>
      </c>
      <c r="AE1607" s="6">
        <v>65</v>
      </c>
      <c r="AF1607" s="6">
        <v>64</v>
      </c>
      <c r="AG1607" s="6" t="s">
        <v>7842</v>
      </c>
      <c r="AH1607" s="6" t="s">
        <v>6711</v>
      </c>
    </row>
    <row r="1608" spans="1:34" x14ac:dyDescent="0.2">
      <c r="A1608" t="s">
        <v>4505</v>
      </c>
      <c r="B1608" t="s">
        <v>2768</v>
      </c>
      <c r="C1608" t="s">
        <v>2886</v>
      </c>
      <c r="D1608" s="7" t="s">
        <v>145</v>
      </c>
      <c r="E1608" t="s">
        <v>38</v>
      </c>
      <c r="F1608">
        <v>25</v>
      </c>
      <c r="G1608">
        <v>76</v>
      </c>
      <c r="H1608">
        <v>69</v>
      </c>
      <c r="I1608" t="s">
        <v>6337</v>
      </c>
      <c r="J1608">
        <v>76</v>
      </c>
      <c r="K1608">
        <v>255</v>
      </c>
      <c r="L1608" t="s">
        <v>6199</v>
      </c>
      <c r="M1608" s="6" t="s">
        <v>6558</v>
      </c>
      <c r="N1608" s="6" t="s">
        <v>6567</v>
      </c>
      <c r="O1608" s="6">
        <v>74</v>
      </c>
      <c r="P1608" s="6">
        <v>72</v>
      </c>
      <c r="Q1608" s="6">
        <v>77</v>
      </c>
      <c r="R1608" s="6">
        <v>66</v>
      </c>
      <c r="S1608" s="6">
        <v>73</v>
      </c>
      <c r="T1608" s="6">
        <v>72</v>
      </c>
      <c r="U1608" s="6">
        <v>79</v>
      </c>
      <c r="V1608" s="6">
        <v>71</v>
      </c>
      <c r="W1608" s="6">
        <v>78</v>
      </c>
      <c r="X1608" s="6">
        <v>76</v>
      </c>
      <c r="Y1608" s="6">
        <v>67</v>
      </c>
      <c r="Z1608" s="6">
        <v>79</v>
      </c>
      <c r="AA1608" s="6">
        <v>73</v>
      </c>
      <c r="AB1608" s="6">
        <v>71</v>
      </c>
      <c r="AC1608" s="6">
        <v>63</v>
      </c>
      <c r="AD1608" s="6">
        <v>78</v>
      </c>
      <c r="AE1608" s="6">
        <v>75</v>
      </c>
      <c r="AF1608" s="6">
        <v>74</v>
      </c>
      <c r="AG1608" s="6" t="s">
        <v>8226</v>
      </c>
      <c r="AH1608" s="6" t="s">
        <v>6649</v>
      </c>
    </row>
    <row r="1609" spans="1:34" x14ac:dyDescent="0.2">
      <c r="A1609" t="s">
        <v>4507</v>
      </c>
      <c r="B1609" t="s">
        <v>2770</v>
      </c>
      <c r="C1609" t="s">
        <v>53</v>
      </c>
      <c r="D1609" s="7" t="s">
        <v>157</v>
      </c>
      <c r="E1609" t="s">
        <v>38</v>
      </c>
      <c r="F1609">
        <v>34</v>
      </c>
      <c r="G1609">
        <v>77</v>
      </c>
      <c r="H1609">
        <v>69</v>
      </c>
      <c r="I1609" t="s">
        <v>6492</v>
      </c>
      <c r="J1609">
        <v>75</v>
      </c>
      <c r="K1609">
        <v>231</v>
      </c>
      <c r="L1609" t="s">
        <v>6201</v>
      </c>
      <c r="M1609" s="6" t="s">
        <v>6558</v>
      </c>
      <c r="N1609" s="6" t="s">
        <v>6562</v>
      </c>
      <c r="O1609" s="6">
        <v>89</v>
      </c>
      <c r="P1609" s="6">
        <v>89</v>
      </c>
      <c r="Q1609" s="6">
        <v>79</v>
      </c>
      <c r="R1609" s="6">
        <v>86</v>
      </c>
      <c r="S1609" s="6">
        <v>85</v>
      </c>
      <c r="T1609" s="6">
        <v>85</v>
      </c>
      <c r="U1609" s="6">
        <v>74</v>
      </c>
      <c r="V1609" s="6">
        <v>80</v>
      </c>
      <c r="W1609" s="6">
        <v>88</v>
      </c>
      <c r="X1609" s="6">
        <v>76</v>
      </c>
      <c r="Y1609" s="6">
        <v>82</v>
      </c>
      <c r="Z1609" s="6">
        <v>78</v>
      </c>
      <c r="AA1609" s="6">
        <v>64</v>
      </c>
      <c r="AB1609" s="6">
        <v>69</v>
      </c>
      <c r="AC1609" s="6">
        <v>60</v>
      </c>
      <c r="AD1609" s="6">
        <v>74</v>
      </c>
      <c r="AE1609" s="6">
        <v>76</v>
      </c>
      <c r="AF1609" s="6">
        <v>72</v>
      </c>
      <c r="AG1609" s="6" t="s">
        <v>8228</v>
      </c>
      <c r="AH1609" s="6" t="s">
        <v>7149</v>
      </c>
    </row>
    <row r="1610" spans="1:34" x14ac:dyDescent="0.2">
      <c r="A1610" t="s">
        <v>4509</v>
      </c>
      <c r="B1610" t="s">
        <v>2772</v>
      </c>
      <c r="C1610" t="s">
        <v>2870</v>
      </c>
      <c r="D1610" s="7" t="s">
        <v>157</v>
      </c>
      <c r="E1610" t="s">
        <v>38</v>
      </c>
      <c r="F1610">
        <v>28</v>
      </c>
      <c r="G1610">
        <v>83</v>
      </c>
      <c r="H1610">
        <v>69</v>
      </c>
      <c r="I1610" t="s">
        <v>6381</v>
      </c>
      <c r="J1610">
        <v>69</v>
      </c>
      <c r="K1610">
        <v>207</v>
      </c>
      <c r="L1610" t="s">
        <v>6203</v>
      </c>
      <c r="M1610" s="6" t="s">
        <v>6558</v>
      </c>
      <c r="N1610" s="6" t="s">
        <v>6565</v>
      </c>
      <c r="O1610" s="6">
        <v>76</v>
      </c>
      <c r="P1610" s="6">
        <v>78</v>
      </c>
      <c r="Q1610" s="6">
        <v>77</v>
      </c>
      <c r="R1610" s="6">
        <v>72</v>
      </c>
      <c r="S1610" s="6">
        <v>77</v>
      </c>
      <c r="T1610" s="6">
        <v>78</v>
      </c>
      <c r="U1610" s="6">
        <v>77</v>
      </c>
      <c r="V1610" s="6">
        <v>90</v>
      </c>
      <c r="W1610" s="6">
        <v>82</v>
      </c>
      <c r="X1610" s="6">
        <v>77</v>
      </c>
      <c r="Y1610" s="6">
        <v>81</v>
      </c>
      <c r="Z1610" s="6">
        <v>79</v>
      </c>
      <c r="AA1610" s="6">
        <v>79</v>
      </c>
      <c r="AB1610" s="6">
        <v>83</v>
      </c>
      <c r="AC1610" s="6">
        <v>79</v>
      </c>
      <c r="AD1610" s="6">
        <v>71</v>
      </c>
      <c r="AE1610" s="6">
        <v>77</v>
      </c>
      <c r="AF1610" s="6">
        <v>83</v>
      </c>
      <c r="AG1610" s="6" t="s">
        <v>8230</v>
      </c>
      <c r="AH1610" s="6" t="s">
        <v>6994</v>
      </c>
    </row>
    <row r="1611" spans="1:34" x14ac:dyDescent="0.2">
      <c r="A1611" t="s">
        <v>4511</v>
      </c>
      <c r="B1611" t="s">
        <v>2774</v>
      </c>
      <c r="C1611" t="s">
        <v>2870</v>
      </c>
      <c r="D1611" s="7" t="s">
        <v>157</v>
      </c>
      <c r="E1611" t="s">
        <v>58</v>
      </c>
      <c r="F1611">
        <v>25</v>
      </c>
      <c r="G1611">
        <v>72</v>
      </c>
      <c r="H1611">
        <v>69</v>
      </c>
      <c r="I1611" t="s">
        <v>6346</v>
      </c>
      <c r="J1611">
        <v>72</v>
      </c>
      <c r="K1611">
        <v>209</v>
      </c>
      <c r="L1611" t="s">
        <v>6205</v>
      </c>
      <c r="M1611" s="6" t="s">
        <v>6558</v>
      </c>
      <c r="N1611" s="6" t="s">
        <v>6567</v>
      </c>
      <c r="O1611" s="6">
        <v>69</v>
      </c>
      <c r="P1611" s="6">
        <v>64</v>
      </c>
      <c r="Q1611" s="6">
        <v>85</v>
      </c>
      <c r="R1611" s="6">
        <v>66</v>
      </c>
      <c r="S1611" s="6">
        <v>81</v>
      </c>
      <c r="T1611" s="6">
        <v>74</v>
      </c>
      <c r="U1611" s="6">
        <v>71</v>
      </c>
      <c r="V1611" s="6">
        <v>76</v>
      </c>
      <c r="W1611" s="6">
        <v>63</v>
      </c>
      <c r="X1611" s="6">
        <v>76</v>
      </c>
      <c r="Y1611" s="6">
        <v>77</v>
      </c>
      <c r="Z1611" s="6">
        <v>71</v>
      </c>
      <c r="AA1611" s="6">
        <v>73</v>
      </c>
      <c r="AB1611" s="6">
        <v>74</v>
      </c>
      <c r="AC1611" s="6">
        <v>78</v>
      </c>
      <c r="AD1611" s="6">
        <v>73</v>
      </c>
      <c r="AE1611" s="6">
        <v>82</v>
      </c>
      <c r="AF1611" s="6">
        <v>71</v>
      </c>
      <c r="AG1611" s="6" t="s">
        <v>8232</v>
      </c>
      <c r="AH1611" s="6" t="s">
        <v>6885</v>
      </c>
    </row>
    <row r="1612" spans="1:34" x14ac:dyDescent="0.2">
      <c r="A1612" t="s">
        <v>4513</v>
      </c>
      <c r="B1612" t="s">
        <v>2776</v>
      </c>
      <c r="C1612" t="s">
        <v>57</v>
      </c>
      <c r="D1612" s="7" t="s">
        <v>157</v>
      </c>
      <c r="E1612" t="s">
        <v>38</v>
      </c>
      <c r="F1612">
        <v>28</v>
      </c>
      <c r="G1612">
        <v>91</v>
      </c>
      <c r="H1612">
        <v>69</v>
      </c>
      <c r="I1612" t="s">
        <v>6394</v>
      </c>
      <c r="J1612">
        <v>73</v>
      </c>
      <c r="K1612">
        <v>201</v>
      </c>
      <c r="L1612" t="s">
        <v>6207</v>
      </c>
      <c r="M1612" s="6" t="s">
        <v>6558</v>
      </c>
      <c r="N1612" s="6" t="s">
        <v>6583</v>
      </c>
      <c r="O1612" s="6">
        <v>87</v>
      </c>
      <c r="P1612" s="6">
        <v>83</v>
      </c>
      <c r="Q1612" s="6">
        <v>80</v>
      </c>
      <c r="R1612" s="6">
        <v>80</v>
      </c>
      <c r="S1612" s="6">
        <v>80</v>
      </c>
      <c r="T1612" s="6">
        <v>80</v>
      </c>
      <c r="U1612" s="6">
        <v>86</v>
      </c>
      <c r="V1612" s="6">
        <v>85</v>
      </c>
      <c r="W1612" s="6">
        <v>78</v>
      </c>
      <c r="X1612" s="6">
        <v>76</v>
      </c>
      <c r="Y1612" s="6">
        <v>92</v>
      </c>
      <c r="Z1612" s="6">
        <v>83</v>
      </c>
      <c r="AA1612" s="6">
        <v>82</v>
      </c>
      <c r="AB1612" s="6">
        <v>84</v>
      </c>
      <c r="AC1612" s="6">
        <v>82</v>
      </c>
      <c r="AD1612" s="6">
        <v>72</v>
      </c>
      <c r="AE1612" s="6">
        <v>82</v>
      </c>
      <c r="AF1612" s="6">
        <v>80</v>
      </c>
      <c r="AG1612" s="6" t="s">
        <v>8234</v>
      </c>
      <c r="AH1612" s="6" t="s">
        <v>6574</v>
      </c>
    </row>
    <row r="1613" spans="1:34" x14ac:dyDescent="0.2">
      <c r="A1613" t="s">
        <v>4515</v>
      </c>
      <c r="B1613" t="s">
        <v>2778</v>
      </c>
      <c r="C1613" t="s">
        <v>57</v>
      </c>
      <c r="D1613" s="7" t="s">
        <v>157</v>
      </c>
      <c r="E1613" t="s">
        <v>58</v>
      </c>
      <c r="F1613">
        <v>28</v>
      </c>
      <c r="G1613">
        <v>82</v>
      </c>
      <c r="H1613">
        <v>69</v>
      </c>
      <c r="I1613" t="s">
        <v>6329</v>
      </c>
      <c r="J1613">
        <v>72</v>
      </c>
      <c r="K1613">
        <v>203</v>
      </c>
      <c r="L1613" t="s">
        <v>6209</v>
      </c>
      <c r="M1613" s="6" t="s">
        <v>6558</v>
      </c>
      <c r="N1613" s="6" t="s">
        <v>6583</v>
      </c>
      <c r="O1613" s="6">
        <v>78</v>
      </c>
      <c r="P1613" s="6">
        <v>66</v>
      </c>
      <c r="Q1613" s="6">
        <v>75</v>
      </c>
      <c r="R1613" s="6">
        <v>77</v>
      </c>
      <c r="S1613" s="6">
        <v>74</v>
      </c>
      <c r="T1613" s="6">
        <v>76</v>
      </c>
      <c r="U1613" s="6">
        <v>84</v>
      </c>
      <c r="V1613" s="6">
        <v>68</v>
      </c>
      <c r="W1613" s="6">
        <v>72</v>
      </c>
      <c r="X1613" s="6">
        <v>82</v>
      </c>
      <c r="Y1613" s="6">
        <v>86</v>
      </c>
      <c r="Z1613" s="6">
        <v>81</v>
      </c>
      <c r="AA1613" s="6">
        <v>75</v>
      </c>
      <c r="AB1613" s="6">
        <v>75</v>
      </c>
      <c r="AC1613" s="6">
        <v>69</v>
      </c>
      <c r="AD1613" s="6">
        <v>76</v>
      </c>
      <c r="AE1613" s="6">
        <v>69</v>
      </c>
      <c r="AF1613" s="6">
        <v>75</v>
      </c>
      <c r="AG1613" s="6" t="s">
        <v>8236</v>
      </c>
      <c r="AH1613" s="6" t="s">
        <v>6574</v>
      </c>
    </row>
    <row r="1614" spans="1:34" x14ac:dyDescent="0.2">
      <c r="A1614" t="s">
        <v>4517</v>
      </c>
      <c r="B1614" t="s">
        <v>2780</v>
      </c>
      <c r="C1614" t="s">
        <v>57</v>
      </c>
      <c r="D1614" s="7" t="s">
        <v>157</v>
      </c>
      <c r="E1614" t="s">
        <v>38</v>
      </c>
      <c r="F1614">
        <v>25</v>
      </c>
      <c r="G1614">
        <v>70</v>
      </c>
      <c r="H1614">
        <v>69</v>
      </c>
      <c r="I1614" t="s">
        <v>6302</v>
      </c>
      <c r="J1614">
        <v>75</v>
      </c>
      <c r="K1614">
        <v>204</v>
      </c>
      <c r="L1614" t="s">
        <v>6211</v>
      </c>
      <c r="M1614" s="6" t="s">
        <v>6558</v>
      </c>
      <c r="N1614" s="6" t="s">
        <v>6567</v>
      </c>
      <c r="O1614" s="6">
        <v>70</v>
      </c>
      <c r="P1614" s="6">
        <v>70</v>
      </c>
      <c r="Q1614" s="6">
        <v>68</v>
      </c>
      <c r="R1614" s="6">
        <v>67</v>
      </c>
      <c r="S1614" s="6">
        <v>73</v>
      </c>
      <c r="T1614" s="6">
        <v>79</v>
      </c>
      <c r="U1614" s="6">
        <v>84</v>
      </c>
      <c r="V1614" s="6">
        <v>72</v>
      </c>
      <c r="W1614" s="6">
        <v>66</v>
      </c>
      <c r="X1614" s="6">
        <v>66</v>
      </c>
      <c r="Y1614" s="6">
        <v>78</v>
      </c>
      <c r="Z1614" s="6">
        <v>73</v>
      </c>
      <c r="AA1614" s="6">
        <v>68</v>
      </c>
      <c r="AB1614" s="6">
        <v>68</v>
      </c>
      <c r="AC1614" s="6">
        <v>70</v>
      </c>
      <c r="AD1614" s="6">
        <v>74</v>
      </c>
      <c r="AE1614" s="6">
        <v>67</v>
      </c>
      <c r="AF1614" s="6">
        <v>73</v>
      </c>
      <c r="AG1614" s="6" t="s">
        <v>8238</v>
      </c>
      <c r="AH1614" s="6" t="s">
        <v>6661</v>
      </c>
    </row>
    <row r="1615" spans="1:34" x14ac:dyDescent="0.2">
      <c r="A1615" t="s">
        <v>4519</v>
      </c>
      <c r="B1615" t="s">
        <v>2782</v>
      </c>
      <c r="C1615" t="s">
        <v>2871</v>
      </c>
      <c r="D1615" s="7" t="s">
        <v>157</v>
      </c>
      <c r="E1615" t="s">
        <v>38</v>
      </c>
      <c r="F1615">
        <v>24</v>
      </c>
      <c r="G1615">
        <v>72</v>
      </c>
      <c r="H1615">
        <v>69</v>
      </c>
      <c r="I1615" t="s">
        <v>6395</v>
      </c>
      <c r="J1615">
        <v>79</v>
      </c>
      <c r="K1615">
        <v>254</v>
      </c>
      <c r="L1615" t="s">
        <v>6213</v>
      </c>
      <c r="M1615" s="6" t="s">
        <v>6558</v>
      </c>
      <c r="N1615" s="6" t="s">
        <v>6567</v>
      </c>
      <c r="O1615" s="6">
        <v>74</v>
      </c>
      <c r="P1615" s="6">
        <v>68</v>
      </c>
      <c r="Q1615" s="6">
        <v>65</v>
      </c>
      <c r="R1615" s="6">
        <v>66</v>
      </c>
      <c r="S1615" s="6">
        <v>78</v>
      </c>
      <c r="T1615" s="6">
        <v>80</v>
      </c>
      <c r="U1615" s="6">
        <v>65</v>
      </c>
      <c r="V1615" s="6">
        <v>71</v>
      </c>
      <c r="W1615" s="6">
        <v>68</v>
      </c>
      <c r="X1615" s="6">
        <v>62</v>
      </c>
      <c r="Y1615" s="6">
        <v>76</v>
      </c>
      <c r="Z1615" s="6">
        <v>71</v>
      </c>
      <c r="AA1615" s="6">
        <v>68</v>
      </c>
      <c r="AB1615" s="6">
        <v>59</v>
      </c>
      <c r="AC1615" s="6">
        <v>69</v>
      </c>
      <c r="AD1615" s="6">
        <v>74</v>
      </c>
      <c r="AE1615" s="6">
        <v>67</v>
      </c>
      <c r="AF1615" s="6">
        <v>72</v>
      </c>
      <c r="AG1615" s="6" t="s">
        <v>8240</v>
      </c>
      <c r="AH1615" s="6" t="s">
        <v>6737</v>
      </c>
    </row>
    <row r="1616" spans="1:34" x14ac:dyDescent="0.2">
      <c r="A1616" t="s">
        <v>4521</v>
      </c>
      <c r="B1616" t="s">
        <v>2784</v>
      </c>
      <c r="C1616" t="s">
        <v>2873</v>
      </c>
      <c r="D1616" s="7" t="s">
        <v>157</v>
      </c>
      <c r="E1616" t="s">
        <v>38</v>
      </c>
      <c r="F1616">
        <v>31</v>
      </c>
      <c r="G1616">
        <v>66</v>
      </c>
      <c r="H1616">
        <v>69</v>
      </c>
      <c r="I1616" t="s">
        <v>6422</v>
      </c>
      <c r="J1616">
        <v>79</v>
      </c>
      <c r="K1616">
        <v>303</v>
      </c>
      <c r="L1616" t="s">
        <v>6215</v>
      </c>
      <c r="M1616" s="6" t="s">
        <v>6558</v>
      </c>
      <c r="N1616" s="6" t="s">
        <v>6583</v>
      </c>
      <c r="O1616" s="6">
        <v>83</v>
      </c>
      <c r="P1616" s="6">
        <v>77</v>
      </c>
      <c r="Q1616" s="6">
        <v>76</v>
      </c>
      <c r="R1616" s="6">
        <v>76</v>
      </c>
      <c r="S1616" s="6">
        <v>67</v>
      </c>
      <c r="T1616" s="6">
        <v>74</v>
      </c>
      <c r="U1616" s="6">
        <v>74</v>
      </c>
      <c r="V1616" s="6">
        <v>71</v>
      </c>
      <c r="W1616" s="6">
        <v>69</v>
      </c>
      <c r="X1616" s="6">
        <v>63</v>
      </c>
      <c r="Y1616" s="6">
        <v>73</v>
      </c>
      <c r="Z1616" s="6">
        <v>83</v>
      </c>
      <c r="AA1616" s="6">
        <v>70</v>
      </c>
      <c r="AB1616" s="6">
        <v>66</v>
      </c>
      <c r="AC1616" s="6">
        <v>60</v>
      </c>
      <c r="AD1616" s="6">
        <v>66</v>
      </c>
      <c r="AE1616" s="6">
        <v>74</v>
      </c>
      <c r="AF1616" s="6">
        <v>68</v>
      </c>
      <c r="AG1616" s="6" t="s">
        <v>8242</v>
      </c>
      <c r="AH1616" s="6" t="s">
        <v>6596</v>
      </c>
    </row>
    <row r="1617" spans="1:34" x14ac:dyDescent="0.2">
      <c r="A1617" t="s">
        <v>4523</v>
      </c>
      <c r="B1617" t="s">
        <v>2786</v>
      </c>
      <c r="C1617" t="s">
        <v>2874</v>
      </c>
      <c r="D1617" s="7" t="s">
        <v>157</v>
      </c>
      <c r="E1617" t="s">
        <v>58</v>
      </c>
      <c r="F1617">
        <v>27</v>
      </c>
      <c r="G1617">
        <v>73</v>
      </c>
      <c r="H1617">
        <v>69</v>
      </c>
      <c r="I1617" t="s">
        <v>6358</v>
      </c>
      <c r="J1617">
        <v>76</v>
      </c>
      <c r="K1617">
        <v>309</v>
      </c>
      <c r="L1617" t="s">
        <v>6217</v>
      </c>
      <c r="M1617" s="6" t="s">
        <v>6558</v>
      </c>
      <c r="N1617" s="6" t="s">
        <v>6567</v>
      </c>
      <c r="O1617" s="6">
        <v>81</v>
      </c>
      <c r="P1617" s="6">
        <v>68</v>
      </c>
      <c r="Q1617" s="6">
        <v>68</v>
      </c>
      <c r="R1617" s="6">
        <v>69</v>
      </c>
      <c r="S1617" s="6">
        <v>70</v>
      </c>
      <c r="T1617" s="6">
        <v>70</v>
      </c>
      <c r="U1617" s="6">
        <v>71</v>
      </c>
      <c r="V1617" s="6">
        <v>73</v>
      </c>
      <c r="W1617" s="6">
        <v>70</v>
      </c>
      <c r="X1617" s="6">
        <v>66</v>
      </c>
      <c r="Y1617" s="6">
        <v>59</v>
      </c>
      <c r="Z1617" s="6">
        <v>74</v>
      </c>
      <c r="AA1617" s="6">
        <v>68</v>
      </c>
      <c r="AB1617" s="6">
        <v>63</v>
      </c>
      <c r="AC1617" s="6">
        <v>75</v>
      </c>
      <c r="AD1617" s="6">
        <v>71</v>
      </c>
      <c r="AE1617" s="6">
        <v>67</v>
      </c>
      <c r="AF1617" s="6">
        <v>73</v>
      </c>
      <c r="AG1617" s="6" t="s">
        <v>8244</v>
      </c>
      <c r="AH1617" s="6" t="s">
        <v>6674</v>
      </c>
    </row>
    <row r="1618" spans="1:34" x14ac:dyDescent="0.2">
      <c r="A1618" t="s">
        <v>4525</v>
      </c>
      <c r="B1618" t="s">
        <v>2788</v>
      </c>
      <c r="C1618" t="s">
        <v>2887</v>
      </c>
      <c r="D1618" s="7" t="s">
        <v>157</v>
      </c>
      <c r="E1618" t="s">
        <v>58</v>
      </c>
      <c r="F1618">
        <v>32</v>
      </c>
      <c r="G1618">
        <v>59</v>
      </c>
      <c r="H1618">
        <v>69</v>
      </c>
      <c r="I1618" t="s">
        <v>6345</v>
      </c>
      <c r="J1618">
        <v>75</v>
      </c>
      <c r="K1618">
        <v>301</v>
      </c>
      <c r="L1618" t="s">
        <v>6219</v>
      </c>
      <c r="M1618" s="6" t="s">
        <v>6558</v>
      </c>
      <c r="N1618" s="6" t="s">
        <v>6583</v>
      </c>
      <c r="O1618" s="6">
        <v>80</v>
      </c>
      <c r="P1618" s="6">
        <v>71</v>
      </c>
      <c r="Q1618" s="6">
        <v>79</v>
      </c>
      <c r="R1618" s="6">
        <v>77</v>
      </c>
      <c r="S1618" s="6">
        <v>79</v>
      </c>
      <c r="T1618" s="6">
        <v>71</v>
      </c>
      <c r="U1618" s="6">
        <v>73</v>
      </c>
      <c r="V1618" s="6">
        <v>72</v>
      </c>
      <c r="W1618" s="6">
        <v>76</v>
      </c>
      <c r="X1618" s="6">
        <v>73</v>
      </c>
      <c r="Y1618" s="6">
        <v>72</v>
      </c>
      <c r="Z1618" s="6">
        <v>73</v>
      </c>
      <c r="AA1618" s="6">
        <v>66</v>
      </c>
      <c r="AB1618" s="6">
        <v>69</v>
      </c>
      <c r="AC1618" s="6">
        <v>62</v>
      </c>
      <c r="AD1618" s="6">
        <v>67</v>
      </c>
      <c r="AE1618" s="6">
        <v>58</v>
      </c>
      <c r="AF1618" s="6">
        <v>60</v>
      </c>
      <c r="AG1618" s="6" t="s">
        <v>8246</v>
      </c>
      <c r="AH1618" s="6" t="s">
        <v>6598</v>
      </c>
    </row>
    <row r="1619" spans="1:34" x14ac:dyDescent="0.2">
      <c r="A1619" t="s">
        <v>4527</v>
      </c>
      <c r="B1619" t="s">
        <v>2790</v>
      </c>
      <c r="C1619" t="s">
        <v>2876</v>
      </c>
      <c r="D1619" s="7" t="s">
        <v>157</v>
      </c>
      <c r="E1619" t="s">
        <v>38</v>
      </c>
      <c r="F1619">
        <v>27</v>
      </c>
      <c r="G1619">
        <v>63</v>
      </c>
      <c r="H1619">
        <v>69</v>
      </c>
      <c r="I1619" t="s">
        <v>6373</v>
      </c>
      <c r="J1619">
        <v>74</v>
      </c>
      <c r="K1619">
        <v>326</v>
      </c>
      <c r="L1619" t="s">
        <v>6221</v>
      </c>
      <c r="M1619" s="6" t="s">
        <v>6558</v>
      </c>
      <c r="N1619" s="6" t="s">
        <v>6565</v>
      </c>
      <c r="O1619" s="6">
        <v>70</v>
      </c>
      <c r="P1619" s="6">
        <v>65</v>
      </c>
      <c r="Q1619" s="6">
        <v>66</v>
      </c>
      <c r="R1619" s="6">
        <v>74</v>
      </c>
      <c r="S1619" s="6">
        <v>65</v>
      </c>
      <c r="T1619" s="6">
        <v>73</v>
      </c>
      <c r="U1619" s="6">
        <v>75</v>
      </c>
      <c r="V1619" s="6">
        <v>73</v>
      </c>
      <c r="W1619" s="6">
        <v>74</v>
      </c>
      <c r="X1619" s="6">
        <v>83</v>
      </c>
      <c r="Y1619" s="6">
        <v>77</v>
      </c>
      <c r="Z1619" s="6">
        <v>77</v>
      </c>
      <c r="AA1619" s="6">
        <v>62</v>
      </c>
      <c r="AB1619" s="6">
        <v>70</v>
      </c>
      <c r="AC1619" s="6">
        <v>74</v>
      </c>
      <c r="AD1619" s="6">
        <v>66</v>
      </c>
      <c r="AE1619" s="6">
        <v>68</v>
      </c>
      <c r="AF1619" s="6">
        <v>70</v>
      </c>
      <c r="AG1619" s="6" t="s">
        <v>8248</v>
      </c>
      <c r="AH1619" s="6" t="s">
        <v>6598</v>
      </c>
    </row>
    <row r="1620" spans="1:34" x14ac:dyDescent="0.2">
      <c r="A1620" t="s">
        <v>4529</v>
      </c>
      <c r="B1620" t="s">
        <v>2792</v>
      </c>
      <c r="C1620" t="s">
        <v>2878</v>
      </c>
      <c r="D1620" s="7" t="s">
        <v>157</v>
      </c>
      <c r="E1620" t="s">
        <v>38</v>
      </c>
      <c r="F1620">
        <v>31</v>
      </c>
      <c r="G1620">
        <v>86</v>
      </c>
      <c r="H1620">
        <v>69</v>
      </c>
      <c r="I1620" t="s">
        <v>6358</v>
      </c>
      <c r="J1620">
        <v>75</v>
      </c>
      <c r="K1620">
        <v>265</v>
      </c>
      <c r="L1620" t="s">
        <v>6223</v>
      </c>
      <c r="M1620" s="6" t="s">
        <v>6558</v>
      </c>
      <c r="N1620" s="6" t="s">
        <v>6583</v>
      </c>
      <c r="O1620" s="6">
        <v>85</v>
      </c>
      <c r="P1620" s="6">
        <v>78</v>
      </c>
      <c r="Q1620" s="6">
        <v>85</v>
      </c>
      <c r="R1620" s="6">
        <v>77</v>
      </c>
      <c r="S1620" s="6">
        <v>83</v>
      </c>
      <c r="T1620" s="6">
        <v>75</v>
      </c>
      <c r="U1620" s="6">
        <v>82</v>
      </c>
      <c r="V1620" s="6">
        <v>86</v>
      </c>
      <c r="W1620" s="6">
        <v>78</v>
      </c>
      <c r="X1620" s="6">
        <v>86</v>
      </c>
      <c r="Y1620" s="6">
        <v>80</v>
      </c>
      <c r="Z1620" s="6">
        <v>83</v>
      </c>
      <c r="AA1620" s="6">
        <v>72</v>
      </c>
      <c r="AB1620" s="6">
        <v>67</v>
      </c>
      <c r="AC1620" s="6">
        <v>71</v>
      </c>
      <c r="AD1620" s="6">
        <v>69</v>
      </c>
      <c r="AE1620" s="6">
        <v>70</v>
      </c>
      <c r="AF1620" s="6">
        <v>72</v>
      </c>
      <c r="AG1620" s="6" t="s">
        <v>8250</v>
      </c>
      <c r="AH1620" s="6" t="s">
        <v>6684</v>
      </c>
    </row>
    <row r="1621" spans="1:34" x14ac:dyDescent="0.2">
      <c r="A1621" t="s">
        <v>4531</v>
      </c>
      <c r="B1621" t="s">
        <v>2794</v>
      </c>
      <c r="C1621" t="s">
        <v>2878</v>
      </c>
      <c r="D1621" s="7" t="s">
        <v>157</v>
      </c>
      <c r="E1621" t="s">
        <v>38</v>
      </c>
      <c r="F1621">
        <v>25</v>
      </c>
      <c r="G1621">
        <v>73</v>
      </c>
      <c r="H1621">
        <v>69</v>
      </c>
      <c r="I1621" t="s">
        <v>6377</v>
      </c>
      <c r="J1621">
        <v>76</v>
      </c>
      <c r="K1621">
        <v>257</v>
      </c>
      <c r="L1621" t="s">
        <v>6225</v>
      </c>
      <c r="M1621" s="6" t="s">
        <v>6558</v>
      </c>
      <c r="N1621" s="6" t="s">
        <v>6567</v>
      </c>
      <c r="O1621" s="6">
        <v>73</v>
      </c>
      <c r="P1621" s="6">
        <v>68</v>
      </c>
      <c r="Q1621" s="6">
        <v>68</v>
      </c>
      <c r="R1621" s="6">
        <v>65</v>
      </c>
      <c r="S1621" s="6">
        <v>81</v>
      </c>
      <c r="T1621" s="6">
        <v>77</v>
      </c>
      <c r="U1621" s="6">
        <v>66</v>
      </c>
      <c r="V1621" s="6">
        <v>77</v>
      </c>
      <c r="W1621" s="6">
        <v>78</v>
      </c>
      <c r="X1621" s="6">
        <v>69</v>
      </c>
      <c r="Y1621" s="6">
        <v>82</v>
      </c>
      <c r="Z1621" s="6">
        <v>73</v>
      </c>
      <c r="AA1621" s="6">
        <v>75</v>
      </c>
      <c r="AB1621" s="6">
        <v>80</v>
      </c>
      <c r="AC1621" s="6">
        <v>73</v>
      </c>
      <c r="AD1621" s="6">
        <v>73</v>
      </c>
      <c r="AE1621" s="6">
        <v>74</v>
      </c>
      <c r="AF1621" s="6">
        <v>66</v>
      </c>
      <c r="AG1621" s="6" t="s">
        <v>8252</v>
      </c>
      <c r="AH1621" s="6" t="s">
        <v>6684</v>
      </c>
    </row>
    <row r="1622" spans="1:34" x14ac:dyDescent="0.2">
      <c r="A1622" t="s">
        <v>4533</v>
      </c>
      <c r="B1622" t="s">
        <v>2796</v>
      </c>
      <c r="C1622" t="s">
        <v>2878</v>
      </c>
      <c r="D1622" s="7" t="s">
        <v>157</v>
      </c>
      <c r="E1622" t="s">
        <v>58</v>
      </c>
      <c r="F1622">
        <v>28</v>
      </c>
      <c r="G1622">
        <v>64</v>
      </c>
      <c r="H1622">
        <v>69</v>
      </c>
      <c r="I1622" t="s">
        <v>6355</v>
      </c>
      <c r="J1622">
        <v>75</v>
      </c>
      <c r="K1622">
        <v>272</v>
      </c>
      <c r="L1622" t="s">
        <v>6227</v>
      </c>
      <c r="M1622" s="6" t="s">
        <v>6558</v>
      </c>
      <c r="N1622" s="6" t="s">
        <v>6567</v>
      </c>
      <c r="O1622" s="6">
        <v>81</v>
      </c>
      <c r="P1622" s="6">
        <v>68</v>
      </c>
      <c r="Q1622" s="6">
        <v>74</v>
      </c>
      <c r="R1622" s="6">
        <v>69</v>
      </c>
      <c r="S1622" s="6">
        <v>76</v>
      </c>
      <c r="T1622" s="6">
        <v>80</v>
      </c>
      <c r="U1622" s="6">
        <v>59</v>
      </c>
      <c r="V1622" s="6">
        <v>79</v>
      </c>
      <c r="W1622" s="6">
        <v>73</v>
      </c>
      <c r="X1622" s="6">
        <v>83</v>
      </c>
      <c r="Y1622" s="6">
        <v>72</v>
      </c>
      <c r="Z1622" s="6">
        <v>69</v>
      </c>
      <c r="AA1622" s="6">
        <v>65</v>
      </c>
      <c r="AB1622" s="6">
        <v>70</v>
      </c>
      <c r="AC1622" s="6">
        <v>75</v>
      </c>
      <c r="AD1622" s="6">
        <v>70</v>
      </c>
      <c r="AE1622" s="6">
        <v>73</v>
      </c>
      <c r="AF1622" s="6">
        <v>68</v>
      </c>
      <c r="AG1622" s="6" t="s">
        <v>8253</v>
      </c>
      <c r="AH1622" s="6" t="s">
        <v>6963</v>
      </c>
    </row>
    <row r="1623" spans="1:34" x14ac:dyDescent="0.2">
      <c r="A1623" t="s">
        <v>4535</v>
      </c>
      <c r="B1623" t="s">
        <v>2798</v>
      </c>
      <c r="C1623" t="s">
        <v>2879</v>
      </c>
      <c r="D1623" s="7" t="s">
        <v>157</v>
      </c>
      <c r="E1623" t="s">
        <v>38</v>
      </c>
      <c r="F1623">
        <v>30</v>
      </c>
      <c r="G1623">
        <v>80</v>
      </c>
      <c r="H1623">
        <v>69</v>
      </c>
      <c r="I1623" t="s">
        <v>6427</v>
      </c>
      <c r="J1623">
        <v>74</v>
      </c>
      <c r="K1623">
        <v>296</v>
      </c>
      <c r="L1623" t="s">
        <v>6229</v>
      </c>
      <c r="M1623" s="6" t="s">
        <v>6558</v>
      </c>
      <c r="N1623" s="6" t="s">
        <v>6565</v>
      </c>
      <c r="O1623" s="6">
        <v>72</v>
      </c>
      <c r="P1623" s="6">
        <v>70</v>
      </c>
      <c r="Q1623" s="6">
        <v>76</v>
      </c>
      <c r="R1623" s="6">
        <v>71</v>
      </c>
      <c r="S1623" s="6">
        <v>80</v>
      </c>
      <c r="T1623" s="6">
        <v>78</v>
      </c>
      <c r="U1623" s="6">
        <v>67</v>
      </c>
      <c r="V1623" s="6">
        <v>79</v>
      </c>
      <c r="W1623" s="6">
        <v>68</v>
      </c>
      <c r="X1623" s="6">
        <v>80</v>
      </c>
      <c r="Y1623" s="6">
        <v>82</v>
      </c>
      <c r="Z1623" s="6">
        <v>79</v>
      </c>
      <c r="AA1623" s="6">
        <v>73</v>
      </c>
      <c r="AB1623" s="6">
        <v>69</v>
      </c>
      <c r="AC1623" s="6">
        <v>68</v>
      </c>
      <c r="AD1623" s="6">
        <v>72</v>
      </c>
      <c r="AE1623" s="6">
        <v>71</v>
      </c>
      <c r="AF1623" s="6">
        <v>74</v>
      </c>
      <c r="AG1623" s="6" t="s">
        <v>8255</v>
      </c>
      <c r="AH1623" s="6" t="s">
        <v>6861</v>
      </c>
    </row>
    <row r="1624" spans="1:34" x14ac:dyDescent="0.2">
      <c r="A1624" t="s">
        <v>4537</v>
      </c>
      <c r="B1624" t="s">
        <v>2800</v>
      </c>
      <c r="C1624" t="s">
        <v>2879</v>
      </c>
      <c r="D1624" s="7" t="s">
        <v>157</v>
      </c>
      <c r="E1624" t="s">
        <v>38</v>
      </c>
      <c r="F1624">
        <v>28</v>
      </c>
      <c r="G1624">
        <v>71</v>
      </c>
      <c r="H1624">
        <v>69</v>
      </c>
      <c r="I1624" t="s">
        <v>6343</v>
      </c>
      <c r="J1624">
        <v>73</v>
      </c>
      <c r="K1624">
        <v>305</v>
      </c>
      <c r="L1624" t="s">
        <v>6231</v>
      </c>
      <c r="M1624" s="6" t="s">
        <v>6558</v>
      </c>
      <c r="N1624" s="6" t="s">
        <v>6567</v>
      </c>
      <c r="O1624" s="6">
        <v>67</v>
      </c>
      <c r="P1624" s="6">
        <v>75</v>
      </c>
      <c r="Q1624" s="6">
        <v>60</v>
      </c>
      <c r="R1624" s="6">
        <v>66</v>
      </c>
      <c r="S1624" s="6">
        <v>79</v>
      </c>
      <c r="T1624" s="6">
        <v>72</v>
      </c>
      <c r="U1624" s="6">
        <v>81</v>
      </c>
      <c r="V1624" s="6">
        <v>76</v>
      </c>
      <c r="W1624" s="6">
        <v>64</v>
      </c>
      <c r="X1624" s="6">
        <v>71</v>
      </c>
      <c r="Y1624" s="6">
        <v>79</v>
      </c>
      <c r="Z1624" s="6">
        <v>82</v>
      </c>
      <c r="AA1624" s="6">
        <v>71</v>
      </c>
      <c r="AB1624" s="6">
        <v>68</v>
      </c>
      <c r="AC1624" s="6">
        <v>68</v>
      </c>
      <c r="AD1624" s="6">
        <v>82</v>
      </c>
      <c r="AE1624" s="6">
        <v>73</v>
      </c>
      <c r="AF1624" s="6">
        <v>72</v>
      </c>
      <c r="AG1624" s="6" t="s">
        <v>8257</v>
      </c>
      <c r="AH1624" s="6" t="s">
        <v>6855</v>
      </c>
    </row>
    <row r="1625" spans="1:34" x14ac:dyDescent="0.2">
      <c r="A1625" t="s">
        <v>4539</v>
      </c>
      <c r="B1625" t="s">
        <v>2802</v>
      </c>
      <c r="C1625" t="s">
        <v>2880</v>
      </c>
      <c r="D1625" s="7" t="s">
        <v>157</v>
      </c>
      <c r="E1625" t="s">
        <v>58</v>
      </c>
      <c r="F1625">
        <v>32</v>
      </c>
      <c r="G1625">
        <v>66</v>
      </c>
      <c r="H1625">
        <v>69</v>
      </c>
      <c r="I1625" t="s">
        <v>6502</v>
      </c>
      <c r="J1625">
        <v>74</v>
      </c>
      <c r="K1625">
        <v>254</v>
      </c>
      <c r="L1625" t="s">
        <v>6233</v>
      </c>
      <c r="M1625" s="6" t="s">
        <v>6558</v>
      </c>
      <c r="N1625" s="6" t="s">
        <v>6565</v>
      </c>
      <c r="O1625" s="6">
        <v>71</v>
      </c>
      <c r="P1625" s="6">
        <v>72</v>
      </c>
      <c r="Q1625" s="6">
        <v>72</v>
      </c>
      <c r="R1625" s="6">
        <v>72</v>
      </c>
      <c r="S1625" s="6">
        <v>74</v>
      </c>
      <c r="T1625" s="6">
        <v>72</v>
      </c>
      <c r="U1625" s="6">
        <v>69</v>
      </c>
      <c r="V1625" s="6">
        <v>74</v>
      </c>
      <c r="W1625" s="6">
        <v>87</v>
      </c>
      <c r="X1625" s="6">
        <v>85</v>
      </c>
      <c r="Y1625" s="6">
        <v>76</v>
      </c>
      <c r="Z1625" s="6">
        <v>76</v>
      </c>
      <c r="AA1625" s="6">
        <v>64</v>
      </c>
      <c r="AB1625" s="6">
        <v>61</v>
      </c>
      <c r="AC1625" s="6">
        <v>57</v>
      </c>
      <c r="AD1625" s="6">
        <v>56</v>
      </c>
      <c r="AE1625" s="6">
        <v>58</v>
      </c>
      <c r="AF1625" s="6">
        <v>64</v>
      </c>
      <c r="AG1625" s="6" t="s">
        <v>8259</v>
      </c>
      <c r="AH1625" s="6" t="s">
        <v>6623</v>
      </c>
    </row>
    <row r="1626" spans="1:34" x14ac:dyDescent="0.2">
      <c r="A1626" t="s">
        <v>4541</v>
      </c>
      <c r="B1626" t="s">
        <v>2804</v>
      </c>
      <c r="C1626" t="s">
        <v>2881</v>
      </c>
      <c r="D1626" s="7" t="s">
        <v>157</v>
      </c>
      <c r="E1626" t="s">
        <v>38</v>
      </c>
      <c r="F1626">
        <v>27</v>
      </c>
      <c r="G1626">
        <v>83</v>
      </c>
      <c r="H1626">
        <v>69</v>
      </c>
      <c r="I1626" t="s">
        <v>8336</v>
      </c>
      <c r="J1626">
        <v>72</v>
      </c>
      <c r="K1626">
        <v>253</v>
      </c>
      <c r="L1626" t="s">
        <v>6235</v>
      </c>
      <c r="M1626" s="6" t="s">
        <v>6558</v>
      </c>
      <c r="N1626" s="6" t="s">
        <v>6559</v>
      </c>
      <c r="O1626" s="6">
        <v>73</v>
      </c>
      <c r="P1626" s="6">
        <v>73</v>
      </c>
      <c r="Q1626" s="6">
        <v>72</v>
      </c>
      <c r="R1626" s="6">
        <v>83</v>
      </c>
      <c r="S1626" s="6">
        <v>81</v>
      </c>
      <c r="T1626" s="6">
        <v>68</v>
      </c>
      <c r="U1626" s="6">
        <v>83</v>
      </c>
      <c r="V1626" s="6">
        <v>73</v>
      </c>
      <c r="W1626" s="6">
        <v>71</v>
      </c>
      <c r="X1626" s="6">
        <v>72</v>
      </c>
      <c r="Y1626" s="6">
        <v>73</v>
      </c>
      <c r="Z1626" s="6">
        <v>73</v>
      </c>
      <c r="AA1626" s="6">
        <v>74</v>
      </c>
      <c r="AB1626" s="6">
        <v>78</v>
      </c>
      <c r="AC1626" s="6">
        <v>82</v>
      </c>
      <c r="AD1626" s="6">
        <v>76</v>
      </c>
      <c r="AE1626" s="6">
        <v>77</v>
      </c>
      <c r="AF1626" s="6">
        <v>79</v>
      </c>
      <c r="AG1626" s="6" t="s">
        <v>8261</v>
      </c>
      <c r="AH1626" s="6" t="s">
        <v>6711</v>
      </c>
    </row>
    <row r="1627" spans="1:34" x14ac:dyDescent="0.2">
      <c r="A1627" t="s">
        <v>4543</v>
      </c>
      <c r="B1627" t="s">
        <v>2806</v>
      </c>
      <c r="C1627" t="s">
        <v>61</v>
      </c>
      <c r="D1627" s="7" t="s">
        <v>157</v>
      </c>
      <c r="E1627" t="s">
        <v>38</v>
      </c>
      <c r="F1627">
        <v>27</v>
      </c>
      <c r="G1627">
        <v>68</v>
      </c>
      <c r="H1627">
        <v>69</v>
      </c>
      <c r="I1627" t="s">
        <v>6378</v>
      </c>
      <c r="J1627">
        <v>69</v>
      </c>
      <c r="K1627">
        <v>198</v>
      </c>
      <c r="L1627" t="s">
        <v>6237</v>
      </c>
      <c r="M1627" s="6" t="s">
        <v>6558</v>
      </c>
      <c r="N1627" s="6" t="s">
        <v>6567</v>
      </c>
      <c r="O1627" s="6">
        <v>60</v>
      </c>
      <c r="P1627" s="6">
        <v>71</v>
      </c>
      <c r="Q1627" s="6">
        <v>78</v>
      </c>
      <c r="R1627" s="6">
        <v>67</v>
      </c>
      <c r="S1627" s="6">
        <v>82</v>
      </c>
      <c r="T1627" s="6">
        <v>67</v>
      </c>
      <c r="U1627" s="6">
        <v>66</v>
      </c>
      <c r="V1627" s="6">
        <v>72</v>
      </c>
      <c r="W1627" s="6">
        <v>72</v>
      </c>
      <c r="X1627" s="6">
        <v>77</v>
      </c>
      <c r="Y1627" s="6">
        <v>85</v>
      </c>
      <c r="Z1627" s="6">
        <v>65</v>
      </c>
      <c r="AA1627" s="6">
        <v>73</v>
      </c>
      <c r="AB1627" s="6">
        <v>74</v>
      </c>
      <c r="AC1627" s="6">
        <v>69</v>
      </c>
      <c r="AD1627" s="6">
        <v>73</v>
      </c>
      <c r="AE1627" s="6">
        <v>69</v>
      </c>
      <c r="AF1627" s="6">
        <v>76</v>
      </c>
      <c r="AG1627" s="6" t="s">
        <v>8263</v>
      </c>
      <c r="AH1627" s="6" t="s">
        <v>6630</v>
      </c>
    </row>
    <row r="1628" spans="1:34" x14ac:dyDescent="0.2">
      <c r="A1628" t="s">
        <v>4545</v>
      </c>
      <c r="B1628" t="s">
        <v>2808</v>
      </c>
      <c r="C1628" t="s">
        <v>2882</v>
      </c>
      <c r="D1628" s="7" t="s">
        <v>157</v>
      </c>
      <c r="E1628" t="s">
        <v>38</v>
      </c>
      <c r="F1628">
        <v>23</v>
      </c>
      <c r="G1628">
        <v>77</v>
      </c>
      <c r="H1628">
        <v>69</v>
      </c>
      <c r="I1628" t="s">
        <v>6359</v>
      </c>
      <c r="J1628">
        <v>70</v>
      </c>
      <c r="K1628">
        <v>209</v>
      </c>
      <c r="L1628" t="s">
        <v>6239</v>
      </c>
      <c r="M1628" s="6" t="s">
        <v>6558</v>
      </c>
      <c r="N1628" s="6" t="s">
        <v>6565</v>
      </c>
      <c r="O1628" s="6">
        <v>72</v>
      </c>
      <c r="P1628" s="6">
        <v>75</v>
      </c>
      <c r="Q1628" s="6">
        <v>75</v>
      </c>
      <c r="R1628" s="6">
        <v>72</v>
      </c>
      <c r="S1628" s="6">
        <v>77</v>
      </c>
      <c r="T1628" s="6">
        <v>77</v>
      </c>
      <c r="U1628" s="6">
        <v>65</v>
      </c>
      <c r="V1628" s="6">
        <v>75</v>
      </c>
      <c r="W1628" s="6">
        <v>75</v>
      </c>
      <c r="X1628" s="6">
        <v>67</v>
      </c>
      <c r="Y1628" s="6">
        <v>71</v>
      </c>
      <c r="Z1628" s="6">
        <v>77</v>
      </c>
      <c r="AA1628" s="6">
        <v>71</v>
      </c>
      <c r="AB1628" s="6">
        <v>72</v>
      </c>
      <c r="AC1628" s="6">
        <v>65</v>
      </c>
      <c r="AD1628" s="6">
        <v>75</v>
      </c>
      <c r="AE1628" s="6">
        <v>70</v>
      </c>
      <c r="AF1628" s="6">
        <v>79</v>
      </c>
      <c r="AG1628" s="6" t="s">
        <v>8265</v>
      </c>
      <c r="AH1628" s="6" t="s">
        <v>6636</v>
      </c>
    </row>
    <row r="1629" spans="1:34" x14ac:dyDescent="0.2">
      <c r="A1629" t="s">
        <v>4547</v>
      </c>
      <c r="B1629" t="s">
        <v>2810</v>
      </c>
      <c r="C1629" t="s">
        <v>2882</v>
      </c>
      <c r="D1629" s="7" t="s">
        <v>157</v>
      </c>
      <c r="E1629" t="s">
        <v>58</v>
      </c>
      <c r="F1629">
        <v>29</v>
      </c>
      <c r="G1629">
        <v>58</v>
      </c>
      <c r="H1629">
        <v>69</v>
      </c>
      <c r="I1629" t="s">
        <v>6507</v>
      </c>
      <c r="J1629">
        <v>70</v>
      </c>
      <c r="K1629">
        <v>195</v>
      </c>
      <c r="L1629" t="s">
        <v>6241</v>
      </c>
      <c r="M1629" s="6" t="s">
        <v>6558</v>
      </c>
      <c r="N1629" s="6" t="s">
        <v>6567</v>
      </c>
      <c r="O1629" s="6">
        <v>80</v>
      </c>
      <c r="P1629" s="6">
        <v>70</v>
      </c>
      <c r="Q1629" s="6">
        <v>66</v>
      </c>
      <c r="R1629" s="6">
        <v>67</v>
      </c>
      <c r="S1629" s="6">
        <v>56</v>
      </c>
      <c r="T1629" s="6">
        <v>71</v>
      </c>
      <c r="U1629" s="6">
        <v>65</v>
      </c>
      <c r="V1629" s="6">
        <v>62</v>
      </c>
      <c r="W1629" s="6">
        <v>76</v>
      </c>
      <c r="X1629" s="6">
        <v>65</v>
      </c>
      <c r="Y1629" s="6">
        <v>64</v>
      </c>
      <c r="Z1629" s="6">
        <v>65</v>
      </c>
      <c r="AA1629" s="6">
        <v>65</v>
      </c>
      <c r="AB1629" s="6">
        <v>70</v>
      </c>
      <c r="AC1629" s="6">
        <v>59</v>
      </c>
      <c r="AD1629" s="6">
        <v>72</v>
      </c>
      <c r="AE1629" s="6">
        <v>69</v>
      </c>
      <c r="AF1629" s="6">
        <v>63</v>
      </c>
      <c r="AG1629" s="6" t="s">
        <v>8267</v>
      </c>
      <c r="AH1629" s="6" t="s">
        <v>6636</v>
      </c>
    </row>
    <row r="1630" spans="1:34" x14ac:dyDescent="0.2">
      <c r="A1630" t="s">
        <v>4549</v>
      </c>
      <c r="B1630" t="s">
        <v>2812</v>
      </c>
      <c r="C1630" t="s">
        <v>2883</v>
      </c>
      <c r="D1630" s="7" t="s">
        <v>157</v>
      </c>
      <c r="E1630" t="s">
        <v>58</v>
      </c>
      <c r="F1630">
        <v>21</v>
      </c>
      <c r="G1630">
        <v>67</v>
      </c>
      <c r="H1630">
        <v>69</v>
      </c>
      <c r="I1630" t="s">
        <v>6343</v>
      </c>
      <c r="J1630">
        <v>74</v>
      </c>
      <c r="K1630">
        <v>220</v>
      </c>
      <c r="L1630" t="s">
        <v>6243</v>
      </c>
      <c r="M1630" s="6" t="s">
        <v>6558</v>
      </c>
      <c r="N1630" s="6" t="s">
        <v>6567</v>
      </c>
      <c r="O1630" s="6">
        <v>72</v>
      </c>
      <c r="P1630" s="6">
        <v>63</v>
      </c>
      <c r="Q1630" s="6">
        <v>68</v>
      </c>
      <c r="R1630" s="6">
        <v>65</v>
      </c>
      <c r="S1630" s="6">
        <v>75</v>
      </c>
      <c r="T1630" s="6">
        <v>67</v>
      </c>
      <c r="U1630" s="6">
        <v>72</v>
      </c>
      <c r="V1630" s="6">
        <v>65</v>
      </c>
      <c r="W1630" s="6">
        <v>76</v>
      </c>
      <c r="X1630" s="6">
        <v>62</v>
      </c>
      <c r="Y1630" s="6">
        <v>65</v>
      </c>
      <c r="Z1630" s="6">
        <v>71</v>
      </c>
      <c r="AA1630" s="6">
        <v>72</v>
      </c>
      <c r="AB1630" s="6">
        <v>66</v>
      </c>
      <c r="AC1630" s="6">
        <v>74</v>
      </c>
      <c r="AD1630" s="6">
        <v>60</v>
      </c>
      <c r="AE1630" s="6">
        <v>69</v>
      </c>
      <c r="AF1630" s="6">
        <v>65</v>
      </c>
      <c r="AG1630" s="6" t="s">
        <v>8269</v>
      </c>
      <c r="AH1630" s="6" t="s">
        <v>6640</v>
      </c>
    </row>
    <row r="1631" spans="1:34" x14ac:dyDescent="0.2">
      <c r="A1631" t="s">
        <v>4551</v>
      </c>
      <c r="B1631" t="s">
        <v>2814</v>
      </c>
      <c r="C1631" t="s">
        <v>2884</v>
      </c>
      <c r="D1631" s="7" t="s">
        <v>157</v>
      </c>
      <c r="E1631" t="s">
        <v>58</v>
      </c>
      <c r="F1631">
        <v>25</v>
      </c>
      <c r="G1631">
        <v>69</v>
      </c>
      <c r="H1631">
        <v>69</v>
      </c>
      <c r="I1631" t="s">
        <v>6349</v>
      </c>
      <c r="J1631">
        <v>76</v>
      </c>
      <c r="K1631">
        <v>192</v>
      </c>
      <c r="L1631" t="s">
        <v>6245</v>
      </c>
      <c r="M1631" s="6" t="s">
        <v>6558</v>
      </c>
      <c r="N1631" s="6" t="s">
        <v>6567</v>
      </c>
      <c r="O1631" s="6">
        <v>74</v>
      </c>
      <c r="P1631" s="6">
        <v>65</v>
      </c>
      <c r="Q1631" s="6">
        <v>70</v>
      </c>
      <c r="R1631" s="6">
        <v>67</v>
      </c>
      <c r="S1631" s="6">
        <v>74</v>
      </c>
      <c r="T1631" s="6">
        <v>74</v>
      </c>
      <c r="U1631" s="6">
        <v>76</v>
      </c>
      <c r="V1631" s="6">
        <v>73</v>
      </c>
      <c r="W1631" s="6">
        <v>68</v>
      </c>
      <c r="X1631" s="6">
        <v>71</v>
      </c>
      <c r="Y1631" s="6">
        <v>75</v>
      </c>
      <c r="Z1631" s="6">
        <v>71</v>
      </c>
      <c r="AA1631" s="6">
        <v>69</v>
      </c>
      <c r="AB1631" s="6">
        <v>71</v>
      </c>
      <c r="AC1631" s="6">
        <v>67</v>
      </c>
      <c r="AD1631" s="6">
        <v>68</v>
      </c>
      <c r="AE1631" s="6">
        <v>69</v>
      </c>
      <c r="AF1631" s="6">
        <v>66</v>
      </c>
      <c r="AG1631" s="6" t="s">
        <v>8271</v>
      </c>
      <c r="AH1631" s="6" t="s">
        <v>6818</v>
      </c>
    </row>
    <row r="1632" spans="1:34" x14ac:dyDescent="0.2">
      <c r="A1632" t="s">
        <v>4553</v>
      </c>
      <c r="B1632" t="s">
        <v>2816</v>
      </c>
      <c r="C1632" t="s">
        <v>2885</v>
      </c>
      <c r="D1632" s="7" t="s">
        <v>157</v>
      </c>
      <c r="E1632" t="s">
        <v>38</v>
      </c>
      <c r="F1632">
        <v>24</v>
      </c>
      <c r="G1632">
        <v>80</v>
      </c>
      <c r="H1632">
        <v>69</v>
      </c>
      <c r="I1632" t="s">
        <v>6417</v>
      </c>
      <c r="J1632">
        <v>72</v>
      </c>
      <c r="K1632">
        <v>255</v>
      </c>
      <c r="L1632" t="s">
        <v>6247</v>
      </c>
      <c r="M1632" s="6" t="s">
        <v>6558</v>
      </c>
      <c r="N1632" s="6" t="s">
        <v>6567</v>
      </c>
      <c r="O1632" s="6">
        <v>73</v>
      </c>
      <c r="P1632" s="6">
        <v>70</v>
      </c>
      <c r="Q1632" s="6">
        <v>63</v>
      </c>
      <c r="R1632" s="6">
        <v>66</v>
      </c>
      <c r="S1632" s="6">
        <v>78</v>
      </c>
      <c r="T1632" s="6">
        <v>73</v>
      </c>
      <c r="U1632" s="6">
        <v>68</v>
      </c>
      <c r="V1632" s="6">
        <v>74</v>
      </c>
      <c r="W1632" s="6">
        <v>65</v>
      </c>
      <c r="X1632" s="6">
        <v>74</v>
      </c>
      <c r="Y1632" s="6">
        <v>75</v>
      </c>
      <c r="Z1632" s="6">
        <v>72</v>
      </c>
      <c r="AA1632" s="6">
        <v>73</v>
      </c>
      <c r="AB1632" s="6">
        <v>70</v>
      </c>
      <c r="AC1632" s="6">
        <v>69</v>
      </c>
      <c r="AD1632" s="6">
        <v>67</v>
      </c>
      <c r="AE1632" s="6">
        <v>66</v>
      </c>
      <c r="AF1632" s="6">
        <v>78</v>
      </c>
      <c r="AG1632" s="6" t="s">
        <v>8273</v>
      </c>
      <c r="AH1632" s="6" t="s">
        <v>6711</v>
      </c>
    </row>
    <row r="1633" spans="1:34" x14ac:dyDescent="0.2">
      <c r="A1633" t="s">
        <v>4555</v>
      </c>
      <c r="B1633" t="s">
        <v>2818</v>
      </c>
      <c r="C1633" t="s">
        <v>2891</v>
      </c>
      <c r="D1633" s="7" t="s">
        <v>157</v>
      </c>
      <c r="E1633" t="s">
        <v>58</v>
      </c>
      <c r="F1633">
        <v>25</v>
      </c>
      <c r="G1633">
        <v>79</v>
      </c>
      <c r="H1633">
        <v>69</v>
      </c>
      <c r="I1633" t="s">
        <v>6360</v>
      </c>
      <c r="J1633">
        <v>74</v>
      </c>
      <c r="K1633">
        <v>232</v>
      </c>
      <c r="L1633" t="s">
        <v>6249</v>
      </c>
      <c r="M1633" s="6" t="s">
        <v>6558</v>
      </c>
      <c r="N1633" s="6" t="s">
        <v>6565</v>
      </c>
      <c r="O1633" s="6">
        <v>57</v>
      </c>
      <c r="P1633" s="6">
        <v>75</v>
      </c>
      <c r="Q1633" s="6">
        <v>70</v>
      </c>
      <c r="R1633" s="6">
        <v>72</v>
      </c>
      <c r="S1633" s="6">
        <v>68</v>
      </c>
      <c r="T1633" s="6">
        <v>72</v>
      </c>
      <c r="U1633" s="6">
        <v>73</v>
      </c>
      <c r="V1633" s="6">
        <v>76</v>
      </c>
      <c r="W1633" s="6">
        <v>72</v>
      </c>
      <c r="X1633" s="6">
        <v>60</v>
      </c>
      <c r="Y1633" s="6">
        <v>82</v>
      </c>
      <c r="Z1633" s="6">
        <v>73</v>
      </c>
      <c r="AA1633" s="6">
        <v>73</v>
      </c>
      <c r="AB1633" s="6">
        <v>76</v>
      </c>
      <c r="AC1633" s="6">
        <v>69</v>
      </c>
      <c r="AD1633" s="6">
        <v>71</v>
      </c>
      <c r="AE1633" s="6">
        <v>71</v>
      </c>
      <c r="AF1633" s="6">
        <v>71</v>
      </c>
      <c r="AG1633" s="6" t="s">
        <v>8275</v>
      </c>
      <c r="AH1633" s="6" t="s">
        <v>7093</v>
      </c>
    </row>
    <row r="1634" spans="1:34" x14ac:dyDescent="0.2">
      <c r="A1634" t="s">
        <v>4557</v>
      </c>
      <c r="B1634" t="s">
        <v>2820</v>
      </c>
      <c r="C1634" t="s">
        <v>2886</v>
      </c>
      <c r="D1634" s="7" t="s">
        <v>157</v>
      </c>
      <c r="E1634" t="s">
        <v>58</v>
      </c>
      <c r="F1634">
        <v>31</v>
      </c>
      <c r="G1634">
        <v>67</v>
      </c>
      <c r="H1634">
        <v>69</v>
      </c>
      <c r="I1634" t="s">
        <v>6304</v>
      </c>
      <c r="J1634">
        <v>74</v>
      </c>
      <c r="K1634">
        <v>246</v>
      </c>
      <c r="L1634" t="s">
        <v>6251</v>
      </c>
      <c r="M1634" s="6" t="s">
        <v>6558</v>
      </c>
      <c r="N1634" s="6" t="s">
        <v>6565</v>
      </c>
      <c r="O1634" s="6">
        <v>77</v>
      </c>
      <c r="P1634" s="6">
        <v>74</v>
      </c>
      <c r="Q1634" s="6">
        <v>77</v>
      </c>
      <c r="R1634" s="6">
        <v>71</v>
      </c>
      <c r="S1634" s="6">
        <v>84</v>
      </c>
      <c r="T1634" s="6">
        <v>71</v>
      </c>
      <c r="U1634" s="6">
        <v>77</v>
      </c>
      <c r="V1634" s="6">
        <v>77</v>
      </c>
      <c r="W1634" s="6">
        <v>76</v>
      </c>
      <c r="X1634" s="6">
        <v>72</v>
      </c>
      <c r="Y1634" s="6">
        <v>80</v>
      </c>
      <c r="Z1634" s="6">
        <v>72</v>
      </c>
      <c r="AA1634" s="6">
        <v>68</v>
      </c>
      <c r="AB1634" s="6">
        <v>69</v>
      </c>
      <c r="AC1634" s="6">
        <v>69</v>
      </c>
      <c r="AD1634" s="6">
        <v>68</v>
      </c>
      <c r="AE1634" s="6">
        <v>76</v>
      </c>
      <c r="AF1634" s="6">
        <v>65</v>
      </c>
      <c r="AG1634" s="6" t="s">
        <v>8277</v>
      </c>
      <c r="AH1634" s="6" t="s">
        <v>6649</v>
      </c>
    </row>
    <row r="1635" spans="1:34" x14ac:dyDescent="0.2">
      <c r="A1635" t="s">
        <v>4559</v>
      </c>
      <c r="B1635" t="s">
        <v>2822</v>
      </c>
      <c r="C1635" t="s">
        <v>53</v>
      </c>
      <c r="D1635" s="7" t="s">
        <v>135</v>
      </c>
      <c r="E1635" t="s">
        <v>38</v>
      </c>
      <c r="F1635">
        <v>30</v>
      </c>
      <c r="G1635">
        <v>80</v>
      </c>
      <c r="H1635">
        <v>69</v>
      </c>
      <c r="I1635" t="s">
        <v>6492</v>
      </c>
      <c r="J1635">
        <v>77</v>
      </c>
      <c r="K1635">
        <v>230</v>
      </c>
      <c r="L1635" t="s">
        <v>6253</v>
      </c>
      <c r="M1635" s="6" t="s">
        <v>6558</v>
      </c>
      <c r="N1635" s="6" t="s">
        <v>6562</v>
      </c>
      <c r="O1635" s="6">
        <v>98</v>
      </c>
      <c r="P1635" s="6">
        <v>80</v>
      </c>
      <c r="Q1635" s="6">
        <v>87</v>
      </c>
      <c r="R1635" s="6">
        <v>88</v>
      </c>
      <c r="S1635" s="6">
        <v>99</v>
      </c>
      <c r="T1635" s="6">
        <v>82</v>
      </c>
      <c r="U1635" s="6">
        <v>89</v>
      </c>
      <c r="V1635" s="6">
        <v>89</v>
      </c>
      <c r="W1635" s="6">
        <v>75</v>
      </c>
      <c r="X1635" s="6">
        <v>89</v>
      </c>
      <c r="Y1635" s="6">
        <v>83</v>
      </c>
      <c r="Z1635" s="6">
        <v>88</v>
      </c>
      <c r="AA1635" s="6">
        <v>77</v>
      </c>
      <c r="AB1635" s="6">
        <v>80</v>
      </c>
      <c r="AC1635" s="6">
        <v>75</v>
      </c>
      <c r="AD1635" s="6">
        <v>83</v>
      </c>
      <c r="AE1635" s="6">
        <v>77</v>
      </c>
      <c r="AF1635" s="6">
        <v>79</v>
      </c>
      <c r="AG1635" s="6" t="s">
        <v>8279</v>
      </c>
      <c r="AH1635" s="6" t="s">
        <v>6936</v>
      </c>
    </row>
    <row r="1636" spans="1:34" x14ac:dyDescent="0.2">
      <c r="A1636" t="s">
        <v>4561</v>
      </c>
      <c r="B1636" t="s">
        <v>2824</v>
      </c>
      <c r="C1636" t="s">
        <v>53</v>
      </c>
      <c r="D1636" s="7" t="s">
        <v>135</v>
      </c>
      <c r="E1636" t="s">
        <v>58</v>
      </c>
      <c r="F1636">
        <v>30</v>
      </c>
      <c r="G1636">
        <v>72</v>
      </c>
      <c r="H1636">
        <v>69</v>
      </c>
      <c r="I1636" t="s">
        <v>6320</v>
      </c>
      <c r="J1636">
        <v>72</v>
      </c>
      <c r="K1636">
        <v>232</v>
      </c>
      <c r="L1636" t="s">
        <v>6255</v>
      </c>
      <c r="M1636" s="6" t="s">
        <v>6558</v>
      </c>
      <c r="N1636" s="6" t="s">
        <v>6559</v>
      </c>
      <c r="O1636" s="6">
        <v>94</v>
      </c>
      <c r="P1636" s="6">
        <v>86</v>
      </c>
      <c r="Q1636" s="6">
        <v>73</v>
      </c>
      <c r="R1636" s="6">
        <v>82</v>
      </c>
      <c r="S1636" s="6">
        <v>84</v>
      </c>
      <c r="T1636" s="6">
        <v>75</v>
      </c>
      <c r="U1636" s="6">
        <v>80</v>
      </c>
      <c r="V1636" s="6">
        <v>81</v>
      </c>
      <c r="W1636" s="6">
        <v>79</v>
      </c>
      <c r="X1636" s="6">
        <v>73</v>
      </c>
      <c r="Y1636" s="6">
        <v>86</v>
      </c>
      <c r="Z1636" s="6">
        <v>71</v>
      </c>
      <c r="AA1636" s="6">
        <v>73</v>
      </c>
      <c r="AB1636" s="6">
        <v>74</v>
      </c>
      <c r="AC1636" s="6">
        <v>73</v>
      </c>
      <c r="AD1636" s="6">
        <v>76</v>
      </c>
      <c r="AE1636" s="6">
        <v>75</v>
      </c>
      <c r="AF1636" s="6">
        <v>71</v>
      </c>
      <c r="AG1636" s="6" t="s">
        <v>8281</v>
      </c>
      <c r="AH1636" s="6" t="s">
        <v>7149</v>
      </c>
    </row>
    <row r="1637" spans="1:34" x14ac:dyDescent="0.2">
      <c r="A1637" t="s">
        <v>4563</v>
      </c>
      <c r="B1637" t="s">
        <v>2826</v>
      </c>
      <c r="C1637" t="s">
        <v>2870</v>
      </c>
      <c r="D1637" s="7" t="s">
        <v>135</v>
      </c>
      <c r="E1637" t="s">
        <v>38</v>
      </c>
      <c r="F1637">
        <v>25</v>
      </c>
      <c r="G1637">
        <v>86</v>
      </c>
      <c r="H1637">
        <v>69</v>
      </c>
      <c r="I1637" t="s">
        <v>6430</v>
      </c>
      <c r="J1637">
        <v>72</v>
      </c>
      <c r="K1637">
        <v>201</v>
      </c>
      <c r="L1637" t="s">
        <v>6257</v>
      </c>
      <c r="M1637" s="6" t="s">
        <v>6558</v>
      </c>
      <c r="N1637" s="6" t="s">
        <v>6565</v>
      </c>
      <c r="O1637" s="6">
        <v>79</v>
      </c>
      <c r="P1637" s="6">
        <v>80</v>
      </c>
      <c r="Q1637" s="6">
        <v>77</v>
      </c>
      <c r="R1637" s="6">
        <v>71</v>
      </c>
      <c r="S1637" s="6">
        <v>84</v>
      </c>
      <c r="T1637" s="6">
        <v>70</v>
      </c>
      <c r="U1637" s="6">
        <v>83</v>
      </c>
      <c r="V1637" s="6">
        <v>81</v>
      </c>
      <c r="W1637" s="6">
        <v>61</v>
      </c>
      <c r="X1637" s="6">
        <v>71</v>
      </c>
      <c r="Y1637" s="6">
        <v>72</v>
      </c>
      <c r="Z1637" s="6">
        <v>65</v>
      </c>
      <c r="AA1637" s="6">
        <v>77</v>
      </c>
      <c r="AB1637" s="6">
        <v>77</v>
      </c>
      <c r="AC1637" s="6">
        <v>78</v>
      </c>
      <c r="AD1637" s="6">
        <v>86</v>
      </c>
      <c r="AE1637" s="6">
        <v>71</v>
      </c>
      <c r="AF1637" s="6">
        <v>78</v>
      </c>
      <c r="AG1637" s="6" t="s">
        <v>8283</v>
      </c>
      <c r="AH1637" s="6" t="s">
        <v>6994</v>
      </c>
    </row>
    <row r="1638" spans="1:34" x14ac:dyDescent="0.2">
      <c r="A1638" t="s">
        <v>4565</v>
      </c>
      <c r="B1638" t="s">
        <v>2828</v>
      </c>
      <c r="C1638" t="s">
        <v>2870</v>
      </c>
      <c r="D1638" s="7" t="s">
        <v>135</v>
      </c>
      <c r="E1638" t="s">
        <v>38</v>
      </c>
      <c r="F1638">
        <v>25</v>
      </c>
      <c r="G1638">
        <v>68</v>
      </c>
      <c r="H1638">
        <v>69</v>
      </c>
      <c r="I1638" t="s">
        <v>6370</v>
      </c>
      <c r="J1638">
        <v>71</v>
      </c>
      <c r="K1638">
        <v>207</v>
      </c>
      <c r="L1638" t="s">
        <v>6259</v>
      </c>
      <c r="M1638" s="6" t="s">
        <v>6558</v>
      </c>
      <c r="N1638" s="6" t="s">
        <v>6565</v>
      </c>
      <c r="O1638" s="6">
        <v>70</v>
      </c>
      <c r="P1638" s="6">
        <v>69</v>
      </c>
      <c r="Q1638" s="6">
        <v>66</v>
      </c>
      <c r="R1638" s="6">
        <v>72</v>
      </c>
      <c r="S1638" s="6">
        <v>58</v>
      </c>
      <c r="T1638" s="6">
        <v>69</v>
      </c>
      <c r="U1638" s="6">
        <v>77</v>
      </c>
      <c r="V1638" s="6">
        <v>81</v>
      </c>
      <c r="W1638" s="6">
        <v>64</v>
      </c>
      <c r="X1638" s="6">
        <v>69</v>
      </c>
      <c r="Y1638" s="6">
        <v>79</v>
      </c>
      <c r="Z1638" s="6">
        <v>77</v>
      </c>
      <c r="AA1638" s="6">
        <v>71</v>
      </c>
      <c r="AB1638" s="6">
        <v>76</v>
      </c>
      <c r="AC1638" s="6">
        <v>75</v>
      </c>
      <c r="AD1638" s="6">
        <v>76</v>
      </c>
      <c r="AE1638" s="6">
        <v>68</v>
      </c>
      <c r="AF1638" s="6">
        <v>80</v>
      </c>
      <c r="AG1638" s="6" t="s">
        <v>8285</v>
      </c>
      <c r="AH1638" s="6" t="s">
        <v>6654</v>
      </c>
    </row>
    <row r="1639" spans="1:34" x14ac:dyDescent="0.2">
      <c r="A1639" t="s">
        <v>4567</v>
      </c>
      <c r="B1639" t="s">
        <v>2830</v>
      </c>
      <c r="C1639" t="s">
        <v>2870</v>
      </c>
      <c r="D1639" s="7" t="s">
        <v>135</v>
      </c>
      <c r="E1639" t="s">
        <v>58</v>
      </c>
      <c r="F1639">
        <v>27</v>
      </c>
      <c r="G1639">
        <v>65</v>
      </c>
      <c r="H1639">
        <v>69</v>
      </c>
      <c r="I1639" t="s">
        <v>6408</v>
      </c>
      <c r="J1639">
        <v>69</v>
      </c>
      <c r="K1639">
        <v>225</v>
      </c>
      <c r="L1639" t="s">
        <v>6261</v>
      </c>
      <c r="M1639" s="6" t="s">
        <v>6558</v>
      </c>
      <c r="N1639" s="6" t="s">
        <v>6565</v>
      </c>
      <c r="O1639" s="6">
        <v>76</v>
      </c>
      <c r="P1639" s="6">
        <v>69</v>
      </c>
      <c r="Q1639" s="6">
        <v>77</v>
      </c>
      <c r="R1639" s="6">
        <v>72</v>
      </c>
      <c r="S1639" s="6">
        <v>77</v>
      </c>
      <c r="T1639" s="6">
        <v>66</v>
      </c>
      <c r="U1639" s="6">
        <v>77</v>
      </c>
      <c r="V1639" s="6">
        <v>72</v>
      </c>
      <c r="W1639" s="6">
        <v>87</v>
      </c>
      <c r="X1639" s="6">
        <v>80</v>
      </c>
      <c r="Y1639" s="6">
        <v>73</v>
      </c>
      <c r="Z1639" s="6">
        <v>67</v>
      </c>
      <c r="AA1639" s="6">
        <v>74</v>
      </c>
      <c r="AB1639" s="6">
        <v>78</v>
      </c>
      <c r="AC1639" s="6">
        <v>73</v>
      </c>
      <c r="AD1639" s="6">
        <v>71</v>
      </c>
      <c r="AE1639" s="6">
        <v>76</v>
      </c>
      <c r="AF1639" s="6">
        <v>77</v>
      </c>
      <c r="AG1639" s="6" t="s">
        <v>8287</v>
      </c>
      <c r="AH1639" s="6" t="s">
        <v>6656</v>
      </c>
    </row>
    <row r="1640" spans="1:34" x14ac:dyDescent="0.2">
      <c r="A1640" t="s">
        <v>4569</v>
      </c>
      <c r="B1640" t="s">
        <v>2832</v>
      </c>
      <c r="C1640" t="s">
        <v>57</v>
      </c>
      <c r="D1640" s="7" t="s">
        <v>135</v>
      </c>
      <c r="E1640" t="s">
        <v>38</v>
      </c>
      <c r="F1640">
        <v>21</v>
      </c>
      <c r="G1640">
        <v>76</v>
      </c>
      <c r="H1640">
        <v>69</v>
      </c>
      <c r="I1640" t="s">
        <v>6329</v>
      </c>
      <c r="J1640">
        <v>75</v>
      </c>
      <c r="K1640">
        <v>221</v>
      </c>
      <c r="L1640" t="s">
        <v>6263</v>
      </c>
      <c r="M1640" s="6" t="s">
        <v>6558</v>
      </c>
      <c r="N1640" s="6" t="s">
        <v>6614</v>
      </c>
      <c r="O1640" s="6">
        <v>62</v>
      </c>
      <c r="P1640" s="6">
        <v>71</v>
      </c>
      <c r="Q1640" s="6">
        <v>72</v>
      </c>
      <c r="R1640" s="6">
        <v>61</v>
      </c>
      <c r="S1640" s="6">
        <v>69</v>
      </c>
      <c r="T1640" s="6">
        <v>68</v>
      </c>
      <c r="U1640" s="6">
        <v>77</v>
      </c>
      <c r="V1640" s="6">
        <v>63</v>
      </c>
      <c r="W1640" s="6">
        <v>70</v>
      </c>
      <c r="X1640" s="6">
        <v>73</v>
      </c>
      <c r="Y1640" s="6">
        <v>68</v>
      </c>
      <c r="Z1640" s="6">
        <v>66</v>
      </c>
      <c r="AA1640" s="6">
        <v>69</v>
      </c>
      <c r="AB1640" s="6">
        <v>75</v>
      </c>
      <c r="AC1640" s="6">
        <v>74</v>
      </c>
      <c r="AD1640" s="6">
        <v>67</v>
      </c>
      <c r="AE1640" s="6">
        <v>71</v>
      </c>
      <c r="AF1640" s="6">
        <v>68</v>
      </c>
      <c r="AG1640" s="6" t="s">
        <v>8289</v>
      </c>
      <c r="AH1640" s="6" t="s">
        <v>6578</v>
      </c>
    </row>
    <row r="1641" spans="1:34" x14ac:dyDescent="0.2">
      <c r="A1641" t="s">
        <v>4571</v>
      </c>
      <c r="B1641" t="s">
        <v>2834</v>
      </c>
      <c r="C1641" t="s">
        <v>57</v>
      </c>
      <c r="D1641" s="7" t="s">
        <v>135</v>
      </c>
      <c r="E1641" t="s">
        <v>58</v>
      </c>
      <c r="F1641">
        <v>31</v>
      </c>
      <c r="G1641">
        <v>74</v>
      </c>
      <c r="H1641">
        <v>69</v>
      </c>
      <c r="I1641" t="s">
        <v>6383</v>
      </c>
      <c r="J1641">
        <v>69</v>
      </c>
      <c r="K1641">
        <v>225</v>
      </c>
      <c r="L1641" t="s">
        <v>6265</v>
      </c>
      <c r="M1641" s="6" t="s">
        <v>6558</v>
      </c>
      <c r="N1641" s="6" t="s">
        <v>6565</v>
      </c>
      <c r="O1641" s="6">
        <v>82</v>
      </c>
      <c r="P1641" s="6">
        <v>68</v>
      </c>
      <c r="Q1641" s="6">
        <v>74</v>
      </c>
      <c r="R1641" s="6">
        <v>73</v>
      </c>
      <c r="S1641" s="6">
        <v>77</v>
      </c>
      <c r="T1641" s="6">
        <v>71</v>
      </c>
      <c r="U1641" s="6">
        <v>64</v>
      </c>
      <c r="V1641" s="6">
        <v>77</v>
      </c>
      <c r="W1641" s="6">
        <v>70</v>
      </c>
      <c r="X1641" s="6">
        <v>73</v>
      </c>
      <c r="Y1641" s="6">
        <v>83</v>
      </c>
      <c r="Z1641" s="6">
        <v>78</v>
      </c>
      <c r="AA1641" s="6">
        <v>71</v>
      </c>
      <c r="AB1641" s="6">
        <v>66</v>
      </c>
      <c r="AC1641" s="6">
        <v>62</v>
      </c>
      <c r="AD1641" s="6">
        <v>75</v>
      </c>
      <c r="AE1641" s="6">
        <v>66</v>
      </c>
      <c r="AF1641" s="6">
        <v>68</v>
      </c>
      <c r="AG1641" s="6" t="s">
        <v>8291</v>
      </c>
      <c r="AH1641" s="6" t="s">
        <v>6730</v>
      </c>
    </row>
    <row r="1642" spans="1:34" x14ac:dyDescent="0.2">
      <c r="A1642" t="s">
        <v>4573</v>
      </c>
      <c r="B1642" t="s">
        <v>2836</v>
      </c>
      <c r="C1642" t="s">
        <v>57</v>
      </c>
      <c r="D1642" s="7" t="s">
        <v>135</v>
      </c>
      <c r="E1642" t="s">
        <v>38</v>
      </c>
      <c r="F1642">
        <v>23</v>
      </c>
      <c r="G1642">
        <v>69</v>
      </c>
      <c r="H1642">
        <v>69</v>
      </c>
      <c r="I1642" t="s">
        <v>6380</v>
      </c>
      <c r="J1642">
        <v>72</v>
      </c>
      <c r="K1642">
        <v>185</v>
      </c>
      <c r="L1642" t="s">
        <v>6267</v>
      </c>
      <c r="M1642" s="6" t="s">
        <v>6646</v>
      </c>
      <c r="N1642" s="6" t="s">
        <v>6567</v>
      </c>
      <c r="O1642" s="6">
        <v>81</v>
      </c>
      <c r="P1642" s="6">
        <v>72</v>
      </c>
      <c r="Q1642" s="6">
        <v>62</v>
      </c>
      <c r="R1642" s="6">
        <v>63</v>
      </c>
      <c r="S1642" s="6">
        <v>59</v>
      </c>
      <c r="T1642" s="6">
        <v>72</v>
      </c>
      <c r="U1642" s="6">
        <v>55</v>
      </c>
      <c r="V1642" s="6">
        <v>71</v>
      </c>
      <c r="W1642" s="6">
        <v>69</v>
      </c>
      <c r="X1642" s="6">
        <v>65</v>
      </c>
      <c r="Y1642" s="6">
        <v>72</v>
      </c>
      <c r="Z1642" s="6">
        <v>57</v>
      </c>
      <c r="AA1642" s="6">
        <v>70</v>
      </c>
      <c r="AB1642" s="6">
        <v>69</v>
      </c>
      <c r="AC1642" s="6">
        <v>70</v>
      </c>
      <c r="AD1642" s="6">
        <v>66</v>
      </c>
      <c r="AE1642" s="6">
        <v>67</v>
      </c>
      <c r="AF1642" s="6">
        <v>70</v>
      </c>
      <c r="AG1642" s="6" t="s">
        <v>8293</v>
      </c>
      <c r="AH1642" s="6" t="s">
        <v>6574</v>
      </c>
    </row>
    <row r="1643" spans="1:34" x14ac:dyDescent="0.2">
      <c r="A1643" t="s">
        <v>4575</v>
      </c>
      <c r="B1643" t="s">
        <v>2838</v>
      </c>
      <c r="C1643" t="s">
        <v>2871</v>
      </c>
      <c r="D1643" s="7" t="s">
        <v>135</v>
      </c>
      <c r="E1643" t="s">
        <v>38</v>
      </c>
      <c r="F1643">
        <v>28</v>
      </c>
      <c r="G1643">
        <v>80</v>
      </c>
      <c r="H1643">
        <v>69</v>
      </c>
      <c r="I1643" t="s">
        <v>6466</v>
      </c>
      <c r="J1643">
        <v>75</v>
      </c>
      <c r="K1643">
        <v>251</v>
      </c>
      <c r="L1643" t="s">
        <v>6269</v>
      </c>
      <c r="M1643" s="6" t="s">
        <v>6558</v>
      </c>
      <c r="N1643" s="6" t="s">
        <v>6567</v>
      </c>
      <c r="O1643" s="6">
        <v>74</v>
      </c>
      <c r="P1643" s="6">
        <v>78</v>
      </c>
      <c r="Q1643" s="6">
        <v>73</v>
      </c>
      <c r="R1643" s="6">
        <v>66</v>
      </c>
      <c r="S1643" s="6">
        <v>66</v>
      </c>
      <c r="T1643" s="6">
        <v>80</v>
      </c>
      <c r="U1643" s="6">
        <v>75</v>
      </c>
      <c r="V1643" s="6">
        <v>81</v>
      </c>
      <c r="W1643" s="6">
        <v>82</v>
      </c>
      <c r="X1643" s="6">
        <v>79</v>
      </c>
      <c r="Y1643" s="6">
        <v>86</v>
      </c>
      <c r="Z1643" s="6">
        <v>77</v>
      </c>
      <c r="AA1643" s="6">
        <v>74</v>
      </c>
      <c r="AB1643" s="6">
        <v>74</v>
      </c>
      <c r="AC1643" s="6">
        <v>74</v>
      </c>
      <c r="AD1643" s="6">
        <v>69</v>
      </c>
      <c r="AE1643" s="6">
        <v>76</v>
      </c>
      <c r="AF1643" s="6">
        <v>74</v>
      </c>
      <c r="AG1643" s="6" t="s">
        <v>8295</v>
      </c>
      <c r="AH1643" s="6" t="s">
        <v>6587</v>
      </c>
    </row>
    <row r="1644" spans="1:34" x14ac:dyDescent="0.2">
      <c r="A1644" t="s">
        <v>4577</v>
      </c>
      <c r="B1644" t="s">
        <v>2840</v>
      </c>
      <c r="C1644" t="s">
        <v>2871</v>
      </c>
      <c r="D1644" s="7" t="s">
        <v>135</v>
      </c>
      <c r="E1644" t="s">
        <v>58</v>
      </c>
      <c r="F1644">
        <v>21</v>
      </c>
      <c r="G1644">
        <v>64</v>
      </c>
      <c r="H1644">
        <v>69</v>
      </c>
      <c r="I1644" t="s">
        <v>6368</v>
      </c>
      <c r="J1644">
        <v>74</v>
      </c>
      <c r="K1644">
        <v>259</v>
      </c>
      <c r="L1644" t="s">
        <v>6271</v>
      </c>
      <c r="M1644" s="6" t="s">
        <v>6558</v>
      </c>
      <c r="N1644" s="6" t="s">
        <v>6614</v>
      </c>
      <c r="O1644" s="6">
        <v>72</v>
      </c>
      <c r="P1644" s="6">
        <v>61</v>
      </c>
      <c r="Q1644" s="6">
        <v>63</v>
      </c>
      <c r="R1644" s="6">
        <v>56</v>
      </c>
      <c r="S1644" s="6">
        <v>66</v>
      </c>
      <c r="T1644" s="6">
        <v>77</v>
      </c>
      <c r="U1644" s="6">
        <v>76</v>
      </c>
      <c r="V1644" s="6">
        <v>74</v>
      </c>
      <c r="W1644" s="6">
        <v>72</v>
      </c>
      <c r="X1644" s="6">
        <v>67</v>
      </c>
      <c r="Y1644" s="6">
        <v>71</v>
      </c>
      <c r="Z1644" s="6">
        <v>71</v>
      </c>
      <c r="AA1644" s="6">
        <v>66</v>
      </c>
      <c r="AB1644" s="6">
        <v>65</v>
      </c>
      <c r="AC1644" s="6">
        <v>65</v>
      </c>
      <c r="AD1644" s="6">
        <v>72</v>
      </c>
      <c r="AE1644" s="6">
        <v>65</v>
      </c>
      <c r="AF1644" s="6">
        <v>68</v>
      </c>
      <c r="AG1644" s="6" t="s">
        <v>8297</v>
      </c>
      <c r="AH1644" s="6" t="s">
        <v>6838</v>
      </c>
    </row>
    <row r="1645" spans="1:34" x14ac:dyDescent="0.2">
      <c r="A1645" t="s">
        <v>4579</v>
      </c>
      <c r="B1645" t="s">
        <v>2842</v>
      </c>
      <c r="C1645" t="s">
        <v>2872</v>
      </c>
      <c r="D1645" s="7" t="s">
        <v>135</v>
      </c>
      <c r="E1645" t="s">
        <v>38</v>
      </c>
      <c r="F1645">
        <v>23</v>
      </c>
      <c r="G1645">
        <v>77</v>
      </c>
      <c r="H1645">
        <v>69</v>
      </c>
      <c r="I1645" t="s">
        <v>6310</v>
      </c>
      <c r="J1645">
        <v>77</v>
      </c>
      <c r="K1645">
        <v>303</v>
      </c>
      <c r="L1645" t="s">
        <v>6273</v>
      </c>
      <c r="M1645" s="6" t="s">
        <v>6558</v>
      </c>
      <c r="N1645" s="6" t="s">
        <v>6567</v>
      </c>
      <c r="O1645" s="6">
        <v>63</v>
      </c>
      <c r="P1645" s="6">
        <v>64</v>
      </c>
      <c r="Q1645" s="6">
        <v>72</v>
      </c>
      <c r="R1645" s="6">
        <v>69</v>
      </c>
      <c r="S1645" s="6">
        <v>61</v>
      </c>
      <c r="T1645" s="6">
        <v>69</v>
      </c>
      <c r="U1645" s="6">
        <v>75</v>
      </c>
      <c r="V1645" s="6">
        <v>68</v>
      </c>
      <c r="W1645" s="6">
        <v>77</v>
      </c>
      <c r="X1645" s="6">
        <v>69</v>
      </c>
      <c r="Y1645" s="6">
        <v>61</v>
      </c>
      <c r="Z1645" s="6">
        <v>72</v>
      </c>
      <c r="AA1645" s="6">
        <v>70</v>
      </c>
      <c r="AB1645" s="6">
        <v>67</v>
      </c>
      <c r="AC1645" s="6">
        <v>72</v>
      </c>
      <c r="AD1645" s="6">
        <v>68</v>
      </c>
      <c r="AE1645" s="6">
        <v>70</v>
      </c>
      <c r="AF1645" s="6">
        <v>76</v>
      </c>
      <c r="AG1645" s="6" t="s">
        <v>8299</v>
      </c>
      <c r="AH1645" s="6" t="s">
        <v>6680</v>
      </c>
    </row>
    <row r="1646" spans="1:34" x14ac:dyDescent="0.2">
      <c r="A1646" t="s">
        <v>4581</v>
      </c>
      <c r="B1646" t="s">
        <v>2844</v>
      </c>
      <c r="C1646" t="s">
        <v>2872</v>
      </c>
      <c r="D1646" s="7" t="s">
        <v>135</v>
      </c>
      <c r="E1646" t="s">
        <v>58</v>
      </c>
      <c r="F1646">
        <v>26</v>
      </c>
      <c r="G1646">
        <v>75</v>
      </c>
      <c r="H1646">
        <v>69</v>
      </c>
      <c r="I1646" t="s">
        <v>6388</v>
      </c>
      <c r="J1646">
        <v>78</v>
      </c>
      <c r="K1646">
        <v>323</v>
      </c>
      <c r="L1646" t="s">
        <v>6275</v>
      </c>
      <c r="M1646" s="6" t="s">
        <v>6558</v>
      </c>
      <c r="N1646" s="6" t="s">
        <v>6567</v>
      </c>
      <c r="O1646" s="6">
        <v>64</v>
      </c>
      <c r="P1646" s="6">
        <v>70</v>
      </c>
      <c r="Q1646" s="6">
        <v>71</v>
      </c>
      <c r="R1646" s="6">
        <v>69</v>
      </c>
      <c r="S1646" s="6">
        <v>79</v>
      </c>
      <c r="T1646" s="6">
        <v>69</v>
      </c>
      <c r="U1646" s="6">
        <v>75</v>
      </c>
      <c r="V1646" s="6">
        <v>65</v>
      </c>
      <c r="W1646" s="6">
        <v>63</v>
      </c>
      <c r="X1646" s="6">
        <v>73</v>
      </c>
      <c r="Y1646" s="6">
        <v>65</v>
      </c>
      <c r="Z1646" s="6">
        <v>74</v>
      </c>
      <c r="AA1646" s="6">
        <v>66</v>
      </c>
      <c r="AB1646" s="6">
        <v>71</v>
      </c>
      <c r="AC1646" s="6">
        <v>67</v>
      </c>
      <c r="AD1646" s="6">
        <v>71</v>
      </c>
      <c r="AE1646" s="6">
        <v>66</v>
      </c>
      <c r="AF1646" s="6">
        <v>74</v>
      </c>
      <c r="AG1646" s="6" t="s">
        <v>8300</v>
      </c>
      <c r="AH1646" s="6" t="s">
        <v>6593</v>
      </c>
    </row>
    <row r="1647" spans="1:34" x14ac:dyDescent="0.2">
      <c r="A1647" t="s">
        <v>4583</v>
      </c>
      <c r="B1647" t="s">
        <v>2846</v>
      </c>
      <c r="C1647" t="s">
        <v>2874</v>
      </c>
      <c r="D1647" s="7" t="s">
        <v>135</v>
      </c>
      <c r="E1647" t="s">
        <v>38</v>
      </c>
      <c r="F1647">
        <v>27</v>
      </c>
      <c r="G1647">
        <v>79</v>
      </c>
      <c r="H1647">
        <v>69</v>
      </c>
      <c r="I1647" t="s">
        <v>6377</v>
      </c>
      <c r="J1647">
        <v>73</v>
      </c>
      <c r="K1647">
        <v>304</v>
      </c>
      <c r="L1647" t="s">
        <v>6277</v>
      </c>
      <c r="M1647" s="6" t="s">
        <v>6558</v>
      </c>
      <c r="N1647" s="6" t="s">
        <v>6565</v>
      </c>
      <c r="O1647" s="6">
        <v>69</v>
      </c>
      <c r="P1647" s="6">
        <v>69</v>
      </c>
      <c r="Q1647" s="6">
        <v>72</v>
      </c>
      <c r="R1647" s="6">
        <v>73</v>
      </c>
      <c r="S1647" s="6">
        <v>73</v>
      </c>
      <c r="T1647" s="6">
        <v>69</v>
      </c>
      <c r="U1647" s="6">
        <v>62</v>
      </c>
      <c r="V1647" s="6">
        <v>74</v>
      </c>
      <c r="W1647" s="6">
        <v>75</v>
      </c>
      <c r="X1647" s="6">
        <v>76</v>
      </c>
      <c r="Y1647" s="6">
        <v>75</v>
      </c>
      <c r="Z1647" s="6">
        <v>75</v>
      </c>
      <c r="AA1647" s="6">
        <v>69</v>
      </c>
      <c r="AB1647" s="6">
        <v>65</v>
      </c>
      <c r="AC1647" s="6">
        <v>76</v>
      </c>
      <c r="AD1647" s="6">
        <v>67</v>
      </c>
      <c r="AE1647" s="6">
        <v>68</v>
      </c>
      <c r="AF1647" s="6">
        <v>74</v>
      </c>
      <c r="AG1647" s="6" t="s">
        <v>8302</v>
      </c>
      <c r="AH1647" s="6" t="s">
        <v>6674</v>
      </c>
    </row>
    <row r="1648" spans="1:34" x14ac:dyDescent="0.2">
      <c r="A1648" t="s">
        <v>4585</v>
      </c>
      <c r="B1648" t="s">
        <v>2848</v>
      </c>
      <c r="C1648" t="s">
        <v>2876</v>
      </c>
      <c r="D1648" s="7" t="s">
        <v>135</v>
      </c>
      <c r="E1648" t="s">
        <v>38</v>
      </c>
      <c r="F1648">
        <v>27</v>
      </c>
      <c r="G1648">
        <v>58</v>
      </c>
      <c r="H1648">
        <v>69</v>
      </c>
      <c r="I1648" t="s">
        <v>6408</v>
      </c>
      <c r="J1648">
        <v>75</v>
      </c>
      <c r="K1648">
        <v>316</v>
      </c>
      <c r="L1648" t="s">
        <v>6279</v>
      </c>
      <c r="M1648" s="6" t="s">
        <v>6558</v>
      </c>
      <c r="N1648" s="6" t="s">
        <v>6567</v>
      </c>
      <c r="O1648" s="6">
        <v>77</v>
      </c>
      <c r="P1648" s="6">
        <v>75</v>
      </c>
      <c r="Q1648" s="6">
        <v>70</v>
      </c>
      <c r="R1648" s="6">
        <v>66</v>
      </c>
      <c r="S1648" s="6">
        <v>81</v>
      </c>
      <c r="T1648" s="6">
        <v>71</v>
      </c>
      <c r="U1648" s="6">
        <v>73</v>
      </c>
      <c r="V1648" s="6">
        <v>70</v>
      </c>
      <c r="W1648" s="6">
        <v>72</v>
      </c>
      <c r="X1648" s="6">
        <v>67</v>
      </c>
      <c r="Y1648" s="6">
        <v>74</v>
      </c>
      <c r="Z1648" s="6">
        <v>77</v>
      </c>
      <c r="AA1648" s="6">
        <v>71</v>
      </c>
      <c r="AB1648" s="6">
        <v>76</v>
      </c>
      <c r="AC1648" s="6">
        <v>67</v>
      </c>
      <c r="AD1648" s="6">
        <v>81</v>
      </c>
      <c r="AE1648" s="6">
        <v>71</v>
      </c>
      <c r="AF1648" s="6">
        <v>71</v>
      </c>
      <c r="AG1648" s="6" t="s">
        <v>8304</v>
      </c>
      <c r="AH1648" s="6" t="s">
        <v>6598</v>
      </c>
    </row>
    <row r="1649" spans="1:34" x14ac:dyDescent="0.2">
      <c r="A1649" t="s">
        <v>4587</v>
      </c>
      <c r="B1649" t="s">
        <v>2850</v>
      </c>
      <c r="C1649" t="s">
        <v>2877</v>
      </c>
      <c r="D1649" s="7" t="s">
        <v>135</v>
      </c>
      <c r="E1649" t="s">
        <v>58</v>
      </c>
      <c r="F1649">
        <v>32</v>
      </c>
      <c r="G1649">
        <v>73</v>
      </c>
      <c r="H1649">
        <v>69</v>
      </c>
      <c r="I1649" t="s">
        <v>6337</v>
      </c>
      <c r="J1649">
        <v>76</v>
      </c>
      <c r="K1649">
        <v>319</v>
      </c>
      <c r="L1649" t="s">
        <v>6281</v>
      </c>
      <c r="M1649" s="6" t="s">
        <v>6558</v>
      </c>
      <c r="N1649" s="6" t="s">
        <v>6565</v>
      </c>
      <c r="O1649" s="6">
        <v>84</v>
      </c>
      <c r="P1649" s="6">
        <v>82</v>
      </c>
      <c r="Q1649" s="6">
        <v>76</v>
      </c>
      <c r="R1649" s="6">
        <v>74</v>
      </c>
      <c r="S1649" s="6">
        <v>80</v>
      </c>
      <c r="T1649" s="6">
        <v>75</v>
      </c>
      <c r="U1649" s="6">
        <v>80</v>
      </c>
      <c r="V1649" s="6">
        <v>74</v>
      </c>
      <c r="W1649" s="6">
        <v>85</v>
      </c>
      <c r="X1649" s="6">
        <v>78</v>
      </c>
      <c r="Y1649" s="6">
        <v>74</v>
      </c>
      <c r="Z1649" s="6">
        <v>82</v>
      </c>
      <c r="AA1649" s="6">
        <v>76</v>
      </c>
      <c r="AB1649" s="6">
        <v>72</v>
      </c>
      <c r="AC1649" s="6">
        <v>65</v>
      </c>
      <c r="AD1649" s="6">
        <v>70</v>
      </c>
      <c r="AE1649" s="6">
        <v>67</v>
      </c>
      <c r="AF1649" s="6">
        <v>76</v>
      </c>
      <c r="AG1649" s="6" t="s">
        <v>8306</v>
      </c>
      <c r="AH1649" s="6" t="s">
        <v>6596</v>
      </c>
    </row>
    <row r="1650" spans="1:34" x14ac:dyDescent="0.2">
      <c r="A1650" t="s">
        <v>4589</v>
      </c>
      <c r="B1650" t="s">
        <v>2852</v>
      </c>
      <c r="C1650" t="s">
        <v>2878</v>
      </c>
      <c r="D1650" s="7" t="s">
        <v>135</v>
      </c>
      <c r="E1650" t="s">
        <v>38</v>
      </c>
      <c r="F1650">
        <v>24</v>
      </c>
      <c r="G1650">
        <v>86</v>
      </c>
      <c r="H1650">
        <v>69</v>
      </c>
      <c r="I1650" t="s">
        <v>8328</v>
      </c>
      <c r="J1650">
        <v>77</v>
      </c>
      <c r="K1650">
        <v>268</v>
      </c>
      <c r="L1650" t="s">
        <v>6283</v>
      </c>
      <c r="M1650" s="6" t="s">
        <v>6558</v>
      </c>
      <c r="N1650" s="6" t="s">
        <v>6567</v>
      </c>
      <c r="O1650" s="6">
        <v>74</v>
      </c>
      <c r="P1650" s="6">
        <v>73</v>
      </c>
      <c r="Q1650" s="6">
        <v>79</v>
      </c>
      <c r="R1650" s="6">
        <v>68</v>
      </c>
      <c r="S1650" s="6">
        <v>80</v>
      </c>
      <c r="T1650" s="6">
        <v>74</v>
      </c>
      <c r="U1650" s="6">
        <v>79</v>
      </c>
      <c r="V1650" s="6">
        <v>66</v>
      </c>
      <c r="W1650" s="6">
        <v>76</v>
      </c>
      <c r="X1650" s="6">
        <v>72</v>
      </c>
      <c r="Y1650" s="6">
        <v>68</v>
      </c>
      <c r="Z1650" s="6">
        <v>76</v>
      </c>
      <c r="AA1650" s="6">
        <v>73</v>
      </c>
      <c r="AB1650" s="6">
        <v>77</v>
      </c>
      <c r="AC1650" s="6">
        <v>71</v>
      </c>
      <c r="AD1650" s="6">
        <v>72</v>
      </c>
      <c r="AE1650" s="6">
        <v>76</v>
      </c>
      <c r="AF1650" s="6">
        <v>75</v>
      </c>
      <c r="AG1650" s="6" t="s">
        <v>8308</v>
      </c>
      <c r="AH1650" s="6" t="s">
        <v>6797</v>
      </c>
    </row>
    <row r="1651" spans="1:34" x14ac:dyDescent="0.2">
      <c r="A1651" t="s">
        <v>4591</v>
      </c>
      <c r="B1651" t="s">
        <v>2854</v>
      </c>
      <c r="C1651" t="s">
        <v>2878</v>
      </c>
      <c r="D1651" s="7" t="s">
        <v>135</v>
      </c>
      <c r="E1651" t="s">
        <v>58</v>
      </c>
      <c r="F1651">
        <v>27</v>
      </c>
      <c r="G1651">
        <v>68</v>
      </c>
      <c r="H1651">
        <v>69</v>
      </c>
      <c r="I1651" t="s">
        <v>6364</v>
      </c>
      <c r="J1651">
        <v>79</v>
      </c>
      <c r="K1651">
        <v>269</v>
      </c>
      <c r="L1651" t="s">
        <v>6285</v>
      </c>
      <c r="M1651" s="6" t="s">
        <v>6558</v>
      </c>
      <c r="N1651" s="6" t="s">
        <v>6567</v>
      </c>
      <c r="O1651" s="6">
        <v>72</v>
      </c>
      <c r="P1651" s="6">
        <v>67</v>
      </c>
      <c r="Q1651" s="6">
        <v>63</v>
      </c>
      <c r="R1651" s="6">
        <v>66</v>
      </c>
      <c r="S1651" s="6">
        <v>79</v>
      </c>
      <c r="T1651" s="6">
        <v>68</v>
      </c>
      <c r="U1651" s="6">
        <v>82</v>
      </c>
      <c r="V1651" s="6">
        <v>79</v>
      </c>
      <c r="W1651" s="6">
        <v>62</v>
      </c>
      <c r="X1651" s="6">
        <v>72</v>
      </c>
      <c r="Y1651" s="6">
        <v>70</v>
      </c>
      <c r="Z1651" s="6">
        <v>64</v>
      </c>
      <c r="AA1651" s="6">
        <v>70</v>
      </c>
      <c r="AB1651" s="6">
        <v>70</v>
      </c>
      <c r="AC1651" s="6">
        <v>72</v>
      </c>
      <c r="AD1651" s="6">
        <v>68</v>
      </c>
      <c r="AE1651" s="6">
        <v>67</v>
      </c>
      <c r="AF1651" s="6">
        <v>67</v>
      </c>
      <c r="AG1651" s="6" t="s">
        <v>8310</v>
      </c>
      <c r="AH1651" s="6" t="s">
        <v>6686</v>
      </c>
    </row>
    <row r="1652" spans="1:34" x14ac:dyDescent="0.2">
      <c r="A1652" t="s">
        <v>4593</v>
      </c>
      <c r="B1652" t="s">
        <v>2856</v>
      </c>
      <c r="C1652" t="s">
        <v>2880</v>
      </c>
      <c r="D1652" s="7" t="s">
        <v>135</v>
      </c>
      <c r="E1652" t="s">
        <v>58</v>
      </c>
      <c r="F1652">
        <v>32</v>
      </c>
      <c r="G1652">
        <v>81</v>
      </c>
      <c r="H1652">
        <v>69</v>
      </c>
      <c r="I1652" t="s">
        <v>6347</v>
      </c>
      <c r="J1652">
        <v>74</v>
      </c>
      <c r="K1652">
        <v>254</v>
      </c>
      <c r="L1652" t="s">
        <v>6287</v>
      </c>
      <c r="M1652" s="6" t="s">
        <v>6558</v>
      </c>
      <c r="N1652" s="6" t="s">
        <v>6567</v>
      </c>
      <c r="O1652" s="6">
        <v>80</v>
      </c>
      <c r="P1652" s="6">
        <v>74</v>
      </c>
      <c r="Q1652" s="6">
        <v>85</v>
      </c>
      <c r="R1652" s="6">
        <v>69</v>
      </c>
      <c r="S1652" s="6">
        <v>80</v>
      </c>
      <c r="T1652" s="6">
        <v>78</v>
      </c>
      <c r="U1652" s="6">
        <v>86</v>
      </c>
      <c r="V1652" s="6">
        <v>84</v>
      </c>
      <c r="W1652" s="6">
        <v>87</v>
      </c>
      <c r="X1652" s="6">
        <v>82</v>
      </c>
      <c r="Y1652" s="6">
        <v>82</v>
      </c>
      <c r="Z1652" s="6">
        <v>75</v>
      </c>
      <c r="AA1652" s="6">
        <v>73</v>
      </c>
      <c r="AB1652" s="6">
        <v>74</v>
      </c>
      <c r="AC1652" s="6">
        <v>66</v>
      </c>
      <c r="AD1652" s="6">
        <v>71</v>
      </c>
      <c r="AE1652" s="6">
        <v>59</v>
      </c>
      <c r="AF1652" s="6">
        <v>75</v>
      </c>
      <c r="AG1652" s="6" t="s">
        <v>8312</v>
      </c>
      <c r="AH1652" s="6" t="s">
        <v>6623</v>
      </c>
    </row>
    <row r="1653" spans="1:34" x14ac:dyDescent="0.2">
      <c r="A1653" t="s">
        <v>4595</v>
      </c>
      <c r="B1653" t="s">
        <v>2858</v>
      </c>
      <c r="C1653" t="s">
        <v>2881</v>
      </c>
      <c r="D1653" s="7" t="s">
        <v>135</v>
      </c>
      <c r="E1653" t="s">
        <v>38</v>
      </c>
      <c r="F1653">
        <v>26</v>
      </c>
      <c r="G1653">
        <v>85</v>
      </c>
      <c r="H1653">
        <v>69</v>
      </c>
      <c r="I1653" t="s">
        <v>6419</v>
      </c>
      <c r="J1653">
        <v>72</v>
      </c>
      <c r="K1653">
        <v>254</v>
      </c>
      <c r="L1653" t="s">
        <v>6289</v>
      </c>
      <c r="M1653" s="6" t="s">
        <v>6558</v>
      </c>
      <c r="N1653" s="6" t="s">
        <v>6559</v>
      </c>
      <c r="O1653" s="6">
        <v>81</v>
      </c>
      <c r="P1653" s="6">
        <v>78</v>
      </c>
      <c r="Q1653" s="6">
        <v>85</v>
      </c>
      <c r="R1653" s="6">
        <v>83</v>
      </c>
      <c r="S1653" s="6">
        <v>84</v>
      </c>
      <c r="T1653" s="6">
        <v>75</v>
      </c>
      <c r="U1653" s="6">
        <v>83</v>
      </c>
      <c r="V1653" s="6">
        <v>82</v>
      </c>
      <c r="W1653" s="6">
        <v>80</v>
      </c>
      <c r="X1653" s="6">
        <v>74</v>
      </c>
      <c r="Y1653" s="6">
        <v>82</v>
      </c>
      <c r="Z1653" s="6">
        <v>72</v>
      </c>
      <c r="AA1653" s="6">
        <v>76</v>
      </c>
      <c r="AB1653" s="6">
        <v>77</v>
      </c>
      <c r="AC1653" s="6">
        <v>75</v>
      </c>
      <c r="AD1653" s="6">
        <v>72</v>
      </c>
      <c r="AE1653" s="6">
        <v>82</v>
      </c>
      <c r="AF1653" s="6">
        <v>75</v>
      </c>
      <c r="AG1653" s="6" t="s">
        <v>8314</v>
      </c>
      <c r="AH1653" s="6" t="s">
        <v>6628</v>
      </c>
    </row>
    <row r="1654" spans="1:34" x14ac:dyDescent="0.2">
      <c r="A1654" t="s">
        <v>4597</v>
      </c>
      <c r="B1654" t="s">
        <v>2860</v>
      </c>
      <c r="C1654" t="s">
        <v>61</v>
      </c>
      <c r="D1654" s="7" t="s">
        <v>135</v>
      </c>
      <c r="E1654" t="s">
        <v>38</v>
      </c>
      <c r="F1654">
        <v>26</v>
      </c>
      <c r="G1654">
        <v>73</v>
      </c>
      <c r="H1654">
        <v>69</v>
      </c>
      <c r="I1654" t="s">
        <v>6392</v>
      </c>
      <c r="J1654">
        <v>69</v>
      </c>
      <c r="K1654">
        <v>210</v>
      </c>
      <c r="L1654" t="s">
        <v>6291</v>
      </c>
      <c r="M1654" s="6" t="s">
        <v>6558</v>
      </c>
      <c r="N1654" s="6" t="s">
        <v>6565</v>
      </c>
      <c r="O1654" s="6">
        <v>78</v>
      </c>
      <c r="P1654" s="6">
        <v>69</v>
      </c>
      <c r="Q1654" s="6">
        <v>74</v>
      </c>
      <c r="R1654" s="6">
        <v>72</v>
      </c>
      <c r="S1654" s="6">
        <v>76</v>
      </c>
      <c r="T1654" s="6">
        <v>77</v>
      </c>
      <c r="U1654" s="6">
        <v>61</v>
      </c>
      <c r="V1654" s="6">
        <v>74</v>
      </c>
      <c r="W1654" s="6">
        <v>73</v>
      </c>
      <c r="X1654" s="6">
        <v>80</v>
      </c>
      <c r="Y1654" s="6">
        <v>88</v>
      </c>
      <c r="Z1654" s="6">
        <v>81</v>
      </c>
      <c r="AA1654" s="6">
        <v>72</v>
      </c>
      <c r="AB1654" s="6">
        <v>72</v>
      </c>
      <c r="AC1654" s="6">
        <v>73</v>
      </c>
      <c r="AD1654" s="6">
        <v>75</v>
      </c>
      <c r="AE1654" s="6">
        <v>71</v>
      </c>
      <c r="AF1654" s="6">
        <v>75</v>
      </c>
      <c r="AG1654" s="6" t="s">
        <v>8316</v>
      </c>
      <c r="AH1654" s="6" t="s">
        <v>6630</v>
      </c>
    </row>
    <row r="1655" spans="1:34" x14ac:dyDescent="0.2">
      <c r="A1655" t="s">
        <v>4599</v>
      </c>
      <c r="B1655" t="s">
        <v>2862</v>
      </c>
      <c r="C1655" t="s">
        <v>2882</v>
      </c>
      <c r="D1655" s="7" t="s">
        <v>135</v>
      </c>
      <c r="E1655" t="s">
        <v>38</v>
      </c>
      <c r="F1655">
        <v>24</v>
      </c>
      <c r="G1655">
        <v>78</v>
      </c>
      <c r="H1655">
        <v>69</v>
      </c>
      <c r="I1655" t="s">
        <v>62</v>
      </c>
      <c r="J1655">
        <v>73</v>
      </c>
      <c r="K1655">
        <v>194</v>
      </c>
      <c r="L1655" t="s">
        <v>6293</v>
      </c>
      <c r="M1655" s="6" t="s">
        <v>6558</v>
      </c>
      <c r="N1655" s="6" t="s">
        <v>6583</v>
      </c>
      <c r="O1655" s="6">
        <v>81</v>
      </c>
      <c r="P1655" s="6">
        <v>60</v>
      </c>
      <c r="Q1655" s="6">
        <v>67</v>
      </c>
      <c r="R1655" s="6">
        <v>76</v>
      </c>
      <c r="S1655" s="6">
        <v>77</v>
      </c>
      <c r="T1655" s="6">
        <v>77</v>
      </c>
      <c r="U1655" s="6">
        <v>76</v>
      </c>
      <c r="V1655" s="6">
        <v>76</v>
      </c>
      <c r="W1655" s="6">
        <v>66</v>
      </c>
      <c r="X1655" s="6">
        <v>83</v>
      </c>
      <c r="Y1655" s="6">
        <v>73</v>
      </c>
      <c r="Z1655" s="6">
        <v>73</v>
      </c>
      <c r="AA1655" s="6">
        <v>68</v>
      </c>
      <c r="AB1655" s="6">
        <v>77</v>
      </c>
      <c r="AC1655" s="6">
        <v>62</v>
      </c>
      <c r="AD1655" s="6">
        <v>69</v>
      </c>
      <c r="AE1655" s="6">
        <v>72</v>
      </c>
      <c r="AF1655" s="6">
        <v>73</v>
      </c>
      <c r="AG1655" s="6" t="s">
        <v>8318</v>
      </c>
      <c r="AH1655" s="6" t="s">
        <v>6636</v>
      </c>
    </row>
    <row r="1656" spans="1:34" x14ac:dyDescent="0.2">
      <c r="A1656" t="s">
        <v>4601</v>
      </c>
      <c r="B1656" t="s">
        <v>2864</v>
      </c>
      <c r="C1656" t="s">
        <v>2888</v>
      </c>
      <c r="D1656" s="7" t="s">
        <v>135</v>
      </c>
      <c r="E1656" t="s">
        <v>58</v>
      </c>
      <c r="F1656">
        <v>30</v>
      </c>
      <c r="G1656">
        <v>74</v>
      </c>
      <c r="H1656">
        <v>69</v>
      </c>
      <c r="I1656" t="s">
        <v>6359</v>
      </c>
      <c r="J1656">
        <v>70</v>
      </c>
      <c r="K1656">
        <v>189</v>
      </c>
      <c r="L1656" t="s">
        <v>6295</v>
      </c>
      <c r="M1656" s="6" t="s">
        <v>6558</v>
      </c>
      <c r="N1656" s="6" t="s">
        <v>6562</v>
      </c>
      <c r="O1656" s="6">
        <v>83</v>
      </c>
      <c r="P1656" s="6">
        <v>74</v>
      </c>
      <c r="Q1656" s="6">
        <v>85</v>
      </c>
      <c r="R1656" s="6">
        <v>85</v>
      </c>
      <c r="S1656" s="6">
        <v>80</v>
      </c>
      <c r="T1656" s="6">
        <v>79</v>
      </c>
      <c r="U1656" s="6">
        <v>81</v>
      </c>
      <c r="V1656" s="6">
        <v>79</v>
      </c>
      <c r="W1656" s="6">
        <v>79</v>
      </c>
      <c r="X1656" s="6">
        <v>77</v>
      </c>
      <c r="Y1656" s="6">
        <v>76</v>
      </c>
      <c r="Z1656" s="6">
        <v>81</v>
      </c>
      <c r="AA1656" s="6">
        <v>76</v>
      </c>
      <c r="AB1656" s="6">
        <v>73</v>
      </c>
      <c r="AC1656" s="6">
        <v>73</v>
      </c>
      <c r="AD1656" s="6">
        <v>74</v>
      </c>
      <c r="AE1656" s="6">
        <v>73</v>
      </c>
      <c r="AF1656" s="6">
        <v>69</v>
      </c>
      <c r="AG1656" s="6" t="s">
        <v>8320</v>
      </c>
      <c r="AH1656" s="6" t="s">
        <v>6707</v>
      </c>
    </row>
    <row r="1657" spans="1:34" x14ac:dyDescent="0.2">
      <c r="A1657" t="s">
        <v>4603</v>
      </c>
      <c r="B1657" t="s">
        <v>2866</v>
      </c>
      <c r="C1657" t="s">
        <v>2889</v>
      </c>
      <c r="D1657" s="7" t="s">
        <v>135</v>
      </c>
      <c r="E1657" t="s">
        <v>38</v>
      </c>
      <c r="F1657">
        <v>29</v>
      </c>
      <c r="G1657">
        <v>65</v>
      </c>
      <c r="H1657">
        <v>69</v>
      </c>
      <c r="I1657" t="s">
        <v>6367</v>
      </c>
      <c r="J1657">
        <v>76</v>
      </c>
      <c r="K1657">
        <v>244</v>
      </c>
      <c r="L1657" t="s">
        <v>6297</v>
      </c>
      <c r="M1657" s="6" t="s">
        <v>6558</v>
      </c>
      <c r="N1657" s="6" t="s">
        <v>6583</v>
      </c>
      <c r="O1657" s="6">
        <v>90</v>
      </c>
      <c r="P1657" s="6">
        <v>76</v>
      </c>
      <c r="Q1657" s="6">
        <v>67</v>
      </c>
      <c r="R1657" s="6">
        <v>81</v>
      </c>
      <c r="S1657" s="6">
        <v>68</v>
      </c>
      <c r="T1657" s="6">
        <v>67</v>
      </c>
      <c r="U1657" s="6">
        <v>76</v>
      </c>
      <c r="V1657" s="6">
        <v>72</v>
      </c>
      <c r="W1657" s="6">
        <v>79</v>
      </c>
      <c r="X1657" s="6">
        <v>64</v>
      </c>
      <c r="Y1657" s="6">
        <v>78</v>
      </c>
      <c r="Z1657" s="6">
        <v>68</v>
      </c>
      <c r="AA1657" s="6">
        <v>63</v>
      </c>
      <c r="AB1657" s="6">
        <v>61</v>
      </c>
      <c r="AC1657" s="6">
        <v>71</v>
      </c>
      <c r="AD1657" s="6">
        <v>74</v>
      </c>
      <c r="AE1657" s="6">
        <v>64</v>
      </c>
      <c r="AF1657" s="6">
        <v>60</v>
      </c>
      <c r="AG1657" s="6" t="s">
        <v>8322</v>
      </c>
      <c r="AH1657" s="6" t="s">
        <v>6709</v>
      </c>
    </row>
    <row r="1658" spans="1:34" x14ac:dyDescent="0.2">
      <c r="A1658" t="s">
        <v>4605</v>
      </c>
      <c r="B1658" t="s">
        <v>2868</v>
      </c>
      <c r="C1658" t="s">
        <v>2885</v>
      </c>
      <c r="D1658" s="7" t="s">
        <v>135</v>
      </c>
      <c r="E1658" t="s">
        <v>38</v>
      </c>
      <c r="F1658">
        <v>24</v>
      </c>
      <c r="G1658">
        <v>69</v>
      </c>
      <c r="H1658">
        <v>69</v>
      </c>
      <c r="I1658" t="s">
        <v>6318</v>
      </c>
      <c r="J1658">
        <v>73</v>
      </c>
      <c r="K1658">
        <v>242</v>
      </c>
      <c r="L1658" t="s">
        <v>6299</v>
      </c>
      <c r="M1658" s="6" t="s">
        <v>6558</v>
      </c>
      <c r="N1658" s="6" t="s">
        <v>6567</v>
      </c>
      <c r="O1658" s="6">
        <v>75</v>
      </c>
      <c r="P1658" s="6">
        <v>71</v>
      </c>
      <c r="Q1658" s="6">
        <v>70</v>
      </c>
      <c r="R1658" s="6">
        <v>67</v>
      </c>
      <c r="S1658" s="6">
        <v>83</v>
      </c>
      <c r="T1658" s="6">
        <v>59</v>
      </c>
      <c r="U1658" s="6">
        <v>67</v>
      </c>
      <c r="V1658" s="6">
        <v>64</v>
      </c>
      <c r="W1658" s="6">
        <v>78</v>
      </c>
      <c r="X1658" s="6">
        <v>63</v>
      </c>
      <c r="Y1658" s="6">
        <v>75</v>
      </c>
      <c r="Z1658" s="6">
        <v>72</v>
      </c>
      <c r="AA1658" s="6">
        <v>62</v>
      </c>
      <c r="AB1658" s="6">
        <v>71</v>
      </c>
      <c r="AC1658" s="6">
        <v>70</v>
      </c>
      <c r="AD1658" s="6">
        <v>68</v>
      </c>
      <c r="AE1658" s="6">
        <v>69</v>
      </c>
      <c r="AF1658" s="6">
        <v>69</v>
      </c>
      <c r="AG1658" s="6" t="s">
        <v>8324</v>
      </c>
      <c r="AH1658" s="6" t="s">
        <v>6628</v>
      </c>
    </row>
    <row r="1659" spans="1:34" x14ac:dyDescent="0.2">
      <c r="A1659" t="s">
        <v>2976</v>
      </c>
      <c r="B1659" t="s">
        <v>1240</v>
      </c>
      <c r="C1659" t="s">
        <v>57</v>
      </c>
      <c r="D1659" s="7" t="s">
        <v>146</v>
      </c>
      <c r="E1659" t="s">
        <v>58</v>
      </c>
      <c r="F1659">
        <v>29</v>
      </c>
      <c r="G1659">
        <v>65</v>
      </c>
      <c r="H1659">
        <v>68</v>
      </c>
      <c r="I1659" t="s">
        <v>6314</v>
      </c>
      <c r="J1659">
        <v>72</v>
      </c>
      <c r="K1659">
        <v>205</v>
      </c>
      <c r="L1659" t="s">
        <v>4670</v>
      </c>
      <c r="M1659" s="6" t="s">
        <v>6558</v>
      </c>
      <c r="N1659" s="6" t="s">
        <v>6567</v>
      </c>
      <c r="O1659" s="6">
        <v>79</v>
      </c>
      <c r="P1659" s="6">
        <v>69</v>
      </c>
      <c r="Q1659" s="6">
        <v>78</v>
      </c>
      <c r="R1659" s="6">
        <v>69</v>
      </c>
      <c r="S1659" s="6">
        <v>75</v>
      </c>
      <c r="T1659" s="6">
        <v>72</v>
      </c>
      <c r="U1659" s="6">
        <v>68</v>
      </c>
      <c r="V1659" s="6">
        <v>70</v>
      </c>
      <c r="W1659" s="6">
        <v>76</v>
      </c>
      <c r="X1659" s="6">
        <v>64</v>
      </c>
      <c r="Y1659" s="6">
        <v>75</v>
      </c>
      <c r="Z1659" s="6">
        <v>76</v>
      </c>
      <c r="AA1659" s="6">
        <v>68</v>
      </c>
      <c r="AB1659" s="6">
        <v>71</v>
      </c>
      <c r="AC1659" s="6">
        <v>60</v>
      </c>
      <c r="AD1659" s="6">
        <v>75</v>
      </c>
      <c r="AE1659" s="6">
        <v>67</v>
      </c>
      <c r="AF1659" s="6">
        <v>63</v>
      </c>
      <c r="AG1659" s="6" t="s">
        <v>6668</v>
      </c>
      <c r="AH1659" s="6" t="s">
        <v>6574</v>
      </c>
    </row>
    <row r="1660" spans="1:34" x14ac:dyDescent="0.2">
      <c r="A1660" t="s">
        <v>2977</v>
      </c>
      <c r="B1660" t="s">
        <v>1241</v>
      </c>
      <c r="C1660" t="s">
        <v>57</v>
      </c>
      <c r="D1660" s="7" t="s">
        <v>146</v>
      </c>
      <c r="E1660" t="s">
        <v>38</v>
      </c>
      <c r="F1660">
        <v>21</v>
      </c>
      <c r="G1660">
        <v>63</v>
      </c>
      <c r="H1660">
        <v>68</v>
      </c>
      <c r="I1660" t="s">
        <v>6315</v>
      </c>
      <c r="J1660">
        <v>69</v>
      </c>
      <c r="K1660">
        <v>200</v>
      </c>
      <c r="L1660" t="s">
        <v>4671</v>
      </c>
      <c r="M1660" s="6" t="s">
        <v>6558</v>
      </c>
      <c r="N1660" s="6" t="s">
        <v>6614</v>
      </c>
      <c r="O1660" s="6">
        <v>72</v>
      </c>
      <c r="P1660" s="6">
        <v>72</v>
      </c>
      <c r="Q1660" s="6">
        <v>66</v>
      </c>
      <c r="R1660" s="6">
        <v>58</v>
      </c>
      <c r="S1660" s="6">
        <v>67</v>
      </c>
      <c r="T1660" s="6">
        <v>59</v>
      </c>
      <c r="U1660" s="6">
        <v>58</v>
      </c>
      <c r="V1660" s="6">
        <v>72</v>
      </c>
      <c r="W1660" s="6">
        <v>66</v>
      </c>
      <c r="X1660" s="6">
        <v>60</v>
      </c>
      <c r="Y1660" s="6">
        <v>73</v>
      </c>
      <c r="Z1660" s="6">
        <v>67</v>
      </c>
      <c r="AA1660" s="6">
        <v>68</v>
      </c>
      <c r="AB1660" s="6">
        <v>61</v>
      </c>
      <c r="AC1660" s="6">
        <v>54</v>
      </c>
      <c r="AD1660" s="6">
        <v>66</v>
      </c>
      <c r="AE1660" s="6">
        <v>68</v>
      </c>
      <c r="AF1660" s="6">
        <v>79</v>
      </c>
      <c r="AG1660" s="6" t="s">
        <v>6669</v>
      </c>
      <c r="AH1660" s="6" t="s">
        <v>6670</v>
      </c>
    </row>
    <row r="1661" spans="1:34" x14ac:dyDescent="0.2">
      <c r="A1661" t="s">
        <v>2995</v>
      </c>
      <c r="B1661" t="s">
        <v>1259</v>
      </c>
      <c r="C1661" t="s">
        <v>61</v>
      </c>
      <c r="D1661" s="7" t="s">
        <v>146</v>
      </c>
      <c r="E1661" t="s">
        <v>38</v>
      </c>
      <c r="F1661">
        <v>30</v>
      </c>
      <c r="G1661">
        <v>76</v>
      </c>
      <c r="H1661">
        <v>68</v>
      </c>
      <c r="I1661" t="s">
        <v>6332</v>
      </c>
      <c r="J1661">
        <v>72</v>
      </c>
      <c r="K1661">
        <v>199</v>
      </c>
      <c r="L1661" t="s">
        <v>4689</v>
      </c>
      <c r="M1661" s="6" t="s">
        <v>6558</v>
      </c>
      <c r="N1661" s="6" t="s">
        <v>6567</v>
      </c>
      <c r="O1661" s="6">
        <v>75</v>
      </c>
      <c r="P1661" s="6">
        <v>79</v>
      </c>
      <c r="Q1661" s="6">
        <v>78</v>
      </c>
      <c r="R1661" s="6">
        <v>65</v>
      </c>
      <c r="S1661" s="6">
        <v>72</v>
      </c>
      <c r="T1661" s="6">
        <v>76</v>
      </c>
      <c r="U1661" s="6">
        <v>73</v>
      </c>
      <c r="V1661" s="6">
        <v>76</v>
      </c>
      <c r="W1661" s="6">
        <v>68</v>
      </c>
      <c r="X1661" s="6">
        <v>74</v>
      </c>
      <c r="Y1661" s="6">
        <v>85</v>
      </c>
      <c r="Z1661" s="6">
        <v>67</v>
      </c>
      <c r="AA1661" s="6">
        <v>71</v>
      </c>
      <c r="AB1661" s="6">
        <v>78</v>
      </c>
      <c r="AC1661" s="6">
        <v>68</v>
      </c>
      <c r="AD1661" s="6">
        <v>79</v>
      </c>
      <c r="AE1661" s="6">
        <v>74</v>
      </c>
      <c r="AF1661" s="6">
        <v>73</v>
      </c>
      <c r="AG1661" s="6" t="s">
        <v>6695</v>
      </c>
      <c r="AH1661" s="6" t="s">
        <v>6696</v>
      </c>
    </row>
    <row r="1662" spans="1:34" x14ac:dyDescent="0.2">
      <c r="A1662" t="s">
        <v>3051</v>
      </c>
      <c r="B1662" t="s">
        <v>1315</v>
      </c>
      <c r="C1662" t="s">
        <v>2885</v>
      </c>
      <c r="D1662" s="7" t="s">
        <v>131</v>
      </c>
      <c r="E1662" t="s">
        <v>38</v>
      </c>
      <c r="F1662">
        <v>24</v>
      </c>
      <c r="G1662">
        <v>75</v>
      </c>
      <c r="H1662">
        <v>68</v>
      </c>
      <c r="I1662" t="s">
        <v>6338</v>
      </c>
      <c r="J1662">
        <v>74</v>
      </c>
      <c r="K1662">
        <v>245</v>
      </c>
      <c r="L1662" t="s">
        <v>4745</v>
      </c>
      <c r="M1662" s="6" t="s">
        <v>6558</v>
      </c>
      <c r="N1662" s="6" t="s">
        <v>6583</v>
      </c>
      <c r="O1662" s="6">
        <v>68</v>
      </c>
      <c r="P1662" s="6">
        <v>71</v>
      </c>
      <c r="Q1662" s="6">
        <v>69</v>
      </c>
      <c r="R1662" s="6">
        <v>77</v>
      </c>
      <c r="S1662" s="6">
        <v>69</v>
      </c>
      <c r="T1662" s="6">
        <v>72</v>
      </c>
      <c r="U1662" s="6">
        <v>61</v>
      </c>
      <c r="V1662" s="6">
        <v>68</v>
      </c>
      <c r="W1662" s="6">
        <v>67</v>
      </c>
      <c r="X1662" s="6">
        <v>65</v>
      </c>
      <c r="Y1662" s="6">
        <v>72</v>
      </c>
      <c r="Z1662" s="6">
        <v>73</v>
      </c>
      <c r="AA1662" s="6">
        <v>66</v>
      </c>
      <c r="AB1662" s="6">
        <v>65</v>
      </c>
      <c r="AC1662" s="6">
        <v>69</v>
      </c>
      <c r="AD1662" s="6">
        <v>67</v>
      </c>
      <c r="AE1662" s="6">
        <v>76</v>
      </c>
      <c r="AF1662" s="6">
        <v>69</v>
      </c>
      <c r="AG1662" s="6" t="s">
        <v>6765</v>
      </c>
      <c r="AH1662" s="6" t="s">
        <v>6628</v>
      </c>
    </row>
    <row r="1663" spans="1:34" x14ac:dyDescent="0.2">
      <c r="A1663" t="s">
        <v>3060</v>
      </c>
      <c r="B1663" t="s">
        <v>1324</v>
      </c>
      <c r="C1663" t="s">
        <v>2870</v>
      </c>
      <c r="D1663" s="7" t="s">
        <v>130</v>
      </c>
      <c r="E1663" t="s">
        <v>38</v>
      </c>
      <c r="F1663">
        <v>28</v>
      </c>
      <c r="G1663">
        <v>71</v>
      </c>
      <c r="H1663">
        <v>68</v>
      </c>
      <c r="I1663" t="s">
        <v>6347</v>
      </c>
      <c r="J1663">
        <v>71</v>
      </c>
      <c r="K1663">
        <v>223</v>
      </c>
      <c r="L1663" t="s">
        <v>4754</v>
      </c>
      <c r="M1663" s="6" t="s">
        <v>6558</v>
      </c>
      <c r="N1663" s="6" t="s">
        <v>6567</v>
      </c>
      <c r="O1663" s="6">
        <v>75</v>
      </c>
      <c r="P1663" s="6">
        <v>74</v>
      </c>
      <c r="Q1663" s="6">
        <v>69</v>
      </c>
      <c r="R1663" s="6">
        <v>65</v>
      </c>
      <c r="S1663" s="6">
        <v>80</v>
      </c>
      <c r="T1663" s="6">
        <v>67</v>
      </c>
      <c r="U1663" s="6">
        <v>54</v>
      </c>
      <c r="V1663" s="6">
        <v>73</v>
      </c>
      <c r="W1663" s="6">
        <v>72</v>
      </c>
      <c r="X1663" s="6">
        <v>80</v>
      </c>
      <c r="Y1663" s="6">
        <v>75</v>
      </c>
      <c r="Z1663" s="6">
        <v>72</v>
      </c>
      <c r="AA1663" s="6">
        <v>69</v>
      </c>
      <c r="AB1663" s="6">
        <v>78</v>
      </c>
      <c r="AC1663" s="6">
        <v>74</v>
      </c>
      <c r="AD1663" s="6">
        <v>73</v>
      </c>
      <c r="AE1663" s="6">
        <v>67</v>
      </c>
      <c r="AF1663" s="6">
        <v>67</v>
      </c>
      <c r="AG1663" s="6" t="s">
        <v>6775</v>
      </c>
      <c r="AH1663" s="6" t="s">
        <v>6656</v>
      </c>
    </row>
    <row r="1664" spans="1:34" x14ac:dyDescent="0.2">
      <c r="A1664" t="s">
        <v>3294</v>
      </c>
      <c r="B1664" t="s">
        <v>1558</v>
      </c>
      <c r="C1664" t="s">
        <v>61</v>
      </c>
      <c r="D1664" s="7" t="s">
        <v>136</v>
      </c>
      <c r="E1664" t="s">
        <v>38</v>
      </c>
      <c r="F1664">
        <v>22</v>
      </c>
      <c r="G1664">
        <v>70</v>
      </c>
      <c r="H1664">
        <v>68</v>
      </c>
      <c r="I1664" t="s">
        <v>6482</v>
      </c>
      <c r="J1664">
        <v>68</v>
      </c>
      <c r="K1664">
        <v>195</v>
      </c>
      <c r="L1664" t="s">
        <v>4988</v>
      </c>
      <c r="M1664" s="6" t="s">
        <v>6558</v>
      </c>
      <c r="N1664" s="6" t="s">
        <v>6567</v>
      </c>
      <c r="O1664" s="6">
        <v>82</v>
      </c>
      <c r="P1664" s="6">
        <v>65</v>
      </c>
      <c r="Q1664" s="6">
        <v>61</v>
      </c>
      <c r="R1664" s="6">
        <v>65</v>
      </c>
      <c r="S1664" s="6">
        <v>74</v>
      </c>
      <c r="T1664" s="6">
        <v>59</v>
      </c>
      <c r="U1664" s="6">
        <v>70</v>
      </c>
      <c r="V1664" s="6">
        <v>60</v>
      </c>
      <c r="W1664" s="6">
        <v>72</v>
      </c>
      <c r="X1664" s="6">
        <v>71</v>
      </c>
      <c r="Y1664" s="6">
        <v>69</v>
      </c>
      <c r="Z1664" s="6">
        <v>61</v>
      </c>
      <c r="AA1664" s="6">
        <v>68</v>
      </c>
      <c r="AB1664" s="6">
        <v>77</v>
      </c>
      <c r="AC1664" s="6">
        <v>64</v>
      </c>
      <c r="AD1664" s="6">
        <v>73</v>
      </c>
      <c r="AE1664" s="6">
        <v>70</v>
      </c>
      <c r="AF1664" s="6">
        <v>74</v>
      </c>
      <c r="AG1664" s="6" t="s">
        <v>7025</v>
      </c>
      <c r="AH1664" s="6" t="s">
        <v>6630</v>
      </c>
    </row>
    <row r="1665" spans="1:34" x14ac:dyDescent="0.2">
      <c r="A1665" t="s">
        <v>3354</v>
      </c>
      <c r="B1665" t="s">
        <v>1618</v>
      </c>
      <c r="C1665" t="s">
        <v>2884</v>
      </c>
      <c r="D1665" s="7" t="s">
        <v>137</v>
      </c>
      <c r="E1665" t="s">
        <v>38</v>
      </c>
      <c r="F1665">
        <v>29</v>
      </c>
      <c r="G1665">
        <v>66</v>
      </c>
      <c r="H1665">
        <v>68</v>
      </c>
      <c r="I1665" t="s">
        <v>6362</v>
      </c>
      <c r="J1665">
        <v>72</v>
      </c>
      <c r="K1665">
        <v>198</v>
      </c>
      <c r="L1665" t="s">
        <v>5048</v>
      </c>
      <c r="M1665" s="6" t="s">
        <v>6558</v>
      </c>
      <c r="N1665" s="6" t="s">
        <v>6567</v>
      </c>
      <c r="O1665" s="6">
        <v>77</v>
      </c>
      <c r="P1665" s="6">
        <v>73</v>
      </c>
      <c r="Q1665" s="6">
        <v>77</v>
      </c>
      <c r="R1665" s="6">
        <v>66</v>
      </c>
      <c r="S1665" s="6">
        <v>79</v>
      </c>
      <c r="T1665" s="6">
        <v>73</v>
      </c>
      <c r="U1665" s="6">
        <v>67</v>
      </c>
      <c r="V1665" s="6">
        <v>74</v>
      </c>
      <c r="W1665" s="6">
        <v>79</v>
      </c>
      <c r="X1665" s="6">
        <v>88</v>
      </c>
      <c r="Y1665" s="6">
        <v>79</v>
      </c>
      <c r="Z1665" s="6">
        <v>66</v>
      </c>
      <c r="AA1665" s="6">
        <v>72</v>
      </c>
      <c r="AB1665" s="6">
        <v>68</v>
      </c>
      <c r="AC1665" s="6">
        <v>67</v>
      </c>
      <c r="AD1665" s="6">
        <v>71</v>
      </c>
      <c r="AE1665" s="6">
        <v>72</v>
      </c>
      <c r="AF1665" s="6">
        <v>73</v>
      </c>
      <c r="AG1665" s="6" t="s">
        <v>7088</v>
      </c>
      <c r="AH1665" s="6" t="s">
        <v>6644</v>
      </c>
    </row>
    <row r="1666" spans="1:34" x14ac:dyDescent="0.2">
      <c r="A1666" t="s">
        <v>3364</v>
      </c>
      <c r="B1666" t="s">
        <v>1628</v>
      </c>
      <c r="C1666" t="s">
        <v>2870</v>
      </c>
      <c r="D1666" s="7" t="s">
        <v>138</v>
      </c>
      <c r="E1666" t="s">
        <v>38</v>
      </c>
      <c r="F1666">
        <v>25</v>
      </c>
      <c r="G1666">
        <v>69</v>
      </c>
      <c r="H1666">
        <v>68</v>
      </c>
      <c r="I1666" t="s">
        <v>6371</v>
      </c>
      <c r="J1666">
        <v>70</v>
      </c>
      <c r="K1666">
        <v>209</v>
      </c>
      <c r="L1666" t="s">
        <v>5058</v>
      </c>
      <c r="M1666" s="6" t="s">
        <v>6558</v>
      </c>
      <c r="N1666" s="6" t="s">
        <v>6614</v>
      </c>
      <c r="O1666" s="6">
        <v>57</v>
      </c>
      <c r="P1666" s="6">
        <v>63</v>
      </c>
      <c r="Q1666" s="6">
        <v>69</v>
      </c>
      <c r="R1666" s="6">
        <v>57</v>
      </c>
      <c r="S1666" s="6">
        <v>75</v>
      </c>
      <c r="T1666" s="6">
        <v>82</v>
      </c>
      <c r="U1666" s="6">
        <v>71</v>
      </c>
      <c r="V1666" s="6">
        <v>74</v>
      </c>
      <c r="W1666" s="6">
        <v>63</v>
      </c>
      <c r="X1666" s="6">
        <v>63</v>
      </c>
      <c r="Y1666" s="6">
        <v>85</v>
      </c>
      <c r="Z1666" s="6">
        <v>68</v>
      </c>
      <c r="AA1666" s="6">
        <v>71</v>
      </c>
      <c r="AB1666" s="6">
        <v>79</v>
      </c>
      <c r="AC1666" s="6">
        <v>66</v>
      </c>
      <c r="AD1666" s="6">
        <v>79</v>
      </c>
      <c r="AE1666" s="6">
        <v>68</v>
      </c>
      <c r="AF1666" s="6">
        <v>68</v>
      </c>
      <c r="AG1666" s="6" t="s">
        <v>7099</v>
      </c>
      <c r="AH1666" s="6" t="s">
        <v>6656</v>
      </c>
    </row>
    <row r="1667" spans="1:34" x14ac:dyDescent="0.2">
      <c r="A1667" t="s">
        <v>3401</v>
      </c>
      <c r="B1667" t="s">
        <v>1665</v>
      </c>
      <c r="C1667" t="s">
        <v>2888</v>
      </c>
      <c r="D1667" s="7" t="s">
        <v>138</v>
      </c>
      <c r="E1667" t="s">
        <v>38</v>
      </c>
      <c r="F1667">
        <v>27</v>
      </c>
      <c r="G1667">
        <v>75</v>
      </c>
      <c r="H1667">
        <v>68</v>
      </c>
      <c r="I1667" t="s">
        <v>6408</v>
      </c>
      <c r="J1667">
        <v>72</v>
      </c>
      <c r="K1667">
        <v>198</v>
      </c>
      <c r="L1667" t="s">
        <v>5095</v>
      </c>
      <c r="M1667" s="6" t="s">
        <v>6558</v>
      </c>
      <c r="N1667" s="6" t="s">
        <v>6567</v>
      </c>
      <c r="O1667" s="6">
        <v>85</v>
      </c>
      <c r="P1667" s="6">
        <v>85</v>
      </c>
      <c r="Q1667" s="6">
        <v>79</v>
      </c>
      <c r="R1667" s="6">
        <v>65</v>
      </c>
      <c r="S1667" s="6">
        <v>80</v>
      </c>
      <c r="T1667" s="6">
        <v>73</v>
      </c>
      <c r="U1667" s="6">
        <v>73</v>
      </c>
      <c r="V1667" s="6">
        <v>84</v>
      </c>
      <c r="W1667" s="6">
        <v>68</v>
      </c>
      <c r="X1667" s="6">
        <v>71</v>
      </c>
      <c r="Y1667" s="6">
        <v>79</v>
      </c>
      <c r="Z1667" s="6">
        <v>72</v>
      </c>
      <c r="AA1667" s="6">
        <v>75</v>
      </c>
      <c r="AB1667" s="6">
        <v>81</v>
      </c>
      <c r="AC1667" s="6">
        <v>77</v>
      </c>
      <c r="AD1667" s="6">
        <v>71</v>
      </c>
      <c r="AE1667" s="6">
        <v>76</v>
      </c>
      <c r="AF1667" s="6">
        <v>82</v>
      </c>
      <c r="AG1667" s="6" t="s">
        <v>7135</v>
      </c>
      <c r="AH1667" s="6" t="s">
        <v>6707</v>
      </c>
    </row>
    <row r="1668" spans="1:34" x14ac:dyDescent="0.2">
      <c r="A1668" t="s">
        <v>3429</v>
      </c>
      <c r="B1668" t="s">
        <v>1693</v>
      </c>
      <c r="C1668" t="s">
        <v>2871</v>
      </c>
      <c r="D1668" s="7" t="s">
        <v>139</v>
      </c>
      <c r="E1668" t="s">
        <v>38</v>
      </c>
      <c r="F1668">
        <v>29</v>
      </c>
      <c r="G1668">
        <v>70</v>
      </c>
      <c r="H1668">
        <v>68</v>
      </c>
      <c r="I1668" t="s">
        <v>6442</v>
      </c>
      <c r="J1668">
        <v>76</v>
      </c>
      <c r="K1668">
        <v>264</v>
      </c>
      <c r="L1668" t="s">
        <v>5123</v>
      </c>
      <c r="M1668" s="6" t="s">
        <v>6558</v>
      </c>
      <c r="N1668" s="6" t="s">
        <v>6565</v>
      </c>
      <c r="O1668" s="6">
        <v>68</v>
      </c>
      <c r="P1668" s="6">
        <v>72</v>
      </c>
      <c r="Q1668" s="6">
        <v>75</v>
      </c>
      <c r="R1668" s="6">
        <v>73</v>
      </c>
      <c r="S1668" s="6">
        <v>74</v>
      </c>
      <c r="T1668" s="6">
        <v>70</v>
      </c>
      <c r="U1668" s="6">
        <v>70</v>
      </c>
      <c r="V1668" s="6">
        <v>74</v>
      </c>
      <c r="W1668" s="6">
        <v>59</v>
      </c>
      <c r="X1668" s="6">
        <v>74</v>
      </c>
      <c r="Y1668" s="6">
        <v>80</v>
      </c>
      <c r="Z1668" s="6">
        <v>74</v>
      </c>
      <c r="AA1668" s="6">
        <v>64</v>
      </c>
      <c r="AB1668" s="6">
        <v>66</v>
      </c>
      <c r="AC1668" s="6">
        <v>59</v>
      </c>
      <c r="AD1668" s="6">
        <v>72</v>
      </c>
      <c r="AE1668" s="6">
        <v>60</v>
      </c>
      <c r="AF1668" s="6">
        <v>65</v>
      </c>
      <c r="AG1668" s="6" t="s">
        <v>7164</v>
      </c>
      <c r="AH1668" s="6" t="s">
        <v>6587</v>
      </c>
    </row>
    <row r="1669" spans="1:34" x14ac:dyDescent="0.2">
      <c r="A1669" t="s">
        <v>3474</v>
      </c>
      <c r="B1669" t="s">
        <v>1738</v>
      </c>
      <c r="C1669" t="s">
        <v>2870</v>
      </c>
      <c r="D1669" s="7" t="s">
        <v>140</v>
      </c>
      <c r="E1669" t="s">
        <v>38</v>
      </c>
      <c r="F1669">
        <v>23</v>
      </c>
      <c r="G1669">
        <v>77</v>
      </c>
      <c r="H1669">
        <v>68</v>
      </c>
      <c r="I1669" t="s">
        <v>6407</v>
      </c>
      <c r="J1669">
        <v>71</v>
      </c>
      <c r="K1669">
        <v>221</v>
      </c>
      <c r="L1669" t="s">
        <v>5168</v>
      </c>
      <c r="M1669" s="6" t="s">
        <v>6558</v>
      </c>
      <c r="N1669" s="6" t="s">
        <v>6565</v>
      </c>
      <c r="O1669" s="6">
        <v>79</v>
      </c>
      <c r="P1669" s="6">
        <v>71</v>
      </c>
      <c r="Q1669" s="6">
        <v>71</v>
      </c>
      <c r="R1669" s="6">
        <v>70</v>
      </c>
      <c r="S1669" s="6">
        <v>77</v>
      </c>
      <c r="T1669" s="6">
        <v>78</v>
      </c>
      <c r="U1669" s="6">
        <v>72</v>
      </c>
      <c r="V1669" s="6">
        <v>71</v>
      </c>
      <c r="W1669" s="6">
        <v>64</v>
      </c>
      <c r="X1669" s="6">
        <v>78</v>
      </c>
      <c r="Y1669" s="6">
        <v>66</v>
      </c>
      <c r="Z1669" s="6">
        <v>68</v>
      </c>
      <c r="AA1669" s="6">
        <v>70</v>
      </c>
      <c r="AB1669" s="6">
        <v>77</v>
      </c>
      <c r="AC1669" s="6">
        <v>73</v>
      </c>
      <c r="AD1669" s="6">
        <v>80</v>
      </c>
      <c r="AE1669" s="6">
        <v>70</v>
      </c>
      <c r="AF1669" s="6">
        <v>71</v>
      </c>
      <c r="AG1669" s="6" t="s">
        <v>7209</v>
      </c>
      <c r="AH1669" s="6" t="s">
        <v>6656</v>
      </c>
    </row>
    <row r="1670" spans="1:34" x14ac:dyDescent="0.2">
      <c r="A1670" t="s">
        <v>3503</v>
      </c>
      <c r="B1670" t="s">
        <v>1767</v>
      </c>
      <c r="C1670" t="s">
        <v>2880</v>
      </c>
      <c r="D1670" s="7" t="s">
        <v>140</v>
      </c>
      <c r="E1670" t="s">
        <v>58</v>
      </c>
      <c r="F1670">
        <v>30</v>
      </c>
      <c r="G1670">
        <v>78</v>
      </c>
      <c r="H1670">
        <v>68</v>
      </c>
      <c r="I1670" t="s">
        <v>6365</v>
      </c>
      <c r="J1670">
        <v>76</v>
      </c>
      <c r="K1670">
        <v>235</v>
      </c>
      <c r="L1670" t="s">
        <v>5197</v>
      </c>
      <c r="M1670" s="6" t="s">
        <v>6558</v>
      </c>
      <c r="N1670" s="6" t="s">
        <v>6565</v>
      </c>
      <c r="O1670" s="6">
        <v>86</v>
      </c>
      <c r="P1670" s="6">
        <v>70</v>
      </c>
      <c r="Q1670" s="6">
        <v>84</v>
      </c>
      <c r="R1670" s="6">
        <v>70</v>
      </c>
      <c r="S1670" s="6">
        <v>72</v>
      </c>
      <c r="T1670" s="6">
        <v>71</v>
      </c>
      <c r="U1670" s="6">
        <v>75</v>
      </c>
      <c r="V1670" s="6">
        <v>78</v>
      </c>
      <c r="W1670" s="6">
        <v>66</v>
      </c>
      <c r="X1670" s="6">
        <v>72</v>
      </c>
      <c r="Y1670" s="6">
        <v>75</v>
      </c>
      <c r="Z1670" s="6">
        <v>75</v>
      </c>
      <c r="AA1670" s="6">
        <v>72</v>
      </c>
      <c r="AB1670" s="6">
        <v>70</v>
      </c>
      <c r="AC1670" s="6">
        <v>75</v>
      </c>
      <c r="AD1670" s="6">
        <v>67</v>
      </c>
      <c r="AE1670" s="6">
        <v>68</v>
      </c>
      <c r="AF1670" s="6">
        <v>73</v>
      </c>
      <c r="AG1670" s="6" t="s">
        <v>7239</v>
      </c>
      <c r="AH1670" s="6" t="s">
        <v>6623</v>
      </c>
    </row>
    <row r="1671" spans="1:34" x14ac:dyDescent="0.2">
      <c r="A1671" t="s">
        <v>3517</v>
      </c>
      <c r="B1671" t="s">
        <v>1781</v>
      </c>
      <c r="C1671" t="s">
        <v>2889</v>
      </c>
      <c r="D1671" s="7" t="s">
        <v>140</v>
      </c>
      <c r="E1671" t="s">
        <v>38</v>
      </c>
      <c r="F1671">
        <v>28</v>
      </c>
      <c r="G1671">
        <v>68</v>
      </c>
      <c r="H1671">
        <v>68</v>
      </c>
      <c r="I1671" t="s">
        <v>6349</v>
      </c>
      <c r="J1671">
        <v>76</v>
      </c>
      <c r="K1671">
        <v>251</v>
      </c>
      <c r="L1671" t="s">
        <v>5211</v>
      </c>
      <c r="M1671" s="6" t="s">
        <v>6558</v>
      </c>
      <c r="N1671" s="6" t="s">
        <v>6565</v>
      </c>
      <c r="O1671" s="6">
        <v>82</v>
      </c>
      <c r="P1671" s="6">
        <v>67</v>
      </c>
      <c r="Q1671" s="6">
        <v>59</v>
      </c>
      <c r="R1671" s="6">
        <v>72</v>
      </c>
      <c r="S1671" s="6">
        <v>68</v>
      </c>
      <c r="T1671" s="6">
        <v>65</v>
      </c>
      <c r="U1671" s="6">
        <v>78</v>
      </c>
      <c r="V1671" s="6">
        <v>77</v>
      </c>
      <c r="W1671" s="6">
        <v>68</v>
      </c>
      <c r="X1671" s="6">
        <v>74</v>
      </c>
      <c r="Y1671" s="6">
        <v>70</v>
      </c>
      <c r="Z1671" s="6">
        <v>80</v>
      </c>
      <c r="AA1671" s="6">
        <v>67</v>
      </c>
      <c r="AB1671" s="6">
        <v>69</v>
      </c>
      <c r="AC1671" s="6">
        <v>61</v>
      </c>
      <c r="AD1671" s="6">
        <v>68</v>
      </c>
      <c r="AE1671" s="6">
        <v>70</v>
      </c>
      <c r="AF1671" s="6">
        <v>74</v>
      </c>
      <c r="AG1671" s="6" t="s">
        <v>7254</v>
      </c>
      <c r="AH1671" s="6" t="s">
        <v>6709</v>
      </c>
    </row>
    <row r="1672" spans="1:34" x14ac:dyDescent="0.2">
      <c r="A1672" t="s">
        <v>3540</v>
      </c>
      <c r="B1672" t="s">
        <v>1804</v>
      </c>
      <c r="C1672" t="s">
        <v>57</v>
      </c>
      <c r="D1672" s="7" t="s">
        <v>141</v>
      </c>
      <c r="E1672" t="s">
        <v>58</v>
      </c>
      <c r="F1672">
        <v>32</v>
      </c>
      <c r="G1672">
        <v>66</v>
      </c>
      <c r="H1672">
        <v>68</v>
      </c>
      <c r="I1672" t="s">
        <v>6312</v>
      </c>
      <c r="J1672">
        <v>72</v>
      </c>
      <c r="K1672">
        <v>189</v>
      </c>
      <c r="L1672" t="s">
        <v>5234</v>
      </c>
      <c r="M1672" s="6" t="s">
        <v>6558</v>
      </c>
      <c r="N1672" s="6" t="s">
        <v>6567</v>
      </c>
      <c r="O1672" s="6">
        <v>72</v>
      </c>
      <c r="P1672" s="6">
        <v>72</v>
      </c>
      <c r="Q1672" s="6">
        <v>79</v>
      </c>
      <c r="R1672" s="6">
        <v>68</v>
      </c>
      <c r="S1672" s="6">
        <v>72</v>
      </c>
      <c r="T1672" s="6">
        <v>79</v>
      </c>
      <c r="U1672" s="6">
        <v>76</v>
      </c>
      <c r="V1672" s="6">
        <v>79</v>
      </c>
      <c r="W1672" s="6">
        <v>84</v>
      </c>
      <c r="X1672" s="6">
        <v>66</v>
      </c>
      <c r="Y1672" s="6">
        <v>80</v>
      </c>
      <c r="Z1672" s="6">
        <v>72</v>
      </c>
      <c r="AA1672" s="6">
        <v>64</v>
      </c>
      <c r="AB1672" s="6">
        <v>64</v>
      </c>
      <c r="AC1672" s="6">
        <v>59</v>
      </c>
      <c r="AD1672" s="6">
        <v>60</v>
      </c>
      <c r="AE1672" s="6">
        <v>72</v>
      </c>
      <c r="AF1672" s="6">
        <v>63</v>
      </c>
      <c r="AG1672" s="6" t="s">
        <v>7277</v>
      </c>
      <c r="AH1672" s="6" t="s">
        <v>6658</v>
      </c>
    </row>
    <row r="1673" spans="1:34" x14ac:dyDescent="0.2">
      <c r="A1673" t="s">
        <v>3636</v>
      </c>
      <c r="B1673" t="s">
        <v>1900</v>
      </c>
      <c r="C1673" t="s">
        <v>2870</v>
      </c>
      <c r="D1673" s="7" t="s">
        <v>143</v>
      </c>
      <c r="E1673" t="s">
        <v>38</v>
      </c>
      <c r="F1673">
        <v>25</v>
      </c>
      <c r="G1673">
        <v>74</v>
      </c>
      <c r="H1673">
        <v>68</v>
      </c>
      <c r="I1673" t="s">
        <v>6496</v>
      </c>
      <c r="J1673">
        <v>70</v>
      </c>
      <c r="K1673">
        <v>212</v>
      </c>
      <c r="L1673" t="s">
        <v>5330</v>
      </c>
      <c r="M1673" s="6" t="s">
        <v>6558</v>
      </c>
      <c r="N1673" s="6" t="s">
        <v>6565</v>
      </c>
      <c r="O1673" s="6">
        <v>75</v>
      </c>
      <c r="P1673" s="6">
        <v>71</v>
      </c>
      <c r="Q1673" s="6">
        <v>78</v>
      </c>
      <c r="R1673" s="6">
        <v>71</v>
      </c>
      <c r="S1673" s="6">
        <v>66</v>
      </c>
      <c r="T1673" s="6">
        <v>79</v>
      </c>
      <c r="U1673" s="6">
        <v>66</v>
      </c>
      <c r="V1673" s="6">
        <v>76</v>
      </c>
      <c r="W1673" s="6">
        <v>61</v>
      </c>
      <c r="X1673" s="6">
        <v>63</v>
      </c>
      <c r="Y1673" s="6">
        <v>76</v>
      </c>
      <c r="Z1673" s="6">
        <v>84</v>
      </c>
      <c r="AA1673" s="6">
        <v>69</v>
      </c>
      <c r="AB1673" s="6">
        <v>72</v>
      </c>
      <c r="AC1673" s="6">
        <v>63</v>
      </c>
      <c r="AD1673" s="6">
        <v>67</v>
      </c>
      <c r="AE1673" s="6">
        <v>71</v>
      </c>
      <c r="AF1673" s="6">
        <v>78</v>
      </c>
      <c r="AG1673" s="6" t="s">
        <v>7371</v>
      </c>
      <c r="AH1673" s="6" t="s">
        <v>6725</v>
      </c>
    </row>
    <row r="1674" spans="1:34" x14ac:dyDescent="0.2">
      <c r="A1674" t="s">
        <v>3669</v>
      </c>
      <c r="B1674" t="s">
        <v>1933</v>
      </c>
      <c r="C1674" t="s">
        <v>2879</v>
      </c>
      <c r="D1674" s="7" t="s">
        <v>143</v>
      </c>
      <c r="E1674" t="s">
        <v>58</v>
      </c>
      <c r="F1674">
        <v>29</v>
      </c>
      <c r="G1674">
        <v>65</v>
      </c>
      <c r="H1674">
        <v>68</v>
      </c>
      <c r="I1674" t="s">
        <v>6427</v>
      </c>
      <c r="J1674">
        <v>74</v>
      </c>
      <c r="K1674">
        <v>297</v>
      </c>
      <c r="L1674" t="s">
        <v>5363</v>
      </c>
      <c r="M1674" s="6" t="s">
        <v>6558</v>
      </c>
      <c r="N1674" s="6" t="s">
        <v>6614</v>
      </c>
      <c r="O1674" s="6">
        <v>66</v>
      </c>
      <c r="P1674" s="6">
        <v>64</v>
      </c>
      <c r="Q1674" s="6">
        <v>73</v>
      </c>
      <c r="R1674" s="6">
        <v>55</v>
      </c>
      <c r="S1674" s="6">
        <v>74</v>
      </c>
      <c r="T1674" s="6">
        <v>64</v>
      </c>
      <c r="U1674" s="6">
        <v>63</v>
      </c>
      <c r="V1674" s="6">
        <v>71</v>
      </c>
      <c r="W1674" s="6">
        <v>70</v>
      </c>
      <c r="X1674" s="6">
        <v>76</v>
      </c>
      <c r="Y1674" s="6">
        <v>76</v>
      </c>
      <c r="Z1674" s="6">
        <v>69</v>
      </c>
      <c r="AA1674" s="6">
        <v>66</v>
      </c>
      <c r="AB1674" s="6">
        <v>66</v>
      </c>
      <c r="AC1674" s="6">
        <v>65</v>
      </c>
      <c r="AD1674" s="6">
        <v>64</v>
      </c>
      <c r="AE1674" s="6">
        <v>62</v>
      </c>
      <c r="AF1674" s="6">
        <v>68</v>
      </c>
      <c r="AG1674" s="6" t="s">
        <v>7404</v>
      </c>
      <c r="AH1674" s="6" t="s">
        <v>6617</v>
      </c>
    </row>
    <row r="1675" spans="1:34" x14ac:dyDescent="0.2">
      <c r="A1675" t="s">
        <v>2913</v>
      </c>
      <c r="B1675" t="s">
        <v>1177</v>
      </c>
      <c r="C1675" t="s">
        <v>53</v>
      </c>
      <c r="D1675" s="7" t="s">
        <v>129</v>
      </c>
      <c r="E1675" t="s">
        <v>58</v>
      </c>
      <c r="F1675">
        <v>36</v>
      </c>
      <c r="G1675">
        <v>69</v>
      </c>
      <c r="H1675">
        <v>67</v>
      </c>
      <c r="I1675" t="s">
        <v>6303</v>
      </c>
      <c r="J1675">
        <v>75</v>
      </c>
      <c r="K1675">
        <v>239</v>
      </c>
      <c r="L1675" t="s">
        <v>4607</v>
      </c>
      <c r="M1675" s="6" t="s">
        <v>6558</v>
      </c>
      <c r="N1675" s="6" t="s">
        <v>6565</v>
      </c>
      <c r="O1675" s="6">
        <v>82</v>
      </c>
      <c r="P1675" s="6">
        <v>78</v>
      </c>
      <c r="Q1675" s="6">
        <v>69</v>
      </c>
      <c r="R1675" s="6">
        <v>70</v>
      </c>
      <c r="S1675" s="6">
        <v>88</v>
      </c>
      <c r="T1675" s="6">
        <v>78</v>
      </c>
      <c r="U1675" s="6">
        <v>69</v>
      </c>
      <c r="V1675" s="6">
        <v>75</v>
      </c>
      <c r="W1675" s="6">
        <v>87</v>
      </c>
      <c r="X1675" s="6">
        <v>80</v>
      </c>
      <c r="Y1675" s="6">
        <v>63</v>
      </c>
      <c r="Z1675" s="6">
        <v>77</v>
      </c>
      <c r="AA1675" s="6">
        <v>66</v>
      </c>
      <c r="AB1675" s="6">
        <v>69</v>
      </c>
      <c r="AC1675" s="6">
        <v>61</v>
      </c>
      <c r="AD1675" s="6">
        <v>69</v>
      </c>
      <c r="AE1675" s="6">
        <v>56</v>
      </c>
      <c r="AF1675" s="6">
        <v>64</v>
      </c>
      <c r="AG1675" s="6" t="s">
        <v>6566</v>
      </c>
      <c r="AH1675" s="6" t="s">
        <v>6564</v>
      </c>
    </row>
    <row r="1676" spans="1:34" x14ac:dyDescent="0.2">
      <c r="A1676" t="s">
        <v>3049</v>
      </c>
      <c r="B1676" t="s">
        <v>1313</v>
      </c>
      <c r="C1676" t="s">
        <v>2884</v>
      </c>
      <c r="D1676" s="7" t="s">
        <v>131</v>
      </c>
      <c r="E1676" t="s">
        <v>38</v>
      </c>
      <c r="F1676">
        <v>28</v>
      </c>
      <c r="G1676">
        <v>73</v>
      </c>
      <c r="H1676">
        <v>67</v>
      </c>
      <c r="I1676" t="s">
        <v>6336</v>
      </c>
      <c r="J1676">
        <v>73</v>
      </c>
      <c r="K1676">
        <v>225</v>
      </c>
      <c r="L1676" t="s">
        <v>4743</v>
      </c>
      <c r="M1676" s="6" t="s">
        <v>6558</v>
      </c>
      <c r="N1676" s="6" t="s">
        <v>6565</v>
      </c>
      <c r="O1676" s="6">
        <v>79</v>
      </c>
      <c r="P1676" s="6">
        <v>77</v>
      </c>
      <c r="Q1676" s="6">
        <v>75</v>
      </c>
      <c r="R1676" s="6">
        <v>71</v>
      </c>
      <c r="S1676" s="6">
        <v>72</v>
      </c>
      <c r="T1676" s="6">
        <v>69</v>
      </c>
      <c r="U1676" s="6">
        <v>76</v>
      </c>
      <c r="V1676" s="6">
        <v>77</v>
      </c>
      <c r="W1676" s="6">
        <v>70</v>
      </c>
      <c r="X1676" s="6">
        <v>72</v>
      </c>
      <c r="Y1676" s="6">
        <v>72</v>
      </c>
      <c r="Z1676" s="6">
        <v>72</v>
      </c>
      <c r="AA1676" s="6">
        <v>73</v>
      </c>
      <c r="AB1676" s="6">
        <v>76</v>
      </c>
      <c r="AC1676" s="6">
        <v>75</v>
      </c>
      <c r="AD1676" s="6">
        <v>79</v>
      </c>
      <c r="AE1676" s="6">
        <v>68</v>
      </c>
      <c r="AF1676" s="6">
        <v>72</v>
      </c>
      <c r="AG1676" s="6" t="s">
        <v>6763</v>
      </c>
      <c r="AH1676" s="6" t="s">
        <v>6644</v>
      </c>
    </row>
    <row r="1677" spans="1:34" x14ac:dyDescent="0.2">
      <c r="A1677" t="s">
        <v>3091</v>
      </c>
      <c r="B1677" t="s">
        <v>1355</v>
      </c>
      <c r="C1677" t="s">
        <v>2881</v>
      </c>
      <c r="D1677" s="7" t="s">
        <v>130</v>
      </c>
      <c r="E1677" t="s">
        <v>38</v>
      </c>
      <c r="F1677">
        <v>23</v>
      </c>
      <c r="G1677">
        <v>91</v>
      </c>
      <c r="H1677">
        <v>67</v>
      </c>
      <c r="I1677" t="s">
        <v>6328</v>
      </c>
      <c r="J1677">
        <v>74</v>
      </c>
      <c r="K1677">
        <v>253</v>
      </c>
      <c r="L1677" t="s">
        <v>4785</v>
      </c>
      <c r="M1677" s="6" t="s">
        <v>6558</v>
      </c>
      <c r="N1677" s="6" t="s">
        <v>6559</v>
      </c>
      <c r="O1677" s="6">
        <v>84</v>
      </c>
      <c r="P1677" s="6">
        <v>83</v>
      </c>
      <c r="Q1677" s="6">
        <v>77</v>
      </c>
      <c r="R1677" s="6">
        <v>84</v>
      </c>
      <c r="S1677" s="6">
        <v>79</v>
      </c>
      <c r="T1677" s="6">
        <v>75</v>
      </c>
      <c r="U1677" s="6">
        <v>74</v>
      </c>
      <c r="V1677" s="6">
        <v>72</v>
      </c>
      <c r="W1677" s="6">
        <v>74</v>
      </c>
      <c r="X1677" s="6">
        <v>70</v>
      </c>
      <c r="Y1677" s="6">
        <v>79</v>
      </c>
      <c r="Z1677" s="6">
        <v>72</v>
      </c>
      <c r="AA1677" s="6">
        <v>77</v>
      </c>
      <c r="AB1677" s="6">
        <v>81</v>
      </c>
      <c r="AC1677" s="6">
        <v>76</v>
      </c>
      <c r="AD1677" s="6">
        <v>81</v>
      </c>
      <c r="AE1677" s="6">
        <v>68</v>
      </c>
      <c r="AF1677" s="6">
        <v>77</v>
      </c>
      <c r="AG1677" s="6" t="s">
        <v>6809</v>
      </c>
      <c r="AH1677" s="6" t="s">
        <v>6628</v>
      </c>
    </row>
    <row r="1678" spans="1:34" x14ac:dyDescent="0.2">
      <c r="A1678" t="s">
        <v>3151</v>
      </c>
      <c r="B1678" t="s">
        <v>1415</v>
      </c>
      <c r="C1678" t="s">
        <v>2889</v>
      </c>
      <c r="D1678" s="7" t="s">
        <v>133</v>
      </c>
      <c r="E1678" t="s">
        <v>38</v>
      </c>
      <c r="F1678">
        <v>23</v>
      </c>
      <c r="G1678">
        <v>63</v>
      </c>
      <c r="H1678">
        <v>67</v>
      </c>
      <c r="I1678" t="s">
        <v>6343</v>
      </c>
      <c r="J1678">
        <v>73</v>
      </c>
      <c r="K1678">
        <v>246</v>
      </c>
      <c r="L1678" t="s">
        <v>4845</v>
      </c>
      <c r="M1678" s="6" t="s">
        <v>6558</v>
      </c>
      <c r="N1678" s="6" t="s">
        <v>6567</v>
      </c>
      <c r="O1678" s="6">
        <v>71</v>
      </c>
      <c r="P1678" s="6">
        <v>68</v>
      </c>
      <c r="Q1678" s="6">
        <v>67</v>
      </c>
      <c r="R1678" s="6">
        <v>66</v>
      </c>
      <c r="S1678" s="6">
        <v>73</v>
      </c>
      <c r="T1678" s="6">
        <v>70</v>
      </c>
      <c r="U1678" s="6">
        <v>71</v>
      </c>
      <c r="V1678" s="6">
        <v>64</v>
      </c>
      <c r="W1678" s="6">
        <v>64</v>
      </c>
      <c r="X1678" s="6">
        <v>64</v>
      </c>
      <c r="Y1678" s="6">
        <v>69</v>
      </c>
      <c r="Z1678" s="6">
        <v>65</v>
      </c>
      <c r="AA1678" s="6">
        <v>63</v>
      </c>
      <c r="AB1678" s="6">
        <v>65</v>
      </c>
      <c r="AC1678" s="6">
        <v>66</v>
      </c>
      <c r="AD1678" s="6">
        <v>75</v>
      </c>
      <c r="AE1678" s="6">
        <v>64</v>
      </c>
      <c r="AF1678" s="6">
        <v>71</v>
      </c>
      <c r="AG1678" s="6" t="s">
        <v>6875</v>
      </c>
      <c r="AH1678" s="6" t="s">
        <v>6709</v>
      </c>
    </row>
    <row r="1679" spans="1:34" x14ac:dyDescent="0.2">
      <c r="A1679" t="s">
        <v>3383</v>
      </c>
      <c r="B1679" t="s">
        <v>1647</v>
      </c>
      <c r="C1679" t="s">
        <v>2877</v>
      </c>
      <c r="D1679" s="7" t="s">
        <v>138</v>
      </c>
      <c r="E1679" t="s">
        <v>38</v>
      </c>
      <c r="F1679">
        <v>25</v>
      </c>
      <c r="G1679">
        <v>76</v>
      </c>
      <c r="H1679">
        <v>67</v>
      </c>
      <c r="I1679" t="s">
        <v>6390</v>
      </c>
      <c r="J1679">
        <v>77</v>
      </c>
      <c r="K1679">
        <v>323</v>
      </c>
      <c r="L1679" t="s">
        <v>5077</v>
      </c>
      <c r="M1679" s="6" t="s">
        <v>6558</v>
      </c>
      <c r="N1679" s="6" t="s">
        <v>6565</v>
      </c>
      <c r="O1679" s="6">
        <v>80</v>
      </c>
      <c r="P1679" s="6">
        <v>65</v>
      </c>
      <c r="Q1679" s="6">
        <v>73</v>
      </c>
      <c r="R1679" s="6">
        <v>73</v>
      </c>
      <c r="S1679" s="6">
        <v>78</v>
      </c>
      <c r="T1679" s="6">
        <v>68</v>
      </c>
      <c r="U1679" s="6">
        <v>71</v>
      </c>
      <c r="V1679" s="6">
        <v>73</v>
      </c>
      <c r="W1679" s="6">
        <v>75</v>
      </c>
      <c r="X1679" s="6">
        <v>86</v>
      </c>
      <c r="Y1679" s="6">
        <v>74</v>
      </c>
      <c r="Z1679" s="6">
        <v>71</v>
      </c>
      <c r="AA1679" s="6">
        <v>77</v>
      </c>
      <c r="AB1679" s="6">
        <v>78</v>
      </c>
      <c r="AC1679" s="6">
        <v>70</v>
      </c>
      <c r="AD1679" s="6">
        <v>81</v>
      </c>
      <c r="AE1679" s="6">
        <v>76</v>
      </c>
      <c r="AF1679" s="6">
        <v>76</v>
      </c>
      <c r="AG1679" s="6" t="s">
        <v>7118</v>
      </c>
      <c r="AH1679" s="6" t="s">
        <v>6596</v>
      </c>
    </row>
    <row r="1680" spans="1:34" x14ac:dyDescent="0.2">
      <c r="A1680" t="s">
        <v>3403</v>
      </c>
      <c r="B1680" t="s">
        <v>1667</v>
      </c>
      <c r="C1680" t="s">
        <v>2889</v>
      </c>
      <c r="D1680" s="7" t="s">
        <v>138</v>
      </c>
      <c r="E1680" t="s">
        <v>38</v>
      </c>
      <c r="F1680">
        <v>22</v>
      </c>
      <c r="G1680">
        <v>74</v>
      </c>
      <c r="H1680">
        <v>67</v>
      </c>
      <c r="I1680" t="s">
        <v>6410</v>
      </c>
      <c r="J1680">
        <v>74</v>
      </c>
      <c r="K1680">
        <v>248</v>
      </c>
      <c r="L1680" t="s">
        <v>5097</v>
      </c>
      <c r="M1680" s="6" t="s">
        <v>6558</v>
      </c>
      <c r="N1680" s="6" t="s">
        <v>6583</v>
      </c>
      <c r="O1680" s="6">
        <v>68</v>
      </c>
      <c r="P1680" s="6">
        <v>77</v>
      </c>
      <c r="Q1680" s="6">
        <v>75</v>
      </c>
      <c r="R1680" s="6">
        <v>78</v>
      </c>
      <c r="S1680" s="6">
        <v>74</v>
      </c>
      <c r="T1680" s="6">
        <v>66</v>
      </c>
      <c r="U1680" s="6">
        <v>78</v>
      </c>
      <c r="V1680" s="6">
        <v>63</v>
      </c>
      <c r="W1680" s="6">
        <v>64</v>
      </c>
      <c r="X1680" s="6">
        <v>57</v>
      </c>
      <c r="Y1680" s="6">
        <v>73</v>
      </c>
      <c r="Z1680" s="6">
        <v>76</v>
      </c>
      <c r="AA1680" s="6">
        <v>70</v>
      </c>
      <c r="AB1680" s="6">
        <v>74</v>
      </c>
      <c r="AC1680" s="6">
        <v>73</v>
      </c>
      <c r="AD1680" s="6">
        <v>71</v>
      </c>
      <c r="AE1680" s="6">
        <v>69</v>
      </c>
      <c r="AF1680" s="6">
        <v>80</v>
      </c>
      <c r="AG1680" s="6" t="s">
        <v>7137</v>
      </c>
      <c r="AH1680" s="6" t="s">
        <v>6709</v>
      </c>
    </row>
    <row r="1681" spans="1:34" x14ac:dyDescent="0.2">
      <c r="A1681" t="s">
        <v>3510</v>
      </c>
      <c r="B1681" t="s">
        <v>1774</v>
      </c>
      <c r="C1681" t="s">
        <v>61</v>
      </c>
      <c r="D1681" s="7" t="s">
        <v>140</v>
      </c>
      <c r="E1681" t="s">
        <v>38</v>
      </c>
      <c r="F1681">
        <v>28</v>
      </c>
      <c r="G1681">
        <v>72</v>
      </c>
      <c r="H1681">
        <v>67</v>
      </c>
      <c r="I1681" t="s">
        <v>6398</v>
      </c>
      <c r="J1681">
        <v>72</v>
      </c>
      <c r="K1681">
        <v>190</v>
      </c>
      <c r="L1681" t="s">
        <v>5204</v>
      </c>
      <c r="M1681" s="6" t="s">
        <v>6558</v>
      </c>
      <c r="N1681" s="6" t="s">
        <v>6567</v>
      </c>
      <c r="O1681" s="6">
        <v>73</v>
      </c>
      <c r="P1681" s="6">
        <v>84</v>
      </c>
      <c r="Q1681" s="6">
        <v>75</v>
      </c>
      <c r="R1681" s="6">
        <v>64</v>
      </c>
      <c r="S1681" s="6">
        <v>80</v>
      </c>
      <c r="T1681" s="6">
        <v>75</v>
      </c>
      <c r="U1681" s="6">
        <v>92</v>
      </c>
      <c r="V1681" s="6">
        <v>81</v>
      </c>
      <c r="W1681" s="6">
        <v>77</v>
      </c>
      <c r="X1681" s="6">
        <v>84</v>
      </c>
      <c r="Y1681" s="6">
        <v>72</v>
      </c>
      <c r="Z1681" s="6">
        <v>72</v>
      </c>
      <c r="AA1681" s="6">
        <v>77</v>
      </c>
      <c r="AB1681" s="6">
        <v>73</v>
      </c>
      <c r="AC1681" s="6">
        <v>80</v>
      </c>
      <c r="AD1681" s="6">
        <v>76</v>
      </c>
      <c r="AE1681" s="6">
        <v>72</v>
      </c>
      <c r="AF1681" s="6">
        <v>78</v>
      </c>
      <c r="AG1681" s="6" t="s">
        <v>7246</v>
      </c>
      <c r="AH1681" s="6" t="s">
        <v>6696</v>
      </c>
    </row>
    <row r="1682" spans="1:34" x14ac:dyDescent="0.2">
      <c r="A1682" t="s">
        <v>3632</v>
      </c>
      <c r="B1682" t="s">
        <v>1896</v>
      </c>
      <c r="C1682" t="s">
        <v>2891</v>
      </c>
      <c r="D1682" s="7" t="s">
        <v>142</v>
      </c>
      <c r="E1682" t="s">
        <v>38</v>
      </c>
      <c r="F1682">
        <v>25</v>
      </c>
      <c r="G1682">
        <v>81</v>
      </c>
      <c r="H1682">
        <v>67</v>
      </c>
      <c r="I1682" t="s">
        <v>6469</v>
      </c>
      <c r="J1682">
        <v>73</v>
      </c>
      <c r="K1682">
        <v>225</v>
      </c>
      <c r="L1682" t="s">
        <v>5326</v>
      </c>
      <c r="M1682" s="6" t="s">
        <v>6558</v>
      </c>
      <c r="N1682" s="6" t="s">
        <v>6567</v>
      </c>
      <c r="O1682" s="6">
        <v>85</v>
      </c>
      <c r="P1682" s="6">
        <v>81</v>
      </c>
      <c r="Q1682" s="6">
        <v>80</v>
      </c>
      <c r="R1682" s="6">
        <v>69</v>
      </c>
      <c r="S1682" s="6">
        <v>76</v>
      </c>
      <c r="T1682" s="6">
        <v>76</v>
      </c>
      <c r="U1682" s="6">
        <v>87</v>
      </c>
      <c r="V1682" s="6">
        <v>80</v>
      </c>
      <c r="W1682" s="6">
        <v>79</v>
      </c>
      <c r="X1682" s="6">
        <v>80</v>
      </c>
      <c r="Y1682" s="6">
        <v>78</v>
      </c>
      <c r="Z1682" s="6">
        <v>86</v>
      </c>
      <c r="AA1682" s="6">
        <v>81</v>
      </c>
      <c r="AB1682" s="6">
        <v>77</v>
      </c>
      <c r="AC1682" s="6">
        <v>78</v>
      </c>
      <c r="AD1682" s="6">
        <v>76</v>
      </c>
      <c r="AE1682" s="6">
        <v>81</v>
      </c>
      <c r="AF1682" s="6">
        <v>72</v>
      </c>
      <c r="AG1682" s="6" t="s">
        <v>7367</v>
      </c>
      <c r="AH1682" s="6" t="s">
        <v>6824</v>
      </c>
    </row>
    <row r="1683" spans="1:34" x14ac:dyDescent="0.2">
      <c r="A1683" t="s">
        <v>2954</v>
      </c>
      <c r="B1683" t="s">
        <v>1218</v>
      </c>
      <c r="C1683" t="s">
        <v>61</v>
      </c>
      <c r="D1683" s="7" t="s">
        <v>129</v>
      </c>
      <c r="E1683" t="s">
        <v>58</v>
      </c>
      <c r="F1683">
        <v>27</v>
      </c>
      <c r="G1683">
        <v>60</v>
      </c>
      <c r="H1683">
        <v>66</v>
      </c>
      <c r="I1683" t="s">
        <v>6341</v>
      </c>
      <c r="J1683">
        <v>71</v>
      </c>
      <c r="K1683">
        <v>198</v>
      </c>
      <c r="L1683" t="s">
        <v>4648</v>
      </c>
      <c r="M1683" s="6" t="s">
        <v>6558</v>
      </c>
      <c r="N1683" s="6" t="s">
        <v>6565</v>
      </c>
      <c r="O1683" s="6">
        <v>77</v>
      </c>
      <c r="P1683" s="6">
        <v>62</v>
      </c>
      <c r="Q1683" s="6">
        <v>67</v>
      </c>
      <c r="R1683" s="6">
        <v>70</v>
      </c>
      <c r="S1683" s="6">
        <v>67</v>
      </c>
      <c r="T1683" s="6">
        <v>64</v>
      </c>
      <c r="U1683" s="6">
        <v>72</v>
      </c>
      <c r="V1683" s="6">
        <v>72</v>
      </c>
      <c r="W1683" s="6">
        <v>72</v>
      </c>
      <c r="X1683" s="6">
        <v>71</v>
      </c>
      <c r="Y1683" s="6">
        <v>79</v>
      </c>
      <c r="Z1683" s="6">
        <v>67</v>
      </c>
      <c r="AA1683" s="6">
        <v>67</v>
      </c>
      <c r="AB1683" s="6">
        <v>65</v>
      </c>
      <c r="AC1683" s="6">
        <v>58</v>
      </c>
      <c r="AD1683" s="6">
        <v>73</v>
      </c>
      <c r="AE1683" s="6">
        <v>77</v>
      </c>
      <c r="AF1683" s="6">
        <v>73</v>
      </c>
      <c r="AG1683" s="6" t="s">
        <v>6634</v>
      </c>
      <c r="AH1683" s="6" t="s">
        <v>6630</v>
      </c>
    </row>
    <row r="1684" spans="1:34" x14ac:dyDescent="0.2">
      <c r="A1684" t="s">
        <v>2993</v>
      </c>
      <c r="B1684" t="s">
        <v>1257</v>
      </c>
      <c r="C1684" t="s">
        <v>2881</v>
      </c>
      <c r="D1684" s="7" t="s">
        <v>146</v>
      </c>
      <c r="E1684" t="s">
        <v>38</v>
      </c>
      <c r="F1684">
        <v>26</v>
      </c>
      <c r="G1684">
        <v>67</v>
      </c>
      <c r="H1684">
        <v>66</v>
      </c>
      <c r="I1684" t="s">
        <v>6330</v>
      </c>
      <c r="J1684">
        <v>72</v>
      </c>
      <c r="K1684">
        <v>236</v>
      </c>
      <c r="L1684" t="s">
        <v>4687</v>
      </c>
      <c r="M1684" s="6" t="s">
        <v>6558</v>
      </c>
      <c r="N1684" s="6" t="s">
        <v>6565</v>
      </c>
      <c r="O1684" s="6">
        <v>73</v>
      </c>
      <c r="P1684" s="6">
        <v>73</v>
      </c>
      <c r="Q1684" s="6">
        <v>80</v>
      </c>
      <c r="R1684" s="6">
        <v>75</v>
      </c>
      <c r="S1684" s="6">
        <v>67</v>
      </c>
      <c r="T1684" s="6">
        <v>67</v>
      </c>
      <c r="U1684" s="6">
        <v>78</v>
      </c>
      <c r="V1684" s="6">
        <v>71</v>
      </c>
      <c r="W1684" s="6">
        <v>71</v>
      </c>
      <c r="X1684" s="6">
        <v>81</v>
      </c>
      <c r="Y1684" s="6">
        <v>71</v>
      </c>
      <c r="Z1684" s="6">
        <v>75</v>
      </c>
      <c r="AA1684" s="6">
        <v>66</v>
      </c>
      <c r="AB1684" s="6">
        <v>76</v>
      </c>
      <c r="AC1684" s="6">
        <v>69</v>
      </c>
      <c r="AD1684" s="6">
        <v>66</v>
      </c>
      <c r="AE1684" s="6">
        <v>71</v>
      </c>
      <c r="AF1684" s="6">
        <v>78</v>
      </c>
      <c r="AG1684" s="6" t="s">
        <v>6691</v>
      </c>
      <c r="AH1684" s="6" t="s">
        <v>6692</v>
      </c>
    </row>
    <row r="1685" spans="1:34" x14ac:dyDescent="0.2">
      <c r="A1685" t="s">
        <v>3036</v>
      </c>
      <c r="B1685" t="s">
        <v>1300</v>
      </c>
      <c r="C1685" t="s">
        <v>2879</v>
      </c>
      <c r="D1685" s="7" t="s">
        <v>131</v>
      </c>
      <c r="E1685" t="s">
        <v>58</v>
      </c>
      <c r="F1685">
        <v>31</v>
      </c>
      <c r="G1685">
        <v>83</v>
      </c>
      <c r="H1685">
        <v>66</v>
      </c>
      <c r="I1685" t="s">
        <v>6323</v>
      </c>
      <c r="J1685">
        <v>74</v>
      </c>
      <c r="K1685">
        <v>320</v>
      </c>
      <c r="L1685" t="s">
        <v>4730</v>
      </c>
      <c r="M1685" s="6" t="s">
        <v>6558</v>
      </c>
      <c r="N1685" s="6" t="s">
        <v>6559</v>
      </c>
      <c r="O1685" s="6">
        <v>81</v>
      </c>
      <c r="P1685" s="6">
        <v>77</v>
      </c>
      <c r="Q1685" s="6">
        <v>88</v>
      </c>
      <c r="R1685" s="6">
        <v>82</v>
      </c>
      <c r="S1685" s="6">
        <v>78</v>
      </c>
      <c r="T1685" s="6">
        <v>89</v>
      </c>
      <c r="U1685" s="6">
        <v>82</v>
      </c>
      <c r="V1685" s="6">
        <v>79</v>
      </c>
      <c r="W1685" s="6">
        <v>82</v>
      </c>
      <c r="X1685" s="6">
        <v>76</v>
      </c>
      <c r="Y1685" s="6">
        <v>86</v>
      </c>
      <c r="Z1685" s="6">
        <v>79</v>
      </c>
      <c r="AA1685" s="6">
        <v>78</v>
      </c>
      <c r="AB1685" s="6">
        <v>70</v>
      </c>
      <c r="AC1685" s="6">
        <v>77</v>
      </c>
      <c r="AD1685" s="6">
        <v>68</v>
      </c>
      <c r="AE1685" s="6">
        <v>77</v>
      </c>
      <c r="AF1685" s="6">
        <v>67</v>
      </c>
      <c r="AG1685" s="6" t="s">
        <v>6748</v>
      </c>
      <c r="AH1685" s="6" t="s">
        <v>6619</v>
      </c>
    </row>
    <row r="1686" spans="1:34" x14ac:dyDescent="0.2">
      <c r="A1686" t="s">
        <v>3078</v>
      </c>
      <c r="B1686" t="s">
        <v>1342</v>
      </c>
      <c r="C1686" t="s">
        <v>2876</v>
      </c>
      <c r="D1686" s="7" t="s">
        <v>130</v>
      </c>
      <c r="E1686" t="s">
        <v>38</v>
      </c>
      <c r="F1686">
        <v>24</v>
      </c>
      <c r="G1686">
        <v>73</v>
      </c>
      <c r="H1686">
        <v>66</v>
      </c>
      <c r="I1686" t="s">
        <v>62</v>
      </c>
      <c r="J1686">
        <v>73</v>
      </c>
      <c r="K1686">
        <v>316</v>
      </c>
      <c r="L1686" t="s">
        <v>4772</v>
      </c>
      <c r="M1686" s="6" t="s">
        <v>6558</v>
      </c>
      <c r="N1686" s="6" t="s">
        <v>6567</v>
      </c>
      <c r="O1686" s="6">
        <v>82</v>
      </c>
      <c r="P1686" s="6">
        <v>78</v>
      </c>
      <c r="Q1686" s="6">
        <v>78</v>
      </c>
      <c r="R1686" s="6">
        <v>66</v>
      </c>
      <c r="S1686" s="6">
        <v>74</v>
      </c>
      <c r="T1686" s="6">
        <v>65</v>
      </c>
      <c r="U1686" s="6">
        <v>73</v>
      </c>
      <c r="V1686" s="6">
        <v>76</v>
      </c>
      <c r="W1686" s="6">
        <v>77</v>
      </c>
      <c r="X1686" s="6">
        <v>75</v>
      </c>
      <c r="Y1686" s="6">
        <v>71</v>
      </c>
      <c r="Z1686" s="6">
        <v>77</v>
      </c>
      <c r="AA1686" s="6">
        <v>69</v>
      </c>
      <c r="AB1686" s="6">
        <v>80</v>
      </c>
      <c r="AC1686" s="6">
        <v>71</v>
      </c>
      <c r="AD1686" s="6">
        <v>75</v>
      </c>
      <c r="AE1686" s="6">
        <v>76</v>
      </c>
      <c r="AF1686" s="6">
        <v>68</v>
      </c>
      <c r="AG1686" s="6" t="s">
        <v>6794</v>
      </c>
      <c r="AH1686" s="6" t="s">
        <v>6598</v>
      </c>
    </row>
    <row r="1687" spans="1:34" x14ac:dyDescent="0.2">
      <c r="A1687" t="s">
        <v>3198</v>
      </c>
      <c r="B1687" t="s">
        <v>1462</v>
      </c>
      <c r="C1687" t="s">
        <v>2883</v>
      </c>
      <c r="D1687" s="7" t="s">
        <v>134</v>
      </c>
      <c r="E1687" t="s">
        <v>38</v>
      </c>
      <c r="F1687">
        <v>28</v>
      </c>
      <c r="G1687">
        <v>71</v>
      </c>
      <c r="H1687">
        <v>66</v>
      </c>
      <c r="I1687" t="s">
        <v>6388</v>
      </c>
      <c r="J1687">
        <v>71</v>
      </c>
      <c r="K1687">
        <v>205</v>
      </c>
      <c r="L1687" t="s">
        <v>4892</v>
      </c>
      <c r="M1687" s="6" t="s">
        <v>6558</v>
      </c>
      <c r="N1687" s="6" t="s">
        <v>6567</v>
      </c>
      <c r="O1687" s="6">
        <v>92</v>
      </c>
      <c r="P1687" s="6">
        <v>71</v>
      </c>
      <c r="Q1687" s="6">
        <v>73</v>
      </c>
      <c r="R1687" s="6">
        <v>67</v>
      </c>
      <c r="S1687" s="6">
        <v>74</v>
      </c>
      <c r="T1687" s="6">
        <v>64</v>
      </c>
      <c r="U1687" s="6">
        <v>78</v>
      </c>
      <c r="V1687" s="6">
        <v>90</v>
      </c>
      <c r="W1687" s="6">
        <v>74</v>
      </c>
      <c r="X1687" s="6">
        <v>77</v>
      </c>
      <c r="Y1687" s="6">
        <v>81</v>
      </c>
      <c r="Z1687" s="6">
        <v>79</v>
      </c>
      <c r="AA1687" s="6">
        <v>72</v>
      </c>
      <c r="AB1687" s="6">
        <v>69</v>
      </c>
      <c r="AC1687" s="6">
        <v>74</v>
      </c>
      <c r="AD1687" s="6">
        <v>79</v>
      </c>
      <c r="AE1687" s="6">
        <v>74</v>
      </c>
      <c r="AF1687" s="6">
        <v>76</v>
      </c>
      <c r="AG1687" s="6" t="s">
        <v>6924</v>
      </c>
      <c r="AH1687" s="6" t="s">
        <v>6640</v>
      </c>
    </row>
    <row r="1688" spans="1:34" x14ac:dyDescent="0.2">
      <c r="A1688" t="s">
        <v>3210</v>
      </c>
      <c r="B1688" t="s">
        <v>1474</v>
      </c>
      <c r="C1688" t="s">
        <v>53</v>
      </c>
      <c r="D1688" s="7" t="s">
        <v>132</v>
      </c>
      <c r="E1688" t="s">
        <v>58</v>
      </c>
      <c r="F1688">
        <v>35</v>
      </c>
      <c r="G1688">
        <v>73</v>
      </c>
      <c r="H1688">
        <v>66</v>
      </c>
      <c r="I1688" t="s">
        <v>6400</v>
      </c>
      <c r="J1688">
        <v>74</v>
      </c>
      <c r="K1688">
        <v>234</v>
      </c>
      <c r="L1688" t="s">
        <v>4904</v>
      </c>
      <c r="M1688" s="6" t="s">
        <v>6558</v>
      </c>
      <c r="N1688" s="6" t="s">
        <v>6562</v>
      </c>
      <c r="O1688" s="6">
        <v>76</v>
      </c>
      <c r="P1688" s="6">
        <v>74</v>
      </c>
      <c r="Q1688" s="6">
        <v>74</v>
      </c>
      <c r="R1688" s="6">
        <v>87</v>
      </c>
      <c r="S1688" s="6">
        <v>81</v>
      </c>
      <c r="T1688" s="6">
        <v>70</v>
      </c>
      <c r="U1688" s="6">
        <v>88</v>
      </c>
      <c r="V1688" s="6">
        <v>76</v>
      </c>
      <c r="W1688" s="6">
        <v>78</v>
      </c>
      <c r="X1688" s="6">
        <v>81</v>
      </c>
      <c r="Y1688" s="6">
        <v>82</v>
      </c>
      <c r="Z1688" s="6">
        <v>81</v>
      </c>
      <c r="AA1688" s="6">
        <v>62</v>
      </c>
      <c r="AB1688" s="6">
        <v>66</v>
      </c>
      <c r="AC1688" s="6">
        <v>59</v>
      </c>
      <c r="AD1688" s="6">
        <v>60</v>
      </c>
      <c r="AE1688" s="6">
        <v>66</v>
      </c>
      <c r="AF1688" s="6">
        <v>71</v>
      </c>
      <c r="AG1688" s="6" t="s">
        <v>6937</v>
      </c>
      <c r="AH1688" s="6" t="s">
        <v>6651</v>
      </c>
    </row>
    <row r="1689" spans="1:34" x14ac:dyDescent="0.2">
      <c r="A1689" t="s">
        <v>3271</v>
      </c>
      <c r="B1689" t="s">
        <v>1535</v>
      </c>
      <c r="C1689" t="s">
        <v>2871</v>
      </c>
      <c r="D1689" s="7" t="s">
        <v>136</v>
      </c>
      <c r="E1689" t="s">
        <v>58</v>
      </c>
      <c r="F1689">
        <v>26</v>
      </c>
      <c r="G1689">
        <v>80</v>
      </c>
      <c r="H1689">
        <v>66</v>
      </c>
      <c r="I1689" t="s">
        <v>6460</v>
      </c>
      <c r="J1689">
        <v>79</v>
      </c>
      <c r="K1689">
        <v>249</v>
      </c>
      <c r="L1689" t="s">
        <v>4965</v>
      </c>
      <c r="M1689" s="6" t="s">
        <v>6558</v>
      </c>
      <c r="N1689" s="6" t="s">
        <v>6565</v>
      </c>
      <c r="O1689" s="6">
        <v>84</v>
      </c>
      <c r="P1689" s="6">
        <v>73</v>
      </c>
      <c r="Q1689" s="6">
        <v>74</v>
      </c>
      <c r="R1689" s="6">
        <v>70</v>
      </c>
      <c r="S1689" s="6">
        <v>73</v>
      </c>
      <c r="T1689" s="6">
        <v>73</v>
      </c>
      <c r="U1689" s="6">
        <v>89</v>
      </c>
      <c r="V1689" s="6">
        <v>74</v>
      </c>
      <c r="W1689" s="6">
        <v>85</v>
      </c>
      <c r="X1689" s="6">
        <v>89</v>
      </c>
      <c r="Y1689" s="6">
        <v>76</v>
      </c>
      <c r="Z1689" s="6">
        <v>78</v>
      </c>
      <c r="AA1689" s="6">
        <v>72</v>
      </c>
      <c r="AB1689" s="6">
        <v>80</v>
      </c>
      <c r="AC1689" s="6">
        <v>77</v>
      </c>
      <c r="AD1689" s="6">
        <v>67</v>
      </c>
      <c r="AE1689" s="6">
        <v>79</v>
      </c>
      <c r="AF1689" s="6">
        <v>85</v>
      </c>
      <c r="AG1689" s="6" t="s">
        <v>7002</v>
      </c>
      <c r="AH1689" s="6" t="s">
        <v>6737</v>
      </c>
    </row>
    <row r="1690" spans="1:34" x14ac:dyDescent="0.2">
      <c r="A1690" t="s">
        <v>3500</v>
      </c>
      <c r="B1690" t="s">
        <v>1764</v>
      </c>
      <c r="C1690" t="s">
        <v>2878</v>
      </c>
      <c r="D1690" s="7" t="s">
        <v>140</v>
      </c>
      <c r="E1690" t="s">
        <v>58</v>
      </c>
      <c r="F1690">
        <v>33</v>
      </c>
      <c r="G1690">
        <v>64</v>
      </c>
      <c r="H1690">
        <v>66</v>
      </c>
      <c r="I1690" t="s">
        <v>6333</v>
      </c>
      <c r="J1690">
        <v>76</v>
      </c>
      <c r="K1690">
        <v>278</v>
      </c>
      <c r="L1690" t="s">
        <v>5194</v>
      </c>
      <c r="M1690" s="6" t="s">
        <v>6558</v>
      </c>
      <c r="N1690" s="6" t="s">
        <v>6567</v>
      </c>
      <c r="O1690" s="6">
        <v>68</v>
      </c>
      <c r="P1690" s="6">
        <v>72</v>
      </c>
      <c r="Q1690" s="6">
        <v>70</v>
      </c>
      <c r="R1690" s="6">
        <v>64</v>
      </c>
      <c r="S1690" s="6">
        <v>85</v>
      </c>
      <c r="T1690" s="6">
        <v>71</v>
      </c>
      <c r="U1690" s="6">
        <v>70</v>
      </c>
      <c r="V1690" s="6">
        <v>74</v>
      </c>
      <c r="W1690" s="6">
        <v>68</v>
      </c>
      <c r="X1690" s="6">
        <v>60</v>
      </c>
      <c r="Y1690" s="6">
        <v>73</v>
      </c>
      <c r="Z1690" s="6">
        <v>75</v>
      </c>
      <c r="AA1690" s="6">
        <v>62</v>
      </c>
      <c r="AB1690" s="6">
        <v>63</v>
      </c>
      <c r="AC1690" s="6">
        <v>54</v>
      </c>
      <c r="AD1690" s="6">
        <v>60</v>
      </c>
      <c r="AE1690" s="6">
        <v>57</v>
      </c>
      <c r="AF1690" s="6">
        <v>56</v>
      </c>
      <c r="AG1690" s="6" t="s">
        <v>7236</v>
      </c>
      <c r="AH1690" s="6" t="s">
        <v>6686</v>
      </c>
    </row>
    <row r="1691" spans="1:34" x14ac:dyDescent="0.2">
      <c r="A1691" t="s">
        <v>3535</v>
      </c>
      <c r="B1691" t="s">
        <v>1799</v>
      </c>
      <c r="C1691" t="s">
        <v>57</v>
      </c>
      <c r="D1691" s="7" t="s">
        <v>141</v>
      </c>
      <c r="E1691" t="s">
        <v>38</v>
      </c>
      <c r="F1691">
        <v>25</v>
      </c>
      <c r="G1691">
        <v>74</v>
      </c>
      <c r="H1691">
        <v>66</v>
      </c>
      <c r="I1691" t="s">
        <v>6359</v>
      </c>
      <c r="J1691">
        <v>71</v>
      </c>
      <c r="K1691">
        <v>183</v>
      </c>
      <c r="L1691" t="s">
        <v>5229</v>
      </c>
      <c r="M1691" s="6" t="s">
        <v>6558</v>
      </c>
      <c r="N1691" s="6" t="s">
        <v>6567</v>
      </c>
      <c r="O1691" s="6">
        <v>70</v>
      </c>
      <c r="P1691" s="6">
        <v>75</v>
      </c>
      <c r="Q1691" s="6">
        <v>78</v>
      </c>
      <c r="R1691" s="6">
        <v>66</v>
      </c>
      <c r="S1691" s="6">
        <v>70</v>
      </c>
      <c r="T1691" s="6">
        <v>71</v>
      </c>
      <c r="U1691" s="6">
        <v>72</v>
      </c>
      <c r="V1691" s="6">
        <v>72</v>
      </c>
      <c r="W1691" s="6">
        <v>78</v>
      </c>
      <c r="X1691" s="6">
        <v>76</v>
      </c>
      <c r="Y1691" s="6">
        <v>65</v>
      </c>
      <c r="Z1691" s="6">
        <v>75</v>
      </c>
      <c r="AA1691" s="6">
        <v>69</v>
      </c>
      <c r="AB1691" s="6">
        <v>67</v>
      </c>
      <c r="AC1691" s="6">
        <v>62</v>
      </c>
      <c r="AD1691" s="6">
        <v>63</v>
      </c>
      <c r="AE1691" s="6">
        <v>67</v>
      </c>
      <c r="AF1691" s="6">
        <v>78</v>
      </c>
      <c r="AG1691" s="6" t="s">
        <v>7272</v>
      </c>
      <c r="AH1691" s="6" t="s">
        <v>6658</v>
      </c>
    </row>
    <row r="1692" spans="1:34" x14ac:dyDescent="0.2">
      <c r="A1692" t="s">
        <v>3679</v>
      </c>
      <c r="B1692" t="s">
        <v>1943</v>
      </c>
      <c r="C1692" t="s">
        <v>2882</v>
      </c>
      <c r="D1692" s="7" t="s">
        <v>143</v>
      </c>
      <c r="E1692" t="s">
        <v>38</v>
      </c>
      <c r="F1692">
        <v>25</v>
      </c>
      <c r="G1692">
        <v>75</v>
      </c>
      <c r="H1692">
        <v>66</v>
      </c>
      <c r="I1692" t="s">
        <v>6431</v>
      </c>
      <c r="J1692">
        <v>70</v>
      </c>
      <c r="K1692">
        <v>190</v>
      </c>
      <c r="L1692" t="s">
        <v>5373</v>
      </c>
      <c r="M1692" s="6" t="s">
        <v>6558</v>
      </c>
      <c r="N1692" s="6" t="s">
        <v>6565</v>
      </c>
      <c r="O1692" s="6">
        <v>79</v>
      </c>
      <c r="P1692" s="6">
        <v>75</v>
      </c>
      <c r="Q1692" s="6">
        <v>74</v>
      </c>
      <c r="R1692" s="6">
        <v>74</v>
      </c>
      <c r="S1692" s="6">
        <v>79</v>
      </c>
      <c r="T1692" s="6">
        <v>67</v>
      </c>
      <c r="U1692" s="6">
        <v>72</v>
      </c>
      <c r="V1692" s="6">
        <v>70</v>
      </c>
      <c r="W1692" s="6">
        <v>69</v>
      </c>
      <c r="X1692" s="6">
        <v>71</v>
      </c>
      <c r="Y1692" s="6">
        <v>70</v>
      </c>
      <c r="Z1692" s="6">
        <v>82</v>
      </c>
      <c r="AA1692" s="6">
        <v>71</v>
      </c>
      <c r="AB1692" s="6">
        <v>73</v>
      </c>
      <c r="AC1692" s="6">
        <v>70</v>
      </c>
      <c r="AD1692" s="6">
        <v>70</v>
      </c>
      <c r="AE1692" s="6">
        <v>69</v>
      </c>
      <c r="AF1692" s="6">
        <v>75</v>
      </c>
      <c r="AG1692" s="6" t="s">
        <v>7415</v>
      </c>
      <c r="AH1692" s="6" t="s">
        <v>6636</v>
      </c>
    </row>
    <row r="1693" spans="1:34" x14ac:dyDescent="0.2">
      <c r="A1693" t="s">
        <v>3089</v>
      </c>
      <c r="B1693" t="s">
        <v>1353</v>
      </c>
      <c r="C1693" t="s">
        <v>2879</v>
      </c>
      <c r="D1693" s="7" t="s">
        <v>130</v>
      </c>
      <c r="E1693" t="s">
        <v>38</v>
      </c>
      <c r="F1693">
        <v>25</v>
      </c>
      <c r="G1693">
        <v>74</v>
      </c>
      <c r="H1693">
        <v>64</v>
      </c>
      <c r="I1693" t="s">
        <v>6326</v>
      </c>
      <c r="J1693">
        <v>73</v>
      </c>
      <c r="K1693">
        <v>320</v>
      </c>
      <c r="L1693" t="s">
        <v>4783</v>
      </c>
      <c r="M1693" s="6" t="s">
        <v>6558</v>
      </c>
      <c r="N1693" s="6" t="s">
        <v>6565</v>
      </c>
      <c r="O1693" s="6">
        <v>76</v>
      </c>
      <c r="P1693" s="6">
        <v>72</v>
      </c>
      <c r="Q1693" s="6">
        <v>73</v>
      </c>
      <c r="R1693" s="6">
        <v>70</v>
      </c>
      <c r="S1693" s="6">
        <v>67</v>
      </c>
      <c r="T1693" s="6">
        <v>68</v>
      </c>
      <c r="U1693" s="6">
        <v>76</v>
      </c>
      <c r="V1693" s="6">
        <v>72</v>
      </c>
      <c r="W1693" s="6">
        <v>71</v>
      </c>
      <c r="X1693" s="6">
        <v>68</v>
      </c>
      <c r="Y1693" s="6">
        <v>80</v>
      </c>
      <c r="Z1693" s="6">
        <v>68</v>
      </c>
      <c r="AA1693" s="6">
        <v>67</v>
      </c>
      <c r="AB1693" s="6">
        <v>77</v>
      </c>
      <c r="AC1693" s="6">
        <v>71</v>
      </c>
      <c r="AD1693" s="6">
        <v>80</v>
      </c>
      <c r="AE1693" s="6">
        <v>72</v>
      </c>
      <c r="AF1693" s="6">
        <v>72</v>
      </c>
      <c r="AG1693" s="6" t="s">
        <v>6807</v>
      </c>
      <c r="AH1693" s="6" t="s">
        <v>6806</v>
      </c>
    </row>
    <row r="1694" spans="1:34" x14ac:dyDescent="0.2">
      <c r="A1694" t="s">
        <v>3267</v>
      </c>
      <c r="B1694" t="s">
        <v>1531</v>
      </c>
      <c r="C1694" t="s">
        <v>57</v>
      </c>
      <c r="D1694" s="7" t="s">
        <v>136</v>
      </c>
      <c r="E1694" t="s">
        <v>38</v>
      </c>
      <c r="F1694">
        <v>30</v>
      </c>
      <c r="G1694">
        <v>74</v>
      </c>
      <c r="H1694">
        <v>63</v>
      </c>
      <c r="I1694" t="s">
        <v>6456</v>
      </c>
      <c r="J1694">
        <v>71</v>
      </c>
      <c r="K1694">
        <v>187</v>
      </c>
      <c r="L1694" t="s">
        <v>4961</v>
      </c>
      <c r="M1694" s="6" t="s">
        <v>6558</v>
      </c>
      <c r="N1694" s="6" t="s">
        <v>6565</v>
      </c>
      <c r="O1694" s="6">
        <v>76</v>
      </c>
      <c r="P1694" s="6">
        <v>73</v>
      </c>
      <c r="Q1694" s="6">
        <v>66</v>
      </c>
      <c r="R1694" s="6">
        <v>73</v>
      </c>
      <c r="S1694" s="6">
        <v>67</v>
      </c>
      <c r="T1694" s="6">
        <v>70</v>
      </c>
      <c r="U1694" s="6">
        <v>87</v>
      </c>
      <c r="V1694" s="6">
        <v>79</v>
      </c>
      <c r="W1694" s="6">
        <v>84</v>
      </c>
      <c r="X1694" s="6">
        <v>78</v>
      </c>
      <c r="Y1694" s="6">
        <v>87</v>
      </c>
      <c r="Z1694" s="6">
        <v>64</v>
      </c>
      <c r="AA1694" s="6">
        <v>63</v>
      </c>
      <c r="AB1694" s="6">
        <v>76</v>
      </c>
      <c r="AC1694" s="6">
        <v>71</v>
      </c>
      <c r="AD1694" s="6">
        <v>72</v>
      </c>
      <c r="AE1694" s="6">
        <v>68</v>
      </c>
      <c r="AF1694" s="6">
        <v>76</v>
      </c>
      <c r="AG1694" s="6" t="s">
        <v>6998</v>
      </c>
      <c r="AH1694" s="6" t="s">
        <v>6661</v>
      </c>
    </row>
    <row r="1695" spans="1:34" x14ac:dyDescent="0.2">
      <c r="A1695" t="s">
        <v>3270</v>
      </c>
      <c r="B1695" t="s">
        <v>1534</v>
      </c>
      <c r="C1695" t="s">
        <v>57</v>
      </c>
      <c r="D1695" s="7" t="s">
        <v>136</v>
      </c>
      <c r="E1695" t="s">
        <v>58</v>
      </c>
      <c r="F1695">
        <v>23</v>
      </c>
      <c r="G1695">
        <v>65</v>
      </c>
      <c r="H1695">
        <v>63</v>
      </c>
      <c r="I1695" t="s">
        <v>6459</v>
      </c>
      <c r="J1695">
        <v>71</v>
      </c>
      <c r="K1695">
        <v>198</v>
      </c>
      <c r="L1695" t="s">
        <v>4964</v>
      </c>
      <c r="M1695" s="6" t="s">
        <v>6558</v>
      </c>
      <c r="N1695" s="6" t="s">
        <v>6614</v>
      </c>
      <c r="O1695" s="6">
        <v>69</v>
      </c>
      <c r="P1695" s="6">
        <v>57</v>
      </c>
      <c r="Q1695" s="6">
        <v>69</v>
      </c>
      <c r="R1695" s="6">
        <v>58</v>
      </c>
      <c r="S1695" s="6">
        <v>73</v>
      </c>
      <c r="T1695" s="6">
        <v>69</v>
      </c>
      <c r="U1695" s="6">
        <v>70</v>
      </c>
      <c r="V1695" s="6">
        <v>75</v>
      </c>
      <c r="W1695" s="6">
        <v>69</v>
      </c>
      <c r="X1695" s="6">
        <v>62</v>
      </c>
      <c r="Y1695" s="6">
        <v>78</v>
      </c>
      <c r="Z1695" s="6">
        <v>70</v>
      </c>
      <c r="AA1695" s="6">
        <v>72</v>
      </c>
      <c r="AB1695" s="6">
        <v>72</v>
      </c>
      <c r="AC1695" s="6">
        <v>84</v>
      </c>
      <c r="AD1695" s="6">
        <v>69</v>
      </c>
      <c r="AE1695" s="6">
        <v>62</v>
      </c>
      <c r="AF1695" s="6">
        <v>65</v>
      </c>
      <c r="AG1695" s="6" t="s">
        <v>7001</v>
      </c>
      <c r="AH1695" s="6" t="s">
        <v>6576</v>
      </c>
    </row>
    <row r="1696" spans="1:34" x14ac:dyDescent="0.2">
      <c r="A1696" t="s">
        <v>2960</v>
      </c>
      <c r="B1696" t="s">
        <v>1224</v>
      </c>
      <c r="C1696" t="s">
        <v>2884</v>
      </c>
      <c r="D1696" s="7" t="s">
        <v>129</v>
      </c>
      <c r="E1696" t="s">
        <v>58</v>
      </c>
      <c r="F1696">
        <v>30</v>
      </c>
      <c r="G1696">
        <v>72</v>
      </c>
      <c r="H1696">
        <v>53</v>
      </c>
      <c r="I1696" t="s">
        <v>6347</v>
      </c>
      <c r="J1696">
        <v>71</v>
      </c>
      <c r="K1696">
        <v>194</v>
      </c>
      <c r="L1696" t="s">
        <v>4654</v>
      </c>
      <c r="M1696" s="6" t="s">
        <v>6558</v>
      </c>
      <c r="N1696" s="6" t="s">
        <v>6565</v>
      </c>
      <c r="O1696" s="6">
        <v>82</v>
      </c>
      <c r="P1696" s="6">
        <v>78</v>
      </c>
      <c r="Q1696" s="6">
        <v>75</v>
      </c>
      <c r="R1696" s="6">
        <v>73</v>
      </c>
      <c r="S1696" s="6">
        <v>71</v>
      </c>
      <c r="T1696" s="6">
        <v>76</v>
      </c>
      <c r="U1696" s="6">
        <v>74</v>
      </c>
      <c r="V1696" s="6">
        <v>74</v>
      </c>
      <c r="W1696" s="6">
        <v>75</v>
      </c>
      <c r="X1696" s="6">
        <v>68</v>
      </c>
      <c r="Y1696" s="6">
        <v>83</v>
      </c>
      <c r="Z1696" s="6">
        <v>73</v>
      </c>
      <c r="AA1696" s="6">
        <v>70</v>
      </c>
      <c r="AB1696" s="6">
        <v>63</v>
      </c>
      <c r="AC1696" s="6">
        <v>68</v>
      </c>
      <c r="AD1696" s="6">
        <v>71</v>
      </c>
      <c r="AE1696" s="6">
        <v>72</v>
      </c>
      <c r="AF1696" s="6">
        <v>81</v>
      </c>
      <c r="AG1696" s="6" t="s">
        <v>6643</v>
      </c>
      <c r="AH1696" s="6" t="s">
        <v>6644</v>
      </c>
    </row>
    <row r="1697" spans="1:34" x14ac:dyDescent="0.2">
      <c r="A1697" t="s">
        <v>2969</v>
      </c>
      <c r="B1697" t="s">
        <v>1233</v>
      </c>
      <c r="C1697" t="s">
        <v>57</v>
      </c>
      <c r="D1697" s="7" t="s">
        <v>146</v>
      </c>
      <c r="E1697" t="s">
        <v>38</v>
      </c>
      <c r="F1697">
        <v>23</v>
      </c>
      <c r="G1697">
        <v>81</v>
      </c>
      <c r="H1697">
        <v>53</v>
      </c>
      <c r="I1697" t="s">
        <v>59</v>
      </c>
      <c r="J1697">
        <v>73</v>
      </c>
      <c r="K1697">
        <v>203</v>
      </c>
      <c r="L1697" t="s">
        <v>4663</v>
      </c>
      <c r="M1697" s="6" t="s">
        <v>6558</v>
      </c>
      <c r="N1697" s="6" t="s">
        <v>6614</v>
      </c>
      <c r="O1697" s="6">
        <v>81</v>
      </c>
      <c r="P1697" s="6">
        <v>74</v>
      </c>
      <c r="Q1697" s="6">
        <v>66</v>
      </c>
      <c r="R1697" s="6">
        <v>62</v>
      </c>
      <c r="S1697" s="6">
        <v>82</v>
      </c>
      <c r="T1697" s="6">
        <v>77</v>
      </c>
      <c r="U1697" s="6">
        <v>80</v>
      </c>
      <c r="V1697" s="6">
        <v>72</v>
      </c>
      <c r="W1697" s="6">
        <v>76</v>
      </c>
      <c r="X1697" s="6">
        <v>66</v>
      </c>
      <c r="Y1697" s="6">
        <v>75</v>
      </c>
      <c r="Z1697" s="6">
        <v>75</v>
      </c>
      <c r="AA1697" s="6">
        <v>79</v>
      </c>
      <c r="AB1697" s="6">
        <v>70</v>
      </c>
      <c r="AC1697" s="6">
        <v>74</v>
      </c>
      <c r="AD1697" s="6">
        <v>76</v>
      </c>
      <c r="AE1697" s="6">
        <v>69</v>
      </c>
      <c r="AF1697" s="6">
        <v>80</v>
      </c>
      <c r="AG1697" s="6" t="s">
        <v>6659</v>
      </c>
      <c r="AH1697" s="6" t="s">
        <v>6574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772"/>
  <sheetViews>
    <sheetView workbookViewId="0">
      <pane ySplit="1" topLeftCell="A123" activePane="bottomLeft" state="frozen"/>
      <selection pane="bottomLeft" activeCell="E1708" sqref="E1708"/>
    </sheetView>
  </sheetViews>
  <sheetFormatPr baseColWidth="10" defaultColWidth="8.83203125" defaultRowHeight="15" x14ac:dyDescent="0.2"/>
  <cols>
    <col min="1" max="1" width="16.5" bestFit="1" customWidth="1"/>
    <col min="2" max="2" width="12.83203125" bestFit="1" customWidth="1"/>
    <col min="3" max="3" width="10.33203125" bestFit="1" customWidth="1"/>
    <col min="4" max="4" width="31" bestFit="1" customWidth="1"/>
    <col min="5" max="5" width="13.5" bestFit="1" customWidth="1"/>
    <col min="6" max="6" width="13" bestFit="1" customWidth="1"/>
    <col min="7" max="7" width="14.6640625" style="10" bestFit="1" customWidth="1"/>
    <col min="8" max="10" width="10.5" bestFit="1" customWidth="1"/>
    <col min="11" max="11" width="13.5" bestFit="1" customWidth="1"/>
    <col min="12" max="12" width="11.5" bestFit="1" customWidth="1"/>
    <col min="13" max="13" width="70" bestFit="1" customWidth="1"/>
  </cols>
  <sheetData>
    <row r="1" spans="1:13" x14ac:dyDescent="0.2">
      <c r="A1" s="1" t="s">
        <v>35</v>
      </c>
      <c r="B1" s="1" t="s">
        <v>63</v>
      </c>
      <c r="C1" s="1" t="s">
        <v>64</v>
      </c>
      <c r="D1" s="1" t="s">
        <v>16</v>
      </c>
      <c r="E1" s="1" t="s">
        <v>65</v>
      </c>
      <c r="F1" s="1" t="s">
        <v>66</v>
      </c>
      <c r="G1" s="9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4</v>
      </c>
    </row>
    <row r="2" spans="1:13" x14ac:dyDescent="0.2">
      <c r="A2" t="s">
        <v>39</v>
      </c>
      <c r="B2" t="s">
        <v>74</v>
      </c>
      <c r="C2" t="s">
        <v>36</v>
      </c>
      <c r="D2" t="s">
        <v>25</v>
      </c>
      <c r="E2">
        <v>2020</v>
      </c>
      <c r="F2">
        <v>2099</v>
      </c>
      <c r="G2" s="10">
        <v>0</v>
      </c>
      <c r="H2">
        <v>0</v>
      </c>
      <c r="I2">
        <v>0</v>
      </c>
      <c r="J2">
        <v>0</v>
      </c>
      <c r="L2" t="b">
        <v>0</v>
      </c>
    </row>
    <row r="3" spans="1:13" x14ac:dyDescent="0.2">
      <c r="A3" t="s">
        <v>871</v>
      </c>
      <c r="B3" t="s">
        <v>74</v>
      </c>
      <c r="C3" t="s">
        <v>569</v>
      </c>
      <c r="D3" t="s">
        <v>133</v>
      </c>
      <c r="E3">
        <v>2020</v>
      </c>
      <c r="F3">
        <v>2099</v>
      </c>
      <c r="G3" s="10">
        <v>0</v>
      </c>
      <c r="H3">
        <v>0</v>
      </c>
      <c r="I3">
        <v>0</v>
      </c>
      <c r="J3">
        <v>0</v>
      </c>
      <c r="L3" t="b">
        <v>0</v>
      </c>
    </row>
    <row r="4" spans="1:13" x14ac:dyDescent="0.2">
      <c r="A4" t="s">
        <v>872</v>
      </c>
      <c r="B4" t="s">
        <v>74</v>
      </c>
      <c r="C4" t="s">
        <v>570</v>
      </c>
      <c r="D4" t="s">
        <v>151</v>
      </c>
      <c r="E4">
        <v>2020</v>
      </c>
      <c r="F4">
        <v>2099</v>
      </c>
      <c r="G4" s="10">
        <v>0</v>
      </c>
      <c r="H4">
        <f t="shared" ref="H4:H67" si="0">IF(F4&gt;=2027,G4,"")</f>
        <v>0</v>
      </c>
      <c r="I4">
        <f t="shared" ref="I4:I67" si="1">IF(F4&gt;=2028,G4,"")</f>
        <v>0</v>
      </c>
      <c r="J4">
        <f t="shared" ref="J4:J67" si="2">IF(F4&gt;=2029,G4,"")</f>
        <v>0</v>
      </c>
      <c r="L4" t="b">
        <v>0</v>
      </c>
    </row>
    <row r="5" spans="1:13" x14ac:dyDescent="0.2">
      <c r="A5" t="s">
        <v>873</v>
      </c>
      <c r="B5" t="s">
        <v>74</v>
      </c>
      <c r="C5" t="s">
        <v>571</v>
      </c>
      <c r="D5" t="s">
        <v>131</v>
      </c>
      <c r="E5">
        <v>2020</v>
      </c>
      <c r="F5">
        <v>2099</v>
      </c>
      <c r="G5" s="10">
        <v>0</v>
      </c>
      <c r="H5">
        <f t="shared" si="0"/>
        <v>0</v>
      </c>
      <c r="I5">
        <f t="shared" si="1"/>
        <v>0</v>
      </c>
      <c r="J5">
        <f t="shared" si="2"/>
        <v>0</v>
      </c>
      <c r="L5" t="b">
        <v>0</v>
      </c>
    </row>
    <row r="6" spans="1:13" x14ac:dyDescent="0.2">
      <c r="A6" t="s">
        <v>874</v>
      </c>
      <c r="B6" t="s">
        <v>74</v>
      </c>
      <c r="C6" t="s">
        <v>572</v>
      </c>
      <c r="D6" t="s">
        <v>147</v>
      </c>
      <c r="E6">
        <v>2020</v>
      </c>
      <c r="F6">
        <v>2099</v>
      </c>
      <c r="G6" s="10">
        <v>0</v>
      </c>
      <c r="H6">
        <f t="shared" si="0"/>
        <v>0</v>
      </c>
      <c r="I6">
        <f t="shared" si="1"/>
        <v>0</v>
      </c>
      <c r="J6">
        <f t="shared" si="2"/>
        <v>0</v>
      </c>
      <c r="L6" t="b">
        <v>0</v>
      </c>
    </row>
    <row r="7" spans="1:13" x14ac:dyDescent="0.2">
      <c r="A7" t="s">
        <v>875</v>
      </c>
      <c r="B7" t="s">
        <v>74</v>
      </c>
      <c r="C7" t="s">
        <v>573</v>
      </c>
      <c r="D7" t="s">
        <v>150</v>
      </c>
      <c r="E7">
        <v>2020</v>
      </c>
      <c r="F7">
        <v>2099</v>
      </c>
      <c r="G7" s="10">
        <v>0</v>
      </c>
      <c r="H7">
        <f t="shared" si="0"/>
        <v>0</v>
      </c>
      <c r="I7">
        <f t="shared" si="1"/>
        <v>0</v>
      </c>
      <c r="J7">
        <f t="shared" si="2"/>
        <v>0</v>
      </c>
      <c r="L7" t="b">
        <v>0</v>
      </c>
    </row>
    <row r="8" spans="1:13" x14ac:dyDescent="0.2">
      <c r="A8" t="s">
        <v>876</v>
      </c>
      <c r="B8" t="s">
        <v>74</v>
      </c>
      <c r="C8" t="s">
        <v>574</v>
      </c>
      <c r="D8" t="s">
        <v>157</v>
      </c>
      <c r="E8">
        <v>2020</v>
      </c>
      <c r="F8">
        <v>2099</v>
      </c>
      <c r="G8" s="10">
        <v>0</v>
      </c>
      <c r="H8">
        <f t="shared" si="0"/>
        <v>0</v>
      </c>
      <c r="I8">
        <f t="shared" si="1"/>
        <v>0</v>
      </c>
      <c r="J8">
        <f t="shared" si="2"/>
        <v>0</v>
      </c>
      <c r="L8" t="b">
        <v>0</v>
      </c>
    </row>
    <row r="9" spans="1:13" x14ac:dyDescent="0.2">
      <c r="A9" t="s">
        <v>877</v>
      </c>
      <c r="B9" t="s">
        <v>74</v>
      </c>
      <c r="C9" t="s">
        <v>575</v>
      </c>
      <c r="D9" t="s">
        <v>143</v>
      </c>
      <c r="E9">
        <v>2020</v>
      </c>
      <c r="F9">
        <v>2099</v>
      </c>
      <c r="G9" s="10">
        <v>0</v>
      </c>
      <c r="H9">
        <f t="shared" si="0"/>
        <v>0</v>
      </c>
      <c r="I9">
        <f t="shared" si="1"/>
        <v>0</v>
      </c>
      <c r="J9">
        <f t="shared" si="2"/>
        <v>0</v>
      </c>
      <c r="L9" t="b">
        <v>0</v>
      </c>
    </row>
    <row r="10" spans="1:13" x14ac:dyDescent="0.2">
      <c r="A10" t="s">
        <v>878</v>
      </c>
      <c r="B10" t="s">
        <v>74</v>
      </c>
      <c r="C10" t="s">
        <v>576</v>
      </c>
      <c r="D10" t="s">
        <v>153</v>
      </c>
      <c r="E10">
        <v>2020</v>
      </c>
      <c r="F10">
        <v>2099</v>
      </c>
      <c r="G10" s="10">
        <v>0</v>
      </c>
      <c r="H10">
        <f t="shared" si="0"/>
        <v>0</v>
      </c>
      <c r="I10">
        <f t="shared" si="1"/>
        <v>0</v>
      </c>
      <c r="J10">
        <f t="shared" si="2"/>
        <v>0</v>
      </c>
      <c r="L10" t="b">
        <v>0</v>
      </c>
    </row>
    <row r="11" spans="1:13" x14ac:dyDescent="0.2">
      <c r="A11" t="s">
        <v>879</v>
      </c>
      <c r="B11" t="s">
        <v>74</v>
      </c>
      <c r="C11" t="s">
        <v>577</v>
      </c>
      <c r="D11" t="s">
        <v>137</v>
      </c>
      <c r="E11">
        <v>2020</v>
      </c>
      <c r="F11">
        <v>2099</v>
      </c>
      <c r="G11" s="10">
        <v>0</v>
      </c>
      <c r="H11">
        <f t="shared" si="0"/>
        <v>0</v>
      </c>
      <c r="I11">
        <f t="shared" si="1"/>
        <v>0</v>
      </c>
      <c r="J11">
        <f t="shared" si="2"/>
        <v>0</v>
      </c>
      <c r="L11" t="b">
        <v>0</v>
      </c>
    </row>
    <row r="12" spans="1:13" x14ac:dyDescent="0.2">
      <c r="A12" t="s">
        <v>880</v>
      </c>
      <c r="B12" t="s">
        <v>74</v>
      </c>
      <c r="C12" t="s">
        <v>578</v>
      </c>
      <c r="D12" t="s">
        <v>140</v>
      </c>
      <c r="E12">
        <v>2020</v>
      </c>
      <c r="F12">
        <v>2099</v>
      </c>
      <c r="G12" s="10">
        <v>0</v>
      </c>
      <c r="H12">
        <f t="shared" si="0"/>
        <v>0</v>
      </c>
      <c r="I12">
        <f t="shared" si="1"/>
        <v>0</v>
      </c>
      <c r="J12">
        <f t="shared" si="2"/>
        <v>0</v>
      </c>
      <c r="L12" t="b">
        <v>0</v>
      </c>
    </row>
    <row r="13" spans="1:13" x14ac:dyDescent="0.2">
      <c r="A13" t="s">
        <v>881</v>
      </c>
      <c r="B13" t="s">
        <v>74</v>
      </c>
      <c r="C13" t="s">
        <v>579</v>
      </c>
      <c r="D13" t="s">
        <v>134</v>
      </c>
      <c r="E13">
        <v>2020</v>
      </c>
      <c r="F13">
        <v>2099</v>
      </c>
      <c r="G13" s="10">
        <v>0</v>
      </c>
      <c r="H13">
        <f t="shared" si="0"/>
        <v>0</v>
      </c>
      <c r="I13">
        <f t="shared" si="1"/>
        <v>0</v>
      </c>
      <c r="J13">
        <f t="shared" si="2"/>
        <v>0</v>
      </c>
      <c r="L13" t="b">
        <v>0</v>
      </c>
    </row>
    <row r="14" spans="1:13" x14ac:dyDescent="0.2">
      <c r="A14" t="s">
        <v>882</v>
      </c>
      <c r="B14" t="s">
        <v>74</v>
      </c>
      <c r="C14" t="s">
        <v>580</v>
      </c>
      <c r="D14" t="s">
        <v>141</v>
      </c>
      <c r="E14">
        <v>2020</v>
      </c>
      <c r="F14">
        <v>2099</v>
      </c>
      <c r="G14" s="10">
        <v>0</v>
      </c>
      <c r="H14">
        <f t="shared" si="0"/>
        <v>0</v>
      </c>
      <c r="I14">
        <f t="shared" si="1"/>
        <v>0</v>
      </c>
      <c r="J14">
        <f t="shared" si="2"/>
        <v>0</v>
      </c>
      <c r="L14" t="b">
        <v>0</v>
      </c>
    </row>
    <row r="15" spans="1:13" x14ac:dyDescent="0.2">
      <c r="A15" t="s">
        <v>883</v>
      </c>
      <c r="B15" t="s">
        <v>74</v>
      </c>
      <c r="C15" t="s">
        <v>581</v>
      </c>
      <c r="D15" t="s">
        <v>138</v>
      </c>
      <c r="E15">
        <v>2020</v>
      </c>
      <c r="F15">
        <v>2099</v>
      </c>
      <c r="G15" s="10">
        <v>0</v>
      </c>
      <c r="H15">
        <f t="shared" si="0"/>
        <v>0</v>
      </c>
      <c r="I15">
        <f t="shared" si="1"/>
        <v>0</v>
      </c>
      <c r="J15">
        <f t="shared" si="2"/>
        <v>0</v>
      </c>
      <c r="L15" t="b">
        <v>0</v>
      </c>
    </row>
    <row r="16" spans="1:13" x14ac:dyDescent="0.2">
      <c r="A16" t="s">
        <v>884</v>
      </c>
      <c r="B16" t="s">
        <v>74</v>
      </c>
      <c r="C16" t="s">
        <v>582</v>
      </c>
      <c r="D16" t="s">
        <v>139</v>
      </c>
      <c r="E16">
        <v>2020</v>
      </c>
      <c r="F16">
        <v>2099</v>
      </c>
      <c r="G16" s="10">
        <v>0</v>
      </c>
      <c r="H16">
        <f t="shared" si="0"/>
        <v>0</v>
      </c>
      <c r="I16">
        <f t="shared" si="1"/>
        <v>0</v>
      </c>
      <c r="J16">
        <f t="shared" si="2"/>
        <v>0</v>
      </c>
      <c r="L16" t="b">
        <v>0</v>
      </c>
    </row>
    <row r="17" spans="1:12" x14ac:dyDescent="0.2">
      <c r="A17" t="s">
        <v>885</v>
      </c>
      <c r="B17" t="s">
        <v>74</v>
      </c>
      <c r="C17" t="s">
        <v>583</v>
      </c>
      <c r="D17" t="s">
        <v>152</v>
      </c>
      <c r="E17">
        <v>2020</v>
      </c>
      <c r="F17">
        <v>2099</v>
      </c>
      <c r="G17" s="10">
        <v>0</v>
      </c>
      <c r="H17">
        <f t="shared" si="0"/>
        <v>0</v>
      </c>
      <c r="I17">
        <f t="shared" si="1"/>
        <v>0</v>
      </c>
      <c r="J17">
        <f t="shared" si="2"/>
        <v>0</v>
      </c>
      <c r="L17" t="b">
        <v>0</v>
      </c>
    </row>
    <row r="18" spans="1:12" x14ac:dyDescent="0.2">
      <c r="A18" t="s">
        <v>886</v>
      </c>
      <c r="B18" t="s">
        <v>74</v>
      </c>
      <c r="C18" t="s">
        <v>584</v>
      </c>
      <c r="D18" t="s">
        <v>135</v>
      </c>
      <c r="E18">
        <v>2020</v>
      </c>
      <c r="F18">
        <v>2099</v>
      </c>
      <c r="G18" s="10">
        <v>0</v>
      </c>
      <c r="H18">
        <f t="shared" si="0"/>
        <v>0</v>
      </c>
      <c r="I18">
        <f t="shared" si="1"/>
        <v>0</v>
      </c>
      <c r="J18">
        <f t="shared" si="2"/>
        <v>0</v>
      </c>
      <c r="L18" t="b">
        <v>0</v>
      </c>
    </row>
    <row r="19" spans="1:12" x14ac:dyDescent="0.2">
      <c r="A19" t="s">
        <v>887</v>
      </c>
      <c r="B19" t="s">
        <v>74</v>
      </c>
      <c r="C19" t="s">
        <v>585</v>
      </c>
      <c r="D19" t="s">
        <v>129</v>
      </c>
      <c r="E19">
        <v>2020</v>
      </c>
      <c r="F19">
        <v>2099</v>
      </c>
      <c r="G19" s="10">
        <v>0</v>
      </c>
      <c r="H19">
        <f t="shared" si="0"/>
        <v>0</v>
      </c>
      <c r="I19">
        <f t="shared" si="1"/>
        <v>0</v>
      </c>
      <c r="J19">
        <f t="shared" si="2"/>
        <v>0</v>
      </c>
      <c r="L19" t="b">
        <v>0</v>
      </c>
    </row>
    <row r="20" spans="1:12" x14ac:dyDescent="0.2">
      <c r="A20" t="s">
        <v>888</v>
      </c>
      <c r="B20" t="s">
        <v>74</v>
      </c>
      <c r="C20" t="s">
        <v>586</v>
      </c>
      <c r="D20" t="s">
        <v>130</v>
      </c>
      <c r="E20">
        <v>2020</v>
      </c>
      <c r="F20">
        <v>2099</v>
      </c>
      <c r="G20" s="10">
        <v>0</v>
      </c>
      <c r="H20">
        <f t="shared" si="0"/>
        <v>0</v>
      </c>
      <c r="I20">
        <f t="shared" si="1"/>
        <v>0</v>
      </c>
      <c r="J20">
        <f t="shared" si="2"/>
        <v>0</v>
      </c>
      <c r="L20" t="b">
        <v>0</v>
      </c>
    </row>
    <row r="21" spans="1:12" x14ac:dyDescent="0.2">
      <c r="A21" t="s">
        <v>889</v>
      </c>
      <c r="B21" t="s">
        <v>74</v>
      </c>
      <c r="C21" t="s">
        <v>587</v>
      </c>
      <c r="D21" t="s">
        <v>132</v>
      </c>
      <c r="E21">
        <v>2020</v>
      </c>
      <c r="F21">
        <v>2099</v>
      </c>
      <c r="G21" s="10">
        <v>0</v>
      </c>
      <c r="H21">
        <f t="shared" si="0"/>
        <v>0</v>
      </c>
      <c r="I21">
        <f t="shared" si="1"/>
        <v>0</v>
      </c>
      <c r="J21">
        <f t="shared" si="2"/>
        <v>0</v>
      </c>
      <c r="L21" t="b">
        <v>0</v>
      </c>
    </row>
    <row r="22" spans="1:12" x14ac:dyDescent="0.2">
      <c r="A22" t="s">
        <v>890</v>
      </c>
      <c r="B22" t="s">
        <v>74</v>
      </c>
      <c r="C22" t="s">
        <v>588</v>
      </c>
      <c r="D22" t="s">
        <v>22</v>
      </c>
      <c r="E22">
        <v>2020</v>
      </c>
      <c r="F22">
        <v>2099</v>
      </c>
      <c r="G22" s="10">
        <v>0</v>
      </c>
      <c r="H22">
        <f t="shared" si="0"/>
        <v>0</v>
      </c>
      <c r="I22">
        <f t="shared" si="1"/>
        <v>0</v>
      </c>
      <c r="J22">
        <f t="shared" si="2"/>
        <v>0</v>
      </c>
      <c r="L22" t="b">
        <v>0</v>
      </c>
    </row>
    <row r="23" spans="1:12" x14ac:dyDescent="0.2">
      <c r="A23" t="s">
        <v>891</v>
      </c>
      <c r="B23" t="s">
        <v>74</v>
      </c>
      <c r="C23" t="s">
        <v>589</v>
      </c>
      <c r="D23" t="s">
        <v>149</v>
      </c>
      <c r="E23">
        <v>2020</v>
      </c>
      <c r="F23">
        <v>2099</v>
      </c>
      <c r="G23" s="10">
        <v>0</v>
      </c>
      <c r="H23">
        <f t="shared" si="0"/>
        <v>0</v>
      </c>
      <c r="I23">
        <f t="shared" si="1"/>
        <v>0</v>
      </c>
      <c r="J23">
        <f t="shared" si="2"/>
        <v>0</v>
      </c>
      <c r="L23" t="b">
        <v>0</v>
      </c>
    </row>
    <row r="24" spans="1:12" x14ac:dyDescent="0.2">
      <c r="A24" t="s">
        <v>892</v>
      </c>
      <c r="B24" t="s">
        <v>74</v>
      </c>
      <c r="C24" t="s">
        <v>590</v>
      </c>
      <c r="D24" t="s">
        <v>146</v>
      </c>
      <c r="E24">
        <v>2020</v>
      </c>
      <c r="F24">
        <v>2099</v>
      </c>
      <c r="G24" s="10">
        <v>0</v>
      </c>
      <c r="H24">
        <f t="shared" si="0"/>
        <v>0</v>
      </c>
      <c r="I24">
        <f t="shared" si="1"/>
        <v>0</v>
      </c>
      <c r="J24">
        <f t="shared" si="2"/>
        <v>0</v>
      </c>
      <c r="L24" t="b">
        <v>0</v>
      </c>
    </row>
    <row r="25" spans="1:12" x14ac:dyDescent="0.2">
      <c r="A25" t="s">
        <v>893</v>
      </c>
      <c r="B25" t="s">
        <v>74</v>
      </c>
      <c r="C25" t="s">
        <v>591</v>
      </c>
      <c r="D25" t="s">
        <v>142</v>
      </c>
      <c r="E25">
        <v>2020</v>
      </c>
      <c r="F25">
        <v>2099</v>
      </c>
      <c r="G25" s="10">
        <v>0</v>
      </c>
      <c r="H25">
        <f t="shared" si="0"/>
        <v>0</v>
      </c>
      <c r="I25">
        <f t="shared" si="1"/>
        <v>0</v>
      </c>
      <c r="J25">
        <f t="shared" si="2"/>
        <v>0</v>
      </c>
      <c r="L25" t="b">
        <v>0</v>
      </c>
    </row>
    <row r="26" spans="1:12" x14ac:dyDescent="0.2">
      <c r="A26" t="s">
        <v>894</v>
      </c>
      <c r="B26" t="s">
        <v>74</v>
      </c>
      <c r="C26" t="s">
        <v>592</v>
      </c>
      <c r="D26" t="s">
        <v>154</v>
      </c>
      <c r="E26">
        <v>2020</v>
      </c>
      <c r="F26">
        <v>2099</v>
      </c>
      <c r="G26" s="10">
        <v>0</v>
      </c>
      <c r="H26">
        <f t="shared" si="0"/>
        <v>0</v>
      </c>
      <c r="I26">
        <f t="shared" si="1"/>
        <v>0</v>
      </c>
      <c r="J26">
        <f t="shared" si="2"/>
        <v>0</v>
      </c>
      <c r="L26" t="b">
        <v>0</v>
      </c>
    </row>
    <row r="27" spans="1:12" x14ac:dyDescent="0.2">
      <c r="A27" t="s">
        <v>895</v>
      </c>
      <c r="B27" t="s">
        <v>74</v>
      </c>
      <c r="C27" t="s">
        <v>593</v>
      </c>
      <c r="D27" t="s">
        <v>148</v>
      </c>
      <c r="E27">
        <v>2020</v>
      </c>
      <c r="F27">
        <v>2099</v>
      </c>
      <c r="G27" s="10">
        <v>0</v>
      </c>
      <c r="H27">
        <f t="shared" si="0"/>
        <v>0</v>
      </c>
      <c r="I27">
        <f t="shared" si="1"/>
        <v>0</v>
      </c>
      <c r="J27">
        <f t="shared" si="2"/>
        <v>0</v>
      </c>
      <c r="L27" t="b">
        <v>0</v>
      </c>
    </row>
    <row r="28" spans="1:12" x14ac:dyDescent="0.2">
      <c r="A28" t="s">
        <v>896</v>
      </c>
      <c r="B28" t="s">
        <v>74</v>
      </c>
      <c r="C28" t="s">
        <v>594</v>
      </c>
      <c r="D28" t="s">
        <v>144</v>
      </c>
      <c r="E28">
        <v>2020</v>
      </c>
      <c r="F28">
        <v>2099</v>
      </c>
      <c r="G28" s="10">
        <v>0</v>
      </c>
      <c r="H28">
        <f t="shared" si="0"/>
        <v>0</v>
      </c>
      <c r="I28">
        <f t="shared" si="1"/>
        <v>0</v>
      </c>
      <c r="J28">
        <f t="shared" si="2"/>
        <v>0</v>
      </c>
      <c r="L28" t="b">
        <v>0</v>
      </c>
    </row>
    <row r="29" spans="1:12" x14ac:dyDescent="0.2">
      <c r="A29" t="s">
        <v>897</v>
      </c>
      <c r="B29" t="s">
        <v>74</v>
      </c>
      <c r="C29" t="s">
        <v>595</v>
      </c>
      <c r="D29" t="s">
        <v>136</v>
      </c>
      <c r="E29">
        <v>2020</v>
      </c>
      <c r="F29">
        <v>2099</v>
      </c>
      <c r="G29" s="10">
        <v>0</v>
      </c>
      <c r="H29">
        <f t="shared" si="0"/>
        <v>0</v>
      </c>
      <c r="I29">
        <f t="shared" si="1"/>
        <v>0</v>
      </c>
      <c r="J29">
        <f t="shared" si="2"/>
        <v>0</v>
      </c>
      <c r="L29" t="b">
        <v>0</v>
      </c>
    </row>
    <row r="30" spans="1:12" x14ac:dyDescent="0.2">
      <c r="A30" t="s">
        <v>898</v>
      </c>
      <c r="B30" t="s">
        <v>74</v>
      </c>
      <c r="C30" t="s">
        <v>596</v>
      </c>
      <c r="D30" t="s">
        <v>145</v>
      </c>
      <c r="E30">
        <v>2020</v>
      </c>
      <c r="F30">
        <v>2099</v>
      </c>
      <c r="G30" s="10">
        <v>0</v>
      </c>
      <c r="H30">
        <f t="shared" si="0"/>
        <v>0</v>
      </c>
      <c r="I30">
        <f t="shared" si="1"/>
        <v>0</v>
      </c>
      <c r="J30">
        <f t="shared" si="2"/>
        <v>0</v>
      </c>
      <c r="L30" t="b">
        <v>0</v>
      </c>
    </row>
    <row r="31" spans="1:12" x14ac:dyDescent="0.2">
      <c r="A31" t="s">
        <v>899</v>
      </c>
      <c r="B31" t="s">
        <v>74</v>
      </c>
      <c r="C31" t="s">
        <v>597</v>
      </c>
      <c r="D31" t="s">
        <v>158</v>
      </c>
      <c r="E31">
        <v>2020</v>
      </c>
      <c r="F31">
        <v>2099</v>
      </c>
      <c r="G31" s="10">
        <v>0</v>
      </c>
      <c r="H31">
        <f t="shared" si="0"/>
        <v>0</v>
      </c>
      <c r="I31">
        <f t="shared" si="1"/>
        <v>0</v>
      </c>
      <c r="J31">
        <f t="shared" si="2"/>
        <v>0</v>
      </c>
      <c r="L31" t="b">
        <v>0</v>
      </c>
    </row>
    <row r="32" spans="1:12" x14ac:dyDescent="0.2">
      <c r="A32" t="s">
        <v>900</v>
      </c>
      <c r="B32" t="s">
        <v>74</v>
      </c>
      <c r="C32" t="s">
        <v>598</v>
      </c>
      <c r="D32" t="s">
        <v>155</v>
      </c>
      <c r="E32">
        <v>2020</v>
      </c>
      <c r="F32">
        <v>2099</v>
      </c>
      <c r="G32" s="10">
        <v>0</v>
      </c>
      <c r="H32">
        <f t="shared" si="0"/>
        <v>0</v>
      </c>
      <c r="I32">
        <f t="shared" si="1"/>
        <v>0</v>
      </c>
      <c r="J32">
        <f t="shared" si="2"/>
        <v>0</v>
      </c>
      <c r="L32" t="b">
        <v>0</v>
      </c>
    </row>
    <row r="33" spans="1:12" x14ac:dyDescent="0.2">
      <c r="A33" t="s">
        <v>901</v>
      </c>
      <c r="B33" t="s">
        <v>74</v>
      </c>
      <c r="C33" t="s">
        <v>599</v>
      </c>
      <c r="D33" t="s">
        <v>156</v>
      </c>
      <c r="E33">
        <v>2020</v>
      </c>
      <c r="F33">
        <v>2099</v>
      </c>
      <c r="G33" s="10">
        <v>0</v>
      </c>
      <c r="H33">
        <f t="shared" si="0"/>
        <v>0</v>
      </c>
      <c r="I33">
        <f t="shared" si="1"/>
        <v>0</v>
      </c>
      <c r="J33">
        <f t="shared" si="2"/>
        <v>0</v>
      </c>
      <c r="L33" t="b">
        <v>0</v>
      </c>
    </row>
    <row r="34" spans="1:12" x14ac:dyDescent="0.2">
      <c r="A34" t="s">
        <v>902</v>
      </c>
      <c r="B34" t="s">
        <v>74</v>
      </c>
      <c r="C34" t="s">
        <v>600</v>
      </c>
      <c r="D34" t="s">
        <v>25</v>
      </c>
      <c r="E34">
        <v>2024</v>
      </c>
      <c r="F34">
        <v>2026</v>
      </c>
      <c r="G34" s="10">
        <v>2000000</v>
      </c>
      <c r="H34" t="str">
        <f t="shared" si="0"/>
        <v/>
      </c>
      <c r="I34" t="str">
        <f t="shared" si="1"/>
        <v/>
      </c>
      <c r="J34" t="str">
        <f t="shared" si="2"/>
        <v/>
      </c>
      <c r="K34">
        <f>IF(E34="","",SUM(ContractsTbl[[#This Row],[salaryY1]:[salaryY4]]))</f>
        <v>2000000</v>
      </c>
      <c r="L34" t="b">
        <f>IF(F34="",TRUE,FALSE)</f>
        <v>0</v>
      </c>
    </row>
    <row r="35" spans="1:12" x14ac:dyDescent="0.2">
      <c r="A35" t="s">
        <v>903</v>
      </c>
      <c r="B35" t="s">
        <v>74</v>
      </c>
      <c r="C35" t="s">
        <v>601</v>
      </c>
      <c r="D35" t="s">
        <v>133</v>
      </c>
      <c r="E35">
        <v>2024</v>
      </c>
      <c r="F35">
        <v>2026</v>
      </c>
      <c r="G35" s="10">
        <v>2800000</v>
      </c>
      <c r="H35" t="str">
        <f t="shared" si="0"/>
        <v/>
      </c>
      <c r="I35" t="str">
        <f t="shared" si="1"/>
        <v/>
      </c>
      <c r="J35" t="str">
        <f t="shared" si="2"/>
        <v/>
      </c>
      <c r="K35">
        <f>IF(E35="","",SUM(ContractsTbl[[#This Row],[salaryY1]:[salaryY4]]))</f>
        <v>2800000</v>
      </c>
      <c r="L35" t="b">
        <f t="shared" ref="L35:L98" si="3">IF(F35="",TRUE,FALSE)</f>
        <v>0</v>
      </c>
    </row>
    <row r="36" spans="1:12" x14ac:dyDescent="0.2">
      <c r="A36" t="s">
        <v>904</v>
      </c>
      <c r="B36" t="s">
        <v>74</v>
      </c>
      <c r="C36" t="s">
        <v>602</v>
      </c>
      <c r="D36" t="s">
        <v>151</v>
      </c>
      <c r="E36">
        <v>2023</v>
      </c>
      <c r="F36">
        <v>2027</v>
      </c>
      <c r="G36" s="10">
        <v>3000000</v>
      </c>
      <c r="H36">
        <f t="shared" si="0"/>
        <v>3000000</v>
      </c>
      <c r="I36" t="str">
        <f t="shared" si="1"/>
        <v/>
      </c>
      <c r="J36" t="str">
        <f t="shared" si="2"/>
        <v/>
      </c>
      <c r="K36">
        <f>IF(E36="","",SUM(ContractsTbl[[#This Row],[salaryY1]:[salaryY4]]))</f>
        <v>6000000</v>
      </c>
      <c r="L36" t="b">
        <f t="shared" si="3"/>
        <v>0</v>
      </c>
    </row>
    <row r="37" spans="1:12" x14ac:dyDescent="0.2">
      <c r="A37" t="s">
        <v>905</v>
      </c>
      <c r="B37" t="s">
        <v>74</v>
      </c>
      <c r="C37" t="s">
        <v>603</v>
      </c>
      <c r="D37" t="s">
        <v>131</v>
      </c>
      <c r="E37">
        <v>2024</v>
      </c>
      <c r="F37">
        <v>2026</v>
      </c>
      <c r="G37" s="10">
        <v>2900000</v>
      </c>
      <c r="H37" t="str">
        <f t="shared" si="0"/>
        <v/>
      </c>
      <c r="I37" t="str">
        <f t="shared" si="1"/>
        <v/>
      </c>
      <c r="J37" t="str">
        <f t="shared" si="2"/>
        <v/>
      </c>
      <c r="K37">
        <f>IF(E37="","",SUM(ContractsTbl[[#This Row],[salaryY1]:[salaryY4]]))</f>
        <v>2900000</v>
      </c>
      <c r="L37" t="b">
        <f t="shared" si="3"/>
        <v>0</v>
      </c>
    </row>
    <row r="38" spans="1:12" x14ac:dyDescent="0.2">
      <c r="A38" t="s">
        <v>906</v>
      </c>
      <c r="B38" t="s">
        <v>74</v>
      </c>
      <c r="C38" t="s">
        <v>604</v>
      </c>
      <c r="D38" t="s">
        <v>147</v>
      </c>
      <c r="E38">
        <v>2024</v>
      </c>
      <c r="F38">
        <v>2026</v>
      </c>
      <c r="G38" s="10">
        <v>2400000</v>
      </c>
      <c r="H38" t="str">
        <f t="shared" si="0"/>
        <v/>
      </c>
      <c r="I38" t="str">
        <f t="shared" si="1"/>
        <v/>
      </c>
      <c r="J38" t="str">
        <f t="shared" si="2"/>
        <v/>
      </c>
      <c r="K38">
        <f>IF(E38="","",SUM(ContractsTbl[[#This Row],[salaryY1]:[salaryY4]]))</f>
        <v>2400000</v>
      </c>
      <c r="L38" t="b">
        <f t="shared" si="3"/>
        <v>0</v>
      </c>
    </row>
    <row r="39" spans="1:12" x14ac:dyDescent="0.2">
      <c r="A39" t="s">
        <v>907</v>
      </c>
      <c r="B39" t="s">
        <v>74</v>
      </c>
      <c r="C39" t="s">
        <v>605</v>
      </c>
      <c r="D39" t="s">
        <v>150</v>
      </c>
      <c r="E39">
        <v>2024</v>
      </c>
      <c r="F39">
        <v>2026</v>
      </c>
      <c r="G39" s="10">
        <v>2700000</v>
      </c>
      <c r="H39" t="str">
        <f t="shared" si="0"/>
        <v/>
      </c>
      <c r="I39" t="str">
        <f t="shared" si="1"/>
        <v/>
      </c>
      <c r="J39" t="str">
        <f t="shared" si="2"/>
        <v/>
      </c>
      <c r="K39">
        <f>IF(E39="","",SUM(ContractsTbl[[#This Row],[salaryY1]:[salaryY4]]))</f>
        <v>2700000</v>
      </c>
      <c r="L39" t="b">
        <f t="shared" si="3"/>
        <v>0</v>
      </c>
    </row>
    <row r="40" spans="1:12" x14ac:dyDescent="0.2">
      <c r="A40" t="s">
        <v>908</v>
      </c>
      <c r="B40" t="s">
        <v>74</v>
      </c>
      <c r="C40" t="s">
        <v>606</v>
      </c>
      <c r="D40" t="s">
        <v>157</v>
      </c>
      <c r="E40">
        <v>2024</v>
      </c>
      <c r="F40">
        <v>2026</v>
      </c>
      <c r="G40" s="10">
        <v>2300000</v>
      </c>
      <c r="H40" t="str">
        <f t="shared" si="0"/>
        <v/>
      </c>
      <c r="I40" t="str">
        <f t="shared" si="1"/>
        <v/>
      </c>
      <c r="J40" t="str">
        <f t="shared" si="2"/>
        <v/>
      </c>
      <c r="K40">
        <f>IF(E40="","",SUM(ContractsTbl[[#This Row],[salaryY1]:[salaryY4]]))</f>
        <v>2300000</v>
      </c>
      <c r="L40" t="b">
        <f t="shared" si="3"/>
        <v>0</v>
      </c>
    </row>
    <row r="41" spans="1:12" x14ac:dyDescent="0.2">
      <c r="A41" t="s">
        <v>909</v>
      </c>
      <c r="B41" t="s">
        <v>74</v>
      </c>
      <c r="C41" t="s">
        <v>607</v>
      </c>
      <c r="D41" t="s">
        <v>143</v>
      </c>
      <c r="E41">
        <v>2024</v>
      </c>
      <c r="F41">
        <v>2026</v>
      </c>
      <c r="G41" s="10">
        <v>1600000</v>
      </c>
      <c r="H41" t="str">
        <f t="shared" si="0"/>
        <v/>
      </c>
      <c r="I41" t="str">
        <f t="shared" si="1"/>
        <v/>
      </c>
      <c r="J41" t="str">
        <f t="shared" si="2"/>
        <v/>
      </c>
      <c r="K41">
        <f>IF(E41="","",SUM(ContractsTbl[[#This Row],[salaryY1]:[salaryY4]]))</f>
        <v>1600000</v>
      </c>
      <c r="L41" t="b">
        <f t="shared" si="3"/>
        <v>0</v>
      </c>
    </row>
    <row r="42" spans="1:12" x14ac:dyDescent="0.2">
      <c r="A42" t="s">
        <v>910</v>
      </c>
      <c r="B42" t="s">
        <v>74</v>
      </c>
      <c r="C42" t="s">
        <v>608</v>
      </c>
      <c r="D42" t="s">
        <v>153</v>
      </c>
      <c r="E42">
        <v>2024</v>
      </c>
      <c r="F42">
        <v>2026</v>
      </c>
      <c r="G42" s="10">
        <v>2700000</v>
      </c>
      <c r="H42" t="str">
        <f t="shared" si="0"/>
        <v/>
      </c>
      <c r="I42" t="str">
        <f t="shared" si="1"/>
        <v/>
      </c>
      <c r="J42" t="str">
        <f t="shared" si="2"/>
        <v/>
      </c>
      <c r="K42">
        <f>IF(E42="","",SUM(ContractsTbl[[#This Row],[salaryY1]:[salaryY4]]))</f>
        <v>2700000</v>
      </c>
      <c r="L42" t="b">
        <f t="shared" si="3"/>
        <v>0</v>
      </c>
    </row>
    <row r="43" spans="1:12" x14ac:dyDescent="0.2">
      <c r="A43" t="s">
        <v>911</v>
      </c>
      <c r="B43" t="s">
        <v>74</v>
      </c>
      <c r="C43" t="s">
        <v>609</v>
      </c>
      <c r="D43" t="s">
        <v>137</v>
      </c>
      <c r="E43">
        <v>2023</v>
      </c>
      <c r="F43">
        <v>2027</v>
      </c>
      <c r="G43" s="10">
        <v>3200000</v>
      </c>
      <c r="H43">
        <f t="shared" si="0"/>
        <v>3200000</v>
      </c>
      <c r="I43" t="str">
        <f t="shared" si="1"/>
        <v/>
      </c>
      <c r="J43" t="str">
        <f t="shared" si="2"/>
        <v/>
      </c>
      <c r="K43">
        <f>IF(E43="","",SUM(ContractsTbl[[#This Row],[salaryY1]:[salaryY4]]))</f>
        <v>6400000</v>
      </c>
      <c r="L43" t="b">
        <f t="shared" si="3"/>
        <v>0</v>
      </c>
    </row>
    <row r="44" spans="1:12" x14ac:dyDescent="0.2">
      <c r="A44" t="s">
        <v>912</v>
      </c>
      <c r="B44" t="s">
        <v>74</v>
      </c>
      <c r="C44" t="s">
        <v>610</v>
      </c>
      <c r="D44" t="s">
        <v>140</v>
      </c>
      <c r="E44">
        <v>2024</v>
      </c>
      <c r="F44">
        <v>2026</v>
      </c>
      <c r="G44" s="10">
        <v>2800000</v>
      </c>
      <c r="H44" t="str">
        <f t="shared" si="0"/>
        <v/>
      </c>
      <c r="I44" t="str">
        <f t="shared" si="1"/>
        <v/>
      </c>
      <c r="J44" t="str">
        <f t="shared" si="2"/>
        <v/>
      </c>
      <c r="K44">
        <f>IF(E44="","",SUM(ContractsTbl[[#This Row],[salaryY1]:[salaryY4]]))</f>
        <v>2800000</v>
      </c>
      <c r="L44" t="b">
        <f t="shared" si="3"/>
        <v>0</v>
      </c>
    </row>
    <row r="45" spans="1:12" x14ac:dyDescent="0.2">
      <c r="A45" t="s">
        <v>913</v>
      </c>
      <c r="B45" t="s">
        <v>74</v>
      </c>
      <c r="C45" t="s">
        <v>611</v>
      </c>
      <c r="D45" t="s">
        <v>134</v>
      </c>
      <c r="E45">
        <v>2024</v>
      </c>
      <c r="F45">
        <v>2026</v>
      </c>
      <c r="G45" s="10">
        <v>2900000</v>
      </c>
      <c r="H45" t="str">
        <f t="shared" si="0"/>
        <v/>
      </c>
      <c r="I45" t="str">
        <f t="shared" si="1"/>
        <v/>
      </c>
      <c r="J45" t="str">
        <f t="shared" si="2"/>
        <v/>
      </c>
      <c r="K45">
        <f>IF(E45="","",SUM(ContractsTbl[[#This Row],[salaryY1]:[salaryY4]]))</f>
        <v>2900000</v>
      </c>
      <c r="L45" t="b">
        <f t="shared" si="3"/>
        <v>0</v>
      </c>
    </row>
    <row r="46" spans="1:12" x14ac:dyDescent="0.2">
      <c r="A46" t="s">
        <v>914</v>
      </c>
      <c r="B46" t="s">
        <v>74</v>
      </c>
      <c r="C46" t="s">
        <v>612</v>
      </c>
      <c r="D46" t="s">
        <v>141</v>
      </c>
      <c r="E46">
        <v>2024</v>
      </c>
      <c r="F46">
        <v>2026</v>
      </c>
      <c r="G46" s="10">
        <v>2600000</v>
      </c>
      <c r="H46" t="str">
        <f t="shared" si="0"/>
        <v/>
      </c>
      <c r="I46" t="str">
        <f t="shared" si="1"/>
        <v/>
      </c>
      <c r="J46" t="str">
        <f t="shared" si="2"/>
        <v/>
      </c>
      <c r="K46">
        <f>IF(E46="","",SUM(ContractsTbl[[#This Row],[salaryY1]:[salaryY4]]))</f>
        <v>2600000</v>
      </c>
      <c r="L46" t="b">
        <f t="shared" si="3"/>
        <v>0</v>
      </c>
    </row>
    <row r="47" spans="1:12" x14ac:dyDescent="0.2">
      <c r="A47" t="s">
        <v>915</v>
      </c>
      <c r="B47" t="s">
        <v>74</v>
      </c>
      <c r="C47" t="s">
        <v>613</v>
      </c>
      <c r="D47" t="s">
        <v>138</v>
      </c>
      <c r="E47">
        <v>2024</v>
      </c>
      <c r="F47">
        <v>2026</v>
      </c>
      <c r="G47" s="10">
        <v>1800000</v>
      </c>
      <c r="H47" t="str">
        <f t="shared" si="0"/>
        <v/>
      </c>
      <c r="I47" t="str">
        <f t="shared" si="1"/>
        <v/>
      </c>
      <c r="J47" t="str">
        <f t="shared" si="2"/>
        <v/>
      </c>
      <c r="K47">
        <f>IF(E47="","",SUM(ContractsTbl[[#This Row],[salaryY1]:[salaryY4]]))</f>
        <v>1800000</v>
      </c>
      <c r="L47" t="b">
        <f t="shared" si="3"/>
        <v>0</v>
      </c>
    </row>
    <row r="48" spans="1:12" x14ac:dyDescent="0.2">
      <c r="A48" t="s">
        <v>916</v>
      </c>
      <c r="B48" t="s">
        <v>74</v>
      </c>
      <c r="C48" t="s">
        <v>614</v>
      </c>
      <c r="D48" t="s">
        <v>139</v>
      </c>
      <c r="E48">
        <v>2024</v>
      </c>
      <c r="F48">
        <v>2026</v>
      </c>
      <c r="G48" s="10">
        <v>2800000</v>
      </c>
      <c r="H48" t="str">
        <f t="shared" si="0"/>
        <v/>
      </c>
      <c r="I48" t="str">
        <f t="shared" si="1"/>
        <v/>
      </c>
      <c r="J48" t="str">
        <f t="shared" si="2"/>
        <v/>
      </c>
      <c r="K48">
        <f>IF(E48="","",SUM(ContractsTbl[[#This Row],[salaryY1]:[salaryY4]]))</f>
        <v>2800000</v>
      </c>
      <c r="L48" t="b">
        <f t="shared" si="3"/>
        <v>0</v>
      </c>
    </row>
    <row r="49" spans="1:12" x14ac:dyDescent="0.2">
      <c r="A49" t="s">
        <v>917</v>
      </c>
      <c r="B49" t="s">
        <v>74</v>
      </c>
      <c r="C49" t="s">
        <v>615</v>
      </c>
      <c r="D49" t="s">
        <v>152</v>
      </c>
      <c r="E49">
        <v>2023</v>
      </c>
      <c r="F49">
        <v>2027</v>
      </c>
      <c r="G49" s="10">
        <v>3100000</v>
      </c>
      <c r="H49">
        <f t="shared" si="0"/>
        <v>3100000</v>
      </c>
      <c r="I49" t="str">
        <f t="shared" si="1"/>
        <v/>
      </c>
      <c r="J49" t="str">
        <f t="shared" si="2"/>
        <v/>
      </c>
      <c r="K49">
        <f>IF(E49="","",SUM(ContractsTbl[[#This Row],[salaryY1]:[salaryY4]]))</f>
        <v>6200000</v>
      </c>
      <c r="L49" t="b">
        <f t="shared" si="3"/>
        <v>0</v>
      </c>
    </row>
    <row r="50" spans="1:12" x14ac:dyDescent="0.2">
      <c r="A50" t="s">
        <v>918</v>
      </c>
      <c r="B50" t="s">
        <v>74</v>
      </c>
      <c r="C50" t="s">
        <v>616</v>
      </c>
      <c r="D50" t="s">
        <v>135</v>
      </c>
      <c r="E50">
        <v>2023</v>
      </c>
      <c r="F50">
        <v>2027</v>
      </c>
      <c r="G50" s="10">
        <v>3000000</v>
      </c>
      <c r="H50">
        <f t="shared" si="0"/>
        <v>3000000</v>
      </c>
      <c r="I50" t="str">
        <f t="shared" si="1"/>
        <v/>
      </c>
      <c r="J50" t="str">
        <f t="shared" si="2"/>
        <v/>
      </c>
      <c r="K50">
        <f>IF(E50="","",SUM(ContractsTbl[[#This Row],[salaryY1]:[salaryY4]]))</f>
        <v>6000000</v>
      </c>
      <c r="L50" t="b">
        <f t="shared" si="3"/>
        <v>0</v>
      </c>
    </row>
    <row r="51" spans="1:12" x14ac:dyDescent="0.2">
      <c r="A51" t="s">
        <v>919</v>
      </c>
      <c r="B51" t="s">
        <v>74</v>
      </c>
      <c r="C51" t="s">
        <v>617</v>
      </c>
      <c r="D51" t="s">
        <v>129</v>
      </c>
      <c r="E51">
        <v>2024</v>
      </c>
      <c r="F51">
        <v>2026</v>
      </c>
      <c r="G51" s="10">
        <v>1600000</v>
      </c>
      <c r="H51" t="str">
        <f t="shared" si="0"/>
        <v/>
      </c>
      <c r="I51" t="str">
        <f t="shared" si="1"/>
        <v/>
      </c>
      <c r="J51" t="str">
        <f t="shared" si="2"/>
        <v/>
      </c>
      <c r="K51">
        <f>IF(E51="","",SUM(ContractsTbl[[#This Row],[salaryY1]:[salaryY4]]))</f>
        <v>1600000</v>
      </c>
      <c r="L51" t="b">
        <f t="shared" si="3"/>
        <v>0</v>
      </c>
    </row>
    <row r="52" spans="1:12" x14ac:dyDescent="0.2">
      <c r="A52" t="s">
        <v>920</v>
      </c>
      <c r="B52" t="s">
        <v>74</v>
      </c>
      <c r="C52" t="s">
        <v>618</v>
      </c>
      <c r="D52" t="s">
        <v>130</v>
      </c>
      <c r="E52">
        <v>2024</v>
      </c>
      <c r="F52">
        <v>2026</v>
      </c>
      <c r="G52" s="10">
        <v>2900000</v>
      </c>
      <c r="H52" t="str">
        <f t="shared" si="0"/>
        <v/>
      </c>
      <c r="I52" t="str">
        <f t="shared" si="1"/>
        <v/>
      </c>
      <c r="J52" t="str">
        <f t="shared" si="2"/>
        <v/>
      </c>
      <c r="K52">
        <f>IF(E52="","",SUM(ContractsTbl[[#This Row],[salaryY1]:[salaryY4]]))</f>
        <v>2900000</v>
      </c>
      <c r="L52" t="b">
        <f t="shared" si="3"/>
        <v>0</v>
      </c>
    </row>
    <row r="53" spans="1:12" x14ac:dyDescent="0.2">
      <c r="A53" t="s">
        <v>921</v>
      </c>
      <c r="B53" t="s">
        <v>74</v>
      </c>
      <c r="C53" t="s">
        <v>619</v>
      </c>
      <c r="D53" t="s">
        <v>132</v>
      </c>
      <c r="E53">
        <v>2024</v>
      </c>
      <c r="F53">
        <v>2026</v>
      </c>
      <c r="G53" s="10">
        <v>2700000</v>
      </c>
      <c r="H53" t="str">
        <f t="shared" si="0"/>
        <v/>
      </c>
      <c r="I53" t="str">
        <f t="shared" si="1"/>
        <v/>
      </c>
      <c r="J53" t="str">
        <f t="shared" si="2"/>
        <v/>
      </c>
      <c r="K53">
        <f>IF(E53="","",SUM(ContractsTbl[[#This Row],[salaryY1]:[salaryY4]]))</f>
        <v>2700000</v>
      </c>
      <c r="L53" t="b">
        <f t="shared" si="3"/>
        <v>0</v>
      </c>
    </row>
    <row r="54" spans="1:12" x14ac:dyDescent="0.2">
      <c r="A54" t="s">
        <v>922</v>
      </c>
      <c r="B54" t="s">
        <v>74</v>
      </c>
      <c r="C54" t="s">
        <v>620</v>
      </c>
      <c r="D54" t="s">
        <v>22</v>
      </c>
      <c r="E54">
        <v>2024</v>
      </c>
      <c r="F54">
        <v>2026</v>
      </c>
      <c r="G54" s="10">
        <v>1900000</v>
      </c>
      <c r="H54" t="str">
        <f t="shared" si="0"/>
        <v/>
      </c>
      <c r="I54" t="str">
        <f t="shared" si="1"/>
        <v/>
      </c>
      <c r="J54" t="str">
        <f t="shared" si="2"/>
        <v/>
      </c>
      <c r="K54">
        <f>IF(E54="","",SUM(ContractsTbl[[#This Row],[salaryY1]:[salaryY4]]))</f>
        <v>1900000</v>
      </c>
      <c r="L54" t="b">
        <f t="shared" si="3"/>
        <v>0</v>
      </c>
    </row>
    <row r="55" spans="1:12" x14ac:dyDescent="0.2">
      <c r="A55" t="s">
        <v>923</v>
      </c>
      <c r="B55" t="s">
        <v>74</v>
      </c>
      <c r="C55" t="s">
        <v>621</v>
      </c>
      <c r="D55" t="s">
        <v>149</v>
      </c>
      <c r="E55">
        <v>2023</v>
      </c>
      <c r="F55">
        <v>2027</v>
      </c>
      <c r="G55" s="10">
        <v>3000000</v>
      </c>
      <c r="H55">
        <f t="shared" si="0"/>
        <v>3000000</v>
      </c>
      <c r="I55" t="str">
        <f t="shared" si="1"/>
        <v/>
      </c>
      <c r="J55" t="str">
        <f t="shared" si="2"/>
        <v/>
      </c>
      <c r="K55">
        <f>IF(E55="","",SUM(ContractsTbl[[#This Row],[salaryY1]:[salaryY4]]))</f>
        <v>6000000</v>
      </c>
      <c r="L55" t="b">
        <f t="shared" si="3"/>
        <v>0</v>
      </c>
    </row>
    <row r="56" spans="1:12" x14ac:dyDescent="0.2">
      <c r="A56" t="s">
        <v>924</v>
      </c>
      <c r="B56" t="s">
        <v>74</v>
      </c>
      <c r="C56" t="s">
        <v>622</v>
      </c>
      <c r="D56" t="s">
        <v>146</v>
      </c>
      <c r="E56">
        <v>2024</v>
      </c>
      <c r="F56">
        <v>2026</v>
      </c>
      <c r="G56" s="10">
        <v>2800000</v>
      </c>
      <c r="H56" t="str">
        <f t="shared" si="0"/>
        <v/>
      </c>
      <c r="I56" t="str">
        <f t="shared" si="1"/>
        <v/>
      </c>
      <c r="J56" t="str">
        <f t="shared" si="2"/>
        <v/>
      </c>
      <c r="K56">
        <f>IF(E56="","",SUM(ContractsTbl[[#This Row],[salaryY1]:[salaryY4]]))</f>
        <v>2800000</v>
      </c>
      <c r="L56" t="b">
        <f t="shared" si="3"/>
        <v>0</v>
      </c>
    </row>
    <row r="57" spans="1:12" x14ac:dyDescent="0.2">
      <c r="A57" t="s">
        <v>925</v>
      </c>
      <c r="B57" t="s">
        <v>74</v>
      </c>
      <c r="C57" t="s">
        <v>623</v>
      </c>
      <c r="D57" t="s">
        <v>142</v>
      </c>
      <c r="E57">
        <v>2023</v>
      </c>
      <c r="F57">
        <v>2027</v>
      </c>
      <c r="G57" s="10">
        <v>3100000</v>
      </c>
      <c r="H57">
        <f t="shared" si="0"/>
        <v>3100000</v>
      </c>
      <c r="I57" t="str">
        <f t="shared" si="1"/>
        <v/>
      </c>
      <c r="J57" t="str">
        <f t="shared" si="2"/>
        <v/>
      </c>
      <c r="K57">
        <f>IF(E57="","",SUM(ContractsTbl[[#This Row],[salaryY1]:[salaryY4]]))</f>
        <v>6200000</v>
      </c>
      <c r="L57" t="b">
        <f t="shared" si="3"/>
        <v>0</v>
      </c>
    </row>
    <row r="58" spans="1:12" x14ac:dyDescent="0.2">
      <c r="A58" t="s">
        <v>926</v>
      </c>
      <c r="B58" t="s">
        <v>74</v>
      </c>
      <c r="C58" t="s">
        <v>624</v>
      </c>
      <c r="D58" t="s">
        <v>154</v>
      </c>
      <c r="E58">
        <v>2024</v>
      </c>
      <c r="F58">
        <v>2026</v>
      </c>
      <c r="G58" s="10">
        <v>2200000</v>
      </c>
      <c r="H58" t="str">
        <f t="shared" si="0"/>
        <v/>
      </c>
      <c r="I58" t="str">
        <f t="shared" si="1"/>
        <v/>
      </c>
      <c r="J58" t="str">
        <f t="shared" si="2"/>
        <v/>
      </c>
      <c r="K58">
        <f>IF(E58="","",SUM(ContractsTbl[[#This Row],[salaryY1]:[salaryY4]]))</f>
        <v>2200000</v>
      </c>
      <c r="L58" t="b">
        <f t="shared" si="3"/>
        <v>0</v>
      </c>
    </row>
    <row r="59" spans="1:12" x14ac:dyDescent="0.2">
      <c r="A59" t="s">
        <v>927</v>
      </c>
      <c r="B59" t="s">
        <v>74</v>
      </c>
      <c r="C59" t="s">
        <v>625</v>
      </c>
      <c r="D59" t="s">
        <v>148</v>
      </c>
      <c r="E59">
        <v>2024</v>
      </c>
      <c r="F59">
        <v>2026</v>
      </c>
      <c r="G59" s="10">
        <v>2000000</v>
      </c>
      <c r="H59" t="str">
        <f t="shared" si="0"/>
        <v/>
      </c>
      <c r="I59" t="str">
        <f t="shared" si="1"/>
        <v/>
      </c>
      <c r="J59" t="str">
        <f t="shared" si="2"/>
        <v/>
      </c>
      <c r="K59">
        <f>IF(E59="","",SUM(ContractsTbl[[#This Row],[salaryY1]:[salaryY4]]))</f>
        <v>2000000</v>
      </c>
      <c r="L59" t="b">
        <f t="shared" si="3"/>
        <v>0</v>
      </c>
    </row>
    <row r="60" spans="1:12" x14ac:dyDescent="0.2">
      <c r="A60" t="s">
        <v>928</v>
      </c>
      <c r="B60" t="s">
        <v>74</v>
      </c>
      <c r="C60" t="s">
        <v>626</v>
      </c>
      <c r="D60" t="s">
        <v>144</v>
      </c>
      <c r="E60">
        <v>2024</v>
      </c>
      <c r="F60">
        <v>2026</v>
      </c>
      <c r="G60" s="10">
        <v>2700000</v>
      </c>
      <c r="H60" t="str">
        <f t="shared" si="0"/>
        <v/>
      </c>
      <c r="I60" t="str">
        <f t="shared" si="1"/>
        <v/>
      </c>
      <c r="J60" t="str">
        <f t="shared" si="2"/>
        <v/>
      </c>
      <c r="K60">
        <f>IF(E60="","",SUM(ContractsTbl[[#This Row],[salaryY1]:[salaryY4]]))</f>
        <v>2700000</v>
      </c>
      <c r="L60" t="b">
        <f t="shared" si="3"/>
        <v>0</v>
      </c>
    </row>
    <row r="61" spans="1:12" x14ac:dyDescent="0.2">
      <c r="A61" t="s">
        <v>929</v>
      </c>
      <c r="B61" t="s">
        <v>74</v>
      </c>
      <c r="C61" t="s">
        <v>627</v>
      </c>
      <c r="D61" t="s">
        <v>136</v>
      </c>
      <c r="E61">
        <v>2024</v>
      </c>
      <c r="F61">
        <v>2026</v>
      </c>
      <c r="G61" s="10">
        <v>2900000</v>
      </c>
      <c r="H61" t="str">
        <f t="shared" si="0"/>
        <v/>
      </c>
      <c r="I61" t="str">
        <f t="shared" si="1"/>
        <v/>
      </c>
      <c r="J61" t="str">
        <f t="shared" si="2"/>
        <v/>
      </c>
      <c r="K61">
        <f>IF(E61="","",SUM(ContractsTbl[[#This Row],[salaryY1]:[salaryY4]]))</f>
        <v>2900000</v>
      </c>
      <c r="L61" t="b">
        <f t="shared" si="3"/>
        <v>0</v>
      </c>
    </row>
    <row r="62" spans="1:12" x14ac:dyDescent="0.2">
      <c r="A62" t="s">
        <v>930</v>
      </c>
      <c r="B62" t="s">
        <v>74</v>
      </c>
      <c r="C62" t="s">
        <v>628</v>
      </c>
      <c r="D62" t="s">
        <v>145</v>
      </c>
      <c r="E62">
        <v>2024</v>
      </c>
      <c r="F62">
        <v>2026</v>
      </c>
      <c r="G62" s="10">
        <v>2800000</v>
      </c>
      <c r="H62" t="str">
        <f t="shared" si="0"/>
        <v/>
      </c>
      <c r="I62" t="str">
        <f t="shared" si="1"/>
        <v/>
      </c>
      <c r="J62" t="str">
        <f t="shared" si="2"/>
        <v/>
      </c>
      <c r="K62">
        <f>IF(E62="","",SUM(ContractsTbl[[#This Row],[salaryY1]:[salaryY4]]))</f>
        <v>2800000</v>
      </c>
      <c r="L62" t="b">
        <f t="shared" si="3"/>
        <v>0</v>
      </c>
    </row>
    <row r="63" spans="1:12" x14ac:dyDescent="0.2">
      <c r="A63" t="s">
        <v>931</v>
      </c>
      <c r="B63" t="s">
        <v>74</v>
      </c>
      <c r="C63" t="s">
        <v>629</v>
      </c>
      <c r="D63" t="s">
        <v>158</v>
      </c>
      <c r="E63">
        <v>2023</v>
      </c>
      <c r="F63">
        <v>2027</v>
      </c>
      <c r="G63" s="10">
        <v>3100000</v>
      </c>
      <c r="H63">
        <f t="shared" si="0"/>
        <v>3100000</v>
      </c>
      <c r="I63" t="str">
        <f t="shared" si="1"/>
        <v/>
      </c>
      <c r="J63" t="str">
        <f t="shared" si="2"/>
        <v/>
      </c>
      <c r="K63">
        <f>IF(E63="","",SUM(ContractsTbl[[#This Row],[salaryY1]:[salaryY4]]))</f>
        <v>6200000</v>
      </c>
      <c r="L63" t="b">
        <f t="shared" si="3"/>
        <v>0</v>
      </c>
    </row>
    <row r="64" spans="1:12" x14ac:dyDescent="0.2">
      <c r="A64" t="s">
        <v>932</v>
      </c>
      <c r="B64" t="s">
        <v>74</v>
      </c>
      <c r="C64" t="s">
        <v>630</v>
      </c>
      <c r="D64" t="s">
        <v>155</v>
      </c>
      <c r="E64">
        <v>2024</v>
      </c>
      <c r="F64">
        <v>2026</v>
      </c>
      <c r="G64" s="10">
        <v>2700000</v>
      </c>
      <c r="H64" t="str">
        <f t="shared" si="0"/>
        <v/>
      </c>
      <c r="I64" t="str">
        <f t="shared" si="1"/>
        <v/>
      </c>
      <c r="J64" t="str">
        <f t="shared" si="2"/>
        <v/>
      </c>
      <c r="K64">
        <f>IF(E64="","",SUM(ContractsTbl[[#This Row],[salaryY1]:[salaryY4]]))</f>
        <v>2700000</v>
      </c>
      <c r="L64" t="b">
        <f t="shared" si="3"/>
        <v>0</v>
      </c>
    </row>
    <row r="65" spans="1:12" x14ac:dyDescent="0.2">
      <c r="A65" t="s">
        <v>933</v>
      </c>
      <c r="B65" t="s">
        <v>74</v>
      </c>
      <c r="C65" t="s">
        <v>631</v>
      </c>
      <c r="D65" t="s">
        <v>156</v>
      </c>
      <c r="E65">
        <v>2023</v>
      </c>
      <c r="F65">
        <v>2027</v>
      </c>
      <c r="G65" s="10">
        <v>3000000</v>
      </c>
      <c r="H65">
        <f t="shared" si="0"/>
        <v>3000000</v>
      </c>
      <c r="I65" t="str">
        <f t="shared" si="1"/>
        <v/>
      </c>
      <c r="J65" t="str">
        <f t="shared" si="2"/>
        <v/>
      </c>
      <c r="K65">
        <f>IF(E65="","",SUM(ContractsTbl[[#This Row],[salaryY1]:[salaryY4]]))</f>
        <v>6000000</v>
      </c>
      <c r="L65" t="b">
        <f t="shared" si="3"/>
        <v>0</v>
      </c>
    </row>
    <row r="66" spans="1:12" x14ac:dyDescent="0.2">
      <c r="A66" t="s">
        <v>934</v>
      </c>
      <c r="B66" t="s">
        <v>74</v>
      </c>
      <c r="C66" t="s">
        <v>632</v>
      </c>
      <c r="D66" t="s">
        <v>44</v>
      </c>
      <c r="E66" t="s">
        <v>2892</v>
      </c>
      <c r="F66" t="s">
        <v>2892</v>
      </c>
      <c r="G66" s="10">
        <v>1400000</v>
      </c>
      <c r="H66">
        <f t="shared" si="0"/>
        <v>1400000</v>
      </c>
      <c r="I66">
        <f t="shared" si="1"/>
        <v>1400000</v>
      </c>
      <c r="J66">
        <f t="shared" si="2"/>
        <v>1400000</v>
      </c>
      <c r="K66" t="str">
        <f>IF(E66="","",SUM(ContractsTbl[[#This Row],[salaryY1]:[salaryY4]]))</f>
        <v/>
      </c>
      <c r="L66" t="b">
        <f t="shared" si="3"/>
        <v>1</v>
      </c>
    </row>
    <row r="67" spans="1:12" x14ac:dyDescent="0.2">
      <c r="A67" t="s">
        <v>935</v>
      </c>
      <c r="B67" t="s">
        <v>74</v>
      </c>
      <c r="C67" t="s">
        <v>633</v>
      </c>
      <c r="D67" t="s">
        <v>44</v>
      </c>
      <c r="E67" t="s">
        <v>2892</v>
      </c>
      <c r="F67" t="s">
        <v>2892</v>
      </c>
      <c r="G67" s="10">
        <v>3200000</v>
      </c>
      <c r="H67">
        <f t="shared" si="0"/>
        <v>3200000</v>
      </c>
      <c r="I67">
        <f t="shared" si="1"/>
        <v>3200000</v>
      </c>
      <c r="J67">
        <f t="shared" si="2"/>
        <v>3200000</v>
      </c>
      <c r="K67" t="str">
        <f>IF(E67="","",SUM(ContractsTbl[[#This Row],[salaryY1]:[salaryY4]]))</f>
        <v/>
      </c>
      <c r="L67" t="b">
        <f t="shared" si="3"/>
        <v>1</v>
      </c>
    </row>
    <row r="68" spans="1:12" x14ac:dyDescent="0.2">
      <c r="A68" t="s">
        <v>936</v>
      </c>
      <c r="B68" t="s">
        <v>74</v>
      </c>
      <c r="C68" t="s">
        <v>634</v>
      </c>
      <c r="D68" t="s">
        <v>44</v>
      </c>
      <c r="E68" t="s">
        <v>2892</v>
      </c>
      <c r="F68" t="s">
        <v>2892</v>
      </c>
      <c r="G68" s="10">
        <v>2600000</v>
      </c>
      <c r="H68">
        <f t="shared" ref="H68:H131" si="4">IF(F68&gt;=2027,G68,"")</f>
        <v>2600000</v>
      </c>
      <c r="I68">
        <f t="shared" ref="I68:I131" si="5">IF(F68&gt;=2028,G68,"")</f>
        <v>2600000</v>
      </c>
      <c r="J68">
        <f t="shared" ref="J68:J131" si="6">IF(F68&gt;=2029,G68,"")</f>
        <v>2600000</v>
      </c>
      <c r="K68" t="str">
        <f>IF(E68="","",SUM(ContractsTbl[[#This Row],[salaryY1]:[salaryY4]]))</f>
        <v/>
      </c>
      <c r="L68" t="b">
        <f t="shared" si="3"/>
        <v>1</v>
      </c>
    </row>
    <row r="69" spans="1:12" x14ac:dyDescent="0.2">
      <c r="A69" t="s">
        <v>937</v>
      </c>
      <c r="B69" t="s">
        <v>74</v>
      </c>
      <c r="C69" t="s">
        <v>635</v>
      </c>
      <c r="D69" t="s">
        <v>44</v>
      </c>
      <c r="E69" t="s">
        <v>2892</v>
      </c>
      <c r="F69" t="s">
        <v>2892</v>
      </c>
      <c r="G69" s="10">
        <v>2500000</v>
      </c>
      <c r="H69">
        <f t="shared" si="4"/>
        <v>2500000</v>
      </c>
      <c r="I69">
        <f t="shared" si="5"/>
        <v>2500000</v>
      </c>
      <c r="J69">
        <f t="shared" si="6"/>
        <v>2500000</v>
      </c>
      <c r="K69" t="str">
        <f>IF(E69="","",SUM(ContractsTbl[[#This Row],[salaryY1]:[salaryY4]]))</f>
        <v/>
      </c>
      <c r="L69" t="b">
        <f t="shared" si="3"/>
        <v>1</v>
      </c>
    </row>
    <row r="70" spans="1:12" x14ac:dyDescent="0.2">
      <c r="A70" t="s">
        <v>938</v>
      </c>
      <c r="B70" t="s">
        <v>74</v>
      </c>
      <c r="C70" t="s">
        <v>636</v>
      </c>
      <c r="D70" t="s">
        <v>44</v>
      </c>
      <c r="E70" t="s">
        <v>2892</v>
      </c>
      <c r="F70" t="s">
        <v>2892</v>
      </c>
      <c r="G70" s="10">
        <v>2600000</v>
      </c>
      <c r="H70">
        <f t="shared" si="4"/>
        <v>2600000</v>
      </c>
      <c r="I70">
        <f t="shared" si="5"/>
        <v>2600000</v>
      </c>
      <c r="J70">
        <f t="shared" si="6"/>
        <v>2600000</v>
      </c>
      <c r="K70" t="str">
        <f>IF(E70="","",SUM(ContractsTbl[[#This Row],[salaryY1]:[salaryY4]]))</f>
        <v/>
      </c>
      <c r="L70" t="b">
        <f t="shared" si="3"/>
        <v>1</v>
      </c>
    </row>
    <row r="71" spans="1:12" x14ac:dyDescent="0.2">
      <c r="A71" t="s">
        <v>939</v>
      </c>
      <c r="B71" t="s">
        <v>74</v>
      </c>
      <c r="C71" t="s">
        <v>637</v>
      </c>
      <c r="D71" t="s">
        <v>44</v>
      </c>
      <c r="E71" t="s">
        <v>2892</v>
      </c>
      <c r="F71" t="s">
        <v>2892</v>
      </c>
      <c r="G71" s="10">
        <v>1200000</v>
      </c>
      <c r="H71">
        <f t="shared" si="4"/>
        <v>1200000</v>
      </c>
      <c r="I71">
        <f t="shared" si="5"/>
        <v>1200000</v>
      </c>
      <c r="J71">
        <f t="shared" si="6"/>
        <v>1200000</v>
      </c>
      <c r="K71" t="str">
        <f>IF(E71="","",SUM(ContractsTbl[[#This Row],[salaryY1]:[salaryY4]]))</f>
        <v/>
      </c>
      <c r="L71" t="b">
        <f t="shared" si="3"/>
        <v>1</v>
      </c>
    </row>
    <row r="72" spans="1:12" x14ac:dyDescent="0.2">
      <c r="A72" t="s">
        <v>940</v>
      </c>
      <c r="B72" t="s">
        <v>74</v>
      </c>
      <c r="C72" t="s">
        <v>638</v>
      </c>
      <c r="D72" t="s">
        <v>44</v>
      </c>
      <c r="E72" t="s">
        <v>2892</v>
      </c>
      <c r="F72" t="s">
        <v>2892</v>
      </c>
      <c r="G72" s="10">
        <v>2800000</v>
      </c>
      <c r="H72">
        <f t="shared" si="4"/>
        <v>2800000</v>
      </c>
      <c r="I72">
        <f t="shared" si="5"/>
        <v>2800000</v>
      </c>
      <c r="J72">
        <f t="shared" si="6"/>
        <v>2800000</v>
      </c>
      <c r="K72" t="str">
        <f>IF(E72="","",SUM(ContractsTbl[[#This Row],[salaryY1]:[salaryY4]]))</f>
        <v/>
      </c>
      <c r="L72" t="b">
        <f t="shared" si="3"/>
        <v>1</v>
      </c>
    </row>
    <row r="73" spans="1:12" x14ac:dyDescent="0.2">
      <c r="A73" t="s">
        <v>941</v>
      </c>
      <c r="B73" t="s">
        <v>74</v>
      </c>
      <c r="C73" t="s">
        <v>639</v>
      </c>
      <c r="D73" t="s">
        <v>44</v>
      </c>
      <c r="E73" t="s">
        <v>2892</v>
      </c>
      <c r="F73" t="s">
        <v>2892</v>
      </c>
      <c r="G73" s="10">
        <v>2600000</v>
      </c>
      <c r="H73">
        <f t="shared" si="4"/>
        <v>2600000</v>
      </c>
      <c r="I73">
        <f t="shared" si="5"/>
        <v>2600000</v>
      </c>
      <c r="J73">
        <f t="shared" si="6"/>
        <v>2600000</v>
      </c>
      <c r="K73" t="str">
        <f>IF(E73="","",SUM(ContractsTbl[[#This Row],[salaryY1]:[salaryY4]]))</f>
        <v/>
      </c>
      <c r="L73" t="b">
        <f t="shared" si="3"/>
        <v>1</v>
      </c>
    </row>
    <row r="74" spans="1:12" x14ac:dyDescent="0.2">
      <c r="A74" t="s">
        <v>942</v>
      </c>
      <c r="B74" t="s">
        <v>74</v>
      </c>
      <c r="C74" t="s">
        <v>640</v>
      </c>
      <c r="D74" t="s">
        <v>44</v>
      </c>
      <c r="E74" t="s">
        <v>2892</v>
      </c>
      <c r="F74" t="s">
        <v>2892</v>
      </c>
      <c r="G74" s="10">
        <v>2700000</v>
      </c>
      <c r="H74">
        <f t="shared" si="4"/>
        <v>2700000</v>
      </c>
      <c r="I74">
        <f t="shared" si="5"/>
        <v>2700000</v>
      </c>
      <c r="J74">
        <f t="shared" si="6"/>
        <v>2700000</v>
      </c>
      <c r="K74" t="str">
        <f>IF(E74="","",SUM(ContractsTbl[[#This Row],[salaryY1]:[salaryY4]]))</f>
        <v/>
      </c>
      <c r="L74" t="b">
        <f t="shared" si="3"/>
        <v>1</v>
      </c>
    </row>
    <row r="75" spans="1:12" x14ac:dyDescent="0.2">
      <c r="A75" t="s">
        <v>943</v>
      </c>
      <c r="B75" t="s">
        <v>74</v>
      </c>
      <c r="C75" t="s">
        <v>641</v>
      </c>
      <c r="D75" t="s">
        <v>44</v>
      </c>
      <c r="E75" t="s">
        <v>2892</v>
      </c>
      <c r="F75" t="s">
        <v>2892</v>
      </c>
      <c r="G75" s="10">
        <v>2500000</v>
      </c>
      <c r="H75">
        <f t="shared" si="4"/>
        <v>2500000</v>
      </c>
      <c r="I75">
        <f t="shared" si="5"/>
        <v>2500000</v>
      </c>
      <c r="J75">
        <f t="shared" si="6"/>
        <v>2500000</v>
      </c>
      <c r="K75" t="str">
        <f>IF(E75="","",SUM(ContractsTbl[[#This Row],[salaryY1]:[salaryY4]]))</f>
        <v/>
      </c>
      <c r="L75" t="b">
        <f t="shared" si="3"/>
        <v>1</v>
      </c>
    </row>
    <row r="76" spans="1:12" x14ac:dyDescent="0.2">
      <c r="A76" t="s">
        <v>944</v>
      </c>
      <c r="B76" t="s">
        <v>74</v>
      </c>
      <c r="C76" t="s">
        <v>642</v>
      </c>
      <c r="D76" t="s">
        <v>44</v>
      </c>
      <c r="E76" t="s">
        <v>2892</v>
      </c>
      <c r="F76" t="s">
        <v>2892</v>
      </c>
      <c r="G76" s="10">
        <v>3100000</v>
      </c>
      <c r="H76">
        <f t="shared" si="4"/>
        <v>3100000</v>
      </c>
      <c r="I76">
        <f t="shared" si="5"/>
        <v>3100000</v>
      </c>
      <c r="J76">
        <f t="shared" si="6"/>
        <v>3100000</v>
      </c>
      <c r="K76" t="str">
        <f>IF(E76="","",SUM(ContractsTbl[[#This Row],[salaryY1]:[salaryY4]]))</f>
        <v/>
      </c>
      <c r="L76" t="b">
        <f t="shared" si="3"/>
        <v>1</v>
      </c>
    </row>
    <row r="77" spans="1:12" x14ac:dyDescent="0.2">
      <c r="A77" t="s">
        <v>945</v>
      </c>
      <c r="B77" t="s">
        <v>74</v>
      </c>
      <c r="C77" t="s">
        <v>643</v>
      </c>
      <c r="D77" t="s">
        <v>44</v>
      </c>
      <c r="E77" t="s">
        <v>2892</v>
      </c>
      <c r="F77" t="s">
        <v>2892</v>
      </c>
      <c r="G77" s="10">
        <v>2400000</v>
      </c>
      <c r="H77">
        <f t="shared" si="4"/>
        <v>2400000</v>
      </c>
      <c r="I77">
        <f t="shared" si="5"/>
        <v>2400000</v>
      </c>
      <c r="J77">
        <f t="shared" si="6"/>
        <v>2400000</v>
      </c>
      <c r="K77" t="str">
        <f>IF(E77="","",SUM(ContractsTbl[[#This Row],[salaryY1]:[salaryY4]]))</f>
        <v/>
      </c>
      <c r="L77" t="b">
        <f t="shared" si="3"/>
        <v>1</v>
      </c>
    </row>
    <row r="78" spans="1:12" x14ac:dyDescent="0.2">
      <c r="A78" t="s">
        <v>946</v>
      </c>
      <c r="B78" t="s">
        <v>74</v>
      </c>
      <c r="C78" t="s">
        <v>644</v>
      </c>
      <c r="D78" t="s">
        <v>44</v>
      </c>
      <c r="E78" t="s">
        <v>2892</v>
      </c>
      <c r="F78" t="s">
        <v>2892</v>
      </c>
      <c r="G78" s="10">
        <v>3000000</v>
      </c>
      <c r="H78">
        <f t="shared" si="4"/>
        <v>3000000</v>
      </c>
      <c r="I78">
        <f t="shared" si="5"/>
        <v>3000000</v>
      </c>
      <c r="J78">
        <f t="shared" si="6"/>
        <v>3000000</v>
      </c>
      <c r="K78" t="str">
        <f>IF(E78="","",SUM(ContractsTbl[[#This Row],[salaryY1]:[salaryY4]]))</f>
        <v/>
      </c>
      <c r="L78" t="b">
        <f t="shared" si="3"/>
        <v>1</v>
      </c>
    </row>
    <row r="79" spans="1:12" x14ac:dyDescent="0.2">
      <c r="A79" t="s">
        <v>947</v>
      </c>
      <c r="B79" t="s">
        <v>74</v>
      </c>
      <c r="C79" t="s">
        <v>645</v>
      </c>
      <c r="D79" t="s">
        <v>44</v>
      </c>
      <c r="E79" t="s">
        <v>2892</v>
      </c>
      <c r="F79" t="s">
        <v>2892</v>
      </c>
      <c r="G79" s="10">
        <v>1300000</v>
      </c>
      <c r="H79">
        <f t="shared" si="4"/>
        <v>1300000</v>
      </c>
      <c r="I79">
        <f t="shared" si="5"/>
        <v>1300000</v>
      </c>
      <c r="J79">
        <f t="shared" si="6"/>
        <v>1300000</v>
      </c>
      <c r="K79" t="str">
        <f>IF(E79="","",SUM(ContractsTbl[[#This Row],[salaryY1]:[salaryY4]]))</f>
        <v/>
      </c>
      <c r="L79" t="b">
        <f t="shared" si="3"/>
        <v>1</v>
      </c>
    </row>
    <row r="80" spans="1:12" x14ac:dyDescent="0.2">
      <c r="A80" t="s">
        <v>948</v>
      </c>
      <c r="B80" t="s">
        <v>74</v>
      </c>
      <c r="C80" t="s">
        <v>646</v>
      </c>
      <c r="D80" t="s">
        <v>44</v>
      </c>
      <c r="E80" t="s">
        <v>2892</v>
      </c>
      <c r="F80" t="s">
        <v>2892</v>
      </c>
      <c r="G80" s="10">
        <v>3000000</v>
      </c>
      <c r="H80">
        <f t="shared" si="4"/>
        <v>3000000</v>
      </c>
      <c r="I80">
        <f t="shared" si="5"/>
        <v>3000000</v>
      </c>
      <c r="J80">
        <f t="shared" si="6"/>
        <v>3000000</v>
      </c>
      <c r="K80" t="str">
        <f>IF(E80="","",SUM(ContractsTbl[[#This Row],[salaryY1]:[salaryY4]]))</f>
        <v/>
      </c>
      <c r="L80" t="b">
        <f t="shared" si="3"/>
        <v>1</v>
      </c>
    </row>
    <row r="81" spans="1:12" x14ac:dyDescent="0.2">
      <c r="A81" t="s">
        <v>949</v>
      </c>
      <c r="B81" t="s">
        <v>74</v>
      </c>
      <c r="C81" t="s">
        <v>647</v>
      </c>
      <c r="D81" t="s">
        <v>44</v>
      </c>
      <c r="E81" t="s">
        <v>2892</v>
      </c>
      <c r="F81" t="s">
        <v>2892</v>
      </c>
      <c r="G81" s="10">
        <v>4400000</v>
      </c>
      <c r="H81">
        <f t="shared" si="4"/>
        <v>4400000</v>
      </c>
      <c r="I81">
        <f t="shared" si="5"/>
        <v>4400000</v>
      </c>
      <c r="J81">
        <f t="shared" si="6"/>
        <v>4400000</v>
      </c>
      <c r="K81" t="str">
        <f>IF(E81="","",SUM(ContractsTbl[[#This Row],[salaryY1]:[salaryY4]]))</f>
        <v/>
      </c>
      <c r="L81" t="b">
        <f t="shared" si="3"/>
        <v>1</v>
      </c>
    </row>
    <row r="82" spans="1:12" x14ac:dyDescent="0.2">
      <c r="A82" t="s">
        <v>950</v>
      </c>
      <c r="B82" t="s">
        <v>74</v>
      </c>
      <c r="C82" t="s">
        <v>648</v>
      </c>
      <c r="D82" t="s">
        <v>133</v>
      </c>
      <c r="E82">
        <v>2022</v>
      </c>
      <c r="F82">
        <v>2028</v>
      </c>
      <c r="G82" s="10">
        <v>8000000</v>
      </c>
      <c r="H82">
        <f t="shared" si="4"/>
        <v>8000000</v>
      </c>
      <c r="I82">
        <f t="shared" si="5"/>
        <v>8000000</v>
      </c>
      <c r="J82" t="str">
        <f t="shared" si="6"/>
        <v/>
      </c>
      <c r="K82">
        <f>IF(E82="","",SUM(ContractsTbl[[#This Row],[salaryY1]:[salaryY4]]))</f>
        <v>24000000</v>
      </c>
      <c r="L82" t="b">
        <f t="shared" si="3"/>
        <v>0</v>
      </c>
    </row>
    <row r="83" spans="1:12" x14ac:dyDescent="0.2">
      <c r="A83" t="s">
        <v>951</v>
      </c>
      <c r="B83" t="s">
        <v>74</v>
      </c>
      <c r="C83" t="s">
        <v>649</v>
      </c>
      <c r="D83" t="s">
        <v>151</v>
      </c>
      <c r="E83">
        <v>2023</v>
      </c>
      <c r="F83">
        <v>2027</v>
      </c>
      <c r="G83" s="10">
        <v>7400000</v>
      </c>
      <c r="H83">
        <f t="shared" si="4"/>
        <v>7400000</v>
      </c>
      <c r="I83" t="str">
        <f t="shared" si="5"/>
        <v/>
      </c>
      <c r="J83" t="str">
        <f t="shared" si="6"/>
        <v/>
      </c>
      <c r="K83">
        <f>IF(E83="","",SUM(ContractsTbl[[#This Row],[salaryY1]:[salaryY4]]))</f>
        <v>14800000</v>
      </c>
      <c r="L83" t="b">
        <f t="shared" si="3"/>
        <v>0</v>
      </c>
    </row>
    <row r="84" spans="1:12" x14ac:dyDescent="0.2">
      <c r="A84" t="s">
        <v>952</v>
      </c>
      <c r="B84" t="s">
        <v>74</v>
      </c>
      <c r="C84" t="s">
        <v>650</v>
      </c>
      <c r="D84" t="s">
        <v>131</v>
      </c>
      <c r="E84">
        <v>2024</v>
      </c>
      <c r="F84">
        <v>2026</v>
      </c>
      <c r="G84" s="10">
        <v>4400000</v>
      </c>
      <c r="H84" t="str">
        <f t="shared" si="4"/>
        <v/>
      </c>
      <c r="I84" t="str">
        <f t="shared" si="5"/>
        <v/>
      </c>
      <c r="J84" t="str">
        <f t="shared" si="6"/>
        <v/>
      </c>
      <c r="K84">
        <f>IF(E84="","",SUM(ContractsTbl[[#This Row],[salaryY1]:[salaryY4]]))</f>
        <v>4400000</v>
      </c>
      <c r="L84" t="b">
        <f t="shared" si="3"/>
        <v>0</v>
      </c>
    </row>
    <row r="85" spans="1:12" x14ac:dyDescent="0.2">
      <c r="A85" t="s">
        <v>953</v>
      </c>
      <c r="B85" t="s">
        <v>74</v>
      </c>
      <c r="C85" t="s">
        <v>651</v>
      </c>
      <c r="D85" t="s">
        <v>147</v>
      </c>
      <c r="E85">
        <v>2022</v>
      </c>
      <c r="F85">
        <v>2028</v>
      </c>
      <c r="G85" s="10">
        <v>8000000</v>
      </c>
      <c r="H85">
        <f t="shared" si="4"/>
        <v>8000000</v>
      </c>
      <c r="I85">
        <f t="shared" si="5"/>
        <v>8000000</v>
      </c>
      <c r="J85" t="str">
        <f t="shared" si="6"/>
        <v/>
      </c>
      <c r="K85">
        <f>IF(E85="","",SUM(ContractsTbl[[#This Row],[salaryY1]:[salaryY4]]))</f>
        <v>24000000</v>
      </c>
      <c r="L85" t="b">
        <f t="shared" si="3"/>
        <v>0</v>
      </c>
    </row>
    <row r="86" spans="1:12" x14ac:dyDescent="0.2">
      <c r="A86" t="s">
        <v>954</v>
      </c>
      <c r="B86" t="s">
        <v>74</v>
      </c>
      <c r="C86" t="s">
        <v>652</v>
      </c>
      <c r="D86" t="s">
        <v>150</v>
      </c>
      <c r="E86">
        <v>2023</v>
      </c>
      <c r="F86">
        <v>2027</v>
      </c>
      <c r="G86" s="10">
        <v>6800000</v>
      </c>
      <c r="H86">
        <f t="shared" si="4"/>
        <v>6800000</v>
      </c>
      <c r="I86" t="str">
        <f t="shared" si="5"/>
        <v/>
      </c>
      <c r="J86" t="str">
        <f t="shared" si="6"/>
        <v/>
      </c>
      <c r="K86">
        <f>IF(E86="","",SUM(ContractsTbl[[#This Row],[salaryY1]:[salaryY4]]))</f>
        <v>13600000</v>
      </c>
      <c r="L86" t="b">
        <f t="shared" si="3"/>
        <v>0</v>
      </c>
    </row>
    <row r="87" spans="1:12" x14ac:dyDescent="0.2">
      <c r="A87" t="s">
        <v>955</v>
      </c>
      <c r="B87" t="s">
        <v>74</v>
      </c>
      <c r="C87" t="s">
        <v>653</v>
      </c>
      <c r="D87" t="s">
        <v>157</v>
      </c>
      <c r="E87">
        <v>2023</v>
      </c>
      <c r="F87">
        <v>2027</v>
      </c>
      <c r="G87" s="10">
        <v>5000000</v>
      </c>
      <c r="H87">
        <f t="shared" si="4"/>
        <v>5000000</v>
      </c>
      <c r="I87" t="str">
        <f t="shared" si="5"/>
        <v/>
      </c>
      <c r="J87" t="str">
        <f t="shared" si="6"/>
        <v/>
      </c>
      <c r="K87">
        <f>IF(E87="","",SUM(ContractsTbl[[#This Row],[salaryY1]:[salaryY4]]))</f>
        <v>10000000</v>
      </c>
      <c r="L87" t="b">
        <f t="shared" si="3"/>
        <v>0</v>
      </c>
    </row>
    <row r="88" spans="1:12" x14ac:dyDescent="0.2">
      <c r="A88" t="s">
        <v>956</v>
      </c>
      <c r="B88" t="s">
        <v>74</v>
      </c>
      <c r="C88" t="s">
        <v>654</v>
      </c>
      <c r="D88" t="s">
        <v>143</v>
      </c>
      <c r="E88">
        <v>2023</v>
      </c>
      <c r="F88">
        <v>2027</v>
      </c>
      <c r="G88" s="10">
        <v>6800000</v>
      </c>
      <c r="H88">
        <f t="shared" si="4"/>
        <v>6800000</v>
      </c>
      <c r="I88" t="str">
        <f t="shared" si="5"/>
        <v/>
      </c>
      <c r="J88" t="str">
        <f t="shared" si="6"/>
        <v/>
      </c>
      <c r="K88">
        <f>IF(E88="","",SUM(ContractsTbl[[#This Row],[salaryY1]:[salaryY4]]))</f>
        <v>13600000</v>
      </c>
      <c r="L88" t="b">
        <f t="shared" si="3"/>
        <v>0</v>
      </c>
    </row>
    <row r="89" spans="1:12" x14ac:dyDescent="0.2">
      <c r="A89" t="s">
        <v>957</v>
      </c>
      <c r="B89" t="s">
        <v>74</v>
      </c>
      <c r="C89" t="s">
        <v>655</v>
      </c>
      <c r="D89" t="s">
        <v>153</v>
      </c>
      <c r="E89">
        <v>2024</v>
      </c>
      <c r="F89">
        <v>2026</v>
      </c>
      <c r="G89" s="10">
        <v>4400000</v>
      </c>
      <c r="H89" t="str">
        <f t="shared" si="4"/>
        <v/>
      </c>
      <c r="I89" t="str">
        <f t="shared" si="5"/>
        <v/>
      </c>
      <c r="J89" t="str">
        <f t="shared" si="6"/>
        <v/>
      </c>
      <c r="K89">
        <f>IF(E89="","",SUM(ContractsTbl[[#This Row],[salaryY1]:[salaryY4]]))</f>
        <v>4400000</v>
      </c>
      <c r="L89" t="b">
        <f t="shared" si="3"/>
        <v>0</v>
      </c>
    </row>
    <row r="90" spans="1:12" x14ac:dyDescent="0.2">
      <c r="A90" t="s">
        <v>958</v>
      </c>
      <c r="B90" t="s">
        <v>74</v>
      </c>
      <c r="C90" t="s">
        <v>656</v>
      </c>
      <c r="D90" t="s">
        <v>137</v>
      </c>
      <c r="E90">
        <v>2022</v>
      </c>
      <c r="F90">
        <v>2028</v>
      </c>
      <c r="G90" s="10">
        <v>8000000</v>
      </c>
      <c r="H90">
        <f t="shared" si="4"/>
        <v>8000000</v>
      </c>
      <c r="I90">
        <f t="shared" si="5"/>
        <v>8000000</v>
      </c>
      <c r="J90" t="str">
        <f t="shared" si="6"/>
        <v/>
      </c>
      <c r="K90">
        <f>IF(E90="","",SUM(ContractsTbl[[#This Row],[salaryY1]:[salaryY4]]))</f>
        <v>24000000</v>
      </c>
      <c r="L90" t="b">
        <f t="shared" si="3"/>
        <v>0</v>
      </c>
    </row>
    <row r="91" spans="1:12" x14ac:dyDescent="0.2">
      <c r="A91" t="s">
        <v>959</v>
      </c>
      <c r="B91" t="s">
        <v>74</v>
      </c>
      <c r="C91" t="s">
        <v>657</v>
      </c>
      <c r="D91" t="s">
        <v>140</v>
      </c>
      <c r="E91">
        <v>2023</v>
      </c>
      <c r="F91">
        <v>2027</v>
      </c>
      <c r="G91" s="10">
        <v>6800000</v>
      </c>
      <c r="H91">
        <f t="shared" si="4"/>
        <v>6800000</v>
      </c>
      <c r="I91" t="str">
        <f t="shared" si="5"/>
        <v/>
      </c>
      <c r="J91" t="str">
        <f t="shared" si="6"/>
        <v/>
      </c>
      <c r="K91">
        <f>IF(E91="","",SUM(ContractsTbl[[#This Row],[salaryY1]:[salaryY4]]))</f>
        <v>13600000</v>
      </c>
      <c r="L91" t="b">
        <f t="shared" si="3"/>
        <v>0</v>
      </c>
    </row>
    <row r="92" spans="1:12" x14ac:dyDescent="0.2">
      <c r="A92" t="s">
        <v>960</v>
      </c>
      <c r="B92" t="s">
        <v>74</v>
      </c>
      <c r="C92" t="s">
        <v>658</v>
      </c>
      <c r="D92" t="s">
        <v>134</v>
      </c>
      <c r="E92">
        <v>2023</v>
      </c>
      <c r="F92">
        <v>2027</v>
      </c>
      <c r="G92" s="10">
        <v>5000000</v>
      </c>
      <c r="H92">
        <f t="shared" si="4"/>
        <v>5000000</v>
      </c>
      <c r="I92" t="str">
        <f t="shared" si="5"/>
        <v/>
      </c>
      <c r="J92" t="str">
        <f t="shared" si="6"/>
        <v/>
      </c>
      <c r="K92">
        <f>IF(E92="","",SUM(ContractsTbl[[#This Row],[salaryY1]:[salaryY4]]))</f>
        <v>10000000</v>
      </c>
      <c r="L92" t="b">
        <f t="shared" si="3"/>
        <v>0</v>
      </c>
    </row>
    <row r="93" spans="1:12" x14ac:dyDescent="0.2">
      <c r="A93" t="s">
        <v>961</v>
      </c>
      <c r="B93" t="s">
        <v>74</v>
      </c>
      <c r="C93" t="s">
        <v>659</v>
      </c>
      <c r="D93" t="s">
        <v>141</v>
      </c>
      <c r="E93">
        <v>2022</v>
      </c>
      <c r="F93">
        <v>2028</v>
      </c>
      <c r="G93" s="10">
        <v>9200000</v>
      </c>
      <c r="H93">
        <f t="shared" si="4"/>
        <v>9200000</v>
      </c>
      <c r="I93">
        <f t="shared" si="5"/>
        <v>9200000</v>
      </c>
      <c r="J93" t="str">
        <f t="shared" si="6"/>
        <v/>
      </c>
      <c r="K93">
        <f>IF(E93="","",SUM(ContractsTbl[[#This Row],[salaryY1]:[salaryY4]]))</f>
        <v>27600000</v>
      </c>
      <c r="L93" t="b">
        <f t="shared" si="3"/>
        <v>0</v>
      </c>
    </row>
    <row r="94" spans="1:12" x14ac:dyDescent="0.2">
      <c r="A94" t="s">
        <v>962</v>
      </c>
      <c r="B94" t="s">
        <v>74</v>
      </c>
      <c r="C94" t="s">
        <v>660</v>
      </c>
      <c r="D94" t="s">
        <v>138</v>
      </c>
      <c r="E94">
        <v>2023</v>
      </c>
      <c r="F94">
        <v>2027</v>
      </c>
      <c r="G94" s="10">
        <v>6800000</v>
      </c>
      <c r="H94">
        <f t="shared" si="4"/>
        <v>6800000</v>
      </c>
      <c r="I94" t="str">
        <f t="shared" si="5"/>
        <v/>
      </c>
      <c r="J94" t="str">
        <f t="shared" si="6"/>
        <v/>
      </c>
      <c r="K94">
        <f>IF(E94="","",SUM(ContractsTbl[[#This Row],[salaryY1]:[salaryY4]]))</f>
        <v>13600000</v>
      </c>
      <c r="L94" t="b">
        <f t="shared" si="3"/>
        <v>0</v>
      </c>
    </row>
    <row r="95" spans="1:12" x14ac:dyDescent="0.2">
      <c r="A95" t="s">
        <v>963</v>
      </c>
      <c r="B95" t="s">
        <v>74</v>
      </c>
      <c r="C95" t="s">
        <v>661</v>
      </c>
      <c r="D95" t="s">
        <v>139</v>
      </c>
      <c r="E95">
        <v>2023</v>
      </c>
      <c r="F95">
        <v>2027</v>
      </c>
      <c r="G95" s="10">
        <v>7400000</v>
      </c>
      <c r="H95">
        <f t="shared" si="4"/>
        <v>7400000</v>
      </c>
      <c r="I95" t="str">
        <f t="shared" si="5"/>
        <v/>
      </c>
      <c r="J95" t="str">
        <f t="shared" si="6"/>
        <v/>
      </c>
      <c r="K95">
        <f>IF(E95="","",SUM(ContractsTbl[[#This Row],[salaryY1]:[salaryY4]]))</f>
        <v>14800000</v>
      </c>
      <c r="L95" t="b">
        <f t="shared" si="3"/>
        <v>0</v>
      </c>
    </row>
    <row r="96" spans="1:12" x14ac:dyDescent="0.2">
      <c r="A96" t="s">
        <v>964</v>
      </c>
      <c r="B96" t="s">
        <v>74</v>
      </c>
      <c r="C96" t="s">
        <v>662</v>
      </c>
      <c r="D96" t="s">
        <v>152</v>
      </c>
      <c r="E96">
        <v>2022</v>
      </c>
      <c r="F96">
        <v>2028</v>
      </c>
      <c r="G96" s="10">
        <v>10400000</v>
      </c>
      <c r="H96">
        <f t="shared" si="4"/>
        <v>10400000</v>
      </c>
      <c r="I96">
        <f t="shared" si="5"/>
        <v>10400000</v>
      </c>
      <c r="J96" t="str">
        <f t="shared" si="6"/>
        <v/>
      </c>
      <c r="K96">
        <f>IF(E96="","",SUM(ContractsTbl[[#This Row],[salaryY1]:[salaryY4]]))</f>
        <v>31200000</v>
      </c>
      <c r="L96" t="b">
        <f t="shared" si="3"/>
        <v>0</v>
      </c>
    </row>
    <row r="97" spans="1:12" x14ac:dyDescent="0.2">
      <c r="A97" t="s">
        <v>965</v>
      </c>
      <c r="B97" t="s">
        <v>74</v>
      </c>
      <c r="C97" t="s">
        <v>663</v>
      </c>
      <c r="D97" t="s">
        <v>135</v>
      </c>
      <c r="E97">
        <v>2023</v>
      </c>
      <c r="F97">
        <v>2027</v>
      </c>
      <c r="G97" s="10">
        <v>7400000</v>
      </c>
      <c r="H97">
        <f t="shared" si="4"/>
        <v>7400000</v>
      </c>
      <c r="I97" t="str">
        <f t="shared" si="5"/>
        <v/>
      </c>
      <c r="J97" t="str">
        <f t="shared" si="6"/>
        <v/>
      </c>
      <c r="K97">
        <f>IF(E97="","",SUM(ContractsTbl[[#This Row],[salaryY1]:[salaryY4]]))</f>
        <v>14800000</v>
      </c>
      <c r="L97" t="b">
        <f t="shared" si="3"/>
        <v>0</v>
      </c>
    </row>
    <row r="98" spans="1:12" x14ac:dyDescent="0.2">
      <c r="A98" t="s">
        <v>966</v>
      </c>
      <c r="B98" t="s">
        <v>74</v>
      </c>
      <c r="C98" t="s">
        <v>664</v>
      </c>
      <c r="D98" t="s">
        <v>129</v>
      </c>
      <c r="E98">
        <v>2023</v>
      </c>
      <c r="F98">
        <v>2027</v>
      </c>
      <c r="G98" s="10">
        <v>6800000</v>
      </c>
      <c r="H98">
        <f t="shared" si="4"/>
        <v>6800000</v>
      </c>
      <c r="I98" t="str">
        <f t="shared" si="5"/>
        <v/>
      </c>
      <c r="J98" t="str">
        <f t="shared" si="6"/>
        <v/>
      </c>
      <c r="K98">
        <f>IF(E98="","",SUM(ContractsTbl[[#This Row],[salaryY1]:[salaryY4]]))</f>
        <v>13600000</v>
      </c>
      <c r="L98" t="b">
        <f t="shared" si="3"/>
        <v>0</v>
      </c>
    </row>
    <row r="99" spans="1:12" x14ac:dyDescent="0.2">
      <c r="A99" t="s">
        <v>967</v>
      </c>
      <c r="B99" t="s">
        <v>74</v>
      </c>
      <c r="C99" t="s">
        <v>665</v>
      </c>
      <c r="D99" t="s">
        <v>130</v>
      </c>
      <c r="E99">
        <v>2023</v>
      </c>
      <c r="F99">
        <v>2027</v>
      </c>
      <c r="G99" s="10">
        <v>7400000</v>
      </c>
      <c r="H99">
        <f t="shared" si="4"/>
        <v>7400000</v>
      </c>
      <c r="I99" t="str">
        <f t="shared" si="5"/>
        <v/>
      </c>
      <c r="J99" t="str">
        <f t="shared" si="6"/>
        <v/>
      </c>
      <c r="K99">
        <f>IF(E99="","",SUM(ContractsTbl[[#This Row],[salaryY1]:[salaryY4]]))</f>
        <v>14800000</v>
      </c>
      <c r="L99" t="b">
        <f t="shared" ref="L99:L162" si="7">IF(F99="",TRUE,FALSE)</f>
        <v>0</v>
      </c>
    </row>
    <row r="100" spans="1:12" x14ac:dyDescent="0.2">
      <c r="A100" t="s">
        <v>968</v>
      </c>
      <c r="B100" t="s">
        <v>74</v>
      </c>
      <c r="C100" t="s">
        <v>666</v>
      </c>
      <c r="D100" t="s">
        <v>132</v>
      </c>
      <c r="E100">
        <v>2022</v>
      </c>
      <c r="F100">
        <v>2028</v>
      </c>
      <c r="G100" s="10">
        <v>8000000</v>
      </c>
      <c r="H100">
        <f t="shared" si="4"/>
        <v>8000000</v>
      </c>
      <c r="I100">
        <f t="shared" si="5"/>
        <v>8000000</v>
      </c>
      <c r="J100" t="str">
        <f t="shared" si="6"/>
        <v/>
      </c>
      <c r="K100">
        <f>IF(E100="","",SUM(ContractsTbl[[#This Row],[salaryY1]:[salaryY4]]))</f>
        <v>24000000</v>
      </c>
      <c r="L100" t="b">
        <f t="shared" si="7"/>
        <v>0</v>
      </c>
    </row>
    <row r="101" spans="1:12" x14ac:dyDescent="0.2">
      <c r="A101" t="s">
        <v>969</v>
      </c>
      <c r="B101" t="s">
        <v>74</v>
      </c>
      <c r="C101" t="s">
        <v>667</v>
      </c>
      <c r="D101" t="s">
        <v>22</v>
      </c>
      <c r="E101">
        <v>2023</v>
      </c>
      <c r="F101">
        <v>2027</v>
      </c>
      <c r="G101" s="10">
        <v>6800000</v>
      </c>
      <c r="H101">
        <f t="shared" si="4"/>
        <v>6800000</v>
      </c>
      <c r="I101" t="str">
        <f t="shared" si="5"/>
        <v/>
      </c>
      <c r="J101" t="str">
        <f t="shared" si="6"/>
        <v/>
      </c>
      <c r="K101">
        <f>IF(E101="","",SUM(ContractsTbl[[#This Row],[salaryY1]:[salaryY4]]))</f>
        <v>13600000</v>
      </c>
      <c r="L101" t="b">
        <f t="shared" si="7"/>
        <v>0</v>
      </c>
    </row>
    <row r="102" spans="1:12" x14ac:dyDescent="0.2">
      <c r="A102" t="s">
        <v>970</v>
      </c>
      <c r="B102" t="s">
        <v>74</v>
      </c>
      <c r="C102" t="s">
        <v>40</v>
      </c>
      <c r="D102" t="s">
        <v>149</v>
      </c>
      <c r="E102">
        <v>2023</v>
      </c>
      <c r="F102">
        <v>2027</v>
      </c>
      <c r="G102" s="10">
        <v>5000000</v>
      </c>
      <c r="H102">
        <f t="shared" si="4"/>
        <v>5000000</v>
      </c>
      <c r="I102" t="str">
        <f t="shared" si="5"/>
        <v/>
      </c>
      <c r="J102" t="str">
        <f t="shared" si="6"/>
        <v/>
      </c>
      <c r="K102">
        <f>IF(E102="","",SUM(ContractsTbl[[#This Row],[salaryY1]:[salaryY4]]))</f>
        <v>10000000</v>
      </c>
      <c r="L102" t="b">
        <f t="shared" si="7"/>
        <v>0</v>
      </c>
    </row>
    <row r="103" spans="1:12" x14ac:dyDescent="0.2">
      <c r="A103" t="s">
        <v>971</v>
      </c>
      <c r="B103" t="s">
        <v>74</v>
      </c>
      <c r="C103" t="s">
        <v>668</v>
      </c>
      <c r="D103" t="s">
        <v>146</v>
      </c>
      <c r="E103">
        <v>2022</v>
      </c>
      <c r="F103">
        <v>2028</v>
      </c>
      <c r="G103" s="10">
        <v>8600000</v>
      </c>
      <c r="H103">
        <f t="shared" si="4"/>
        <v>8600000</v>
      </c>
      <c r="I103">
        <f t="shared" si="5"/>
        <v>8600000</v>
      </c>
      <c r="J103" t="str">
        <f t="shared" si="6"/>
        <v/>
      </c>
      <c r="K103">
        <f>IF(E103="","",SUM(ContractsTbl[[#This Row],[salaryY1]:[salaryY4]]))</f>
        <v>25800000</v>
      </c>
      <c r="L103" t="b">
        <f t="shared" si="7"/>
        <v>0</v>
      </c>
    </row>
    <row r="104" spans="1:12" x14ac:dyDescent="0.2">
      <c r="A104" t="s">
        <v>972</v>
      </c>
      <c r="B104" t="s">
        <v>74</v>
      </c>
      <c r="C104" t="s">
        <v>669</v>
      </c>
      <c r="D104" t="s">
        <v>142</v>
      </c>
      <c r="E104">
        <v>2023</v>
      </c>
      <c r="F104">
        <v>2027</v>
      </c>
      <c r="G104" s="10">
        <v>7400000</v>
      </c>
      <c r="H104">
        <f t="shared" si="4"/>
        <v>7400000</v>
      </c>
      <c r="I104" t="str">
        <f t="shared" si="5"/>
        <v/>
      </c>
      <c r="J104" t="str">
        <f t="shared" si="6"/>
        <v/>
      </c>
      <c r="K104">
        <f>IF(E104="","",SUM(ContractsTbl[[#This Row],[salaryY1]:[salaryY4]]))</f>
        <v>14800000</v>
      </c>
      <c r="L104" t="b">
        <f t="shared" si="7"/>
        <v>0</v>
      </c>
    </row>
    <row r="105" spans="1:12" x14ac:dyDescent="0.2">
      <c r="A105" t="s">
        <v>973</v>
      </c>
      <c r="B105" t="s">
        <v>74</v>
      </c>
      <c r="C105" t="s">
        <v>670</v>
      </c>
      <c r="D105" t="s">
        <v>154</v>
      </c>
      <c r="E105">
        <v>2023</v>
      </c>
      <c r="F105">
        <v>2027</v>
      </c>
      <c r="G105" s="10">
        <v>6800000</v>
      </c>
      <c r="H105">
        <f t="shared" si="4"/>
        <v>6800000</v>
      </c>
      <c r="I105" t="str">
        <f t="shared" si="5"/>
        <v/>
      </c>
      <c r="J105" t="str">
        <f t="shared" si="6"/>
        <v/>
      </c>
      <c r="K105">
        <f>IF(E105="","",SUM(ContractsTbl[[#This Row],[salaryY1]:[salaryY4]]))</f>
        <v>13600000</v>
      </c>
      <c r="L105" t="b">
        <f t="shared" si="7"/>
        <v>0</v>
      </c>
    </row>
    <row r="106" spans="1:12" x14ac:dyDescent="0.2">
      <c r="A106" t="s">
        <v>974</v>
      </c>
      <c r="B106" t="s">
        <v>74</v>
      </c>
      <c r="C106" t="s">
        <v>671</v>
      </c>
      <c r="D106" t="s">
        <v>148</v>
      </c>
      <c r="E106">
        <v>2023</v>
      </c>
      <c r="F106">
        <v>2027</v>
      </c>
      <c r="G106" s="10">
        <v>5000000</v>
      </c>
      <c r="H106">
        <f t="shared" si="4"/>
        <v>5000000</v>
      </c>
      <c r="I106" t="str">
        <f t="shared" si="5"/>
        <v/>
      </c>
      <c r="J106" t="str">
        <f t="shared" si="6"/>
        <v/>
      </c>
      <c r="K106">
        <f>IF(E106="","",SUM(ContractsTbl[[#This Row],[salaryY1]:[salaryY4]]))</f>
        <v>10000000</v>
      </c>
      <c r="L106" t="b">
        <f t="shared" si="7"/>
        <v>0</v>
      </c>
    </row>
    <row r="107" spans="1:12" x14ac:dyDescent="0.2">
      <c r="A107" t="s">
        <v>975</v>
      </c>
      <c r="B107" t="s">
        <v>74</v>
      </c>
      <c r="C107" t="s">
        <v>672</v>
      </c>
      <c r="D107" t="s">
        <v>144</v>
      </c>
      <c r="E107">
        <v>2022</v>
      </c>
      <c r="F107">
        <v>2028</v>
      </c>
      <c r="G107" s="10">
        <v>8000000</v>
      </c>
      <c r="H107">
        <f t="shared" si="4"/>
        <v>8000000</v>
      </c>
      <c r="I107">
        <f t="shared" si="5"/>
        <v>8000000</v>
      </c>
      <c r="J107" t="str">
        <f t="shared" si="6"/>
        <v/>
      </c>
      <c r="K107">
        <f>IF(E107="","",SUM(ContractsTbl[[#This Row],[salaryY1]:[salaryY4]]))</f>
        <v>24000000</v>
      </c>
      <c r="L107" t="b">
        <f t="shared" si="7"/>
        <v>0</v>
      </c>
    </row>
    <row r="108" spans="1:12" x14ac:dyDescent="0.2">
      <c r="A108" t="s">
        <v>976</v>
      </c>
      <c r="B108" t="s">
        <v>74</v>
      </c>
      <c r="C108" t="s">
        <v>673</v>
      </c>
      <c r="D108" t="s">
        <v>136</v>
      </c>
      <c r="E108">
        <v>2023</v>
      </c>
      <c r="F108">
        <v>2027</v>
      </c>
      <c r="G108" s="10">
        <v>6800000</v>
      </c>
      <c r="H108">
        <f t="shared" si="4"/>
        <v>6800000</v>
      </c>
      <c r="I108" t="str">
        <f t="shared" si="5"/>
        <v/>
      </c>
      <c r="J108" t="str">
        <f t="shared" si="6"/>
        <v/>
      </c>
      <c r="K108">
        <f>IF(E108="","",SUM(ContractsTbl[[#This Row],[salaryY1]:[salaryY4]]))</f>
        <v>13600000</v>
      </c>
      <c r="L108" t="b">
        <f t="shared" si="7"/>
        <v>0</v>
      </c>
    </row>
    <row r="109" spans="1:12" x14ac:dyDescent="0.2">
      <c r="A109" t="s">
        <v>977</v>
      </c>
      <c r="B109" t="s">
        <v>74</v>
      </c>
      <c r="C109" t="s">
        <v>674</v>
      </c>
      <c r="D109" t="s">
        <v>145</v>
      </c>
      <c r="E109">
        <v>2024</v>
      </c>
      <c r="F109">
        <v>2026</v>
      </c>
      <c r="G109" s="10">
        <v>4400000</v>
      </c>
      <c r="H109" t="str">
        <f t="shared" si="4"/>
        <v/>
      </c>
      <c r="I109" t="str">
        <f t="shared" si="5"/>
        <v/>
      </c>
      <c r="J109" t="str">
        <f t="shared" si="6"/>
        <v/>
      </c>
      <c r="K109">
        <f>IF(E109="","",SUM(ContractsTbl[[#This Row],[salaryY1]:[salaryY4]]))</f>
        <v>4400000</v>
      </c>
      <c r="L109" t="b">
        <f t="shared" si="7"/>
        <v>0</v>
      </c>
    </row>
    <row r="110" spans="1:12" x14ac:dyDescent="0.2">
      <c r="A110" t="s">
        <v>978</v>
      </c>
      <c r="B110" t="s">
        <v>74</v>
      </c>
      <c r="C110" t="s">
        <v>675</v>
      </c>
      <c r="D110" t="s">
        <v>158</v>
      </c>
      <c r="E110">
        <v>2022</v>
      </c>
      <c r="F110">
        <v>2028</v>
      </c>
      <c r="G110" s="10">
        <v>8000000</v>
      </c>
      <c r="H110">
        <f t="shared" si="4"/>
        <v>8000000</v>
      </c>
      <c r="I110">
        <f t="shared" si="5"/>
        <v>8000000</v>
      </c>
      <c r="J110" t="str">
        <f t="shared" si="6"/>
        <v/>
      </c>
      <c r="K110">
        <f>IF(E110="","",SUM(ContractsTbl[[#This Row],[salaryY1]:[salaryY4]]))</f>
        <v>24000000</v>
      </c>
      <c r="L110" t="b">
        <f t="shared" si="7"/>
        <v>0</v>
      </c>
    </row>
    <row r="111" spans="1:12" x14ac:dyDescent="0.2">
      <c r="A111" t="s">
        <v>979</v>
      </c>
      <c r="B111" t="s">
        <v>74</v>
      </c>
      <c r="C111" t="s">
        <v>676</v>
      </c>
      <c r="D111" t="s">
        <v>155</v>
      </c>
      <c r="E111">
        <v>2022</v>
      </c>
      <c r="F111">
        <v>2028</v>
      </c>
      <c r="G111" s="10">
        <v>9200000</v>
      </c>
      <c r="H111">
        <f t="shared" si="4"/>
        <v>9200000</v>
      </c>
      <c r="I111">
        <f t="shared" si="5"/>
        <v>9200000</v>
      </c>
      <c r="J111" t="str">
        <f t="shared" si="6"/>
        <v/>
      </c>
      <c r="K111">
        <f>IF(E111="","",SUM(ContractsTbl[[#This Row],[salaryY1]:[salaryY4]]))</f>
        <v>27600000</v>
      </c>
      <c r="L111" t="b">
        <f t="shared" si="7"/>
        <v>0</v>
      </c>
    </row>
    <row r="112" spans="1:12" x14ac:dyDescent="0.2">
      <c r="A112" t="s">
        <v>980</v>
      </c>
      <c r="B112" t="s">
        <v>74</v>
      </c>
      <c r="C112" t="s">
        <v>677</v>
      </c>
      <c r="D112" t="s">
        <v>156</v>
      </c>
      <c r="E112">
        <v>2023</v>
      </c>
      <c r="F112">
        <v>2027</v>
      </c>
      <c r="G112" s="10">
        <v>6800000</v>
      </c>
      <c r="H112">
        <f t="shared" si="4"/>
        <v>6800000</v>
      </c>
      <c r="I112" t="str">
        <f t="shared" si="5"/>
        <v/>
      </c>
      <c r="J112" t="str">
        <f t="shared" si="6"/>
        <v/>
      </c>
      <c r="K112">
        <f>IF(E112="","",SUM(ContractsTbl[[#This Row],[salaryY1]:[salaryY4]]))</f>
        <v>13600000</v>
      </c>
      <c r="L112" t="b">
        <f t="shared" si="7"/>
        <v>0</v>
      </c>
    </row>
    <row r="113" spans="1:12" x14ac:dyDescent="0.2">
      <c r="A113" t="s">
        <v>981</v>
      </c>
      <c r="B113" t="s">
        <v>74</v>
      </c>
      <c r="C113" t="s">
        <v>678</v>
      </c>
      <c r="D113" t="s">
        <v>25</v>
      </c>
      <c r="E113">
        <v>2025</v>
      </c>
      <c r="F113">
        <v>2026</v>
      </c>
      <c r="G113" s="10">
        <v>1190000</v>
      </c>
      <c r="H113" t="str">
        <f t="shared" si="4"/>
        <v/>
      </c>
      <c r="I113" t="str">
        <f t="shared" si="5"/>
        <v/>
      </c>
      <c r="J113" t="str">
        <f t="shared" si="6"/>
        <v/>
      </c>
      <c r="K113">
        <f>IF(E113="","",SUM(ContractsTbl[[#This Row],[salaryY1]:[salaryY4]]))</f>
        <v>1190000</v>
      </c>
      <c r="L113" t="b">
        <f t="shared" si="7"/>
        <v>0</v>
      </c>
    </row>
    <row r="114" spans="1:12" x14ac:dyDescent="0.2">
      <c r="A114" t="s">
        <v>982</v>
      </c>
      <c r="B114" t="s">
        <v>74</v>
      </c>
      <c r="C114" t="s">
        <v>679</v>
      </c>
      <c r="D114" t="s">
        <v>44</v>
      </c>
      <c r="E114" t="s">
        <v>2892</v>
      </c>
      <c r="F114" t="s">
        <v>2892</v>
      </c>
      <c r="G114" s="10">
        <v>8000000</v>
      </c>
      <c r="H114">
        <f t="shared" si="4"/>
        <v>8000000</v>
      </c>
      <c r="I114">
        <f t="shared" si="5"/>
        <v>8000000</v>
      </c>
      <c r="J114">
        <f t="shared" si="6"/>
        <v>8000000</v>
      </c>
      <c r="K114" t="str">
        <f>IF(E114="","",SUM(ContractsTbl[[#This Row],[salaryY1]:[salaryY4]]))</f>
        <v/>
      </c>
      <c r="L114" t="b">
        <f t="shared" si="7"/>
        <v>1</v>
      </c>
    </row>
    <row r="115" spans="1:12" x14ac:dyDescent="0.2">
      <c r="A115" t="s">
        <v>983</v>
      </c>
      <c r="B115" t="s">
        <v>74</v>
      </c>
      <c r="C115" t="s">
        <v>680</v>
      </c>
      <c r="D115" t="s">
        <v>44</v>
      </c>
      <c r="E115" t="s">
        <v>2892</v>
      </c>
      <c r="F115" t="s">
        <v>2892</v>
      </c>
      <c r="G115" s="10">
        <v>9200000</v>
      </c>
      <c r="H115">
        <f t="shared" si="4"/>
        <v>9200000</v>
      </c>
      <c r="I115">
        <f t="shared" si="5"/>
        <v>9200000</v>
      </c>
      <c r="J115">
        <f t="shared" si="6"/>
        <v>9200000</v>
      </c>
      <c r="K115" t="str">
        <f>IF(E115="","",SUM(ContractsTbl[[#This Row],[salaryY1]:[salaryY4]]))</f>
        <v/>
      </c>
      <c r="L115" t="b">
        <f t="shared" si="7"/>
        <v>1</v>
      </c>
    </row>
    <row r="116" spans="1:12" x14ac:dyDescent="0.2">
      <c r="A116" t="s">
        <v>984</v>
      </c>
      <c r="B116" t="s">
        <v>74</v>
      </c>
      <c r="C116" t="s">
        <v>681</v>
      </c>
      <c r="D116" t="s">
        <v>44</v>
      </c>
      <c r="E116" t="s">
        <v>2892</v>
      </c>
      <c r="F116" t="s">
        <v>2892</v>
      </c>
      <c r="G116" s="10">
        <v>8600000</v>
      </c>
      <c r="H116">
        <f t="shared" si="4"/>
        <v>8600000</v>
      </c>
      <c r="I116">
        <f t="shared" si="5"/>
        <v>8600000</v>
      </c>
      <c r="J116">
        <f t="shared" si="6"/>
        <v>8600000</v>
      </c>
      <c r="K116" t="str">
        <f>IF(E116="","",SUM(ContractsTbl[[#This Row],[salaryY1]:[salaryY4]]))</f>
        <v/>
      </c>
      <c r="L116" t="b">
        <f t="shared" si="7"/>
        <v>1</v>
      </c>
    </row>
    <row r="117" spans="1:12" x14ac:dyDescent="0.2">
      <c r="A117" t="s">
        <v>985</v>
      </c>
      <c r="B117" t="s">
        <v>74</v>
      </c>
      <c r="C117" t="s">
        <v>682</v>
      </c>
      <c r="D117" t="s">
        <v>44</v>
      </c>
      <c r="E117" t="s">
        <v>2892</v>
      </c>
      <c r="F117" t="s">
        <v>2892</v>
      </c>
      <c r="G117" s="10">
        <v>6200000</v>
      </c>
      <c r="H117">
        <f t="shared" si="4"/>
        <v>6200000</v>
      </c>
      <c r="I117">
        <f t="shared" si="5"/>
        <v>6200000</v>
      </c>
      <c r="J117">
        <f t="shared" si="6"/>
        <v>6200000</v>
      </c>
      <c r="K117" t="str">
        <f>IF(E117="","",SUM(ContractsTbl[[#This Row],[salaryY1]:[salaryY4]]))</f>
        <v/>
      </c>
      <c r="L117" t="b">
        <f t="shared" si="7"/>
        <v>1</v>
      </c>
    </row>
    <row r="118" spans="1:12" x14ac:dyDescent="0.2">
      <c r="A118" t="s">
        <v>986</v>
      </c>
      <c r="B118" t="s">
        <v>74</v>
      </c>
      <c r="C118" t="s">
        <v>683</v>
      </c>
      <c r="D118" t="s">
        <v>44</v>
      </c>
      <c r="E118" t="s">
        <v>2892</v>
      </c>
      <c r="F118" t="s">
        <v>2892</v>
      </c>
      <c r="G118" s="10">
        <v>8000000</v>
      </c>
      <c r="H118">
        <f t="shared" si="4"/>
        <v>8000000</v>
      </c>
      <c r="I118">
        <f t="shared" si="5"/>
        <v>8000000</v>
      </c>
      <c r="J118">
        <f t="shared" si="6"/>
        <v>8000000</v>
      </c>
      <c r="K118" t="str">
        <f>IF(E118="","",SUM(ContractsTbl[[#This Row],[salaryY1]:[salaryY4]]))</f>
        <v/>
      </c>
      <c r="L118" t="b">
        <f t="shared" si="7"/>
        <v>1</v>
      </c>
    </row>
    <row r="119" spans="1:12" x14ac:dyDescent="0.2">
      <c r="A119" t="s">
        <v>987</v>
      </c>
      <c r="B119" t="s">
        <v>74</v>
      </c>
      <c r="C119" t="s">
        <v>684</v>
      </c>
      <c r="D119" t="s">
        <v>44</v>
      </c>
      <c r="E119" t="s">
        <v>2892</v>
      </c>
      <c r="F119" t="s">
        <v>2892</v>
      </c>
      <c r="G119" s="10">
        <v>6800000</v>
      </c>
      <c r="H119">
        <f t="shared" si="4"/>
        <v>6800000</v>
      </c>
      <c r="I119">
        <f t="shared" si="5"/>
        <v>6800000</v>
      </c>
      <c r="J119">
        <f t="shared" si="6"/>
        <v>6800000</v>
      </c>
      <c r="K119" t="str">
        <f>IF(E119="","",SUM(ContractsTbl[[#This Row],[salaryY1]:[salaryY4]]))</f>
        <v/>
      </c>
      <c r="L119" t="b">
        <f t="shared" si="7"/>
        <v>1</v>
      </c>
    </row>
    <row r="120" spans="1:12" x14ac:dyDescent="0.2">
      <c r="A120" t="s">
        <v>988</v>
      </c>
      <c r="B120" t="s">
        <v>74</v>
      </c>
      <c r="C120" t="s">
        <v>685</v>
      </c>
      <c r="D120" t="s">
        <v>44</v>
      </c>
      <c r="E120" t="s">
        <v>2892</v>
      </c>
      <c r="F120" t="s">
        <v>2892</v>
      </c>
      <c r="G120" s="10">
        <v>5600000</v>
      </c>
      <c r="H120">
        <f t="shared" si="4"/>
        <v>5600000</v>
      </c>
      <c r="I120">
        <f t="shared" si="5"/>
        <v>5600000</v>
      </c>
      <c r="J120">
        <f t="shared" si="6"/>
        <v>5600000</v>
      </c>
      <c r="K120" t="str">
        <f>IF(E120="","",SUM(ContractsTbl[[#This Row],[salaryY1]:[salaryY4]]))</f>
        <v/>
      </c>
      <c r="L120" t="b">
        <f t="shared" si="7"/>
        <v>1</v>
      </c>
    </row>
    <row r="121" spans="1:12" x14ac:dyDescent="0.2">
      <c r="A121" t="s">
        <v>989</v>
      </c>
      <c r="B121" t="s">
        <v>74</v>
      </c>
      <c r="C121" t="s">
        <v>686</v>
      </c>
      <c r="D121" t="s">
        <v>44</v>
      </c>
      <c r="E121" t="s">
        <v>2892</v>
      </c>
      <c r="F121" t="s">
        <v>2892</v>
      </c>
      <c r="G121" s="10">
        <v>1230000</v>
      </c>
      <c r="H121">
        <f t="shared" si="4"/>
        <v>1230000</v>
      </c>
      <c r="I121">
        <f t="shared" si="5"/>
        <v>1230000</v>
      </c>
      <c r="J121">
        <f t="shared" si="6"/>
        <v>1230000</v>
      </c>
      <c r="K121" t="str">
        <f>IF(E121="","",SUM(ContractsTbl[[#This Row],[salaryY1]:[salaryY4]]))</f>
        <v/>
      </c>
      <c r="L121" t="b">
        <f t="shared" si="7"/>
        <v>1</v>
      </c>
    </row>
    <row r="122" spans="1:12" x14ac:dyDescent="0.2">
      <c r="A122" t="s">
        <v>990</v>
      </c>
      <c r="B122" t="s">
        <v>74</v>
      </c>
      <c r="C122" t="s">
        <v>687</v>
      </c>
      <c r="D122" t="s">
        <v>44</v>
      </c>
      <c r="E122" t="s">
        <v>2892</v>
      </c>
      <c r="F122" t="s">
        <v>2892</v>
      </c>
      <c r="G122" s="10">
        <v>9200000</v>
      </c>
      <c r="H122">
        <f t="shared" si="4"/>
        <v>9200000</v>
      </c>
      <c r="I122">
        <f t="shared" si="5"/>
        <v>9200000</v>
      </c>
      <c r="J122">
        <f t="shared" si="6"/>
        <v>9200000</v>
      </c>
      <c r="K122" t="str">
        <f>IF(E122="","",SUM(ContractsTbl[[#This Row],[salaryY1]:[salaryY4]]))</f>
        <v/>
      </c>
      <c r="L122" t="b">
        <f t="shared" si="7"/>
        <v>1</v>
      </c>
    </row>
    <row r="123" spans="1:12" x14ac:dyDescent="0.2">
      <c r="A123" t="s">
        <v>991</v>
      </c>
      <c r="B123" t="s">
        <v>74</v>
      </c>
      <c r="C123" t="s">
        <v>688</v>
      </c>
      <c r="D123" t="s">
        <v>44</v>
      </c>
      <c r="E123" t="s">
        <v>2892</v>
      </c>
      <c r="F123" t="s">
        <v>2892</v>
      </c>
      <c r="G123" s="10">
        <v>8000000</v>
      </c>
      <c r="H123">
        <f t="shared" si="4"/>
        <v>8000000</v>
      </c>
      <c r="I123">
        <f t="shared" si="5"/>
        <v>8000000</v>
      </c>
      <c r="J123">
        <f t="shared" si="6"/>
        <v>8000000</v>
      </c>
      <c r="K123" t="str">
        <f>IF(E123="","",SUM(ContractsTbl[[#This Row],[salaryY1]:[salaryY4]]))</f>
        <v/>
      </c>
      <c r="L123" t="b">
        <f t="shared" si="7"/>
        <v>1</v>
      </c>
    </row>
    <row r="124" spans="1:12" x14ac:dyDescent="0.2">
      <c r="A124" t="s">
        <v>992</v>
      </c>
      <c r="B124" t="s">
        <v>74</v>
      </c>
      <c r="C124" t="s">
        <v>689</v>
      </c>
      <c r="D124" t="s">
        <v>44</v>
      </c>
      <c r="E124" t="s">
        <v>2892</v>
      </c>
      <c r="F124" t="s">
        <v>2892</v>
      </c>
      <c r="G124" s="10">
        <v>5000000</v>
      </c>
      <c r="H124">
        <f t="shared" si="4"/>
        <v>5000000</v>
      </c>
      <c r="I124">
        <f t="shared" si="5"/>
        <v>5000000</v>
      </c>
      <c r="J124">
        <f t="shared" si="6"/>
        <v>5000000</v>
      </c>
      <c r="K124" t="str">
        <f>IF(E124="","",SUM(ContractsTbl[[#This Row],[salaryY1]:[salaryY4]]))</f>
        <v/>
      </c>
      <c r="L124" t="b">
        <f t="shared" si="7"/>
        <v>1</v>
      </c>
    </row>
    <row r="125" spans="1:12" x14ac:dyDescent="0.2">
      <c r="A125" t="s">
        <v>993</v>
      </c>
      <c r="B125" t="s">
        <v>74</v>
      </c>
      <c r="C125" t="s">
        <v>690</v>
      </c>
      <c r="D125" t="s">
        <v>44</v>
      </c>
      <c r="E125" t="s">
        <v>2892</v>
      </c>
      <c r="F125" t="s">
        <v>2892</v>
      </c>
      <c r="G125" s="10">
        <v>8600000</v>
      </c>
      <c r="H125">
        <f t="shared" si="4"/>
        <v>8600000</v>
      </c>
      <c r="I125">
        <f t="shared" si="5"/>
        <v>8600000</v>
      </c>
      <c r="J125">
        <f t="shared" si="6"/>
        <v>8600000</v>
      </c>
      <c r="K125" t="str">
        <f>IF(E125="","",SUM(ContractsTbl[[#This Row],[salaryY1]:[salaryY4]]))</f>
        <v/>
      </c>
      <c r="L125" t="b">
        <f t="shared" si="7"/>
        <v>1</v>
      </c>
    </row>
    <row r="126" spans="1:12" x14ac:dyDescent="0.2">
      <c r="A126" t="s">
        <v>994</v>
      </c>
      <c r="B126" t="s">
        <v>74</v>
      </c>
      <c r="C126" t="s">
        <v>691</v>
      </c>
      <c r="D126" t="s">
        <v>44</v>
      </c>
      <c r="E126" t="s">
        <v>2892</v>
      </c>
      <c r="F126" t="s">
        <v>2892</v>
      </c>
      <c r="G126" s="10">
        <v>6800000</v>
      </c>
      <c r="H126">
        <f t="shared" si="4"/>
        <v>6800000</v>
      </c>
      <c r="I126">
        <f t="shared" si="5"/>
        <v>6800000</v>
      </c>
      <c r="J126">
        <f t="shared" si="6"/>
        <v>6800000</v>
      </c>
      <c r="K126" t="str">
        <f>IF(E126="","",SUM(ContractsTbl[[#This Row],[salaryY1]:[salaryY4]]))</f>
        <v/>
      </c>
      <c r="L126" t="b">
        <f t="shared" si="7"/>
        <v>1</v>
      </c>
    </row>
    <row r="127" spans="1:12" x14ac:dyDescent="0.2">
      <c r="A127" t="s">
        <v>995</v>
      </c>
      <c r="B127" t="s">
        <v>74</v>
      </c>
      <c r="C127" t="s">
        <v>692</v>
      </c>
      <c r="D127" t="s">
        <v>44</v>
      </c>
      <c r="E127" t="s">
        <v>2892</v>
      </c>
      <c r="F127" t="s">
        <v>2892</v>
      </c>
      <c r="G127" s="10">
        <v>8000000</v>
      </c>
      <c r="H127">
        <f t="shared" si="4"/>
        <v>8000000</v>
      </c>
      <c r="I127">
        <f t="shared" si="5"/>
        <v>8000000</v>
      </c>
      <c r="J127">
        <f t="shared" si="6"/>
        <v>8000000</v>
      </c>
      <c r="K127" t="str">
        <f>IF(E127="","",SUM(ContractsTbl[[#This Row],[salaryY1]:[salaryY4]]))</f>
        <v/>
      </c>
      <c r="L127" t="b">
        <f t="shared" si="7"/>
        <v>1</v>
      </c>
    </row>
    <row r="128" spans="1:12" x14ac:dyDescent="0.2">
      <c r="A128" t="s">
        <v>996</v>
      </c>
      <c r="B128" t="s">
        <v>74</v>
      </c>
      <c r="C128" t="s">
        <v>693</v>
      </c>
      <c r="D128" t="s">
        <v>44</v>
      </c>
      <c r="E128" t="s">
        <v>2892</v>
      </c>
      <c r="F128" t="s">
        <v>2892</v>
      </c>
      <c r="G128" s="10">
        <v>6800000</v>
      </c>
      <c r="H128">
        <f t="shared" si="4"/>
        <v>6800000</v>
      </c>
      <c r="I128">
        <f t="shared" si="5"/>
        <v>6800000</v>
      </c>
      <c r="J128">
        <f t="shared" si="6"/>
        <v>6800000</v>
      </c>
      <c r="K128" t="str">
        <f>IF(E128="","",SUM(ContractsTbl[[#This Row],[salaryY1]:[salaryY4]]))</f>
        <v/>
      </c>
      <c r="L128" t="b">
        <f t="shared" si="7"/>
        <v>1</v>
      </c>
    </row>
    <row r="129" spans="1:12" x14ac:dyDescent="0.2">
      <c r="A129" t="s">
        <v>997</v>
      </c>
      <c r="B129" t="s">
        <v>74</v>
      </c>
      <c r="C129" t="s">
        <v>694</v>
      </c>
      <c r="D129" t="s">
        <v>44</v>
      </c>
      <c r="E129" t="s">
        <v>2892</v>
      </c>
      <c r="F129" t="s">
        <v>2892</v>
      </c>
      <c r="G129" s="10">
        <v>1270000</v>
      </c>
      <c r="H129">
        <f t="shared" si="4"/>
        <v>1270000</v>
      </c>
      <c r="I129">
        <f t="shared" si="5"/>
        <v>1270000</v>
      </c>
      <c r="J129">
        <f t="shared" si="6"/>
        <v>1270000</v>
      </c>
      <c r="K129" t="str">
        <f>IF(E129="","",SUM(ContractsTbl[[#This Row],[salaryY1]:[salaryY4]]))</f>
        <v/>
      </c>
      <c r="L129" t="b">
        <f t="shared" si="7"/>
        <v>1</v>
      </c>
    </row>
    <row r="130" spans="1:12" x14ac:dyDescent="0.2">
      <c r="A130" t="s">
        <v>998</v>
      </c>
      <c r="B130" t="s">
        <v>74</v>
      </c>
      <c r="C130" t="s">
        <v>695</v>
      </c>
      <c r="D130" t="s">
        <v>133</v>
      </c>
      <c r="E130">
        <v>2025</v>
      </c>
      <c r="F130">
        <v>2026</v>
      </c>
      <c r="G130" s="10">
        <v>1270000</v>
      </c>
      <c r="H130" t="str">
        <f t="shared" si="4"/>
        <v/>
      </c>
      <c r="I130" t="str">
        <f t="shared" si="5"/>
        <v/>
      </c>
      <c r="J130" t="str">
        <f t="shared" si="6"/>
        <v/>
      </c>
      <c r="K130">
        <f>IF(E130="","",SUM(ContractsTbl[[#This Row],[salaryY1]:[salaryY4]]))</f>
        <v>1270000</v>
      </c>
      <c r="L130" t="b">
        <f t="shared" si="7"/>
        <v>0</v>
      </c>
    </row>
    <row r="131" spans="1:12" x14ac:dyDescent="0.2">
      <c r="A131" t="s">
        <v>999</v>
      </c>
      <c r="B131" t="s">
        <v>74</v>
      </c>
      <c r="C131" t="s">
        <v>696</v>
      </c>
      <c r="D131" t="s">
        <v>151</v>
      </c>
      <c r="E131">
        <v>2025</v>
      </c>
      <c r="F131">
        <v>2026</v>
      </c>
      <c r="G131" s="10">
        <v>1160000</v>
      </c>
      <c r="H131" t="str">
        <f t="shared" si="4"/>
        <v/>
      </c>
      <c r="I131" t="str">
        <f t="shared" si="5"/>
        <v/>
      </c>
      <c r="J131" t="str">
        <f t="shared" si="6"/>
        <v/>
      </c>
      <c r="K131">
        <f>IF(E131="","",SUM(ContractsTbl[[#This Row],[salaryY1]:[salaryY4]]))</f>
        <v>1160000</v>
      </c>
      <c r="L131" t="b">
        <f t="shared" si="7"/>
        <v>0</v>
      </c>
    </row>
    <row r="132" spans="1:12" x14ac:dyDescent="0.2">
      <c r="A132" t="s">
        <v>1000</v>
      </c>
      <c r="B132" t="s">
        <v>74</v>
      </c>
      <c r="C132" t="s">
        <v>697</v>
      </c>
      <c r="D132" t="s">
        <v>131</v>
      </c>
      <c r="E132">
        <v>2025</v>
      </c>
      <c r="F132">
        <v>2026</v>
      </c>
      <c r="G132" s="10">
        <v>1120000</v>
      </c>
      <c r="H132" t="str">
        <f t="shared" ref="H132:H195" si="8">IF(F132&gt;=2027,G132,"")</f>
        <v/>
      </c>
      <c r="I132" t="str">
        <f t="shared" ref="I132:I195" si="9">IF(F132&gt;=2028,G132,"")</f>
        <v/>
      </c>
      <c r="J132" t="str">
        <f t="shared" ref="J132:J195" si="10">IF(F132&gt;=2029,G132,"")</f>
        <v/>
      </c>
      <c r="K132">
        <f>IF(E132="","",SUM(ContractsTbl[[#This Row],[salaryY1]:[salaryY4]]))</f>
        <v>1120000</v>
      </c>
      <c r="L132" t="b">
        <f t="shared" si="7"/>
        <v>0</v>
      </c>
    </row>
    <row r="133" spans="1:12" x14ac:dyDescent="0.2">
      <c r="A133" t="s">
        <v>1001</v>
      </c>
      <c r="B133" t="s">
        <v>74</v>
      </c>
      <c r="C133" t="s">
        <v>698</v>
      </c>
      <c r="D133" t="s">
        <v>147</v>
      </c>
      <c r="E133">
        <v>2025</v>
      </c>
      <c r="F133">
        <v>2026</v>
      </c>
      <c r="G133" s="10">
        <v>1190000</v>
      </c>
      <c r="H133" t="str">
        <f t="shared" si="8"/>
        <v/>
      </c>
      <c r="I133" t="str">
        <f t="shared" si="9"/>
        <v/>
      </c>
      <c r="J133" t="str">
        <f t="shared" si="10"/>
        <v/>
      </c>
      <c r="K133">
        <f>IF(E133="","",SUM(ContractsTbl[[#This Row],[salaryY1]:[salaryY4]]))</f>
        <v>1190000</v>
      </c>
      <c r="L133" t="b">
        <f t="shared" si="7"/>
        <v>0</v>
      </c>
    </row>
    <row r="134" spans="1:12" x14ac:dyDescent="0.2">
      <c r="A134" t="s">
        <v>1002</v>
      </c>
      <c r="B134" t="s">
        <v>74</v>
      </c>
      <c r="C134" t="s">
        <v>699</v>
      </c>
      <c r="D134" t="s">
        <v>150</v>
      </c>
      <c r="E134">
        <v>2025</v>
      </c>
      <c r="F134">
        <v>2026</v>
      </c>
      <c r="G134" s="10">
        <v>1190000</v>
      </c>
      <c r="H134" t="str">
        <f t="shared" si="8"/>
        <v/>
      </c>
      <c r="I134" t="str">
        <f t="shared" si="9"/>
        <v/>
      </c>
      <c r="J134" t="str">
        <f t="shared" si="10"/>
        <v/>
      </c>
      <c r="K134">
        <f>IF(E134="","",SUM(ContractsTbl[[#This Row],[salaryY1]:[salaryY4]]))</f>
        <v>1190000</v>
      </c>
      <c r="L134" t="b">
        <f t="shared" si="7"/>
        <v>0</v>
      </c>
    </row>
    <row r="135" spans="1:12" x14ac:dyDescent="0.2">
      <c r="A135" t="s">
        <v>1003</v>
      </c>
      <c r="B135" t="s">
        <v>74</v>
      </c>
      <c r="C135" t="s">
        <v>700</v>
      </c>
      <c r="D135" t="s">
        <v>157</v>
      </c>
      <c r="E135">
        <v>2025</v>
      </c>
      <c r="F135">
        <v>2026</v>
      </c>
      <c r="G135" s="10">
        <v>1160000</v>
      </c>
      <c r="H135" t="str">
        <f t="shared" si="8"/>
        <v/>
      </c>
      <c r="I135" t="str">
        <f t="shared" si="9"/>
        <v/>
      </c>
      <c r="J135" t="str">
        <f t="shared" si="10"/>
        <v/>
      </c>
      <c r="K135">
        <f>IF(E135="","",SUM(ContractsTbl[[#This Row],[salaryY1]:[salaryY4]]))</f>
        <v>1160000</v>
      </c>
      <c r="L135" t="b">
        <f t="shared" si="7"/>
        <v>0</v>
      </c>
    </row>
    <row r="136" spans="1:12" x14ac:dyDescent="0.2">
      <c r="A136" t="s">
        <v>1004</v>
      </c>
      <c r="B136" t="s">
        <v>74</v>
      </c>
      <c r="C136" t="s">
        <v>701</v>
      </c>
      <c r="D136" t="s">
        <v>143</v>
      </c>
      <c r="E136">
        <v>2025</v>
      </c>
      <c r="F136">
        <v>2026</v>
      </c>
      <c r="G136" s="10">
        <v>1120000</v>
      </c>
      <c r="H136" t="str">
        <f t="shared" si="8"/>
        <v/>
      </c>
      <c r="I136" t="str">
        <f t="shared" si="9"/>
        <v/>
      </c>
      <c r="J136" t="str">
        <f t="shared" si="10"/>
        <v/>
      </c>
      <c r="K136">
        <f>IF(E136="","",SUM(ContractsTbl[[#This Row],[salaryY1]:[salaryY4]]))</f>
        <v>1120000</v>
      </c>
      <c r="L136" t="b">
        <f t="shared" si="7"/>
        <v>0</v>
      </c>
    </row>
    <row r="137" spans="1:12" x14ac:dyDescent="0.2">
      <c r="A137" t="s">
        <v>1005</v>
      </c>
      <c r="B137" t="s">
        <v>74</v>
      </c>
      <c r="C137" t="s">
        <v>702</v>
      </c>
      <c r="D137" t="s">
        <v>153</v>
      </c>
      <c r="E137">
        <v>2025</v>
      </c>
      <c r="F137">
        <v>2026</v>
      </c>
      <c r="G137" s="10">
        <v>1160000</v>
      </c>
      <c r="H137" t="str">
        <f t="shared" si="8"/>
        <v/>
      </c>
      <c r="I137" t="str">
        <f t="shared" si="9"/>
        <v/>
      </c>
      <c r="J137" t="str">
        <f t="shared" si="10"/>
        <v/>
      </c>
      <c r="K137">
        <f>IF(E137="","",SUM(ContractsTbl[[#This Row],[salaryY1]:[salaryY4]]))</f>
        <v>1160000</v>
      </c>
      <c r="L137" t="b">
        <f t="shared" si="7"/>
        <v>0</v>
      </c>
    </row>
    <row r="138" spans="1:12" x14ac:dyDescent="0.2">
      <c r="A138" t="s">
        <v>1006</v>
      </c>
      <c r="B138" t="s">
        <v>74</v>
      </c>
      <c r="C138" t="s">
        <v>703</v>
      </c>
      <c r="D138" t="s">
        <v>137</v>
      </c>
      <c r="E138">
        <v>2025</v>
      </c>
      <c r="F138">
        <v>2026</v>
      </c>
      <c r="G138" s="10">
        <v>1270000</v>
      </c>
      <c r="H138" t="str">
        <f t="shared" si="8"/>
        <v/>
      </c>
      <c r="I138" t="str">
        <f t="shared" si="9"/>
        <v/>
      </c>
      <c r="J138" t="str">
        <f t="shared" si="10"/>
        <v/>
      </c>
      <c r="K138">
        <f>IF(E138="","",SUM(ContractsTbl[[#This Row],[salaryY1]:[salaryY4]]))</f>
        <v>1270000</v>
      </c>
      <c r="L138" t="b">
        <f t="shared" si="7"/>
        <v>0</v>
      </c>
    </row>
    <row r="139" spans="1:12" x14ac:dyDescent="0.2">
      <c r="A139" t="s">
        <v>1007</v>
      </c>
      <c r="B139" t="s">
        <v>74</v>
      </c>
      <c r="C139" t="s">
        <v>704</v>
      </c>
      <c r="D139" t="s">
        <v>140</v>
      </c>
      <c r="E139">
        <v>2025</v>
      </c>
      <c r="F139">
        <v>2026</v>
      </c>
      <c r="G139" s="10">
        <v>1230000</v>
      </c>
      <c r="H139" t="str">
        <f t="shared" si="8"/>
        <v/>
      </c>
      <c r="I139" t="str">
        <f t="shared" si="9"/>
        <v/>
      </c>
      <c r="J139" t="str">
        <f t="shared" si="10"/>
        <v/>
      </c>
      <c r="K139">
        <f>IF(E139="","",SUM(ContractsTbl[[#This Row],[salaryY1]:[salaryY4]]))</f>
        <v>1230000</v>
      </c>
      <c r="L139" t="b">
        <f t="shared" si="7"/>
        <v>0</v>
      </c>
    </row>
    <row r="140" spans="1:12" x14ac:dyDescent="0.2">
      <c r="A140" t="s">
        <v>1008</v>
      </c>
      <c r="B140" t="s">
        <v>74</v>
      </c>
      <c r="C140" t="s">
        <v>705</v>
      </c>
      <c r="D140" t="s">
        <v>134</v>
      </c>
      <c r="E140">
        <v>2025</v>
      </c>
      <c r="F140">
        <v>2026</v>
      </c>
      <c r="G140" s="10">
        <v>1120000</v>
      </c>
      <c r="H140" t="str">
        <f t="shared" si="8"/>
        <v/>
      </c>
      <c r="I140" t="str">
        <f t="shared" si="9"/>
        <v/>
      </c>
      <c r="J140" t="str">
        <f t="shared" si="10"/>
        <v/>
      </c>
      <c r="K140">
        <f>IF(E140="","",SUM(ContractsTbl[[#This Row],[salaryY1]:[salaryY4]]))</f>
        <v>1120000</v>
      </c>
      <c r="L140" t="b">
        <f t="shared" si="7"/>
        <v>0</v>
      </c>
    </row>
    <row r="141" spans="1:12" x14ac:dyDescent="0.2">
      <c r="A141" t="s">
        <v>1009</v>
      </c>
      <c r="B141" t="s">
        <v>74</v>
      </c>
      <c r="C141" t="s">
        <v>706</v>
      </c>
      <c r="D141" t="s">
        <v>141</v>
      </c>
      <c r="E141">
        <v>2025</v>
      </c>
      <c r="F141">
        <v>2026</v>
      </c>
      <c r="G141" s="10">
        <v>1230000</v>
      </c>
      <c r="H141" t="str">
        <f t="shared" si="8"/>
        <v/>
      </c>
      <c r="I141" t="str">
        <f t="shared" si="9"/>
        <v/>
      </c>
      <c r="J141" t="str">
        <f t="shared" si="10"/>
        <v/>
      </c>
      <c r="K141">
        <f>IF(E141="","",SUM(ContractsTbl[[#This Row],[salaryY1]:[salaryY4]]))</f>
        <v>1230000</v>
      </c>
      <c r="L141" t="b">
        <f t="shared" si="7"/>
        <v>0</v>
      </c>
    </row>
    <row r="142" spans="1:12" x14ac:dyDescent="0.2">
      <c r="A142" t="s">
        <v>1010</v>
      </c>
      <c r="B142" t="s">
        <v>74</v>
      </c>
      <c r="C142" t="s">
        <v>707</v>
      </c>
      <c r="D142" t="s">
        <v>138</v>
      </c>
      <c r="E142">
        <v>2025</v>
      </c>
      <c r="F142">
        <v>2026</v>
      </c>
      <c r="G142" s="10">
        <v>1120000</v>
      </c>
      <c r="H142" t="str">
        <f t="shared" si="8"/>
        <v/>
      </c>
      <c r="I142" t="str">
        <f t="shared" si="9"/>
        <v/>
      </c>
      <c r="J142" t="str">
        <f t="shared" si="10"/>
        <v/>
      </c>
      <c r="K142">
        <f>IF(E142="","",SUM(ContractsTbl[[#This Row],[salaryY1]:[salaryY4]]))</f>
        <v>1120000</v>
      </c>
      <c r="L142" t="b">
        <f t="shared" si="7"/>
        <v>0</v>
      </c>
    </row>
    <row r="143" spans="1:12" x14ac:dyDescent="0.2">
      <c r="A143" t="s">
        <v>1011</v>
      </c>
      <c r="B143" t="s">
        <v>74</v>
      </c>
      <c r="C143" t="s">
        <v>708</v>
      </c>
      <c r="D143" t="s">
        <v>139</v>
      </c>
      <c r="E143">
        <v>2025</v>
      </c>
      <c r="F143">
        <v>2026</v>
      </c>
      <c r="G143" s="10">
        <v>1230000</v>
      </c>
      <c r="H143" t="str">
        <f t="shared" si="8"/>
        <v/>
      </c>
      <c r="I143" t="str">
        <f t="shared" si="9"/>
        <v/>
      </c>
      <c r="J143" t="str">
        <f t="shared" si="10"/>
        <v/>
      </c>
      <c r="K143">
        <f>IF(E143="","",SUM(ContractsTbl[[#This Row],[salaryY1]:[salaryY4]]))</f>
        <v>1230000</v>
      </c>
      <c r="L143" t="b">
        <f t="shared" si="7"/>
        <v>0</v>
      </c>
    </row>
    <row r="144" spans="1:12" x14ac:dyDescent="0.2">
      <c r="A144" t="s">
        <v>1012</v>
      </c>
      <c r="B144" t="s">
        <v>74</v>
      </c>
      <c r="C144" t="s">
        <v>709</v>
      </c>
      <c r="D144" t="s">
        <v>152</v>
      </c>
      <c r="E144">
        <v>2025</v>
      </c>
      <c r="F144">
        <v>2026</v>
      </c>
      <c r="G144" s="10">
        <v>1230000</v>
      </c>
      <c r="H144" t="str">
        <f t="shared" si="8"/>
        <v/>
      </c>
      <c r="I144" t="str">
        <f t="shared" si="9"/>
        <v/>
      </c>
      <c r="J144" t="str">
        <f t="shared" si="10"/>
        <v/>
      </c>
      <c r="K144">
        <f>IF(E144="","",SUM(ContractsTbl[[#This Row],[salaryY1]:[salaryY4]]))</f>
        <v>1230000</v>
      </c>
      <c r="L144" t="b">
        <f t="shared" si="7"/>
        <v>0</v>
      </c>
    </row>
    <row r="145" spans="1:12" x14ac:dyDescent="0.2">
      <c r="A145" t="s">
        <v>1013</v>
      </c>
      <c r="B145" t="s">
        <v>74</v>
      </c>
      <c r="C145" t="s">
        <v>710</v>
      </c>
      <c r="D145" t="s">
        <v>135</v>
      </c>
      <c r="E145">
        <v>2025</v>
      </c>
      <c r="F145">
        <v>2026</v>
      </c>
      <c r="G145" s="10">
        <v>1270000</v>
      </c>
      <c r="H145" t="str">
        <f t="shared" si="8"/>
        <v/>
      </c>
      <c r="I145" t="str">
        <f t="shared" si="9"/>
        <v/>
      </c>
      <c r="J145" t="str">
        <f t="shared" si="10"/>
        <v/>
      </c>
      <c r="K145">
        <f>IF(E145="","",SUM(ContractsTbl[[#This Row],[salaryY1]:[salaryY4]]))</f>
        <v>1270000</v>
      </c>
      <c r="L145" t="b">
        <f t="shared" si="7"/>
        <v>0</v>
      </c>
    </row>
    <row r="146" spans="1:12" x14ac:dyDescent="0.2">
      <c r="A146" t="s">
        <v>1014</v>
      </c>
      <c r="B146" t="s">
        <v>74</v>
      </c>
      <c r="C146" t="s">
        <v>711</v>
      </c>
      <c r="D146" t="s">
        <v>129</v>
      </c>
      <c r="E146">
        <v>2025</v>
      </c>
      <c r="F146">
        <v>2026</v>
      </c>
      <c r="G146" s="10">
        <v>1120000</v>
      </c>
      <c r="H146" t="str">
        <f t="shared" si="8"/>
        <v/>
      </c>
      <c r="I146" t="str">
        <f t="shared" si="9"/>
        <v/>
      </c>
      <c r="J146" t="str">
        <f t="shared" si="10"/>
        <v/>
      </c>
      <c r="K146">
        <f>IF(E146="","",SUM(ContractsTbl[[#This Row],[salaryY1]:[salaryY4]]))</f>
        <v>1120000</v>
      </c>
      <c r="L146" t="b">
        <f t="shared" si="7"/>
        <v>0</v>
      </c>
    </row>
    <row r="147" spans="1:12" x14ac:dyDescent="0.2">
      <c r="A147" t="s">
        <v>1015</v>
      </c>
      <c r="B147" t="s">
        <v>74</v>
      </c>
      <c r="C147" t="s">
        <v>712</v>
      </c>
      <c r="D147" t="s">
        <v>130</v>
      </c>
      <c r="E147">
        <v>2025</v>
      </c>
      <c r="F147">
        <v>2026</v>
      </c>
      <c r="G147" s="10">
        <v>1270000</v>
      </c>
      <c r="H147" t="str">
        <f t="shared" si="8"/>
        <v/>
      </c>
      <c r="I147" t="str">
        <f t="shared" si="9"/>
        <v/>
      </c>
      <c r="J147" t="str">
        <f t="shared" si="10"/>
        <v/>
      </c>
      <c r="K147">
        <f>IF(E147="","",SUM(ContractsTbl[[#This Row],[salaryY1]:[salaryY4]]))</f>
        <v>1270000</v>
      </c>
      <c r="L147" t="b">
        <f t="shared" si="7"/>
        <v>0</v>
      </c>
    </row>
    <row r="148" spans="1:12" x14ac:dyDescent="0.2">
      <c r="A148" t="s">
        <v>1016</v>
      </c>
      <c r="B148" t="s">
        <v>74</v>
      </c>
      <c r="C148" t="s">
        <v>713</v>
      </c>
      <c r="D148" t="s">
        <v>132</v>
      </c>
      <c r="E148">
        <v>2025</v>
      </c>
      <c r="F148">
        <v>2026</v>
      </c>
      <c r="G148" s="10">
        <v>1190000</v>
      </c>
      <c r="H148" t="str">
        <f t="shared" si="8"/>
        <v/>
      </c>
      <c r="I148" t="str">
        <f t="shared" si="9"/>
        <v/>
      </c>
      <c r="J148" t="str">
        <f t="shared" si="10"/>
        <v/>
      </c>
      <c r="K148">
        <f>IF(E148="","",SUM(ContractsTbl[[#This Row],[salaryY1]:[salaryY4]]))</f>
        <v>1190000</v>
      </c>
      <c r="L148" t="b">
        <f t="shared" si="7"/>
        <v>0</v>
      </c>
    </row>
    <row r="149" spans="1:12" x14ac:dyDescent="0.2">
      <c r="A149" t="s">
        <v>1017</v>
      </c>
      <c r="B149" t="s">
        <v>74</v>
      </c>
      <c r="C149" t="s">
        <v>714</v>
      </c>
      <c r="D149" t="s">
        <v>22</v>
      </c>
      <c r="E149">
        <v>2025</v>
      </c>
      <c r="F149">
        <v>2026</v>
      </c>
      <c r="G149" s="10">
        <v>1160000</v>
      </c>
      <c r="H149" t="str">
        <f t="shared" si="8"/>
        <v/>
      </c>
      <c r="I149" t="str">
        <f t="shared" si="9"/>
        <v/>
      </c>
      <c r="J149" t="str">
        <f t="shared" si="10"/>
        <v/>
      </c>
      <c r="K149">
        <f>IF(E149="","",SUM(ContractsTbl[[#This Row],[salaryY1]:[salaryY4]]))</f>
        <v>1160000</v>
      </c>
      <c r="L149" t="b">
        <f t="shared" si="7"/>
        <v>0</v>
      </c>
    </row>
    <row r="150" spans="1:12" x14ac:dyDescent="0.2">
      <c r="A150" t="s">
        <v>1018</v>
      </c>
      <c r="B150" t="s">
        <v>74</v>
      </c>
      <c r="C150" t="s">
        <v>715</v>
      </c>
      <c r="D150" t="s">
        <v>149</v>
      </c>
      <c r="E150">
        <v>2025</v>
      </c>
      <c r="F150">
        <v>2026</v>
      </c>
      <c r="G150" s="10">
        <v>1120000</v>
      </c>
      <c r="H150" t="str">
        <f t="shared" si="8"/>
        <v/>
      </c>
      <c r="I150" t="str">
        <f t="shared" si="9"/>
        <v/>
      </c>
      <c r="J150" t="str">
        <f t="shared" si="10"/>
        <v/>
      </c>
      <c r="K150">
        <f>IF(E150="","",SUM(ContractsTbl[[#This Row],[salaryY1]:[salaryY4]]))</f>
        <v>1120000</v>
      </c>
      <c r="L150" t="b">
        <f t="shared" si="7"/>
        <v>0</v>
      </c>
    </row>
    <row r="151" spans="1:12" x14ac:dyDescent="0.2">
      <c r="A151" t="s">
        <v>1019</v>
      </c>
      <c r="B151" t="s">
        <v>74</v>
      </c>
      <c r="C151" t="s">
        <v>716</v>
      </c>
      <c r="D151" t="s">
        <v>146</v>
      </c>
      <c r="E151">
        <v>2025</v>
      </c>
      <c r="F151">
        <v>2026</v>
      </c>
      <c r="G151" s="10">
        <v>1230000</v>
      </c>
      <c r="H151" t="str">
        <f t="shared" si="8"/>
        <v/>
      </c>
      <c r="I151" t="str">
        <f t="shared" si="9"/>
        <v/>
      </c>
      <c r="J151" t="str">
        <f t="shared" si="10"/>
        <v/>
      </c>
      <c r="K151">
        <f>IF(E151="","",SUM(ContractsTbl[[#This Row],[salaryY1]:[salaryY4]]))</f>
        <v>1230000</v>
      </c>
      <c r="L151" t="b">
        <f t="shared" si="7"/>
        <v>0</v>
      </c>
    </row>
    <row r="152" spans="1:12" x14ac:dyDescent="0.2">
      <c r="A152" t="s">
        <v>1020</v>
      </c>
      <c r="B152" t="s">
        <v>74</v>
      </c>
      <c r="C152" t="s">
        <v>717</v>
      </c>
      <c r="D152" t="s">
        <v>142</v>
      </c>
      <c r="E152">
        <v>2025</v>
      </c>
      <c r="F152">
        <v>2026</v>
      </c>
      <c r="G152" s="10">
        <v>1230000</v>
      </c>
      <c r="H152" t="str">
        <f t="shared" si="8"/>
        <v/>
      </c>
      <c r="I152" t="str">
        <f t="shared" si="9"/>
        <v/>
      </c>
      <c r="J152" t="str">
        <f t="shared" si="10"/>
        <v/>
      </c>
      <c r="K152">
        <f>IF(E152="","",SUM(ContractsTbl[[#This Row],[salaryY1]:[salaryY4]]))</f>
        <v>1230000</v>
      </c>
      <c r="L152" t="b">
        <f t="shared" si="7"/>
        <v>0</v>
      </c>
    </row>
    <row r="153" spans="1:12" x14ac:dyDescent="0.2">
      <c r="A153" t="s">
        <v>1021</v>
      </c>
      <c r="B153" t="s">
        <v>74</v>
      </c>
      <c r="C153" t="s">
        <v>718</v>
      </c>
      <c r="D153" t="s">
        <v>154</v>
      </c>
      <c r="E153">
        <v>2025</v>
      </c>
      <c r="F153">
        <v>2026</v>
      </c>
      <c r="G153" s="10">
        <v>1120000</v>
      </c>
      <c r="H153" t="str">
        <f t="shared" si="8"/>
        <v/>
      </c>
      <c r="I153" t="str">
        <f t="shared" si="9"/>
        <v/>
      </c>
      <c r="J153" t="str">
        <f t="shared" si="10"/>
        <v/>
      </c>
      <c r="K153">
        <f>IF(E153="","",SUM(ContractsTbl[[#This Row],[salaryY1]:[salaryY4]]))</f>
        <v>1120000</v>
      </c>
      <c r="L153" t="b">
        <f t="shared" si="7"/>
        <v>0</v>
      </c>
    </row>
    <row r="154" spans="1:12" x14ac:dyDescent="0.2">
      <c r="A154" t="s">
        <v>1022</v>
      </c>
      <c r="B154" t="s">
        <v>74</v>
      </c>
      <c r="C154" t="s">
        <v>719</v>
      </c>
      <c r="D154" t="s">
        <v>148</v>
      </c>
      <c r="E154">
        <v>2025</v>
      </c>
      <c r="F154">
        <v>2026</v>
      </c>
      <c r="G154" s="10">
        <v>1120000</v>
      </c>
      <c r="H154" t="str">
        <f t="shared" si="8"/>
        <v/>
      </c>
      <c r="I154" t="str">
        <f t="shared" si="9"/>
        <v/>
      </c>
      <c r="J154" t="str">
        <f t="shared" si="10"/>
        <v/>
      </c>
      <c r="K154">
        <f>IF(E154="","",SUM(ContractsTbl[[#This Row],[salaryY1]:[salaryY4]]))</f>
        <v>1120000</v>
      </c>
      <c r="L154" t="b">
        <f t="shared" si="7"/>
        <v>0</v>
      </c>
    </row>
    <row r="155" spans="1:12" x14ac:dyDescent="0.2">
      <c r="A155" t="s">
        <v>1023</v>
      </c>
      <c r="B155" t="s">
        <v>74</v>
      </c>
      <c r="C155" t="s">
        <v>720</v>
      </c>
      <c r="D155" t="s">
        <v>144</v>
      </c>
      <c r="E155">
        <v>2025</v>
      </c>
      <c r="F155">
        <v>2026</v>
      </c>
      <c r="G155" s="10">
        <v>1270000</v>
      </c>
      <c r="H155" t="str">
        <f t="shared" si="8"/>
        <v/>
      </c>
      <c r="I155" t="str">
        <f t="shared" si="9"/>
        <v/>
      </c>
      <c r="J155" t="str">
        <f t="shared" si="10"/>
        <v/>
      </c>
      <c r="K155">
        <f>IF(E155="","",SUM(ContractsTbl[[#This Row],[salaryY1]:[salaryY4]]))</f>
        <v>1270000</v>
      </c>
      <c r="L155" t="b">
        <f t="shared" si="7"/>
        <v>0</v>
      </c>
    </row>
    <row r="156" spans="1:12" x14ac:dyDescent="0.2">
      <c r="A156" t="s">
        <v>1024</v>
      </c>
      <c r="B156" t="s">
        <v>74</v>
      </c>
      <c r="C156" t="s">
        <v>721</v>
      </c>
      <c r="D156" t="s">
        <v>136</v>
      </c>
      <c r="E156">
        <v>2025</v>
      </c>
      <c r="F156">
        <v>2026</v>
      </c>
      <c r="G156" s="10">
        <v>1270000</v>
      </c>
      <c r="H156" t="str">
        <f t="shared" si="8"/>
        <v/>
      </c>
      <c r="I156" t="str">
        <f t="shared" si="9"/>
        <v/>
      </c>
      <c r="J156" t="str">
        <f t="shared" si="10"/>
        <v/>
      </c>
      <c r="K156">
        <f>IF(E156="","",SUM(ContractsTbl[[#This Row],[salaryY1]:[salaryY4]]))</f>
        <v>1270000</v>
      </c>
      <c r="L156" t="b">
        <f t="shared" si="7"/>
        <v>0</v>
      </c>
    </row>
    <row r="157" spans="1:12" x14ac:dyDescent="0.2">
      <c r="A157" t="s">
        <v>1025</v>
      </c>
      <c r="B157" t="s">
        <v>74</v>
      </c>
      <c r="C157" t="s">
        <v>722</v>
      </c>
      <c r="D157" t="s">
        <v>145</v>
      </c>
      <c r="E157">
        <v>2025</v>
      </c>
      <c r="F157">
        <v>2026</v>
      </c>
      <c r="G157" s="10">
        <v>1160000</v>
      </c>
      <c r="H157" t="str">
        <f t="shared" si="8"/>
        <v/>
      </c>
      <c r="I157" t="str">
        <f t="shared" si="9"/>
        <v/>
      </c>
      <c r="J157" t="str">
        <f t="shared" si="10"/>
        <v/>
      </c>
      <c r="K157">
        <f>IF(E157="","",SUM(ContractsTbl[[#This Row],[salaryY1]:[salaryY4]]))</f>
        <v>1160000</v>
      </c>
      <c r="L157" t="b">
        <f t="shared" si="7"/>
        <v>0</v>
      </c>
    </row>
    <row r="158" spans="1:12" x14ac:dyDescent="0.2">
      <c r="A158" t="s">
        <v>1026</v>
      </c>
      <c r="B158" t="s">
        <v>74</v>
      </c>
      <c r="C158" t="s">
        <v>723</v>
      </c>
      <c r="D158" t="s">
        <v>158</v>
      </c>
      <c r="E158">
        <v>2025</v>
      </c>
      <c r="F158">
        <v>2026</v>
      </c>
      <c r="G158" s="10">
        <v>1270000</v>
      </c>
      <c r="H158" t="str">
        <f t="shared" si="8"/>
        <v/>
      </c>
      <c r="I158" t="str">
        <f t="shared" si="9"/>
        <v/>
      </c>
      <c r="J158" t="str">
        <f t="shared" si="10"/>
        <v/>
      </c>
      <c r="K158">
        <f>IF(E158="","",SUM(ContractsTbl[[#This Row],[salaryY1]:[salaryY4]]))</f>
        <v>1270000</v>
      </c>
      <c r="L158" t="b">
        <f t="shared" si="7"/>
        <v>0</v>
      </c>
    </row>
    <row r="159" spans="1:12" x14ac:dyDescent="0.2">
      <c r="A159" t="s">
        <v>1027</v>
      </c>
      <c r="B159" t="s">
        <v>74</v>
      </c>
      <c r="C159" t="s">
        <v>724</v>
      </c>
      <c r="D159" t="s">
        <v>155</v>
      </c>
      <c r="E159">
        <v>2025</v>
      </c>
      <c r="F159">
        <v>2026</v>
      </c>
      <c r="G159" s="10">
        <v>1230000</v>
      </c>
      <c r="H159" t="str">
        <f t="shared" si="8"/>
        <v/>
      </c>
      <c r="I159" t="str">
        <f t="shared" si="9"/>
        <v/>
      </c>
      <c r="J159" t="str">
        <f t="shared" si="10"/>
        <v/>
      </c>
      <c r="K159">
        <f>IF(E159="","",SUM(ContractsTbl[[#This Row],[salaryY1]:[salaryY4]]))</f>
        <v>1230000</v>
      </c>
      <c r="L159" t="b">
        <f t="shared" si="7"/>
        <v>0</v>
      </c>
    </row>
    <row r="160" spans="1:12" x14ac:dyDescent="0.2">
      <c r="A160" t="s">
        <v>1028</v>
      </c>
      <c r="B160" t="s">
        <v>74</v>
      </c>
      <c r="C160" t="s">
        <v>725</v>
      </c>
      <c r="D160" t="s">
        <v>156</v>
      </c>
      <c r="E160">
        <v>2025</v>
      </c>
      <c r="F160">
        <v>2026</v>
      </c>
      <c r="G160" s="10">
        <v>1270000</v>
      </c>
      <c r="H160" t="str">
        <f t="shared" si="8"/>
        <v/>
      </c>
      <c r="I160" t="str">
        <f t="shared" si="9"/>
        <v/>
      </c>
      <c r="J160" t="str">
        <f t="shared" si="10"/>
        <v/>
      </c>
      <c r="K160">
        <f>IF(E160="","",SUM(ContractsTbl[[#This Row],[salaryY1]:[salaryY4]]))</f>
        <v>1270000</v>
      </c>
      <c r="L160" t="b">
        <f t="shared" si="7"/>
        <v>0</v>
      </c>
    </row>
    <row r="161" spans="1:12" x14ac:dyDescent="0.2">
      <c r="A161" t="s">
        <v>1029</v>
      </c>
      <c r="B161" t="s">
        <v>74</v>
      </c>
      <c r="C161" t="s">
        <v>726</v>
      </c>
      <c r="D161" t="s">
        <v>25</v>
      </c>
      <c r="E161">
        <v>2025</v>
      </c>
      <c r="F161">
        <v>2026</v>
      </c>
      <c r="G161" s="10">
        <v>1190000</v>
      </c>
      <c r="H161" t="str">
        <f t="shared" si="8"/>
        <v/>
      </c>
      <c r="I161" t="str">
        <f t="shared" si="9"/>
        <v/>
      </c>
      <c r="J161" t="str">
        <f t="shared" si="10"/>
        <v/>
      </c>
      <c r="K161">
        <f>IF(E161="","",SUM(ContractsTbl[[#This Row],[salaryY1]:[salaryY4]]))</f>
        <v>1190000</v>
      </c>
      <c r="L161" t="b">
        <f t="shared" si="7"/>
        <v>0</v>
      </c>
    </row>
    <row r="162" spans="1:12" x14ac:dyDescent="0.2">
      <c r="A162" t="s">
        <v>1030</v>
      </c>
      <c r="B162" t="s">
        <v>74</v>
      </c>
      <c r="C162" t="s">
        <v>727</v>
      </c>
      <c r="D162" t="s">
        <v>44</v>
      </c>
      <c r="E162" t="s">
        <v>2892</v>
      </c>
      <c r="F162" t="s">
        <v>2892</v>
      </c>
      <c r="G162" s="10">
        <v>1270000</v>
      </c>
      <c r="H162">
        <f t="shared" si="8"/>
        <v>1270000</v>
      </c>
      <c r="I162">
        <f t="shared" si="9"/>
        <v>1270000</v>
      </c>
      <c r="J162">
        <f t="shared" si="10"/>
        <v>1270000</v>
      </c>
      <c r="K162" t="str">
        <f>IF(E162="","",SUM(ContractsTbl[[#This Row],[salaryY1]:[salaryY4]]))</f>
        <v/>
      </c>
      <c r="L162" t="b">
        <f t="shared" si="7"/>
        <v>1</v>
      </c>
    </row>
    <row r="163" spans="1:12" x14ac:dyDescent="0.2">
      <c r="A163" t="s">
        <v>1031</v>
      </c>
      <c r="B163" t="s">
        <v>74</v>
      </c>
      <c r="C163" t="s">
        <v>728</v>
      </c>
      <c r="D163" t="s">
        <v>44</v>
      </c>
      <c r="E163" t="s">
        <v>2892</v>
      </c>
      <c r="F163" t="s">
        <v>2892</v>
      </c>
      <c r="G163" s="10">
        <v>1270000</v>
      </c>
      <c r="H163">
        <f t="shared" si="8"/>
        <v>1270000</v>
      </c>
      <c r="I163">
        <f t="shared" si="9"/>
        <v>1270000</v>
      </c>
      <c r="J163">
        <f t="shared" si="10"/>
        <v>1270000</v>
      </c>
      <c r="K163" t="str">
        <f>IF(E163="","",SUM(ContractsTbl[[#This Row],[salaryY1]:[salaryY4]]))</f>
        <v/>
      </c>
      <c r="L163" t="b">
        <f t="shared" ref="L163:L226" si="11">IF(F163="",TRUE,FALSE)</f>
        <v>1</v>
      </c>
    </row>
    <row r="164" spans="1:12" x14ac:dyDescent="0.2">
      <c r="A164" t="s">
        <v>1032</v>
      </c>
      <c r="B164" t="s">
        <v>74</v>
      </c>
      <c r="C164" t="s">
        <v>729</v>
      </c>
      <c r="D164" t="s">
        <v>44</v>
      </c>
      <c r="E164">
        <v>2025</v>
      </c>
      <c r="F164">
        <v>2027</v>
      </c>
      <c r="G164" s="10">
        <v>1190000</v>
      </c>
      <c r="H164">
        <f t="shared" si="8"/>
        <v>1190000</v>
      </c>
      <c r="I164" t="str">
        <f t="shared" si="9"/>
        <v/>
      </c>
      <c r="J164" t="str">
        <f t="shared" si="10"/>
        <v/>
      </c>
      <c r="K164">
        <f>IF(E164="","",SUM(ContractsTbl[[#This Row],[salaryY1]:[salaryY4]]))</f>
        <v>2380000</v>
      </c>
      <c r="L164" t="b">
        <f t="shared" si="11"/>
        <v>0</v>
      </c>
    </row>
    <row r="165" spans="1:12" x14ac:dyDescent="0.2">
      <c r="A165" t="s">
        <v>1033</v>
      </c>
      <c r="B165" t="s">
        <v>74</v>
      </c>
      <c r="C165" t="s">
        <v>730</v>
      </c>
      <c r="D165" t="s">
        <v>44</v>
      </c>
      <c r="E165">
        <v>2025</v>
      </c>
      <c r="F165">
        <v>2027</v>
      </c>
      <c r="G165" s="10">
        <v>1120000</v>
      </c>
      <c r="H165">
        <f t="shared" si="8"/>
        <v>1120000</v>
      </c>
      <c r="I165" t="str">
        <f t="shared" si="9"/>
        <v/>
      </c>
      <c r="J165" t="str">
        <f t="shared" si="10"/>
        <v/>
      </c>
      <c r="K165">
        <f>IF(E165="","",SUM(ContractsTbl[[#This Row],[salaryY1]:[salaryY4]]))</f>
        <v>2240000</v>
      </c>
      <c r="L165" t="b">
        <f t="shared" si="11"/>
        <v>0</v>
      </c>
    </row>
    <row r="166" spans="1:12" x14ac:dyDescent="0.2">
      <c r="A166" t="s">
        <v>1034</v>
      </c>
      <c r="B166" t="s">
        <v>74</v>
      </c>
      <c r="C166" t="s">
        <v>731</v>
      </c>
      <c r="D166" t="s">
        <v>44</v>
      </c>
      <c r="E166">
        <v>2025</v>
      </c>
      <c r="F166">
        <v>2027</v>
      </c>
      <c r="G166" s="10">
        <v>1120000</v>
      </c>
      <c r="H166">
        <f t="shared" si="8"/>
        <v>1120000</v>
      </c>
      <c r="I166" t="str">
        <f t="shared" si="9"/>
        <v/>
      </c>
      <c r="J166" t="str">
        <f t="shared" si="10"/>
        <v/>
      </c>
      <c r="K166">
        <f>IF(E166="","",SUM(ContractsTbl[[#This Row],[salaryY1]:[salaryY4]]))</f>
        <v>2240000</v>
      </c>
      <c r="L166" t="b">
        <f t="shared" si="11"/>
        <v>0</v>
      </c>
    </row>
    <row r="167" spans="1:12" x14ac:dyDescent="0.2">
      <c r="A167" t="s">
        <v>1035</v>
      </c>
      <c r="B167" t="s">
        <v>74</v>
      </c>
      <c r="C167" t="s">
        <v>732</v>
      </c>
      <c r="D167" t="s">
        <v>44</v>
      </c>
      <c r="E167">
        <v>2025</v>
      </c>
      <c r="F167">
        <v>2027</v>
      </c>
      <c r="G167" s="10">
        <v>1160000</v>
      </c>
      <c r="H167">
        <f t="shared" si="8"/>
        <v>1160000</v>
      </c>
      <c r="I167" t="str">
        <f t="shared" si="9"/>
        <v/>
      </c>
      <c r="J167" t="str">
        <f t="shared" si="10"/>
        <v/>
      </c>
      <c r="K167">
        <f>IF(E167="","",SUM(ContractsTbl[[#This Row],[salaryY1]:[salaryY4]]))</f>
        <v>2320000</v>
      </c>
      <c r="L167" t="b">
        <f t="shared" si="11"/>
        <v>0</v>
      </c>
    </row>
    <row r="168" spans="1:12" x14ac:dyDescent="0.2">
      <c r="A168" t="s">
        <v>1036</v>
      </c>
      <c r="B168" t="s">
        <v>74</v>
      </c>
      <c r="C168" t="s">
        <v>733</v>
      </c>
      <c r="D168" t="s">
        <v>44</v>
      </c>
      <c r="E168">
        <v>2025</v>
      </c>
      <c r="F168">
        <v>2027</v>
      </c>
      <c r="G168" s="10">
        <v>1270000</v>
      </c>
      <c r="H168">
        <f t="shared" si="8"/>
        <v>1270000</v>
      </c>
      <c r="I168" t="str">
        <f t="shared" si="9"/>
        <v/>
      </c>
      <c r="J168" t="str">
        <f t="shared" si="10"/>
        <v/>
      </c>
      <c r="K168">
        <f>IF(E168="","",SUM(ContractsTbl[[#This Row],[salaryY1]:[salaryY4]]))</f>
        <v>2540000</v>
      </c>
      <c r="L168" t="b">
        <f t="shared" si="11"/>
        <v>0</v>
      </c>
    </row>
    <row r="169" spans="1:12" x14ac:dyDescent="0.2">
      <c r="A169" t="s">
        <v>1037</v>
      </c>
      <c r="B169" t="s">
        <v>74</v>
      </c>
      <c r="C169" t="s">
        <v>734</v>
      </c>
      <c r="D169" t="s">
        <v>44</v>
      </c>
      <c r="E169">
        <v>2025</v>
      </c>
      <c r="F169">
        <v>2027</v>
      </c>
      <c r="G169" s="10">
        <v>1230000</v>
      </c>
      <c r="H169">
        <f t="shared" si="8"/>
        <v>1230000</v>
      </c>
      <c r="I169" t="str">
        <f t="shared" si="9"/>
        <v/>
      </c>
      <c r="J169" t="str">
        <f t="shared" si="10"/>
        <v/>
      </c>
      <c r="K169">
        <f>IF(E169="","",SUM(ContractsTbl[[#This Row],[salaryY1]:[salaryY4]]))</f>
        <v>2460000</v>
      </c>
      <c r="L169" t="b">
        <f t="shared" si="11"/>
        <v>0</v>
      </c>
    </row>
    <row r="170" spans="1:12" x14ac:dyDescent="0.2">
      <c r="A170" t="s">
        <v>1038</v>
      </c>
      <c r="B170" t="s">
        <v>74</v>
      </c>
      <c r="C170" t="s">
        <v>735</v>
      </c>
      <c r="D170" t="s">
        <v>44</v>
      </c>
      <c r="E170">
        <v>2025</v>
      </c>
      <c r="F170">
        <v>2027</v>
      </c>
      <c r="G170" s="10">
        <v>1230000</v>
      </c>
      <c r="H170">
        <f t="shared" si="8"/>
        <v>1230000</v>
      </c>
      <c r="I170" t="str">
        <f t="shared" si="9"/>
        <v/>
      </c>
      <c r="J170" t="str">
        <f t="shared" si="10"/>
        <v/>
      </c>
      <c r="K170">
        <f>IF(E170="","",SUM(ContractsTbl[[#This Row],[salaryY1]:[salaryY4]]))</f>
        <v>2460000</v>
      </c>
      <c r="L170" t="b">
        <f t="shared" si="11"/>
        <v>0</v>
      </c>
    </row>
    <row r="171" spans="1:12" x14ac:dyDescent="0.2">
      <c r="A171" t="s">
        <v>1039</v>
      </c>
      <c r="B171" t="s">
        <v>74</v>
      </c>
      <c r="C171" t="s">
        <v>736</v>
      </c>
      <c r="D171" t="s">
        <v>44</v>
      </c>
      <c r="E171">
        <v>2025</v>
      </c>
      <c r="F171">
        <v>2027</v>
      </c>
      <c r="G171" s="10">
        <v>1120000</v>
      </c>
      <c r="H171">
        <f t="shared" si="8"/>
        <v>1120000</v>
      </c>
      <c r="I171" t="str">
        <f t="shared" si="9"/>
        <v/>
      </c>
      <c r="J171" t="str">
        <f t="shared" si="10"/>
        <v/>
      </c>
      <c r="K171">
        <f>IF(E171="","",SUM(ContractsTbl[[#This Row],[salaryY1]:[salaryY4]]))</f>
        <v>2240000</v>
      </c>
      <c r="L171" t="b">
        <f t="shared" si="11"/>
        <v>0</v>
      </c>
    </row>
    <row r="172" spans="1:12" x14ac:dyDescent="0.2">
      <c r="A172" t="s">
        <v>1040</v>
      </c>
      <c r="B172" t="s">
        <v>74</v>
      </c>
      <c r="C172" t="s">
        <v>737</v>
      </c>
      <c r="D172" t="s">
        <v>44</v>
      </c>
      <c r="E172">
        <v>2025</v>
      </c>
      <c r="F172">
        <v>2027</v>
      </c>
      <c r="G172" s="10">
        <v>1270000</v>
      </c>
      <c r="H172">
        <f t="shared" si="8"/>
        <v>1270000</v>
      </c>
      <c r="I172" t="str">
        <f t="shared" si="9"/>
        <v/>
      </c>
      <c r="J172" t="str">
        <f t="shared" si="10"/>
        <v/>
      </c>
      <c r="K172">
        <f>IF(E172="","",SUM(ContractsTbl[[#This Row],[salaryY1]:[salaryY4]]))</f>
        <v>2540000</v>
      </c>
      <c r="L172" t="b">
        <f t="shared" si="11"/>
        <v>0</v>
      </c>
    </row>
    <row r="173" spans="1:12" x14ac:dyDescent="0.2">
      <c r="A173" t="s">
        <v>1041</v>
      </c>
      <c r="B173" t="s">
        <v>74</v>
      </c>
      <c r="C173" t="s">
        <v>738</v>
      </c>
      <c r="D173" t="s">
        <v>44</v>
      </c>
      <c r="E173">
        <v>2025</v>
      </c>
      <c r="F173">
        <v>2027</v>
      </c>
      <c r="G173" s="10">
        <v>1190000</v>
      </c>
      <c r="H173">
        <f t="shared" si="8"/>
        <v>1190000</v>
      </c>
      <c r="I173" t="str">
        <f t="shared" si="9"/>
        <v/>
      </c>
      <c r="J173" t="str">
        <f t="shared" si="10"/>
        <v/>
      </c>
      <c r="K173">
        <f>IF(E173="","",SUM(ContractsTbl[[#This Row],[salaryY1]:[salaryY4]]))</f>
        <v>2380000</v>
      </c>
      <c r="L173" t="b">
        <f t="shared" si="11"/>
        <v>0</v>
      </c>
    </row>
    <row r="174" spans="1:12" x14ac:dyDescent="0.2">
      <c r="A174" t="s">
        <v>1042</v>
      </c>
      <c r="B174" t="s">
        <v>74</v>
      </c>
      <c r="C174" t="s">
        <v>739</v>
      </c>
      <c r="D174" t="s">
        <v>44</v>
      </c>
      <c r="E174">
        <v>2025</v>
      </c>
      <c r="F174">
        <v>2027</v>
      </c>
      <c r="G174" s="10">
        <v>1120000</v>
      </c>
      <c r="H174">
        <f t="shared" si="8"/>
        <v>1120000</v>
      </c>
      <c r="I174" t="str">
        <f t="shared" si="9"/>
        <v/>
      </c>
      <c r="J174" t="str">
        <f t="shared" si="10"/>
        <v/>
      </c>
      <c r="K174">
        <f>IF(E174="","",SUM(ContractsTbl[[#This Row],[salaryY1]:[salaryY4]]))</f>
        <v>2240000</v>
      </c>
      <c r="L174" t="b">
        <f t="shared" si="11"/>
        <v>0</v>
      </c>
    </row>
    <row r="175" spans="1:12" x14ac:dyDescent="0.2">
      <c r="A175" t="s">
        <v>1043</v>
      </c>
      <c r="B175" t="s">
        <v>74</v>
      </c>
      <c r="C175" t="s">
        <v>740</v>
      </c>
      <c r="D175" t="s">
        <v>44</v>
      </c>
      <c r="E175">
        <v>2025</v>
      </c>
      <c r="F175">
        <v>2027</v>
      </c>
      <c r="G175" s="10">
        <v>1270000</v>
      </c>
      <c r="H175">
        <f t="shared" si="8"/>
        <v>1270000</v>
      </c>
      <c r="I175" t="str">
        <f t="shared" si="9"/>
        <v/>
      </c>
      <c r="J175" t="str">
        <f t="shared" si="10"/>
        <v/>
      </c>
      <c r="K175">
        <f>IF(E175="","",SUM(ContractsTbl[[#This Row],[salaryY1]:[salaryY4]]))</f>
        <v>2540000</v>
      </c>
      <c r="L175" t="b">
        <f t="shared" si="11"/>
        <v>0</v>
      </c>
    </row>
    <row r="176" spans="1:12" x14ac:dyDescent="0.2">
      <c r="A176" t="s">
        <v>1044</v>
      </c>
      <c r="B176" t="s">
        <v>74</v>
      </c>
      <c r="C176" t="s">
        <v>741</v>
      </c>
      <c r="D176" t="s">
        <v>44</v>
      </c>
      <c r="E176">
        <v>2025</v>
      </c>
      <c r="F176">
        <v>2027</v>
      </c>
      <c r="G176" s="10">
        <v>1160000</v>
      </c>
      <c r="H176">
        <f t="shared" si="8"/>
        <v>1160000</v>
      </c>
      <c r="I176" t="str">
        <f t="shared" si="9"/>
        <v/>
      </c>
      <c r="J176" t="str">
        <f t="shared" si="10"/>
        <v/>
      </c>
      <c r="K176">
        <f>IF(E176="","",SUM(ContractsTbl[[#This Row],[salaryY1]:[salaryY4]]))</f>
        <v>2320000</v>
      </c>
      <c r="L176" t="b">
        <f t="shared" si="11"/>
        <v>0</v>
      </c>
    </row>
    <row r="177" spans="1:12" x14ac:dyDescent="0.2">
      <c r="A177" t="s">
        <v>1045</v>
      </c>
      <c r="B177" t="s">
        <v>74</v>
      </c>
      <c r="C177" t="s">
        <v>742</v>
      </c>
      <c r="D177" t="s">
        <v>44</v>
      </c>
      <c r="E177">
        <v>2025</v>
      </c>
      <c r="F177">
        <v>2027</v>
      </c>
      <c r="G177" s="10">
        <v>1230000</v>
      </c>
      <c r="H177">
        <f t="shared" si="8"/>
        <v>1230000</v>
      </c>
      <c r="I177" t="str">
        <f t="shared" si="9"/>
        <v/>
      </c>
      <c r="J177" t="str">
        <f t="shared" si="10"/>
        <v/>
      </c>
      <c r="K177">
        <f>IF(E177="","",SUM(ContractsTbl[[#This Row],[salaryY1]:[salaryY4]]))</f>
        <v>2460000</v>
      </c>
      <c r="L177" t="b">
        <f t="shared" si="11"/>
        <v>0</v>
      </c>
    </row>
    <row r="178" spans="1:12" x14ac:dyDescent="0.2">
      <c r="A178" t="s">
        <v>1046</v>
      </c>
      <c r="B178" t="s">
        <v>74</v>
      </c>
      <c r="C178" t="s">
        <v>743</v>
      </c>
      <c r="D178" t="s">
        <v>44</v>
      </c>
      <c r="E178">
        <v>2025</v>
      </c>
      <c r="F178">
        <v>2027</v>
      </c>
      <c r="G178" s="10">
        <v>350000</v>
      </c>
      <c r="H178">
        <f t="shared" si="8"/>
        <v>350000</v>
      </c>
      <c r="I178" t="str">
        <f t="shared" si="9"/>
        <v/>
      </c>
      <c r="J178" t="str">
        <f t="shared" si="10"/>
        <v/>
      </c>
      <c r="K178">
        <f>IF(E178="","",SUM(ContractsTbl[[#This Row],[salaryY1]:[salaryY4]]))</f>
        <v>700000</v>
      </c>
      <c r="L178" t="b">
        <f t="shared" si="11"/>
        <v>0</v>
      </c>
    </row>
    <row r="179" spans="1:12" x14ac:dyDescent="0.2">
      <c r="A179" t="s">
        <v>1047</v>
      </c>
      <c r="B179" t="s">
        <v>74</v>
      </c>
      <c r="C179" t="s">
        <v>744</v>
      </c>
      <c r="D179" t="s">
        <v>44</v>
      </c>
      <c r="E179">
        <v>2025</v>
      </c>
      <c r="F179">
        <v>2027</v>
      </c>
      <c r="G179" s="10">
        <v>330000</v>
      </c>
      <c r="H179">
        <f t="shared" si="8"/>
        <v>330000</v>
      </c>
      <c r="I179" t="str">
        <f t="shared" si="9"/>
        <v/>
      </c>
      <c r="J179" t="str">
        <f t="shared" si="10"/>
        <v/>
      </c>
      <c r="K179">
        <f>IF(E179="","",SUM(ContractsTbl[[#This Row],[salaryY1]:[salaryY4]]))</f>
        <v>660000</v>
      </c>
      <c r="L179" t="b">
        <f t="shared" si="11"/>
        <v>0</v>
      </c>
    </row>
    <row r="180" spans="1:12" x14ac:dyDescent="0.2">
      <c r="A180" t="s">
        <v>1048</v>
      </c>
      <c r="B180" t="s">
        <v>74</v>
      </c>
      <c r="C180" t="s">
        <v>745</v>
      </c>
      <c r="D180" t="s">
        <v>44</v>
      </c>
      <c r="E180">
        <v>2025</v>
      </c>
      <c r="F180">
        <v>2027</v>
      </c>
      <c r="G180" s="10">
        <v>340000</v>
      </c>
      <c r="H180">
        <f t="shared" si="8"/>
        <v>340000</v>
      </c>
      <c r="I180" t="str">
        <f t="shared" si="9"/>
        <v/>
      </c>
      <c r="J180" t="str">
        <f t="shared" si="10"/>
        <v/>
      </c>
      <c r="K180">
        <f>IF(E180="","",SUM(ContractsTbl[[#This Row],[salaryY1]:[salaryY4]]))</f>
        <v>680000</v>
      </c>
      <c r="L180" t="b">
        <f t="shared" si="11"/>
        <v>0</v>
      </c>
    </row>
    <row r="181" spans="1:12" x14ac:dyDescent="0.2">
      <c r="A181" t="s">
        <v>1049</v>
      </c>
      <c r="B181" t="s">
        <v>74</v>
      </c>
      <c r="C181" t="s">
        <v>746</v>
      </c>
      <c r="D181" t="s">
        <v>44</v>
      </c>
      <c r="E181">
        <v>2025</v>
      </c>
      <c r="F181">
        <v>2027</v>
      </c>
      <c r="G181" s="10">
        <v>370000</v>
      </c>
      <c r="H181">
        <f t="shared" si="8"/>
        <v>370000</v>
      </c>
      <c r="I181" t="str">
        <f t="shared" si="9"/>
        <v/>
      </c>
      <c r="J181" t="str">
        <f t="shared" si="10"/>
        <v/>
      </c>
      <c r="K181">
        <f>IF(E181="","",SUM(ContractsTbl[[#This Row],[salaryY1]:[salaryY4]]))</f>
        <v>740000</v>
      </c>
      <c r="L181" t="b">
        <f t="shared" si="11"/>
        <v>0</v>
      </c>
    </row>
    <row r="182" spans="1:12" x14ac:dyDescent="0.2">
      <c r="A182" t="s">
        <v>1050</v>
      </c>
      <c r="B182" t="s">
        <v>74</v>
      </c>
      <c r="C182" t="s">
        <v>747</v>
      </c>
      <c r="D182" t="s">
        <v>44</v>
      </c>
      <c r="E182">
        <v>2025</v>
      </c>
      <c r="F182">
        <v>2027</v>
      </c>
      <c r="G182" s="10">
        <v>350000</v>
      </c>
      <c r="H182">
        <f t="shared" si="8"/>
        <v>350000</v>
      </c>
      <c r="I182" t="str">
        <f t="shared" si="9"/>
        <v/>
      </c>
      <c r="J182" t="str">
        <f t="shared" si="10"/>
        <v/>
      </c>
      <c r="K182">
        <f>IF(E182="","",SUM(ContractsTbl[[#This Row],[salaryY1]:[salaryY4]]))</f>
        <v>700000</v>
      </c>
      <c r="L182" t="b">
        <f t="shared" si="11"/>
        <v>0</v>
      </c>
    </row>
    <row r="183" spans="1:12" x14ac:dyDescent="0.2">
      <c r="A183" t="s">
        <v>1051</v>
      </c>
      <c r="B183" t="s">
        <v>74</v>
      </c>
      <c r="C183" t="s">
        <v>748</v>
      </c>
      <c r="D183" t="s">
        <v>44</v>
      </c>
      <c r="E183">
        <v>2025</v>
      </c>
      <c r="F183">
        <v>2027</v>
      </c>
      <c r="G183" s="10">
        <v>330000</v>
      </c>
      <c r="H183">
        <f t="shared" si="8"/>
        <v>330000</v>
      </c>
      <c r="I183" t="str">
        <f t="shared" si="9"/>
        <v/>
      </c>
      <c r="J183" t="str">
        <f t="shared" si="10"/>
        <v/>
      </c>
      <c r="K183">
        <f>IF(E183="","",SUM(ContractsTbl[[#This Row],[salaryY1]:[salaryY4]]))</f>
        <v>660000</v>
      </c>
      <c r="L183" t="b">
        <f t="shared" si="11"/>
        <v>0</v>
      </c>
    </row>
    <row r="184" spans="1:12" x14ac:dyDescent="0.2">
      <c r="A184" t="s">
        <v>1052</v>
      </c>
      <c r="B184" t="s">
        <v>74</v>
      </c>
      <c r="C184" t="s">
        <v>749</v>
      </c>
      <c r="D184" t="s">
        <v>44</v>
      </c>
      <c r="E184">
        <v>2025</v>
      </c>
      <c r="F184">
        <v>2027</v>
      </c>
      <c r="G184" s="10">
        <v>665000</v>
      </c>
      <c r="H184">
        <f t="shared" si="8"/>
        <v>665000</v>
      </c>
      <c r="I184" t="str">
        <f t="shared" si="9"/>
        <v/>
      </c>
      <c r="J184" t="str">
        <f t="shared" si="10"/>
        <v/>
      </c>
      <c r="K184">
        <f>IF(E184="","",SUM(ContractsTbl[[#This Row],[salaryY1]:[salaryY4]]))</f>
        <v>1330000</v>
      </c>
      <c r="L184" t="b">
        <f t="shared" si="11"/>
        <v>0</v>
      </c>
    </row>
    <row r="185" spans="1:12" x14ac:dyDescent="0.2">
      <c r="A185" t="s">
        <v>1053</v>
      </c>
      <c r="B185" t="s">
        <v>74</v>
      </c>
      <c r="C185" t="s">
        <v>750</v>
      </c>
      <c r="D185" t="s">
        <v>44</v>
      </c>
      <c r="E185">
        <v>2025</v>
      </c>
      <c r="F185">
        <v>2027</v>
      </c>
      <c r="G185" s="10">
        <v>360000</v>
      </c>
      <c r="H185">
        <f t="shared" si="8"/>
        <v>360000</v>
      </c>
      <c r="I185" t="str">
        <f t="shared" si="9"/>
        <v/>
      </c>
      <c r="J185" t="str">
        <f t="shared" si="10"/>
        <v/>
      </c>
      <c r="K185">
        <f>IF(E185="","",SUM(ContractsTbl[[#This Row],[salaryY1]:[salaryY4]]))</f>
        <v>720000</v>
      </c>
      <c r="L185" t="b">
        <f t="shared" si="11"/>
        <v>0</v>
      </c>
    </row>
    <row r="186" spans="1:12" x14ac:dyDescent="0.2">
      <c r="A186" t="s">
        <v>1054</v>
      </c>
      <c r="B186" t="s">
        <v>74</v>
      </c>
      <c r="C186" t="s">
        <v>751</v>
      </c>
      <c r="D186" t="s">
        <v>44</v>
      </c>
      <c r="E186">
        <v>2025</v>
      </c>
      <c r="F186">
        <v>2027</v>
      </c>
      <c r="G186" s="10">
        <v>340000</v>
      </c>
      <c r="H186">
        <f t="shared" si="8"/>
        <v>340000</v>
      </c>
      <c r="I186" t="str">
        <f t="shared" si="9"/>
        <v/>
      </c>
      <c r="J186" t="str">
        <f t="shared" si="10"/>
        <v/>
      </c>
      <c r="K186">
        <f>IF(E186="","",SUM(ContractsTbl[[#This Row],[salaryY1]:[salaryY4]]))</f>
        <v>680000</v>
      </c>
      <c r="L186" t="b">
        <f t="shared" si="11"/>
        <v>0</v>
      </c>
    </row>
    <row r="187" spans="1:12" x14ac:dyDescent="0.2">
      <c r="A187" t="s">
        <v>1055</v>
      </c>
      <c r="B187" t="s">
        <v>74</v>
      </c>
      <c r="C187" t="s">
        <v>752</v>
      </c>
      <c r="D187" t="s">
        <v>44</v>
      </c>
      <c r="E187">
        <v>2025</v>
      </c>
      <c r="F187">
        <v>2027</v>
      </c>
      <c r="G187" s="10">
        <v>330000</v>
      </c>
      <c r="H187">
        <f t="shared" si="8"/>
        <v>330000</v>
      </c>
      <c r="I187" t="str">
        <f t="shared" si="9"/>
        <v/>
      </c>
      <c r="J187" t="str">
        <f t="shared" si="10"/>
        <v/>
      </c>
      <c r="K187">
        <f>IF(E187="","",SUM(ContractsTbl[[#This Row],[salaryY1]:[salaryY4]]))</f>
        <v>660000</v>
      </c>
      <c r="L187" t="b">
        <f t="shared" si="11"/>
        <v>0</v>
      </c>
    </row>
    <row r="188" spans="1:12" x14ac:dyDescent="0.2">
      <c r="A188" t="s">
        <v>1056</v>
      </c>
      <c r="B188" t="s">
        <v>74</v>
      </c>
      <c r="C188" t="s">
        <v>753</v>
      </c>
      <c r="D188" t="s">
        <v>44</v>
      </c>
      <c r="E188">
        <v>2025</v>
      </c>
      <c r="F188">
        <v>2027</v>
      </c>
      <c r="G188" s="10">
        <v>350000</v>
      </c>
      <c r="H188">
        <f t="shared" si="8"/>
        <v>350000</v>
      </c>
      <c r="I188" t="str">
        <f t="shared" si="9"/>
        <v/>
      </c>
      <c r="J188" t="str">
        <f t="shared" si="10"/>
        <v/>
      </c>
      <c r="K188">
        <f>IF(E188="","",SUM(ContractsTbl[[#This Row],[salaryY1]:[salaryY4]]))</f>
        <v>700000</v>
      </c>
      <c r="L188" t="b">
        <f t="shared" si="11"/>
        <v>0</v>
      </c>
    </row>
    <row r="189" spans="1:12" x14ac:dyDescent="0.2">
      <c r="A189" t="s">
        <v>1057</v>
      </c>
      <c r="B189" t="s">
        <v>74</v>
      </c>
      <c r="C189" t="s">
        <v>754</v>
      </c>
      <c r="D189" t="s">
        <v>44</v>
      </c>
      <c r="E189">
        <v>2025</v>
      </c>
      <c r="F189">
        <v>2027</v>
      </c>
      <c r="G189" s="10">
        <v>330000</v>
      </c>
      <c r="H189">
        <f t="shared" si="8"/>
        <v>330000</v>
      </c>
      <c r="I189" t="str">
        <f t="shared" si="9"/>
        <v/>
      </c>
      <c r="J189" t="str">
        <f t="shared" si="10"/>
        <v/>
      </c>
      <c r="K189">
        <f>IF(E189="","",SUM(ContractsTbl[[#This Row],[salaryY1]:[salaryY4]]))</f>
        <v>660000</v>
      </c>
      <c r="L189" t="b">
        <f t="shared" si="11"/>
        <v>0</v>
      </c>
    </row>
    <row r="190" spans="1:12" x14ac:dyDescent="0.2">
      <c r="A190" t="s">
        <v>1058</v>
      </c>
      <c r="B190" t="s">
        <v>74</v>
      </c>
      <c r="C190" t="s">
        <v>755</v>
      </c>
      <c r="D190" t="s">
        <v>44</v>
      </c>
      <c r="E190">
        <v>2025</v>
      </c>
      <c r="F190">
        <v>2027</v>
      </c>
      <c r="G190" s="10">
        <v>360000</v>
      </c>
      <c r="H190">
        <f t="shared" si="8"/>
        <v>360000</v>
      </c>
      <c r="I190" t="str">
        <f t="shared" si="9"/>
        <v/>
      </c>
      <c r="J190" t="str">
        <f t="shared" si="10"/>
        <v/>
      </c>
      <c r="K190">
        <f>IF(E190="","",SUM(ContractsTbl[[#This Row],[salaryY1]:[salaryY4]]))</f>
        <v>720000</v>
      </c>
      <c r="L190" t="b">
        <f t="shared" si="11"/>
        <v>0</v>
      </c>
    </row>
    <row r="191" spans="1:12" x14ac:dyDescent="0.2">
      <c r="A191" t="s">
        <v>1059</v>
      </c>
      <c r="B191" t="s">
        <v>74</v>
      </c>
      <c r="C191" t="s">
        <v>756</v>
      </c>
      <c r="D191" t="s">
        <v>44</v>
      </c>
      <c r="E191">
        <v>2025</v>
      </c>
      <c r="F191">
        <v>2027</v>
      </c>
      <c r="G191" s="10">
        <v>650000</v>
      </c>
      <c r="H191">
        <f t="shared" si="8"/>
        <v>650000</v>
      </c>
      <c r="I191" t="str">
        <f t="shared" si="9"/>
        <v/>
      </c>
      <c r="J191" t="str">
        <f t="shared" si="10"/>
        <v/>
      </c>
      <c r="K191">
        <f>IF(E191="","",SUM(ContractsTbl[[#This Row],[salaryY1]:[salaryY4]]))</f>
        <v>1300000</v>
      </c>
      <c r="L191" t="b">
        <f t="shared" si="11"/>
        <v>0</v>
      </c>
    </row>
    <row r="192" spans="1:12" x14ac:dyDescent="0.2">
      <c r="A192" t="s">
        <v>1060</v>
      </c>
      <c r="B192" t="s">
        <v>74</v>
      </c>
      <c r="C192" t="s">
        <v>757</v>
      </c>
      <c r="D192" t="s">
        <v>44</v>
      </c>
      <c r="E192">
        <v>2025</v>
      </c>
      <c r="F192">
        <v>2027</v>
      </c>
      <c r="G192" s="10">
        <v>350000</v>
      </c>
      <c r="H192">
        <f t="shared" si="8"/>
        <v>350000</v>
      </c>
      <c r="I192" t="str">
        <f t="shared" si="9"/>
        <v/>
      </c>
      <c r="J192" t="str">
        <f t="shared" si="10"/>
        <v/>
      </c>
      <c r="K192">
        <f>IF(E192="","",SUM(ContractsTbl[[#This Row],[salaryY1]:[salaryY4]]))</f>
        <v>700000</v>
      </c>
      <c r="L192" t="b">
        <f t="shared" si="11"/>
        <v>0</v>
      </c>
    </row>
    <row r="193" spans="1:12" x14ac:dyDescent="0.2">
      <c r="A193" t="s">
        <v>1061</v>
      </c>
      <c r="B193" t="s">
        <v>74</v>
      </c>
      <c r="C193" t="s">
        <v>758</v>
      </c>
      <c r="D193" t="s">
        <v>44</v>
      </c>
      <c r="E193">
        <v>2025</v>
      </c>
      <c r="F193">
        <v>2027</v>
      </c>
      <c r="G193" s="10">
        <v>370000</v>
      </c>
      <c r="H193">
        <f t="shared" si="8"/>
        <v>370000</v>
      </c>
      <c r="I193" t="str">
        <f t="shared" si="9"/>
        <v/>
      </c>
      <c r="J193" t="str">
        <f t="shared" si="10"/>
        <v/>
      </c>
      <c r="K193">
        <f>IF(E193="","",SUM(ContractsTbl[[#This Row],[salaryY1]:[salaryY4]]))</f>
        <v>740000</v>
      </c>
      <c r="L193" t="b">
        <f t="shared" si="11"/>
        <v>0</v>
      </c>
    </row>
    <row r="194" spans="1:12" x14ac:dyDescent="0.2">
      <c r="A194" t="s">
        <v>1062</v>
      </c>
      <c r="B194" t="s">
        <v>74</v>
      </c>
      <c r="C194" t="s">
        <v>759</v>
      </c>
      <c r="D194" t="s">
        <v>44</v>
      </c>
      <c r="E194">
        <v>2025</v>
      </c>
      <c r="F194">
        <v>2027</v>
      </c>
      <c r="G194" s="10">
        <v>350000</v>
      </c>
      <c r="H194">
        <f t="shared" si="8"/>
        <v>350000</v>
      </c>
      <c r="I194" t="str">
        <f t="shared" si="9"/>
        <v/>
      </c>
      <c r="J194" t="str">
        <f t="shared" si="10"/>
        <v/>
      </c>
      <c r="K194">
        <f>IF(E194="","",SUM(ContractsTbl[[#This Row],[salaryY1]:[salaryY4]]))</f>
        <v>700000</v>
      </c>
      <c r="L194" t="b">
        <f t="shared" si="11"/>
        <v>0</v>
      </c>
    </row>
    <row r="195" spans="1:12" x14ac:dyDescent="0.2">
      <c r="A195" t="s">
        <v>1063</v>
      </c>
      <c r="B195" t="s">
        <v>74</v>
      </c>
      <c r="C195" t="s">
        <v>760</v>
      </c>
      <c r="D195" t="s">
        <v>44</v>
      </c>
      <c r="E195">
        <v>2025</v>
      </c>
      <c r="F195">
        <v>2027</v>
      </c>
      <c r="G195" s="10">
        <v>340000</v>
      </c>
      <c r="H195">
        <f t="shared" si="8"/>
        <v>340000</v>
      </c>
      <c r="I195" t="str">
        <f t="shared" si="9"/>
        <v/>
      </c>
      <c r="J195" t="str">
        <f t="shared" si="10"/>
        <v/>
      </c>
      <c r="K195">
        <f>IF(E195="","",SUM(ContractsTbl[[#This Row],[salaryY1]:[salaryY4]]))</f>
        <v>680000</v>
      </c>
      <c r="L195" t="b">
        <f t="shared" si="11"/>
        <v>0</v>
      </c>
    </row>
    <row r="196" spans="1:12" x14ac:dyDescent="0.2">
      <c r="A196" t="s">
        <v>1064</v>
      </c>
      <c r="B196" t="s">
        <v>74</v>
      </c>
      <c r="C196" t="s">
        <v>761</v>
      </c>
      <c r="D196" t="s">
        <v>44</v>
      </c>
      <c r="E196">
        <v>2025</v>
      </c>
      <c r="F196">
        <v>2027</v>
      </c>
      <c r="G196" s="10">
        <v>340000</v>
      </c>
      <c r="H196">
        <f t="shared" ref="H196:H259" si="12">IF(F196&gt;=2027,G196,"")</f>
        <v>340000</v>
      </c>
      <c r="I196" t="str">
        <f t="shared" ref="I196:I259" si="13">IF(F196&gt;=2028,G196,"")</f>
        <v/>
      </c>
      <c r="J196" t="str">
        <f t="shared" ref="J196:J259" si="14">IF(F196&gt;=2029,G196,"")</f>
        <v/>
      </c>
      <c r="K196">
        <f>IF(E196="","",SUM(ContractsTbl[[#This Row],[salaryY1]:[salaryY4]]))</f>
        <v>680000</v>
      </c>
      <c r="L196" t="b">
        <f t="shared" si="11"/>
        <v>0</v>
      </c>
    </row>
    <row r="197" spans="1:12" x14ac:dyDescent="0.2">
      <c r="A197" t="s">
        <v>1065</v>
      </c>
      <c r="B197" t="s">
        <v>74</v>
      </c>
      <c r="C197" t="s">
        <v>762</v>
      </c>
      <c r="D197" t="s">
        <v>44</v>
      </c>
      <c r="E197">
        <v>2025</v>
      </c>
      <c r="F197">
        <v>2027</v>
      </c>
      <c r="G197" s="10">
        <v>340000</v>
      </c>
      <c r="H197">
        <f t="shared" si="12"/>
        <v>340000</v>
      </c>
      <c r="I197" t="str">
        <f t="shared" si="13"/>
        <v/>
      </c>
      <c r="J197" t="str">
        <f t="shared" si="14"/>
        <v/>
      </c>
      <c r="K197">
        <f>IF(E197="","",SUM(ContractsTbl[[#This Row],[salaryY1]:[salaryY4]]))</f>
        <v>680000</v>
      </c>
      <c r="L197" t="b">
        <f t="shared" si="11"/>
        <v>0</v>
      </c>
    </row>
    <row r="198" spans="1:12" x14ac:dyDescent="0.2">
      <c r="A198" t="s">
        <v>1066</v>
      </c>
      <c r="B198" t="s">
        <v>74</v>
      </c>
      <c r="C198" t="s">
        <v>763</v>
      </c>
      <c r="D198" t="s">
        <v>44</v>
      </c>
      <c r="E198">
        <v>2025</v>
      </c>
      <c r="F198">
        <v>2027</v>
      </c>
      <c r="G198" s="10">
        <v>340000</v>
      </c>
      <c r="H198">
        <f t="shared" si="12"/>
        <v>340000</v>
      </c>
      <c r="I198" t="str">
        <f t="shared" si="13"/>
        <v/>
      </c>
      <c r="J198" t="str">
        <f t="shared" si="14"/>
        <v/>
      </c>
      <c r="K198">
        <f>IF(E198="","",SUM(ContractsTbl[[#This Row],[salaryY1]:[salaryY4]]))</f>
        <v>680000</v>
      </c>
      <c r="L198" t="b">
        <f t="shared" si="11"/>
        <v>0</v>
      </c>
    </row>
    <row r="199" spans="1:12" x14ac:dyDescent="0.2">
      <c r="A199" t="s">
        <v>1067</v>
      </c>
      <c r="B199" t="s">
        <v>74</v>
      </c>
      <c r="C199" t="s">
        <v>764</v>
      </c>
      <c r="D199" t="s">
        <v>44</v>
      </c>
      <c r="E199">
        <v>2025</v>
      </c>
      <c r="F199">
        <v>2027</v>
      </c>
      <c r="G199" s="10">
        <v>360000</v>
      </c>
      <c r="H199">
        <f t="shared" si="12"/>
        <v>360000</v>
      </c>
      <c r="I199" t="str">
        <f t="shared" si="13"/>
        <v/>
      </c>
      <c r="J199" t="str">
        <f t="shared" si="14"/>
        <v/>
      </c>
      <c r="K199">
        <f>IF(E199="","",SUM(ContractsTbl[[#This Row],[salaryY1]:[salaryY4]]))</f>
        <v>720000</v>
      </c>
      <c r="L199" t="b">
        <f t="shared" si="11"/>
        <v>0</v>
      </c>
    </row>
    <row r="200" spans="1:12" x14ac:dyDescent="0.2">
      <c r="A200" t="s">
        <v>1068</v>
      </c>
      <c r="B200" t="s">
        <v>74</v>
      </c>
      <c r="C200" t="s">
        <v>765</v>
      </c>
      <c r="D200" t="s">
        <v>44</v>
      </c>
      <c r="E200">
        <v>2025</v>
      </c>
      <c r="F200">
        <v>2027</v>
      </c>
      <c r="G200" s="10">
        <v>370000</v>
      </c>
      <c r="H200">
        <f t="shared" si="12"/>
        <v>370000</v>
      </c>
      <c r="I200" t="str">
        <f t="shared" si="13"/>
        <v/>
      </c>
      <c r="J200" t="str">
        <f t="shared" si="14"/>
        <v/>
      </c>
      <c r="K200">
        <f>IF(E200="","",SUM(ContractsTbl[[#This Row],[salaryY1]:[salaryY4]]))</f>
        <v>740000</v>
      </c>
      <c r="L200" t="b">
        <f t="shared" si="11"/>
        <v>0</v>
      </c>
    </row>
    <row r="201" spans="1:12" x14ac:dyDescent="0.2">
      <c r="A201" t="s">
        <v>1069</v>
      </c>
      <c r="B201" t="s">
        <v>74</v>
      </c>
      <c r="C201" t="s">
        <v>766</v>
      </c>
      <c r="D201" t="s">
        <v>44</v>
      </c>
      <c r="E201">
        <v>2025</v>
      </c>
      <c r="F201">
        <v>2027</v>
      </c>
      <c r="G201" s="10">
        <v>680000</v>
      </c>
      <c r="H201">
        <f t="shared" si="12"/>
        <v>680000</v>
      </c>
      <c r="I201" t="str">
        <f t="shared" si="13"/>
        <v/>
      </c>
      <c r="J201" t="str">
        <f t="shared" si="14"/>
        <v/>
      </c>
      <c r="K201">
        <f>IF(E201="","",SUM(ContractsTbl[[#This Row],[salaryY1]:[salaryY4]]))</f>
        <v>1360000</v>
      </c>
      <c r="L201" t="b">
        <f t="shared" si="11"/>
        <v>0</v>
      </c>
    </row>
    <row r="202" spans="1:12" x14ac:dyDescent="0.2">
      <c r="A202" t="s">
        <v>1070</v>
      </c>
      <c r="B202" t="s">
        <v>74</v>
      </c>
      <c r="C202" t="s">
        <v>42</v>
      </c>
      <c r="D202" t="s">
        <v>44</v>
      </c>
      <c r="E202">
        <v>2025</v>
      </c>
      <c r="F202">
        <v>2027</v>
      </c>
      <c r="G202" s="10">
        <v>340000</v>
      </c>
      <c r="H202">
        <f t="shared" si="12"/>
        <v>340000</v>
      </c>
      <c r="I202" t="str">
        <f t="shared" si="13"/>
        <v/>
      </c>
      <c r="J202" t="str">
        <f t="shared" si="14"/>
        <v/>
      </c>
      <c r="K202">
        <f>IF(E202="","",SUM(ContractsTbl[[#This Row],[salaryY1]:[salaryY4]]))</f>
        <v>680000</v>
      </c>
      <c r="L202" t="b">
        <f t="shared" si="11"/>
        <v>0</v>
      </c>
    </row>
    <row r="203" spans="1:12" x14ac:dyDescent="0.2">
      <c r="A203" t="s">
        <v>1071</v>
      </c>
      <c r="B203" t="s">
        <v>74</v>
      </c>
      <c r="C203" t="s">
        <v>767</v>
      </c>
      <c r="D203" t="s">
        <v>44</v>
      </c>
      <c r="E203">
        <v>2025</v>
      </c>
      <c r="F203">
        <v>2027</v>
      </c>
      <c r="G203" s="10">
        <v>350000</v>
      </c>
      <c r="H203">
        <f t="shared" si="12"/>
        <v>350000</v>
      </c>
      <c r="I203" t="str">
        <f t="shared" si="13"/>
        <v/>
      </c>
      <c r="J203" t="str">
        <f t="shared" si="14"/>
        <v/>
      </c>
      <c r="K203">
        <f>IF(E203="","",SUM(ContractsTbl[[#This Row],[salaryY1]:[salaryY4]]))</f>
        <v>700000</v>
      </c>
      <c r="L203" t="b">
        <f t="shared" si="11"/>
        <v>0</v>
      </c>
    </row>
    <row r="204" spans="1:12" x14ac:dyDescent="0.2">
      <c r="A204" t="s">
        <v>1072</v>
      </c>
      <c r="B204" t="s">
        <v>74</v>
      </c>
      <c r="C204" t="s">
        <v>768</v>
      </c>
      <c r="D204" t="s">
        <v>44</v>
      </c>
      <c r="E204">
        <v>2025</v>
      </c>
      <c r="F204">
        <v>2027</v>
      </c>
      <c r="G204" s="10">
        <v>350000</v>
      </c>
      <c r="H204">
        <f t="shared" si="12"/>
        <v>350000</v>
      </c>
      <c r="I204" t="str">
        <f t="shared" si="13"/>
        <v/>
      </c>
      <c r="J204" t="str">
        <f t="shared" si="14"/>
        <v/>
      </c>
      <c r="K204">
        <f>IF(E204="","",SUM(ContractsTbl[[#This Row],[salaryY1]:[salaryY4]]))</f>
        <v>700000</v>
      </c>
      <c r="L204" t="b">
        <f t="shared" si="11"/>
        <v>0</v>
      </c>
    </row>
    <row r="205" spans="1:12" x14ac:dyDescent="0.2">
      <c r="A205" t="s">
        <v>1073</v>
      </c>
      <c r="B205" t="s">
        <v>74</v>
      </c>
      <c r="C205" t="s">
        <v>769</v>
      </c>
      <c r="D205" t="s">
        <v>44</v>
      </c>
      <c r="E205">
        <v>2025</v>
      </c>
      <c r="F205">
        <v>2027</v>
      </c>
      <c r="G205" s="10">
        <v>330000</v>
      </c>
      <c r="H205">
        <f t="shared" si="12"/>
        <v>330000</v>
      </c>
      <c r="I205" t="str">
        <f t="shared" si="13"/>
        <v/>
      </c>
      <c r="J205" t="str">
        <f t="shared" si="14"/>
        <v/>
      </c>
      <c r="K205">
        <f>IF(E205="","",SUM(ContractsTbl[[#This Row],[salaryY1]:[salaryY4]]))</f>
        <v>660000</v>
      </c>
      <c r="L205" t="b">
        <f t="shared" si="11"/>
        <v>0</v>
      </c>
    </row>
    <row r="206" spans="1:12" x14ac:dyDescent="0.2">
      <c r="A206" t="s">
        <v>1074</v>
      </c>
      <c r="B206" t="s">
        <v>74</v>
      </c>
      <c r="C206" t="s">
        <v>770</v>
      </c>
      <c r="D206" t="s">
        <v>44</v>
      </c>
      <c r="E206">
        <v>2025</v>
      </c>
      <c r="F206">
        <v>2027</v>
      </c>
      <c r="G206" s="10">
        <v>340000</v>
      </c>
      <c r="H206">
        <f t="shared" si="12"/>
        <v>340000</v>
      </c>
      <c r="I206" t="str">
        <f t="shared" si="13"/>
        <v/>
      </c>
      <c r="J206" t="str">
        <f t="shared" si="14"/>
        <v/>
      </c>
      <c r="K206">
        <f>IF(E206="","",SUM(ContractsTbl[[#This Row],[salaryY1]:[salaryY4]]))</f>
        <v>680000</v>
      </c>
      <c r="L206" t="b">
        <f t="shared" si="11"/>
        <v>0</v>
      </c>
    </row>
    <row r="207" spans="1:12" x14ac:dyDescent="0.2">
      <c r="A207" t="s">
        <v>1075</v>
      </c>
      <c r="B207" t="s">
        <v>74</v>
      </c>
      <c r="C207" t="s">
        <v>771</v>
      </c>
      <c r="D207" t="s">
        <v>44</v>
      </c>
      <c r="E207">
        <v>2025</v>
      </c>
      <c r="F207">
        <v>2027</v>
      </c>
      <c r="G207" s="10">
        <v>360000</v>
      </c>
      <c r="H207">
        <f t="shared" si="12"/>
        <v>360000</v>
      </c>
      <c r="I207" t="str">
        <f t="shared" si="13"/>
        <v/>
      </c>
      <c r="J207" t="str">
        <f t="shared" si="14"/>
        <v/>
      </c>
      <c r="K207">
        <f>IF(E207="","",SUM(ContractsTbl[[#This Row],[salaryY1]:[salaryY4]]))</f>
        <v>720000</v>
      </c>
      <c r="L207" t="b">
        <f t="shared" si="11"/>
        <v>0</v>
      </c>
    </row>
    <row r="208" spans="1:12" x14ac:dyDescent="0.2">
      <c r="A208" t="s">
        <v>1076</v>
      </c>
      <c r="B208" t="s">
        <v>74</v>
      </c>
      <c r="C208" t="s">
        <v>772</v>
      </c>
      <c r="D208" t="s">
        <v>44</v>
      </c>
      <c r="E208">
        <v>2025</v>
      </c>
      <c r="F208">
        <v>2027</v>
      </c>
      <c r="G208" s="10">
        <v>360000</v>
      </c>
      <c r="H208">
        <f t="shared" si="12"/>
        <v>360000</v>
      </c>
      <c r="I208" t="str">
        <f t="shared" si="13"/>
        <v/>
      </c>
      <c r="J208" t="str">
        <f t="shared" si="14"/>
        <v/>
      </c>
      <c r="K208">
        <f>IF(E208="","",SUM(ContractsTbl[[#This Row],[salaryY1]:[salaryY4]]))</f>
        <v>720000</v>
      </c>
      <c r="L208" t="b">
        <f t="shared" si="11"/>
        <v>0</v>
      </c>
    </row>
    <row r="209" spans="1:12" x14ac:dyDescent="0.2">
      <c r="A209" t="s">
        <v>1077</v>
      </c>
      <c r="B209" t="s">
        <v>74</v>
      </c>
      <c r="C209" t="s">
        <v>773</v>
      </c>
      <c r="D209" t="s">
        <v>44</v>
      </c>
      <c r="E209">
        <v>2025</v>
      </c>
      <c r="F209">
        <v>2027</v>
      </c>
      <c r="G209" s="10">
        <v>665000</v>
      </c>
      <c r="H209">
        <f t="shared" si="12"/>
        <v>665000</v>
      </c>
      <c r="I209" t="str">
        <f t="shared" si="13"/>
        <v/>
      </c>
      <c r="J209" t="str">
        <f t="shared" si="14"/>
        <v/>
      </c>
      <c r="K209">
        <f>IF(E209="","",SUM(ContractsTbl[[#This Row],[salaryY1]:[salaryY4]]))</f>
        <v>1330000</v>
      </c>
      <c r="L209" t="b">
        <f t="shared" si="11"/>
        <v>0</v>
      </c>
    </row>
    <row r="210" spans="1:12" x14ac:dyDescent="0.2">
      <c r="A210" t="s">
        <v>1078</v>
      </c>
      <c r="B210" t="s">
        <v>74</v>
      </c>
      <c r="C210" t="s">
        <v>774</v>
      </c>
      <c r="D210" t="s">
        <v>44</v>
      </c>
      <c r="E210">
        <v>2025</v>
      </c>
      <c r="F210">
        <v>2027</v>
      </c>
      <c r="G210" s="10">
        <v>350000</v>
      </c>
      <c r="H210">
        <f t="shared" si="12"/>
        <v>350000</v>
      </c>
      <c r="I210" t="str">
        <f t="shared" si="13"/>
        <v/>
      </c>
      <c r="J210" t="str">
        <f t="shared" si="14"/>
        <v/>
      </c>
      <c r="K210">
        <f>IF(E210="","",SUM(ContractsTbl[[#This Row],[salaryY1]:[salaryY4]]))</f>
        <v>700000</v>
      </c>
      <c r="L210" t="b">
        <f t="shared" si="11"/>
        <v>0</v>
      </c>
    </row>
    <row r="211" spans="1:12" x14ac:dyDescent="0.2">
      <c r="A211" t="s">
        <v>1079</v>
      </c>
      <c r="B211" t="s">
        <v>74</v>
      </c>
      <c r="C211" t="s">
        <v>775</v>
      </c>
      <c r="D211" t="s">
        <v>44</v>
      </c>
      <c r="E211">
        <v>2025</v>
      </c>
      <c r="F211">
        <v>2027</v>
      </c>
      <c r="G211" s="10">
        <v>350000</v>
      </c>
      <c r="H211">
        <f t="shared" si="12"/>
        <v>350000</v>
      </c>
      <c r="I211" t="str">
        <f t="shared" si="13"/>
        <v/>
      </c>
      <c r="J211" t="str">
        <f t="shared" si="14"/>
        <v/>
      </c>
      <c r="K211">
        <f>IF(E211="","",SUM(ContractsTbl[[#This Row],[salaryY1]:[salaryY4]]))</f>
        <v>700000</v>
      </c>
      <c r="L211" t="b">
        <f t="shared" si="11"/>
        <v>0</v>
      </c>
    </row>
    <row r="212" spans="1:12" x14ac:dyDescent="0.2">
      <c r="A212" t="s">
        <v>1080</v>
      </c>
      <c r="B212" t="s">
        <v>74</v>
      </c>
      <c r="C212" t="s">
        <v>776</v>
      </c>
      <c r="D212" t="s">
        <v>44</v>
      </c>
      <c r="E212">
        <v>2025</v>
      </c>
      <c r="F212">
        <v>2027</v>
      </c>
      <c r="G212" s="10">
        <v>330000</v>
      </c>
      <c r="H212">
        <f t="shared" si="12"/>
        <v>330000</v>
      </c>
      <c r="I212" t="str">
        <f t="shared" si="13"/>
        <v/>
      </c>
      <c r="J212" t="str">
        <f t="shared" si="14"/>
        <v/>
      </c>
      <c r="K212">
        <f>IF(E212="","",SUM(ContractsTbl[[#This Row],[salaryY1]:[salaryY4]]))</f>
        <v>660000</v>
      </c>
      <c r="L212" t="b">
        <f t="shared" si="11"/>
        <v>0</v>
      </c>
    </row>
    <row r="213" spans="1:12" x14ac:dyDescent="0.2">
      <c r="A213" t="s">
        <v>1081</v>
      </c>
      <c r="B213" t="s">
        <v>74</v>
      </c>
      <c r="C213" t="s">
        <v>777</v>
      </c>
      <c r="D213" t="s">
        <v>133</v>
      </c>
      <c r="E213">
        <v>2025</v>
      </c>
      <c r="F213">
        <v>2026</v>
      </c>
      <c r="G213" s="10">
        <v>1310000</v>
      </c>
      <c r="H213" t="str">
        <f t="shared" si="12"/>
        <v/>
      </c>
      <c r="I213" t="str">
        <f t="shared" si="13"/>
        <v/>
      </c>
      <c r="J213" t="str">
        <f t="shared" si="14"/>
        <v/>
      </c>
      <c r="K213">
        <f>IF(E213="","",SUM(ContractsTbl[[#This Row],[salaryY1]:[salaryY4]]))</f>
        <v>1310000</v>
      </c>
      <c r="L213" t="b">
        <f t="shared" si="11"/>
        <v>0</v>
      </c>
    </row>
    <row r="214" spans="1:12" x14ac:dyDescent="0.2">
      <c r="A214" t="s">
        <v>1082</v>
      </c>
      <c r="B214" t="s">
        <v>74</v>
      </c>
      <c r="C214" t="s">
        <v>778</v>
      </c>
      <c r="D214" t="s">
        <v>151</v>
      </c>
      <c r="E214">
        <v>2025</v>
      </c>
      <c r="F214">
        <v>2026</v>
      </c>
      <c r="G214" s="10">
        <v>1230000</v>
      </c>
      <c r="H214" t="str">
        <f t="shared" si="12"/>
        <v/>
      </c>
      <c r="I214" t="str">
        <f t="shared" si="13"/>
        <v/>
      </c>
      <c r="J214" t="str">
        <f t="shared" si="14"/>
        <v/>
      </c>
      <c r="K214">
        <f>IF(E214="","",SUM(ContractsTbl[[#This Row],[salaryY1]:[salaryY4]]))</f>
        <v>1230000</v>
      </c>
      <c r="L214" t="b">
        <f t="shared" si="11"/>
        <v>0</v>
      </c>
    </row>
    <row r="215" spans="1:12" x14ac:dyDescent="0.2">
      <c r="A215" t="s">
        <v>1083</v>
      </c>
      <c r="B215" t="s">
        <v>74</v>
      </c>
      <c r="C215" t="s">
        <v>779</v>
      </c>
      <c r="D215" t="s">
        <v>131</v>
      </c>
      <c r="E215">
        <v>2025</v>
      </c>
      <c r="F215">
        <v>2026</v>
      </c>
      <c r="G215" s="10">
        <v>1270000</v>
      </c>
      <c r="H215" t="str">
        <f t="shared" si="12"/>
        <v/>
      </c>
      <c r="I215" t="str">
        <f t="shared" si="13"/>
        <v/>
      </c>
      <c r="J215" t="str">
        <f t="shared" si="14"/>
        <v/>
      </c>
      <c r="K215">
        <f>IF(E215="","",SUM(ContractsTbl[[#This Row],[salaryY1]:[salaryY4]]))</f>
        <v>1270000</v>
      </c>
      <c r="L215" t="b">
        <f t="shared" si="11"/>
        <v>0</v>
      </c>
    </row>
    <row r="216" spans="1:12" x14ac:dyDescent="0.2">
      <c r="A216" t="s">
        <v>1084</v>
      </c>
      <c r="B216" t="s">
        <v>74</v>
      </c>
      <c r="C216" t="s">
        <v>780</v>
      </c>
      <c r="D216" t="s">
        <v>147</v>
      </c>
      <c r="E216">
        <v>2025</v>
      </c>
      <c r="F216">
        <v>2026</v>
      </c>
      <c r="G216" s="10">
        <v>1160000</v>
      </c>
      <c r="H216" t="str">
        <f t="shared" si="12"/>
        <v/>
      </c>
      <c r="I216" t="str">
        <f t="shared" si="13"/>
        <v/>
      </c>
      <c r="J216" t="str">
        <f t="shared" si="14"/>
        <v/>
      </c>
      <c r="K216">
        <f>IF(E216="","",SUM(ContractsTbl[[#This Row],[salaryY1]:[salaryY4]]))</f>
        <v>1160000</v>
      </c>
      <c r="L216" t="b">
        <f t="shared" si="11"/>
        <v>0</v>
      </c>
    </row>
    <row r="217" spans="1:12" x14ac:dyDescent="0.2">
      <c r="A217" t="s">
        <v>1085</v>
      </c>
      <c r="B217" t="s">
        <v>74</v>
      </c>
      <c r="C217" t="s">
        <v>781</v>
      </c>
      <c r="D217" t="s">
        <v>150</v>
      </c>
      <c r="E217">
        <v>2025</v>
      </c>
      <c r="F217">
        <v>2026</v>
      </c>
      <c r="G217" s="10">
        <v>1230000</v>
      </c>
      <c r="H217" t="str">
        <f t="shared" si="12"/>
        <v/>
      </c>
      <c r="I217" t="str">
        <f t="shared" si="13"/>
        <v/>
      </c>
      <c r="J217" t="str">
        <f t="shared" si="14"/>
        <v/>
      </c>
      <c r="K217">
        <f>IF(E217="","",SUM(ContractsTbl[[#This Row],[salaryY1]:[salaryY4]]))</f>
        <v>1230000</v>
      </c>
      <c r="L217" t="b">
        <f t="shared" si="11"/>
        <v>0</v>
      </c>
    </row>
    <row r="218" spans="1:12" x14ac:dyDescent="0.2">
      <c r="A218" t="s">
        <v>1086</v>
      </c>
      <c r="B218" t="s">
        <v>74</v>
      </c>
      <c r="C218" t="s">
        <v>782</v>
      </c>
      <c r="D218" t="s">
        <v>157</v>
      </c>
      <c r="E218">
        <v>2025</v>
      </c>
      <c r="F218">
        <v>2026</v>
      </c>
      <c r="G218" s="10">
        <v>1230000</v>
      </c>
      <c r="H218" t="str">
        <f t="shared" si="12"/>
        <v/>
      </c>
      <c r="I218" t="str">
        <f t="shared" si="13"/>
        <v/>
      </c>
      <c r="J218" t="str">
        <f t="shared" si="14"/>
        <v/>
      </c>
      <c r="K218">
        <f>IF(E218="","",SUM(ContractsTbl[[#This Row],[salaryY1]:[salaryY4]]))</f>
        <v>1230000</v>
      </c>
      <c r="L218" t="b">
        <f t="shared" si="11"/>
        <v>0</v>
      </c>
    </row>
    <row r="219" spans="1:12" x14ac:dyDescent="0.2">
      <c r="A219" t="s">
        <v>1087</v>
      </c>
      <c r="B219" t="s">
        <v>74</v>
      </c>
      <c r="C219" t="s">
        <v>783</v>
      </c>
      <c r="D219" t="s">
        <v>143</v>
      </c>
      <c r="E219">
        <v>2025</v>
      </c>
      <c r="F219">
        <v>2026</v>
      </c>
      <c r="G219" s="10">
        <v>1190000</v>
      </c>
      <c r="H219" t="str">
        <f t="shared" si="12"/>
        <v/>
      </c>
      <c r="I219" t="str">
        <f t="shared" si="13"/>
        <v/>
      </c>
      <c r="J219" t="str">
        <f t="shared" si="14"/>
        <v/>
      </c>
      <c r="K219">
        <f>IF(E219="","",SUM(ContractsTbl[[#This Row],[salaryY1]:[salaryY4]]))</f>
        <v>1190000</v>
      </c>
      <c r="L219" t="b">
        <f t="shared" si="11"/>
        <v>0</v>
      </c>
    </row>
    <row r="220" spans="1:12" x14ac:dyDescent="0.2">
      <c r="A220" t="s">
        <v>1088</v>
      </c>
      <c r="B220" t="s">
        <v>74</v>
      </c>
      <c r="C220" t="s">
        <v>784</v>
      </c>
      <c r="D220" t="s">
        <v>153</v>
      </c>
      <c r="E220">
        <v>2025</v>
      </c>
      <c r="F220">
        <v>2026</v>
      </c>
      <c r="G220" s="10">
        <v>1270000</v>
      </c>
      <c r="H220" t="str">
        <f t="shared" si="12"/>
        <v/>
      </c>
      <c r="I220" t="str">
        <f t="shared" si="13"/>
        <v/>
      </c>
      <c r="J220" t="str">
        <f t="shared" si="14"/>
        <v/>
      </c>
      <c r="K220">
        <f>IF(E220="","",SUM(ContractsTbl[[#This Row],[salaryY1]:[salaryY4]]))</f>
        <v>1270000</v>
      </c>
      <c r="L220" t="b">
        <f t="shared" si="11"/>
        <v>0</v>
      </c>
    </row>
    <row r="221" spans="1:12" x14ac:dyDescent="0.2">
      <c r="A221" t="s">
        <v>1089</v>
      </c>
      <c r="B221" t="s">
        <v>74</v>
      </c>
      <c r="C221" t="s">
        <v>785</v>
      </c>
      <c r="D221" t="s">
        <v>137</v>
      </c>
      <c r="E221">
        <v>2025</v>
      </c>
      <c r="F221">
        <v>2026</v>
      </c>
      <c r="G221" s="10">
        <v>1230000</v>
      </c>
      <c r="H221" t="str">
        <f t="shared" si="12"/>
        <v/>
      </c>
      <c r="I221" t="str">
        <f t="shared" si="13"/>
        <v/>
      </c>
      <c r="J221" t="str">
        <f t="shared" si="14"/>
        <v/>
      </c>
      <c r="K221">
        <f>IF(E221="","",SUM(ContractsTbl[[#This Row],[salaryY1]:[salaryY4]]))</f>
        <v>1230000</v>
      </c>
      <c r="L221" t="b">
        <f t="shared" si="11"/>
        <v>0</v>
      </c>
    </row>
    <row r="222" spans="1:12" x14ac:dyDescent="0.2">
      <c r="A222" t="s">
        <v>1090</v>
      </c>
      <c r="B222" t="s">
        <v>74</v>
      </c>
      <c r="C222" t="s">
        <v>786</v>
      </c>
      <c r="D222" t="s">
        <v>140</v>
      </c>
      <c r="E222">
        <v>2025</v>
      </c>
      <c r="F222">
        <v>2026</v>
      </c>
      <c r="G222" s="10">
        <v>1350000</v>
      </c>
      <c r="H222" t="str">
        <f t="shared" si="12"/>
        <v/>
      </c>
      <c r="I222" t="str">
        <f t="shared" si="13"/>
        <v/>
      </c>
      <c r="J222" t="str">
        <f t="shared" si="14"/>
        <v/>
      </c>
      <c r="K222">
        <f>IF(E222="","",SUM(ContractsTbl[[#This Row],[salaryY1]:[salaryY4]]))</f>
        <v>1350000</v>
      </c>
      <c r="L222" t="b">
        <f t="shared" si="11"/>
        <v>0</v>
      </c>
    </row>
    <row r="223" spans="1:12" x14ac:dyDescent="0.2">
      <c r="A223" t="s">
        <v>1091</v>
      </c>
      <c r="B223" t="s">
        <v>74</v>
      </c>
      <c r="C223" t="s">
        <v>787</v>
      </c>
      <c r="D223" t="s">
        <v>134</v>
      </c>
      <c r="E223">
        <v>2025</v>
      </c>
      <c r="F223">
        <v>2026</v>
      </c>
      <c r="G223" s="10">
        <v>1230000</v>
      </c>
      <c r="H223" t="str">
        <f t="shared" si="12"/>
        <v/>
      </c>
      <c r="I223" t="str">
        <f t="shared" si="13"/>
        <v/>
      </c>
      <c r="J223" t="str">
        <f t="shared" si="14"/>
        <v/>
      </c>
      <c r="K223">
        <f>IF(E223="","",SUM(ContractsTbl[[#This Row],[salaryY1]:[salaryY4]]))</f>
        <v>1230000</v>
      </c>
      <c r="L223" t="b">
        <f t="shared" si="11"/>
        <v>0</v>
      </c>
    </row>
    <row r="224" spans="1:12" x14ac:dyDescent="0.2">
      <c r="A224" t="s">
        <v>1092</v>
      </c>
      <c r="B224" t="s">
        <v>74</v>
      </c>
      <c r="C224" t="s">
        <v>788</v>
      </c>
      <c r="D224" t="s">
        <v>141</v>
      </c>
      <c r="E224">
        <v>2025</v>
      </c>
      <c r="F224">
        <v>2026</v>
      </c>
      <c r="G224" s="10">
        <v>1230000</v>
      </c>
      <c r="H224" t="str">
        <f t="shared" si="12"/>
        <v/>
      </c>
      <c r="I224" t="str">
        <f t="shared" si="13"/>
        <v/>
      </c>
      <c r="J224" t="str">
        <f t="shared" si="14"/>
        <v/>
      </c>
      <c r="K224">
        <f>IF(E224="","",SUM(ContractsTbl[[#This Row],[salaryY1]:[salaryY4]]))</f>
        <v>1230000</v>
      </c>
      <c r="L224" t="b">
        <f t="shared" si="11"/>
        <v>0</v>
      </c>
    </row>
    <row r="225" spans="1:12" x14ac:dyDescent="0.2">
      <c r="A225" t="s">
        <v>1093</v>
      </c>
      <c r="B225" t="s">
        <v>74</v>
      </c>
      <c r="C225" t="s">
        <v>789</v>
      </c>
      <c r="D225" t="s">
        <v>138</v>
      </c>
      <c r="E225">
        <v>2025</v>
      </c>
      <c r="F225">
        <v>2026</v>
      </c>
      <c r="G225" s="10">
        <v>1190000</v>
      </c>
      <c r="H225" t="str">
        <f t="shared" si="12"/>
        <v/>
      </c>
      <c r="I225" t="str">
        <f t="shared" si="13"/>
        <v/>
      </c>
      <c r="J225" t="str">
        <f t="shared" si="14"/>
        <v/>
      </c>
      <c r="K225">
        <f>IF(E225="","",SUM(ContractsTbl[[#This Row],[salaryY1]:[salaryY4]]))</f>
        <v>1190000</v>
      </c>
      <c r="L225" t="b">
        <f t="shared" si="11"/>
        <v>0</v>
      </c>
    </row>
    <row r="226" spans="1:12" x14ac:dyDescent="0.2">
      <c r="A226" t="s">
        <v>1094</v>
      </c>
      <c r="B226" t="s">
        <v>74</v>
      </c>
      <c r="C226" t="s">
        <v>790</v>
      </c>
      <c r="D226" t="s">
        <v>139</v>
      </c>
      <c r="E226">
        <v>2025</v>
      </c>
      <c r="F226">
        <v>2026</v>
      </c>
      <c r="G226" s="10">
        <v>1350000</v>
      </c>
      <c r="H226" t="str">
        <f t="shared" si="12"/>
        <v/>
      </c>
      <c r="I226" t="str">
        <f t="shared" si="13"/>
        <v/>
      </c>
      <c r="J226" t="str">
        <f t="shared" si="14"/>
        <v/>
      </c>
      <c r="K226">
        <f>IF(E226="","",SUM(ContractsTbl[[#This Row],[salaryY1]:[salaryY4]]))</f>
        <v>1350000</v>
      </c>
      <c r="L226" t="b">
        <f t="shared" si="11"/>
        <v>0</v>
      </c>
    </row>
    <row r="227" spans="1:12" x14ac:dyDescent="0.2">
      <c r="A227" t="s">
        <v>1095</v>
      </c>
      <c r="B227" t="s">
        <v>74</v>
      </c>
      <c r="C227" t="s">
        <v>791</v>
      </c>
      <c r="D227" t="s">
        <v>152</v>
      </c>
      <c r="E227">
        <v>2025</v>
      </c>
      <c r="F227">
        <v>2026</v>
      </c>
      <c r="G227" s="10">
        <v>1230000</v>
      </c>
      <c r="H227" t="str">
        <f t="shared" si="12"/>
        <v/>
      </c>
      <c r="I227" t="str">
        <f t="shared" si="13"/>
        <v/>
      </c>
      <c r="J227" t="str">
        <f t="shared" si="14"/>
        <v/>
      </c>
      <c r="K227">
        <f>IF(E227="","",SUM(ContractsTbl[[#This Row],[salaryY1]:[salaryY4]]))</f>
        <v>1230000</v>
      </c>
      <c r="L227" t="b">
        <f t="shared" ref="L227:L290" si="15">IF(F227="",TRUE,FALSE)</f>
        <v>0</v>
      </c>
    </row>
    <row r="228" spans="1:12" x14ac:dyDescent="0.2">
      <c r="A228" t="s">
        <v>1096</v>
      </c>
      <c r="B228" t="s">
        <v>74</v>
      </c>
      <c r="C228" t="s">
        <v>792</v>
      </c>
      <c r="D228" t="s">
        <v>135</v>
      </c>
      <c r="E228">
        <v>2025</v>
      </c>
      <c r="F228">
        <v>2026</v>
      </c>
      <c r="G228" s="10">
        <v>1310000</v>
      </c>
      <c r="H228" t="str">
        <f t="shared" si="12"/>
        <v/>
      </c>
      <c r="I228" t="str">
        <f t="shared" si="13"/>
        <v/>
      </c>
      <c r="J228" t="str">
        <f t="shared" si="14"/>
        <v/>
      </c>
      <c r="K228">
        <f>IF(E228="","",SUM(ContractsTbl[[#This Row],[salaryY1]:[salaryY4]]))</f>
        <v>1310000</v>
      </c>
      <c r="L228" t="b">
        <f t="shared" si="15"/>
        <v>0</v>
      </c>
    </row>
    <row r="229" spans="1:12" x14ac:dyDescent="0.2">
      <c r="A229" t="s">
        <v>1097</v>
      </c>
      <c r="B229" t="s">
        <v>74</v>
      </c>
      <c r="C229" t="s">
        <v>793</v>
      </c>
      <c r="D229" t="s">
        <v>129</v>
      </c>
      <c r="E229">
        <v>2025</v>
      </c>
      <c r="F229">
        <v>2026</v>
      </c>
      <c r="G229" s="10">
        <v>1190000</v>
      </c>
      <c r="H229" t="str">
        <f t="shared" si="12"/>
        <v/>
      </c>
      <c r="I229" t="str">
        <f t="shared" si="13"/>
        <v/>
      </c>
      <c r="J229" t="str">
        <f t="shared" si="14"/>
        <v/>
      </c>
      <c r="K229">
        <f>IF(E229="","",SUM(ContractsTbl[[#This Row],[salaryY1]:[salaryY4]]))</f>
        <v>1190000</v>
      </c>
      <c r="L229" t="b">
        <f t="shared" si="15"/>
        <v>0</v>
      </c>
    </row>
    <row r="230" spans="1:12" x14ac:dyDescent="0.2">
      <c r="A230" t="s">
        <v>1098</v>
      </c>
      <c r="B230" t="s">
        <v>74</v>
      </c>
      <c r="C230" t="s">
        <v>794</v>
      </c>
      <c r="D230" t="s">
        <v>130</v>
      </c>
      <c r="E230">
        <v>2025</v>
      </c>
      <c r="F230">
        <v>2026</v>
      </c>
      <c r="G230" s="10">
        <v>1230000</v>
      </c>
      <c r="H230" t="str">
        <f t="shared" si="12"/>
        <v/>
      </c>
      <c r="I230" t="str">
        <f t="shared" si="13"/>
        <v/>
      </c>
      <c r="J230" t="str">
        <f t="shared" si="14"/>
        <v/>
      </c>
      <c r="K230">
        <f>IF(E230="","",SUM(ContractsTbl[[#This Row],[salaryY1]:[salaryY4]]))</f>
        <v>1230000</v>
      </c>
      <c r="L230" t="b">
        <f t="shared" si="15"/>
        <v>0</v>
      </c>
    </row>
    <row r="231" spans="1:12" x14ac:dyDescent="0.2">
      <c r="A231" t="s">
        <v>1099</v>
      </c>
      <c r="B231" t="s">
        <v>74</v>
      </c>
      <c r="C231" t="s">
        <v>795</v>
      </c>
      <c r="D231" t="s">
        <v>132</v>
      </c>
      <c r="E231">
        <v>2025</v>
      </c>
      <c r="F231">
        <v>2026</v>
      </c>
      <c r="G231" s="10">
        <v>1230000</v>
      </c>
      <c r="H231" t="str">
        <f t="shared" si="12"/>
        <v/>
      </c>
      <c r="I231" t="str">
        <f t="shared" si="13"/>
        <v/>
      </c>
      <c r="J231" t="str">
        <f t="shared" si="14"/>
        <v/>
      </c>
      <c r="K231">
        <f>IF(E231="","",SUM(ContractsTbl[[#This Row],[salaryY1]:[salaryY4]]))</f>
        <v>1230000</v>
      </c>
      <c r="L231" t="b">
        <f t="shared" si="15"/>
        <v>0</v>
      </c>
    </row>
    <row r="232" spans="1:12" x14ac:dyDescent="0.2">
      <c r="A232" t="s">
        <v>1100</v>
      </c>
      <c r="B232" t="s">
        <v>74</v>
      </c>
      <c r="C232" t="s">
        <v>796</v>
      </c>
      <c r="D232" t="s">
        <v>22</v>
      </c>
      <c r="E232">
        <v>2025</v>
      </c>
      <c r="F232">
        <v>2026</v>
      </c>
      <c r="G232" s="10">
        <v>1160000</v>
      </c>
      <c r="H232" t="str">
        <f t="shared" si="12"/>
        <v/>
      </c>
      <c r="I232" t="str">
        <f t="shared" si="13"/>
        <v/>
      </c>
      <c r="J232" t="str">
        <f t="shared" si="14"/>
        <v/>
      </c>
      <c r="K232">
        <f>IF(E232="","",SUM(ContractsTbl[[#This Row],[salaryY1]:[salaryY4]]))</f>
        <v>1160000</v>
      </c>
      <c r="L232" t="b">
        <f t="shared" si="15"/>
        <v>0</v>
      </c>
    </row>
    <row r="233" spans="1:12" x14ac:dyDescent="0.2">
      <c r="A233" t="s">
        <v>1101</v>
      </c>
      <c r="B233" t="s">
        <v>74</v>
      </c>
      <c r="C233" t="s">
        <v>797</v>
      </c>
      <c r="D233" t="s">
        <v>149</v>
      </c>
      <c r="E233">
        <v>2025</v>
      </c>
      <c r="F233">
        <v>2026</v>
      </c>
      <c r="G233" s="10">
        <v>1230000</v>
      </c>
      <c r="H233" t="str">
        <f t="shared" si="12"/>
        <v/>
      </c>
      <c r="I233" t="str">
        <f t="shared" si="13"/>
        <v/>
      </c>
      <c r="J233" t="str">
        <f t="shared" si="14"/>
        <v/>
      </c>
      <c r="K233">
        <f>IF(E233="","",SUM(ContractsTbl[[#This Row],[salaryY1]:[salaryY4]]))</f>
        <v>1230000</v>
      </c>
      <c r="L233" t="b">
        <f t="shared" si="15"/>
        <v>0</v>
      </c>
    </row>
    <row r="234" spans="1:12" x14ac:dyDescent="0.2">
      <c r="A234" t="s">
        <v>1102</v>
      </c>
      <c r="B234" t="s">
        <v>74</v>
      </c>
      <c r="C234" t="s">
        <v>798</v>
      </c>
      <c r="D234" t="s">
        <v>146</v>
      </c>
      <c r="E234">
        <v>2025</v>
      </c>
      <c r="F234">
        <v>2026</v>
      </c>
      <c r="G234" s="10">
        <v>1190000</v>
      </c>
      <c r="H234" t="str">
        <f t="shared" si="12"/>
        <v/>
      </c>
      <c r="I234" t="str">
        <f t="shared" si="13"/>
        <v/>
      </c>
      <c r="J234" t="str">
        <f t="shared" si="14"/>
        <v/>
      </c>
      <c r="K234">
        <f>IF(E234="","",SUM(ContractsTbl[[#This Row],[salaryY1]:[salaryY4]]))</f>
        <v>1190000</v>
      </c>
      <c r="L234" t="b">
        <f t="shared" si="15"/>
        <v>0</v>
      </c>
    </row>
    <row r="235" spans="1:12" x14ac:dyDescent="0.2">
      <c r="A235" t="s">
        <v>1103</v>
      </c>
      <c r="B235" t="s">
        <v>74</v>
      </c>
      <c r="C235" t="s">
        <v>799</v>
      </c>
      <c r="D235" t="s">
        <v>142</v>
      </c>
      <c r="E235">
        <v>2025</v>
      </c>
      <c r="F235">
        <v>2026</v>
      </c>
      <c r="G235" s="10">
        <v>1230000</v>
      </c>
      <c r="H235" t="str">
        <f t="shared" si="12"/>
        <v/>
      </c>
      <c r="I235" t="str">
        <f t="shared" si="13"/>
        <v/>
      </c>
      <c r="J235" t="str">
        <f t="shared" si="14"/>
        <v/>
      </c>
      <c r="K235">
        <f>IF(E235="","",SUM(ContractsTbl[[#This Row],[salaryY1]:[salaryY4]]))</f>
        <v>1230000</v>
      </c>
      <c r="L235" t="b">
        <f t="shared" si="15"/>
        <v>0</v>
      </c>
    </row>
    <row r="236" spans="1:12" x14ac:dyDescent="0.2">
      <c r="A236" t="s">
        <v>1104</v>
      </c>
      <c r="B236" t="s">
        <v>74</v>
      </c>
      <c r="C236" t="s">
        <v>800</v>
      </c>
      <c r="D236" t="s">
        <v>154</v>
      </c>
      <c r="E236">
        <v>2025</v>
      </c>
      <c r="F236">
        <v>2026</v>
      </c>
      <c r="G236" s="10">
        <v>1190000</v>
      </c>
      <c r="H236" t="str">
        <f t="shared" si="12"/>
        <v/>
      </c>
      <c r="I236" t="str">
        <f t="shared" si="13"/>
        <v/>
      </c>
      <c r="J236" t="str">
        <f t="shared" si="14"/>
        <v/>
      </c>
      <c r="K236">
        <f>IF(E236="","",SUM(ContractsTbl[[#This Row],[salaryY1]:[salaryY4]]))</f>
        <v>1190000</v>
      </c>
      <c r="L236" t="b">
        <f t="shared" si="15"/>
        <v>0</v>
      </c>
    </row>
    <row r="237" spans="1:12" x14ac:dyDescent="0.2">
      <c r="A237" t="s">
        <v>1105</v>
      </c>
      <c r="B237" t="s">
        <v>74</v>
      </c>
      <c r="C237" t="s">
        <v>801</v>
      </c>
      <c r="D237" t="s">
        <v>148</v>
      </c>
      <c r="E237">
        <v>2025</v>
      </c>
      <c r="F237">
        <v>2026</v>
      </c>
      <c r="G237" s="10">
        <v>1230000</v>
      </c>
      <c r="H237" t="str">
        <f t="shared" si="12"/>
        <v/>
      </c>
      <c r="I237" t="str">
        <f t="shared" si="13"/>
        <v/>
      </c>
      <c r="J237" t="str">
        <f t="shared" si="14"/>
        <v/>
      </c>
      <c r="K237">
        <f>IF(E237="","",SUM(ContractsTbl[[#This Row],[salaryY1]:[salaryY4]]))</f>
        <v>1230000</v>
      </c>
      <c r="L237" t="b">
        <f t="shared" si="15"/>
        <v>0</v>
      </c>
    </row>
    <row r="238" spans="1:12" x14ac:dyDescent="0.2">
      <c r="A238" t="s">
        <v>1106</v>
      </c>
      <c r="B238" t="s">
        <v>74</v>
      </c>
      <c r="C238" t="s">
        <v>802</v>
      </c>
      <c r="D238" t="s">
        <v>144</v>
      </c>
      <c r="E238">
        <v>2025</v>
      </c>
      <c r="F238">
        <v>2026</v>
      </c>
      <c r="G238" s="10">
        <v>1350000</v>
      </c>
      <c r="H238" t="str">
        <f t="shared" si="12"/>
        <v/>
      </c>
      <c r="I238" t="str">
        <f t="shared" si="13"/>
        <v/>
      </c>
      <c r="J238" t="str">
        <f t="shared" si="14"/>
        <v/>
      </c>
      <c r="K238">
        <f>IF(E238="","",SUM(ContractsTbl[[#This Row],[salaryY1]:[salaryY4]]))</f>
        <v>1350000</v>
      </c>
      <c r="L238" t="b">
        <f t="shared" si="15"/>
        <v>0</v>
      </c>
    </row>
    <row r="239" spans="1:12" x14ac:dyDescent="0.2">
      <c r="A239" t="s">
        <v>1107</v>
      </c>
      <c r="B239" t="s">
        <v>74</v>
      </c>
      <c r="C239" t="s">
        <v>803</v>
      </c>
      <c r="D239" t="s">
        <v>136</v>
      </c>
      <c r="E239">
        <v>2025</v>
      </c>
      <c r="F239">
        <v>2026</v>
      </c>
      <c r="G239" s="10">
        <v>1350000</v>
      </c>
      <c r="H239" t="str">
        <f t="shared" si="12"/>
        <v/>
      </c>
      <c r="I239" t="str">
        <f t="shared" si="13"/>
        <v/>
      </c>
      <c r="J239" t="str">
        <f t="shared" si="14"/>
        <v/>
      </c>
      <c r="K239">
        <f>IF(E239="","",SUM(ContractsTbl[[#This Row],[salaryY1]:[salaryY4]]))</f>
        <v>1350000</v>
      </c>
      <c r="L239" t="b">
        <f t="shared" si="15"/>
        <v>0</v>
      </c>
    </row>
    <row r="240" spans="1:12" x14ac:dyDescent="0.2">
      <c r="A240" t="s">
        <v>1108</v>
      </c>
      <c r="B240" t="s">
        <v>74</v>
      </c>
      <c r="C240" t="s">
        <v>804</v>
      </c>
      <c r="D240" t="s">
        <v>145</v>
      </c>
      <c r="E240">
        <v>2025</v>
      </c>
      <c r="F240">
        <v>2026</v>
      </c>
      <c r="G240" s="10">
        <v>1270000</v>
      </c>
      <c r="H240" t="str">
        <f t="shared" si="12"/>
        <v/>
      </c>
      <c r="I240" t="str">
        <f t="shared" si="13"/>
        <v/>
      </c>
      <c r="J240" t="str">
        <f t="shared" si="14"/>
        <v/>
      </c>
      <c r="K240">
        <f>IF(E240="","",SUM(ContractsTbl[[#This Row],[salaryY1]:[salaryY4]]))</f>
        <v>1270000</v>
      </c>
      <c r="L240" t="b">
        <f t="shared" si="15"/>
        <v>0</v>
      </c>
    </row>
    <row r="241" spans="1:12" x14ac:dyDescent="0.2">
      <c r="A241" t="s">
        <v>1109</v>
      </c>
      <c r="B241" t="s">
        <v>74</v>
      </c>
      <c r="C241" t="s">
        <v>805</v>
      </c>
      <c r="D241" t="s">
        <v>158</v>
      </c>
      <c r="E241">
        <v>2025</v>
      </c>
      <c r="F241">
        <v>2026</v>
      </c>
      <c r="G241" s="10">
        <v>1350000</v>
      </c>
      <c r="H241" t="str">
        <f t="shared" si="12"/>
        <v/>
      </c>
      <c r="I241" t="str">
        <f t="shared" si="13"/>
        <v/>
      </c>
      <c r="J241" t="str">
        <f t="shared" si="14"/>
        <v/>
      </c>
      <c r="K241">
        <f>IF(E241="","",SUM(ContractsTbl[[#This Row],[salaryY1]:[salaryY4]]))</f>
        <v>1350000</v>
      </c>
      <c r="L241" t="b">
        <f t="shared" si="15"/>
        <v>0</v>
      </c>
    </row>
    <row r="242" spans="1:12" x14ac:dyDescent="0.2">
      <c r="A242" t="s">
        <v>1110</v>
      </c>
      <c r="B242" t="s">
        <v>74</v>
      </c>
      <c r="C242" t="s">
        <v>806</v>
      </c>
      <c r="D242" t="s">
        <v>155</v>
      </c>
      <c r="E242">
        <v>2025</v>
      </c>
      <c r="F242">
        <v>2026</v>
      </c>
      <c r="G242" s="10">
        <v>1310000</v>
      </c>
      <c r="H242" t="str">
        <f t="shared" si="12"/>
        <v/>
      </c>
      <c r="I242" t="str">
        <f t="shared" si="13"/>
        <v/>
      </c>
      <c r="J242" t="str">
        <f t="shared" si="14"/>
        <v/>
      </c>
      <c r="K242">
        <f>IF(E242="","",SUM(ContractsTbl[[#This Row],[salaryY1]:[salaryY4]]))</f>
        <v>1310000</v>
      </c>
      <c r="L242" t="b">
        <f t="shared" si="15"/>
        <v>0</v>
      </c>
    </row>
    <row r="243" spans="1:12" x14ac:dyDescent="0.2">
      <c r="A243" t="s">
        <v>1111</v>
      </c>
      <c r="B243" t="s">
        <v>74</v>
      </c>
      <c r="C243" t="s">
        <v>807</v>
      </c>
      <c r="D243" t="s">
        <v>156</v>
      </c>
      <c r="E243">
        <v>2025</v>
      </c>
      <c r="F243">
        <v>2026</v>
      </c>
      <c r="G243" s="10">
        <v>1230000</v>
      </c>
      <c r="H243" t="str">
        <f t="shared" si="12"/>
        <v/>
      </c>
      <c r="I243" t="str">
        <f t="shared" si="13"/>
        <v/>
      </c>
      <c r="J243" t="str">
        <f t="shared" si="14"/>
        <v/>
      </c>
      <c r="K243">
        <f>IF(E243="","",SUM(ContractsTbl[[#This Row],[salaryY1]:[salaryY4]]))</f>
        <v>1230000</v>
      </c>
      <c r="L243" t="b">
        <f t="shared" si="15"/>
        <v>0</v>
      </c>
    </row>
    <row r="244" spans="1:12" x14ac:dyDescent="0.2">
      <c r="A244" t="s">
        <v>1112</v>
      </c>
      <c r="B244" t="s">
        <v>74</v>
      </c>
      <c r="C244" t="s">
        <v>808</v>
      </c>
      <c r="D244" t="s">
        <v>44</v>
      </c>
      <c r="G244" s="10">
        <v>3600000</v>
      </c>
      <c r="H244" t="str">
        <f t="shared" si="12"/>
        <v/>
      </c>
      <c r="I244" t="str">
        <f t="shared" si="13"/>
        <v/>
      </c>
      <c r="J244" t="str">
        <f t="shared" si="14"/>
        <v/>
      </c>
      <c r="K244" t="str">
        <f>IF(E244="","",SUM(ContractsTbl[[#This Row],[salaryY1]:[salaryY4]]))</f>
        <v/>
      </c>
      <c r="L244" t="b">
        <f t="shared" si="15"/>
        <v>1</v>
      </c>
    </row>
    <row r="245" spans="1:12" x14ac:dyDescent="0.2">
      <c r="A245" t="s">
        <v>1113</v>
      </c>
      <c r="B245" t="s">
        <v>74</v>
      </c>
      <c r="C245" t="s">
        <v>809</v>
      </c>
      <c r="D245" t="s">
        <v>44</v>
      </c>
      <c r="G245" s="10">
        <v>1350000</v>
      </c>
      <c r="H245" t="str">
        <f t="shared" si="12"/>
        <v/>
      </c>
      <c r="I245" t="str">
        <f t="shared" si="13"/>
        <v/>
      </c>
      <c r="J245" t="str">
        <f t="shared" si="14"/>
        <v/>
      </c>
      <c r="K245" t="str">
        <f>IF(E245="","",SUM(ContractsTbl[[#This Row],[salaryY1]:[salaryY4]]))</f>
        <v/>
      </c>
      <c r="L245" t="b">
        <f t="shared" si="15"/>
        <v>1</v>
      </c>
    </row>
    <row r="246" spans="1:12" x14ac:dyDescent="0.2">
      <c r="A246" t="s">
        <v>1114</v>
      </c>
      <c r="B246" t="s">
        <v>74</v>
      </c>
      <c r="C246" t="s">
        <v>810</v>
      </c>
      <c r="D246" t="s">
        <v>44</v>
      </c>
      <c r="G246" s="10">
        <v>1190000</v>
      </c>
      <c r="H246" t="str">
        <f t="shared" si="12"/>
        <v/>
      </c>
      <c r="I246" t="str">
        <f t="shared" si="13"/>
        <v/>
      </c>
      <c r="J246" t="str">
        <f t="shared" si="14"/>
        <v/>
      </c>
      <c r="K246" t="str">
        <f>IF(E246="","",SUM(ContractsTbl[[#This Row],[salaryY1]:[salaryY4]]))</f>
        <v/>
      </c>
      <c r="L246" t="b">
        <f t="shared" si="15"/>
        <v>1</v>
      </c>
    </row>
    <row r="247" spans="1:12" x14ac:dyDescent="0.2">
      <c r="A247" t="s">
        <v>1115</v>
      </c>
      <c r="B247" t="s">
        <v>74</v>
      </c>
      <c r="C247" t="s">
        <v>811</v>
      </c>
      <c r="D247" t="s">
        <v>44</v>
      </c>
      <c r="G247" s="10">
        <v>1230000</v>
      </c>
      <c r="H247" t="str">
        <f t="shared" si="12"/>
        <v/>
      </c>
      <c r="I247" t="str">
        <f t="shared" si="13"/>
        <v/>
      </c>
      <c r="J247" t="str">
        <f t="shared" si="14"/>
        <v/>
      </c>
      <c r="K247" t="str">
        <f>IF(E247="","",SUM(ContractsTbl[[#This Row],[salaryY1]:[salaryY4]]))</f>
        <v/>
      </c>
      <c r="L247" t="b">
        <f t="shared" si="15"/>
        <v>1</v>
      </c>
    </row>
    <row r="248" spans="1:12" x14ac:dyDescent="0.2">
      <c r="A248" t="s">
        <v>1116</v>
      </c>
      <c r="B248" t="s">
        <v>74</v>
      </c>
      <c r="C248" t="s">
        <v>812</v>
      </c>
      <c r="D248" t="s">
        <v>44</v>
      </c>
      <c r="G248" s="10">
        <v>1160000</v>
      </c>
      <c r="H248" t="str">
        <f t="shared" si="12"/>
        <v/>
      </c>
      <c r="I248" t="str">
        <f t="shared" si="13"/>
        <v/>
      </c>
      <c r="J248" t="str">
        <f t="shared" si="14"/>
        <v/>
      </c>
      <c r="K248" t="str">
        <f>IF(E248="","",SUM(ContractsTbl[[#This Row],[salaryY1]:[salaryY4]]))</f>
        <v/>
      </c>
      <c r="L248" t="b">
        <f t="shared" si="15"/>
        <v>1</v>
      </c>
    </row>
    <row r="249" spans="1:12" x14ac:dyDescent="0.2">
      <c r="A249" t="s">
        <v>1117</v>
      </c>
      <c r="B249" t="s">
        <v>74</v>
      </c>
      <c r="C249" t="s">
        <v>813</v>
      </c>
      <c r="D249" t="s">
        <v>44</v>
      </c>
      <c r="G249" s="10">
        <v>1270000</v>
      </c>
      <c r="H249" t="str">
        <f t="shared" si="12"/>
        <v/>
      </c>
      <c r="I249" t="str">
        <f t="shared" si="13"/>
        <v/>
      </c>
      <c r="J249" t="str">
        <f t="shared" si="14"/>
        <v/>
      </c>
      <c r="K249" t="str">
        <f>IF(E249="","",SUM(ContractsTbl[[#This Row],[salaryY1]:[salaryY4]]))</f>
        <v/>
      </c>
      <c r="L249" t="b">
        <f t="shared" si="15"/>
        <v>1</v>
      </c>
    </row>
    <row r="250" spans="1:12" x14ac:dyDescent="0.2">
      <c r="A250" t="s">
        <v>1118</v>
      </c>
      <c r="B250" t="s">
        <v>74</v>
      </c>
      <c r="C250" t="s">
        <v>814</v>
      </c>
      <c r="D250" t="s">
        <v>44</v>
      </c>
      <c r="G250" s="10">
        <v>1350000</v>
      </c>
      <c r="H250" t="str">
        <f t="shared" si="12"/>
        <v/>
      </c>
      <c r="I250" t="str">
        <f t="shared" si="13"/>
        <v/>
      </c>
      <c r="J250" t="str">
        <f t="shared" si="14"/>
        <v/>
      </c>
      <c r="K250" t="str">
        <f>IF(E250="","",SUM(ContractsTbl[[#This Row],[salaryY1]:[salaryY4]]))</f>
        <v/>
      </c>
      <c r="L250" t="b">
        <f t="shared" si="15"/>
        <v>1</v>
      </c>
    </row>
    <row r="251" spans="1:12" x14ac:dyDescent="0.2">
      <c r="A251" t="s">
        <v>1119</v>
      </c>
      <c r="B251" t="s">
        <v>74</v>
      </c>
      <c r="C251" t="s">
        <v>815</v>
      </c>
      <c r="D251" t="s">
        <v>44</v>
      </c>
      <c r="G251" s="10">
        <v>1160000</v>
      </c>
      <c r="H251" t="str">
        <f t="shared" si="12"/>
        <v/>
      </c>
      <c r="I251" t="str">
        <f t="shared" si="13"/>
        <v/>
      </c>
      <c r="J251" t="str">
        <f t="shared" si="14"/>
        <v/>
      </c>
      <c r="K251" t="str">
        <f>IF(E251="","",SUM(ContractsTbl[[#This Row],[salaryY1]:[salaryY4]]))</f>
        <v/>
      </c>
      <c r="L251" t="b">
        <f t="shared" si="15"/>
        <v>1</v>
      </c>
    </row>
    <row r="252" spans="1:12" x14ac:dyDescent="0.2">
      <c r="A252" t="s">
        <v>1120</v>
      </c>
      <c r="B252" t="s">
        <v>74</v>
      </c>
      <c r="C252" t="s">
        <v>816</v>
      </c>
      <c r="D252" t="s">
        <v>44</v>
      </c>
      <c r="G252" s="10">
        <v>3400000</v>
      </c>
      <c r="H252" t="str">
        <f t="shared" si="12"/>
        <v/>
      </c>
      <c r="I252" t="str">
        <f t="shared" si="13"/>
        <v/>
      </c>
      <c r="J252" t="str">
        <f t="shared" si="14"/>
        <v/>
      </c>
      <c r="K252" t="str">
        <f>IF(E252="","",SUM(ContractsTbl[[#This Row],[salaryY1]:[salaryY4]]))</f>
        <v/>
      </c>
      <c r="L252" t="b">
        <f t="shared" si="15"/>
        <v>1</v>
      </c>
    </row>
    <row r="253" spans="1:12" x14ac:dyDescent="0.2">
      <c r="A253" t="s">
        <v>1121</v>
      </c>
      <c r="B253" t="s">
        <v>74</v>
      </c>
      <c r="C253" t="s">
        <v>817</v>
      </c>
      <c r="D253" t="s">
        <v>44</v>
      </c>
      <c r="G253" s="10">
        <v>1350000</v>
      </c>
      <c r="H253" t="str">
        <f t="shared" si="12"/>
        <v/>
      </c>
      <c r="I253" t="str">
        <f t="shared" si="13"/>
        <v/>
      </c>
      <c r="J253" t="str">
        <f t="shared" si="14"/>
        <v/>
      </c>
      <c r="K253" t="str">
        <f>IF(E253="","",SUM(ContractsTbl[[#This Row],[salaryY1]:[salaryY4]]))</f>
        <v/>
      </c>
      <c r="L253" t="b">
        <f t="shared" si="15"/>
        <v>1</v>
      </c>
    </row>
    <row r="254" spans="1:12" x14ac:dyDescent="0.2">
      <c r="A254" t="s">
        <v>1122</v>
      </c>
      <c r="B254" t="s">
        <v>74</v>
      </c>
      <c r="C254" t="s">
        <v>818</v>
      </c>
      <c r="D254" t="s">
        <v>44</v>
      </c>
      <c r="G254" s="10">
        <v>1190000</v>
      </c>
      <c r="H254" t="str">
        <f t="shared" si="12"/>
        <v/>
      </c>
      <c r="I254" t="str">
        <f t="shared" si="13"/>
        <v/>
      </c>
      <c r="J254" t="str">
        <f t="shared" si="14"/>
        <v/>
      </c>
      <c r="K254" t="str">
        <f>IF(E254="","",SUM(ContractsTbl[[#This Row],[salaryY1]:[salaryY4]]))</f>
        <v/>
      </c>
      <c r="L254" t="b">
        <f t="shared" si="15"/>
        <v>1</v>
      </c>
    </row>
    <row r="255" spans="1:12" x14ac:dyDescent="0.2">
      <c r="A255" t="s">
        <v>1123</v>
      </c>
      <c r="B255" t="s">
        <v>74</v>
      </c>
      <c r="C255" t="s">
        <v>819</v>
      </c>
      <c r="D255" t="s">
        <v>44</v>
      </c>
      <c r="G255" s="10">
        <v>1230000</v>
      </c>
      <c r="H255" t="str">
        <f t="shared" si="12"/>
        <v/>
      </c>
      <c r="I255" t="str">
        <f t="shared" si="13"/>
        <v/>
      </c>
      <c r="J255" t="str">
        <f t="shared" si="14"/>
        <v/>
      </c>
      <c r="K255" t="str">
        <f>IF(E255="","",SUM(ContractsTbl[[#This Row],[salaryY1]:[salaryY4]]))</f>
        <v/>
      </c>
      <c r="L255" t="b">
        <f t="shared" si="15"/>
        <v>1</v>
      </c>
    </row>
    <row r="256" spans="1:12" x14ac:dyDescent="0.2">
      <c r="A256" t="s">
        <v>1124</v>
      </c>
      <c r="B256" t="s">
        <v>74</v>
      </c>
      <c r="C256" t="s">
        <v>820</v>
      </c>
      <c r="D256" t="s">
        <v>44</v>
      </c>
      <c r="G256" s="10">
        <v>1350000</v>
      </c>
      <c r="H256" t="str">
        <f t="shared" si="12"/>
        <v/>
      </c>
      <c r="I256" t="str">
        <f t="shared" si="13"/>
        <v/>
      </c>
      <c r="J256" t="str">
        <f t="shared" si="14"/>
        <v/>
      </c>
      <c r="K256" t="str">
        <f>IF(E256="","",SUM(ContractsTbl[[#This Row],[salaryY1]:[salaryY4]]))</f>
        <v/>
      </c>
      <c r="L256" t="b">
        <f t="shared" si="15"/>
        <v>1</v>
      </c>
    </row>
    <row r="257" spans="1:12" x14ac:dyDescent="0.2">
      <c r="A257" t="s">
        <v>1125</v>
      </c>
      <c r="B257" t="s">
        <v>74</v>
      </c>
      <c r="C257" t="s">
        <v>821</v>
      </c>
      <c r="D257" t="s">
        <v>44</v>
      </c>
      <c r="G257" s="10">
        <v>1270000</v>
      </c>
      <c r="H257" t="str">
        <f t="shared" si="12"/>
        <v/>
      </c>
      <c r="I257" t="str">
        <f t="shared" si="13"/>
        <v/>
      </c>
      <c r="J257" t="str">
        <f t="shared" si="14"/>
        <v/>
      </c>
      <c r="K257" t="str">
        <f>IF(E257="","",SUM(ContractsTbl[[#This Row],[salaryY1]:[salaryY4]]))</f>
        <v/>
      </c>
      <c r="L257" t="b">
        <f t="shared" si="15"/>
        <v>1</v>
      </c>
    </row>
    <row r="258" spans="1:12" x14ac:dyDescent="0.2">
      <c r="A258" t="s">
        <v>1126</v>
      </c>
      <c r="B258" t="s">
        <v>74</v>
      </c>
      <c r="C258" t="s">
        <v>822</v>
      </c>
      <c r="D258" t="s">
        <v>44</v>
      </c>
      <c r="G258" s="10">
        <v>1160000</v>
      </c>
      <c r="H258" t="str">
        <f t="shared" si="12"/>
        <v/>
      </c>
      <c r="I258" t="str">
        <f t="shared" si="13"/>
        <v/>
      </c>
      <c r="J258" t="str">
        <f t="shared" si="14"/>
        <v/>
      </c>
      <c r="K258" t="str">
        <f>IF(E258="","",SUM(ContractsTbl[[#This Row],[salaryY1]:[salaryY4]]))</f>
        <v/>
      </c>
      <c r="L258" t="b">
        <f t="shared" si="15"/>
        <v>1</v>
      </c>
    </row>
    <row r="259" spans="1:12" x14ac:dyDescent="0.2">
      <c r="A259" t="s">
        <v>1127</v>
      </c>
      <c r="B259" t="s">
        <v>74</v>
      </c>
      <c r="C259" t="s">
        <v>823</v>
      </c>
      <c r="D259" t="s">
        <v>44</v>
      </c>
      <c r="G259" s="10">
        <v>1160000</v>
      </c>
      <c r="H259" t="str">
        <f t="shared" si="12"/>
        <v/>
      </c>
      <c r="I259" t="str">
        <f t="shared" si="13"/>
        <v/>
      </c>
      <c r="J259" t="str">
        <f t="shared" si="14"/>
        <v/>
      </c>
      <c r="K259" t="str">
        <f>IF(E259="","",SUM(ContractsTbl[[#This Row],[salaryY1]:[salaryY4]]))</f>
        <v/>
      </c>
      <c r="L259" t="b">
        <f t="shared" si="15"/>
        <v>1</v>
      </c>
    </row>
    <row r="260" spans="1:12" x14ac:dyDescent="0.2">
      <c r="A260" t="s">
        <v>1128</v>
      </c>
      <c r="B260" t="s">
        <v>74</v>
      </c>
      <c r="C260" t="s">
        <v>824</v>
      </c>
      <c r="D260" t="s">
        <v>44</v>
      </c>
      <c r="G260" s="10">
        <v>350000</v>
      </c>
      <c r="H260" t="str">
        <f t="shared" ref="H260:H323" si="16">IF(F260&gt;=2027,G260,"")</f>
        <v/>
      </c>
      <c r="I260" t="str">
        <f t="shared" ref="I260:I323" si="17">IF(F260&gt;=2028,G260,"")</f>
        <v/>
      </c>
      <c r="J260" t="str">
        <f t="shared" ref="J260:J323" si="18">IF(F260&gt;=2029,G260,"")</f>
        <v/>
      </c>
      <c r="K260" t="str">
        <f>IF(E260="","",SUM(ContractsTbl[[#This Row],[salaryY1]:[salaryY4]]))</f>
        <v/>
      </c>
      <c r="L260" t="b">
        <f t="shared" si="15"/>
        <v>1</v>
      </c>
    </row>
    <row r="261" spans="1:12" x14ac:dyDescent="0.2">
      <c r="A261" t="s">
        <v>1129</v>
      </c>
      <c r="B261" t="s">
        <v>74</v>
      </c>
      <c r="C261" t="s">
        <v>825</v>
      </c>
      <c r="D261" t="s">
        <v>44</v>
      </c>
      <c r="G261" s="10">
        <v>340000</v>
      </c>
      <c r="H261" t="str">
        <f t="shared" si="16"/>
        <v/>
      </c>
      <c r="I261" t="str">
        <f t="shared" si="17"/>
        <v/>
      </c>
      <c r="J261" t="str">
        <f t="shared" si="18"/>
        <v/>
      </c>
      <c r="K261" t="str">
        <f>IF(E261="","",SUM(ContractsTbl[[#This Row],[salaryY1]:[salaryY4]]))</f>
        <v/>
      </c>
      <c r="L261" t="b">
        <f t="shared" si="15"/>
        <v>1</v>
      </c>
    </row>
    <row r="262" spans="1:12" x14ac:dyDescent="0.2">
      <c r="A262" t="s">
        <v>1130</v>
      </c>
      <c r="B262" t="s">
        <v>74</v>
      </c>
      <c r="C262" t="s">
        <v>826</v>
      </c>
      <c r="D262" t="s">
        <v>44</v>
      </c>
      <c r="G262" s="10">
        <v>340000</v>
      </c>
      <c r="H262" t="str">
        <f t="shared" si="16"/>
        <v/>
      </c>
      <c r="I262" t="str">
        <f t="shared" si="17"/>
        <v/>
      </c>
      <c r="J262" t="str">
        <f t="shared" si="18"/>
        <v/>
      </c>
      <c r="K262" t="str">
        <f>IF(E262="","",SUM(ContractsTbl[[#This Row],[salaryY1]:[salaryY4]]))</f>
        <v/>
      </c>
      <c r="L262" t="b">
        <f t="shared" si="15"/>
        <v>1</v>
      </c>
    </row>
    <row r="263" spans="1:12" x14ac:dyDescent="0.2">
      <c r="A263" t="s">
        <v>1131</v>
      </c>
      <c r="B263" t="s">
        <v>74</v>
      </c>
      <c r="C263" t="s">
        <v>827</v>
      </c>
      <c r="D263" t="s">
        <v>44</v>
      </c>
      <c r="G263" s="10">
        <v>370000</v>
      </c>
      <c r="H263" t="str">
        <f t="shared" si="16"/>
        <v/>
      </c>
      <c r="I263" t="str">
        <f t="shared" si="17"/>
        <v/>
      </c>
      <c r="J263" t="str">
        <f t="shared" si="18"/>
        <v/>
      </c>
      <c r="K263" t="str">
        <f>IF(E263="","",SUM(ContractsTbl[[#This Row],[salaryY1]:[salaryY4]]))</f>
        <v/>
      </c>
      <c r="L263" t="b">
        <f t="shared" si="15"/>
        <v>1</v>
      </c>
    </row>
    <row r="264" spans="1:12" x14ac:dyDescent="0.2">
      <c r="A264" t="s">
        <v>1132</v>
      </c>
      <c r="B264" t="s">
        <v>74</v>
      </c>
      <c r="C264" t="s">
        <v>828</v>
      </c>
      <c r="D264" t="s">
        <v>44</v>
      </c>
      <c r="G264" s="10">
        <v>650000</v>
      </c>
      <c r="H264" t="str">
        <f t="shared" si="16"/>
        <v/>
      </c>
      <c r="I264" t="str">
        <f t="shared" si="17"/>
        <v/>
      </c>
      <c r="J264" t="str">
        <f t="shared" si="18"/>
        <v/>
      </c>
      <c r="K264" t="str">
        <f>IF(E264="","",SUM(ContractsTbl[[#This Row],[salaryY1]:[salaryY4]]))</f>
        <v/>
      </c>
      <c r="L264" t="b">
        <f t="shared" si="15"/>
        <v>1</v>
      </c>
    </row>
    <row r="265" spans="1:12" x14ac:dyDescent="0.2">
      <c r="A265" t="s">
        <v>1133</v>
      </c>
      <c r="B265" t="s">
        <v>74</v>
      </c>
      <c r="C265" t="s">
        <v>829</v>
      </c>
      <c r="D265" t="s">
        <v>44</v>
      </c>
      <c r="G265" s="10">
        <v>330000</v>
      </c>
      <c r="H265" t="str">
        <f t="shared" si="16"/>
        <v/>
      </c>
      <c r="I265" t="str">
        <f t="shared" si="17"/>
        <v/>
      </c>
      <c r="J265" t="str">
        <f t="shared" si="18"/>
        <v/>
      </c>
      <c r="K265" t="str">
        <f>IF(E265="","",SUM(ContractsTbl[[#This Row],[salaryY1]:[salaryY4]]))</f>
        <v/>
      </c>
      <c r="L265" t="b">
        <f t="shared" si="15"/>
        <v>1</v>
      </c>
    </row>
    <row r="266" spans="1:12" x14ac:dyDescent="0.2">
      <c r="A266" t="s">
        <v>1134</v>
      </c>
      <c r="B266" t="s">
        <v>74</v>
      </c>
      <c r="C266" t="s">
        <v>830</v>
      </c>
      <c r="D266" t="s">
        <v>44</v>
      </c>
      <c r="G266" s="10">
        <v>340000</v>
      </c>
      <c r="H266" t="str">
        <f t="shared" si="16"/>
        <v/>
      </c>
      <c r="I266" t="str">
        <f t="shared" si="17"/>
        <v/>
      </c>
      <c r="J266" t="str">
        <f t="shared" si="18"/>
        <v/>
      </c>
      <c r="K266" t="str">
        <f>IF(E266="","",SUM(ContractsTbl[[#This Row],[salaryY1]:[salaryY4]]))</f>
        <v/>
      </c>
      <c r="L266" t="b">
        <f t="shared" si="15"/>
        <v>1</v>
      </c>
    </row>
    <row r="267" spans="1:12" x14ac:dyDescent="0.2">
      <c r="A267" t="s">
        <v>1135</v>
      </c>
      <c r="B267" t="s">
        <v>74</v>
      </c>
      <c r="C267" t="s">
        <v>831</v>
      </c>
      <c r="D267" t="s">
        <v>44</v>
      </c>
      <c r="G267" s="10">
        <v>330000</v>
      </c>
      <c r="H267" t="str">
        <f t="shared" si="16"/>
        <v/>
      </c>
      <c r="I267" t="str">
        <f t="shared" si="17"/>
        <v/>
      </c>
      <c r="J267" t="str">
        <f t="shared" si="18"/>
        <v/>
      </c>
      <c r="K267" t="str">
        <f>IF(E267="","",SUM(ContractsTbl[[#This Row],[salaryY1]:[salaryY4]]))</f>
        <v/>
      </c>
      <c r="L267" t="b">
        <f t="shared" si="15"/>
        <v>1</v>
      </c>
    </row>
    <row r="268" spans="1:12" x14ac:dyDescent="0.2">
      <c r="A268" t="s">
        <v>1136</v>
      </c>
      <c r="B268" t="s">
        <v>74</v>
      </c>
      <c r="C268" t="s">
        <v>832</v>
      </c>
      <c r="D268" t="s">
        <v>44</v>
      </c>
      <c r="G268" s="10">
        <v>340000</v>
      </c>
      <c r="H268" t="str">
        <f t="shared" si="16"/>
        <v/>
      </c>
      <c r="I268" t="str">
        <f t="shared" si="17"/>
        <v/>
      </c>
      <c r="J268" t="str">
        <f t="shared" si="18"/>
        <v/>
      </c>
      <c r="K268" t="str">
        <f>IF(E268="","",SUM(ContractsTbl[[#This Row],[salaryY1]:[salaryY4]]))</f>
        <v/>
      </c>
      <c r="L268" t="b">
        <f t="shared" si="15"/>
        <v>1</v>
      </c>
    </row>
    <row r="269" spans="1:12" x14ac:dyDescent="0.2">
      <c r="A269" t="s">
        <v>1137</v>
      </c>
      <c r="B269" t="s">
        <v>74</v>
      </c>
      <c r="C269" t="s">
        <v>833</v>
      </c>
      <c r="D269" t="s">
        <v>44</v>
      </c>
      <c r="G269" s="10">
        <v>340000</v>
      </c>
      <c r="H269" t="str">
        <f t="shared" si="16"/>
        <v/>
      </c>
      <c r="I269" t="str">
        <f t="shared" si="17"/>
        <v/>
      </c>
      <c r="J269" t="str">
        <f t="shared" si="18"/>
        <v/>
      </c>
      <c r="K269" t="str">
        <f>IF(E269="","",SUM(ContractsTbl[[#This Row],[salaryY1]:[salaryY4]]))</f>
        <v/>
      </c>
      <c r="L269" t="b">
        <f t="shared" si="15"/>
        <v>1</v>
      </c>
    </row>
    <row r="270" spans="1:12" x14ac:dyDescent="0.2">
      <c r="A270" t="s">
        <v>1138</v>
      </c>
      <c r="B270" t="s">
        <v>74</v>
      </c>
      <c r="C270" t="s">
        <v>834</v>
      </c>
      <c r="D270" t="s">
        <v>44</v>
      </c>
      <c r="G270" s="10">
        <v>370000</v>
      </c>
      <c r="H270" t="str">
        <f t="shared" si="16"/>
        <v/>
      </c>
      <c r="I270" t="str">
        <f t="shared" si="17"/>
        <v/>
      </c>
      <c r="J270" t="str">
        <f t="shared" si="18"/>
        <v/>
      </c>
      <c r="K270" t="str">
        <f>IF(E270="","",SUM(ContractsTbl[[#This Row],[salaryY1]:[salaryY4]]))</f>
        <v/>
      </c>
      <c r="L270" t="b">
        <f t="shared" si="15"/>
        <v>1</v>
      </c>
    </row>
    <row r="271" spans="1:12" x14ac:dyDescent="0.2">
      <c r="A271" t="s">
        <v>1139</v>
      </c>
      <c r="B271" t="s">
        <v>74</v>
      </c>
      <c r="C271" t="s">
        <v>835</v>
      </c>
      <c r="D271" t="s">
        <v>44</v>
      </c>
      <c r="G271" s="10">
        <v>680000</v>
      </c>
      <c r="H271" t="str">
        <f t="shared" si="16"/>
        <v/>
      </c>
      <c r="I271" t="str">
        <f t="shared" si="17"/>
        <v/>
      </c>
      <c r="J271" t="str">
        <f t="shared" si="18"/>
        <v/>
      </c>
      <c r="K271" t="str">
        <f>IF(E271="","",SUM(ContractsTbl[[#This Row],[salaryY1]:[salaryY4]]))</f>
        <v/>
      </c>
      <c r="L271" t="b">
        <f t="shared" si="15"/>
        <v>1</v>
      </c>
    </row>
    <row r="272" spans="1:12" x14ac:dyDescent="0.2">
      <c r="A272" t="s">
        <v>1140</v>
      </c>
      <c r="B272" t="s">
        <v>74</v>
      </c>
      <c r="C272" t="s">
        <v>836</v>
      </c>
      <c r="D272" t="s">
        <v>44</v>
      </c>
      <c r="G272" s="10">
        <v>340000</v>
      </c>
      <c r="H272" t="str">
        <f t="shared" si="16"/>
        <v/>
      </c>
      <c r="I272" t="str">
        <f t="shared" si="17"/>
        <v/>
      </c>
      <c r="J272" t="str">
        <f t="shared" si="18"/>
        <v/>
      </c>
      <c r="K272" t="str">
        <f>IF(E272="","",SUM(ContractsTbl[[#This Row],[salaryY1]:[salaryY4]]))</f>
        <v/>
      </c>
      <c r="L272" t="b">
        <f t="shared" si="15"/>
        <v>1</v>
      </c>
    </row>
    <row r="273" spans="1:12" x14ac:dyDescent="0.2">
      <c r="A273" t="s">
        <v>1141</v>
      </c>
      <c r="B273" t="s">
        <v>74</v>
      </c>
      <c r="C273" t="s">
        <v>837</v>
      </c>
      <c r="D273" t="s">
        <v>44</v>
      </c>
      <c r="G273" s="10">
        <v>360000</v>
      </c>
      <c r="H273" t="str">
        <f t="shared" si="16"/>
        <v/>
      </c>
      <c r="I273" t="str">
        <f t="shared" si="17"/>
        <v/>
      </c>
      <c r="J273" t="str">
        <f t="shared" si="18"/>
        <v/>
      </c>
      <c r="K273" t="str">
        <f>IF(E273="","",SUM(ContractsTbl[[#This Row],[salaryY1]:[salaryY4]]))</f>
        <v/>
      </c>
      <c r="L273" t="b">
        <f t="shared" si="15"/>
        <v>1</v>
      </c>
    </row>
    <row r="274" spans="1:12" x14ac:dyDescent="0.2">
      <c r="A274" t="s">
        <v>1142</v>
      </c>
      <c r="B274" t="s">
        <v>74</v>
      </c>
      <c r="C274" t="s">
        <v>838</v>
      </c>
      <c r="D274" t="s">
        <v>44</v>
      </c>
      <c r="G274" s="10">
        <v>350000</v>
      </c>
      <c r="H274" t="str">
        <f t="shared" si="16"/>
        <v/>
      </c>
      <c r="I274" t="str">
        <f t="shared" si="17"/>
        <v/>
      </c>
      <c r="J274" t="str">
        <f t="shared" si="18"/>
        <v/>
      </c>
      <c r="K274" t="str">
        <f>IF(E274="","",SUM(ContractsTbl[[#This Row],[salaryY1]:[salaryY4]]))</f>
        <v/>
      </c>
      <c r="L274" t="b">
        <f t="shared" si="15"/>
        <v>1</v>
      </c>
    </row>
    <row r="275" spans="1:12" x14ac:dyDescent="0.2">
      <c r="A275" t="s">
        <v>1143</v>
      </c>
      <c r="B275" t="s">
        <v>74</v>
      </c>
      <c r="C275" t="s">
        <v>839</v>
      </c>
      <c r="D275" t="s">
        <v>44</v>
      </c>
      <c r="G275" s="10">
        <v>350000</v>
      </c>
      <c r="H275" t="str">
        <f t="shared" si="16"/>
        <v/>
      </c>
      <c r="I275" t="str">
        <f t="shared" si="17"/>
        <v/>
      </c>
      <c r="J275" t="str">
        <f t="shared" si="18"/>
        <v/>
      </c>
      <c r="K275" t="str">
        <f>IF(E275="","",SUM(ContractsTbl[[#This Row],[salaryY1]:[salaryY4]]))</f>
        <v/>
      </c>
      <c r="L275" t="b">
        <f t="shared" si="15"/>
        <v>1</v>
      </c>
    </row>
    <row r="276" spans="1:12" x14ac:dyDescent="0.2">
      <c r="A276" t="s">
        <v>1144</v>
      </c>
      <c r="B276" t="s">
        <v>74</v>
      </c>
      <c r="C276" t="s">
        <v>840</v>
      </c>
      <c r="D276" t="s">
        <v>44</v>
      </c>
      <c r="G276" s="10">
        <v>330000</v>
      </c>
      <c r="H276" t="str">
        <f t="shared" si="16"/>
        <v/>
      </c>
      <c r="I276" t="str">
        <f t="shared" si="17"/>
        <v/>
      </c>
      <c r="J276" t="str">
        <f t="shared" si="18"/>
        <v/>
      </c>
      <c r="K276" t="str">
        <f>IF(E276="","",SUM(ContractsTbl[[#This Row],[salaryY1]:[salaryY4]]))</f>
        <v/>
      </c>
      <c r="L276" t="b">
        <f t="shared" si="15"/>
        <v>1</v>
      </c>
    </row>
    <row r="277" spans="1:12" x14ac:dyDescent="0.2">
      <c r="A277" t="s">
        <v>1145</v>
      </c>
      <c r="B277" t="s">
        <v>74</v>
      </c>
      <c r="C277" t="s">
        <v>841</v>
      </c>
      <c r="D277" t="s">
        <v>44</v>
      </c>
      <c r="G277" s="10">
        <v>340000</v>
      </c>
      <c r="H277" t="str">
        <f t="shared" si="16"/>
        <v/>
      </c>
      <c r="I277" t="str">
        <f t="shared" si="17"/>
        <v/>
      </c>
      <c r="J277" t="str">
        <f t="shared" si="18"/>
        <v/>
      </c>
      <c r="K277" t="str">
        <f>IF(E277="","",SUM(ContractsTbl[[#This Row],[salaryY1]:[salaryY4]]))</f>
        <v/>
      </c>
      <c r="L277" t="b">
        <f t="shared" si="15"/>
        <v>1</v>
      </c>
    </row>
    <row r="278" spans="1:12" x14ac:dyDescent="0.2">
      <c r="A278" t="s">
        <v>1146</v>
      </c>
      <c r="B278" t="s">
        <v>74</v>
      </c>
      <c r="C278" t="s">
        <v>842</v>
      </c>
      <c r="D278" t="s">
        <v>44</v>
      </c>
      <c r="G278" s="10">
        <v>360000</v>
      </c>
      <c r="H278" t="str">
        <f t="shared" si="16"/>
        <v/>
      </c>
      <c r="I278" t="str">
        <f t="shared" si="17"/>
        <v/>
      </c>
      <c r="J278" t="str">
        <f t="shared" si="18"/>
        <v/>
      </c>
      <c r="K278" t="str">
        <f>IF(E278="","",SUM(ContractsTbl[[#This Row],[salaryY1]:[salaryY4]]))</f>
        <v/>
      </c>
      <c r="L278" t="b">
        <f t="shared" si="15"/>
        <v>1</v>
      </c>
    </row>
    <row r="279" spans="1:12" x14ac:dyDescent="0.2">
      <c r="A279" t="s">
        <v>1147</v>
      </c>
      <c r="B279" t="s">
        <v>74</v>
      </c>
      <c r="C279" t="s">
        <v>843</v>
      </c>
      <c r="D279" t="s">
        <v>44</v>
      </c>
      <c r="G279" s="10">
        <v>360000</v>
      </c>
      <c r="H279" t="str">
        <f t="shared" si="16"/>
        <v/>
      </c>
      <c r="I279" t="str">
        <f t="shared" si="17"/>
        <v/>
      </c>
      <c r="J279" t="str">
        <f t="shared" si="18"/>
        <v/>
      </c>
      <c r="K279" t="str">
        <f>IF(E279="","",SUM(ContractsTbl[[#This Row],[salaryY1]:[salaryY4]]))</f>
        <v/>
      </c>
      <c r="L279" t="b">
        <f t="shared" si="15"/>
        <v>1</v>
      </c>
    </row>
    <row r="280" spans="1:12" x14ac:dyDescent="0.2">
      <c r="A280" t="s">
        <v>1148</v>
      </c>
      <c r="B280" t="s">
        <v>74</v>
      </c>
      <c r="C280" t="s">
        <v>844</v>
      </c>
      <c r="D280" t="s">
        <v>44</v>
      </c>
      <c r="G280" s="10">
        <v>665000</v>
      </c>
      <c r="H280" t="str">
        <f t="shared" si="16"/>
        <v/>
      </c>
      <c r="I280" t="str">
        <f t="shared" si="17"/>
        <v/>
      </c>
      <c r="J280" t="str">
        <f t="shared" si="18"/>
        <v/>
      </c>
      <c r="K280" t="str">
        <f>IF(E280="","",SUM(ContractsTbl[[#This Row],[salaryY1]:[salaryY4]]))</f>
        <v/>
      </c>
      <c r="L280" t="b">
        <f t="shared" si="15"/>
        <v>1</v>
      </c>
    </row>
    <row r="281" spans="1:12" x14ac:dyDescent="0.2">
      <c r="A281" t="s">
        <v>1149</v>
      </c>
      <c r="B281" t="s">
        <v>74</v>
      </c>
      <c r="C281" t="s">
        <v>845</v>
      </c>
      <c r="D281" t="s">
        <v>44</v>
      </c>
      <c r="G281" s="10">
        <v>16400000</v>
      </c>
      <c r="H281" t="str">
        <f t="shared" si="16"/>
        <v/>
      </c>
      <c r="I281" t="str">
        <f t="shared" si="17"/>
        <v/>
      </c>
      <c r="J281" t="str">
        <f t="shared" si="18"/>
        <v/>
      </c>
      <c r="K281" t="str">
        <f>IF(E281="","",SUM(ContractsTbl[[#This Row],[salaryY1]:[salaryY4]]))</f>
        <v/>
      </c>
      <c r="L281" t="b">
        <f t="shared" si="15"/>
        <v>1</v>
      </c>
    </row>
    <row r="282" spans="1:12" x14ac:dyDescent="0.2">
      <c r="A282" t="s">
        <v>1150</v>
      </c>
      <c r="B282" t="s">
        <v>74</v>
      </c>
      <c r="C282" t="s">
        <v>846</v>
      </c>
      <c r="D282" t="s">
        <v>44</v>
      </c>
      <c r="G282" s="10">
        <v>1510000</v>
      </c>
      <c r="H282" t="str">
        <f t="shared" si="16"/>
        <v/>
      </c>
      <c r="I282" t="str">
        <f t="shared" si="17"/>
        <v/>
      </c>
      <c r="J282" t="str">
        <f t="shared" si="18"/>
        <v/>
      </c>
      <c r="K282" t="str">
        <f>IF(E282="","",SUM(ContractsTbl[[#This Row],[salaryY1]:[salaryY4]]))</f>
        <v/>
      </c>
      <c r="L282" t="b">
        <f t="shared" si="15"/>
        <v>1</v>
      </c>
    </row>
    <row r="283" spans="1:12" x14ac:dyDescent="0.2">
      <c r="A283" t="s">
        <v>1151</v>
      </c>
      <c r="B283" t="s">
        <v>74</v>
      </c>
      <c r="C283" t="s">
        <v>847</v>
      </c>
      <c r="D283" t="s">
        <v>44</v>
      </c>
      <c r="G283" s="10">
        <v>1590000</v>
      </c>
      <c r="H283" t="str">
        <f t="shared" si="16"/>
        <v/>
      </c>
      <c r="I283" t="str">
        <f t="shared" si="17"/>
        <v/>
      </c>
      <c r="J283" t="str">
        <f t="shared" si="18"/>
        <v/>
      </c>
      <c r="K283" t="str">
        <f>IF(E283="","",SUM(ContractsTbl[[#This Row],[salaryY1]:[salaryY4]]))</f>
        <v/>
      </c>
      <c r="L283" t="b">
        <f t="shared" si="15"/>
        <v>1</v>
      </c>
    </row>
    <row r="284" spans="1:12" x14ac:dyDescent="0.2">
      <c r="A284" t="s">
        <v>1152</v>
      </c>
      <c r="B284" t="s">
        <v>74</v>
      </c>
      <c r="C284" t="s">
        <v>848</v>
      </c>
      <c r="D284" t="s">
        <v>44</v>
      </c>
      <c r="G284" s="10">
        <v>350000</v>
      </c>
      <c r="H284" t="str">
        <f t="shared" si="16"/>
        <v/>
      </c>
      <c r="I284" t="str">
        <f t="shared" si="17"/>
        <v/>
      </c>
      <c r="J284" t="str">
        <f t="shared" si="18"/>
        <v/>
      </c>
      <c r="K284" t="str">
        <f>IF(E284="","",SUM(ContractsTbl[[#This Row],[salaryY1]:[salaryY4]]))</f>
        <v/>
      </c>
      <c r="L284" t="b">
        <f t="shared" si="15"/>
        <v>1</v>
      </c>
    </row>
    <row r="285" spans="1:12" x14ac:dyDescent="0.2">
      <c r="A285" t="s">
        <v>1153</v>
      </c>
      <c r="B285" t="s">
        <v>74</v>
      </c>
      <c r="C285" t="s">
        <v>849</v>
      </c>
      <c r="D285" t="s">
        <v>44</v>
      </c>
      <c r="G285" s="10">
        <v>755000</v>
      </c>
      <c r="H285" t="str">
        <f t="shared" si="16"/>
        <v/>
      </c>
      <c r="I285" t="str">
        <f t="shared" si="17"/>
        <v/>
      </c>
      <c r="J285" t="str">
        <f t="shared" si="18"/>
        <v/>
      </c>
      <c r="K285" t="str">
        <f>IF(E285="","",SUM(ContractsTbl[[#This Row],[salaryY1]:[salaryY4]]))</f>
        <v/>
      </c>
      <c r="L285" t="b">
        <f t="shared" si="15"/>
        <v>1</v>
      </c>
    </row>
    <row r="286" spans="1:12" x14ac:dyDescent="0.2">
      <c r="A286" t="s">
        <v>1154</v>
      </c>
      <c r="B286" t="s">
        <v>74</v>
      </c>
      <c r="C286" t="s">
        <v>850</v>
      </c>
      <c r="D286" t="s">
        <v>44</v>
      </c>
      <c r="G286" s="10">
        <v>370000</v>
      </c>
      <c r="H286" t="str">
        <f t="shared" si="16"/>
        <v/>
      </c>
      <c r="I286" t="str">
        <f t="shared" si="17"/>
        <v/>
      </c>
      <c r="J286" t="str">
        <f t="shared" si="18"/>
        <v/>
      </c>
      <c r="K286" t="str">
        <f>IF(E286="","",SUM(ContractsTbl[[#This Row],[salaryY1]:[salaryY4]]))</f>
        <v/>
      </c>
      <c r="L286" t="b">
        <f t="shared" si="15"/>
        <v>1</v>
      </c>
    </row>
    <row r="287" spans="1:12" x14ac:dyDescent="0.2">
      <c r="A287" t="s">
        <v>1155</v>
      </c>
      <c r="B287" t="s">
        <v>74</v>
      </c>
      <c r="C287" t="s">
        <v>851</v>
      </c>
      <c r="D287" t="s">
        <v>44</v>
      </c>
      <c r="G287" s="10">
        <v>390000</v>
      </c>
      <c r="H287" t="str">
        <f t="shared" si="16"/>
        <v/>
      </c>
      <c r="I287" t="str">
        <f t="shared" si="17"/>
        <v/>
      </c>
      <c r="J287" t="str">
        <f t="shared" si="18"/>
        <v/>
      </c>
      <c r="K287" t="str">
        <f>IF(E287="","",SUM(ContractsTbl[[#This Row],[salaryY1]:[salaryY4]]))</f>
        <v/>
      </c>
      <c r="L287" t="b">
        <f t="shared" si="15"/>
        <v>1</v>
      </c>
    </row>
    <row r="288" spans="1:12" x14ac:dyDescent="0.2">
      <c r="A288" t="s">
        <v>1156</v>
      </c>
      <c r="B288" t="s">
        <v>74</v>
      </c>
      <c r="C288" t="s">
        <v>852</v>
      </c>
      <c r="D288" t="s">
        <v>44</v>
      </c>
      <c r="G288" s="10">
        <v>350000</v>
      </c>
      <c r="H288" t="str">
        <f t="shared" si="16"/>
        <v/>
      </c>
      <c r="I288" t="str">
        <f t="shared" si="17"/>
        <v/>
      </c>
      <c r="J288" t="str">
        <f t="shared" si="18"/>
        <v/>
      </c>
      <c r="K288" t="str">
        <f>IF(E288="","",SUM(ContractsTbl[[#This Row],[salaryY1]:[salaryY4]]))</f>
        <v/>
      </c>
      <c r="L288" t="b">
        <f t="shared" si="15"/>
        <v>1</v>
      </c>
    </row>
    <row r="289" spans="1:12" x14ac:dyDescent="0.2">
      <c r="A289" t="s">
        <v>1157</v>
      </c>
      <c r="B289" t="s">
        <v>74</v>
      </c>
      <c r="C289" t="s">
        <v>853</v>
      </c>
      <c r="D289" t="s">
        <v>44</v>
      </c>
      <c r="G289" s="10">
        <v>360000</v>
      </c>
      <c r="H289" t="str">
        <f t="shared" si="16"/>
        <v/>
      </c>
      <c r="I289" t="str">
        <f t="shared" si="17"/>
        <v/>
      </c>
      <c r="J289" t="str">
        <f t="shared" si="18"/>
        <v/>
      </c>
      <c r="K289" t="str">
        <f>IF(E289="","",SUM(ContractsTbl[[#This Row],[salaryY1]:[salaryY4]]))</f>
        <v/>
      </c>
      <c r="L289" t="b">
        <f t="shared" si="15"/>
        <v>1</v>
      </c>
    </row>
    <row r="290" spans="1:12" x14ac:dyDescent="0.2">
      <c r="A290" t="s">
        <v>1158</v>
      </c>
      <c r="B290" t="s">
        <v>74</v>
      </c>
      <c r="C290" t="s">
        <v>854</v>
      </c>
      <c r="D290" t="s">
        <v>44</v>
      </c>
      <c r="G290" s="10">
        <v>390000</v>
      </c>
      <c r="H290" t="str">
        <f t="shared" si="16"/>
        <v/>
      </c>
      <c r="I290" t="str">
        <f t="shared" si="17"/>
        <v/>
      </c>
      <c r="J290" t="str">
        <f t="shared" si="18"/>
        <v/>
      </c>
      <c r="K290" t="str">
        <f>IF(E290="","",SUM(ContractsTbl[[#This Row],[salaryY1]:[salaryY4]]))</f>
        <v/>
      </c>
      <c r="L290" t="b">
        <f t="shared" si="15"/>
        <v>1</v>
      </c>
    </row>
    <row r="291" spans="1:12" x14ac:dyDescent="0.2">
      <c r="A291" t="s">
        <v>1159</v>
      </c>
      <c r="B291" t="s">
        <v>74</v>
      </c>
      <c r="C291" t="s">
        <v>855</v>
      </c>
      <c r="D291" t="s">
        <v>44</v>
      </c>
      <c r="G291" s="10">
        <v>360000</v>
      </c>
      <c r="H291" t="str">
        <f t="shared" si="16"/>
        <v/>
      </c>
      <c r="I291" t="str">
        <f t="shared" si="17"/>
        <v/>
      </c>
      <c r="J291" t="str">
        <f t="shared" si="18"/>
        <v/>
      </c>
      <c r="K291" t="str">
        <f>IF(E291="","",SUM(ContractsTbl[[#This Row],[salaryY1]:[salaryY4]]))</f>
        <v/>
      </c>
      <c r="L291" t="b">
        <f t="shared" ref="L291:L354" si="19">IF(F291="",TRUE,FALSE)</f>
        <v>1</v>
      </c>
    </row>
    <row r="292" spans="1:12" x14ac:dyDescent="0.2">
      <c r="A292" t="s">
        <v>1160</v>
      </c>
      <c r="B292" t="s">
        <v>74</v>
      </c>
      <c r="C292" t="s">
        <v>856</v>
      </c>
      <c r="D292" t="s">
        <v>44</v>
      </c>
      <c r="G292" s="10">
        <v>1510000</v>
      </c>
      <c r="H292" t="str">
        <f t="shared" si="16"/>
        <v/>
      </c>
      <c r="I292" t="str">
        <f t="shared" si="17"/>
        <v/>
      </c>
      <c r="J292" t="str">
        <f t="shared" si="18"/>
        <v/>
      </c>
      <c r="K292" t="str">
        <f>IF(E292="","",SUM(ContractsTbl[[#This Row],[salaryY1]:[salaryY4]]))</f>
        <v/>
      </c>
      <c r="L292" t="b">
        <f t="shared" si="19"/>
        <v>1</v>
      </c>
    </row>
    <row r="293" spans="1:12" x14ac:dyDescent="0.2">
      <c r="A293" t="s">
        <v>1161</v>
      </c>
      <c r="B293" t="s">
        <v>74</v>
      </c>
      <c r="C293" t="s">
        <v>857</v>
      </c>
      <c r="D293" t="s">
        <v>44</v>
      </c>
      <c r="G293" s="10">
        <v>430000</v>
      </c>
      <c r="H293" t="str">
        <f t="shared" si="16"/>
        <v/>
      </c>
      <c r="I293" t="str">
        <f t="shared" si="17"/>
        <v/>
      </c>
      <c r="J293" t="str">
        <f t="shared" si="18"/>
        <v/>
      </c>
      <c r="K293" t="str">
        <f>IF(E293="","",SUM(ContractsTbl[[#This Row],[salaryY1]:[salaryY4]]))</f>
        <v/>
      </c>
      <c r="L293" t="b">
        <f t="shared" si="19"/>
        <v>1</v>
      </c>
    </row>
    <row r="294" spans="1:12" x14ac:dyDescent="0.2">
      <c r="A294" t="s">
        <v>1162</v>
      </c>
      <c r="B294" t="s">
        <v>74</v>
      </c>
      <c r="C294" t="s">
        <v>858</v>
      </c>
      <c r="D294" t="s">
        <v>44</v>
      </c>
      <c r="G294" s="10">
        <v>350000</v>
      </c>
      <c r="H294" t="str">
        <f t="shared" si="16"/>
        <v/>
      </c>
      <c r="I294" t="str">
        <f t="shared" si="17"/>
        <v/>
      </c>
      <c r="J294" t="str">
        <f t="shared" si="18"/>
        <v/>
      </c>
      <c r="K294" t="str">
        <f>IF(E294="","",SUM(ContractsTbl[[#This Row],[salaryY1]:[salaryY4]]))</f>
        <v/>
      </c>
      <c r="L294" t="b">
        <f t="shared" si="19"/>
        <v>1</v>
      </c>
    </row>
    <row r="295" spans="1:12" x14ac:dyDescent="0.2">
      <c r="A295" t="s">
        <v>1163</v>
      </c>
      <c r="B295" t="s">
        <v>74</v>
      </c>
      <c r="C295" t="s">
        <v>859</v>
      </c>
      <c r="D295" t="s">
        <v>44</v>
      </c>
      <c r="G295" s="10">
        <v>740000</v>
      </c>
      <c r="H295" t="str">
        <f t="shared" si="16"/>
        <v/>
      </c>
      <c r="I295" t="str">
        <f t="shared" si="17"/>
        <v/>
      </c>
      <c r="J295" t="str">
        <f t="shared" si="18"/>
        <v/>
      </c>
      <c r="K295" t="str">
        <f>IF(E295="","",SUM(ContractsTbl[[#This Row],[salaryY1]:[salaryY4]]))</f>
        <v/>
      </c>
      <c r="L295" t="b">
        <f t="shared" si="19"/>
        <v>1</v>
      </c>
    </row>
    <row r="296" spans="1:12" x14ac:dyDescent="0.2">
      <c r="A296" t="s">
        <v>1164</v>
      </c>
      <c r="B296" t="s">
        <v>74</v>
      </c>
      <c r="C296" t="s">
        <v>860</v>
      </c>
      <c r="D296" t="s">
        <v>44</v>
      </c>
      <c r="G296" s="10">
        <v>370000</v>
      </c>
      <c r="H296" t="str">
        <f t="shared" si="16"/>
        <v/>
      </c>
      <c r="I296" t="str">
        <f t="shared" si="17"/>
        <v/>
      </c>
      <c r="J296" t="str">
        <f t="shared" si="18"/>
        <v/>
      </c>
      <c r="K296" t="str">
        <f>IF(E296="","",SUM(ContractsTbl[[#This Row],[salaryY1]:[salaryY4]]))</f>
        <v/>
      </c>
      <c r="L296" t="b">
        <f t="shared" si="19"/>
        <v>1</v>
      </c>
    </row>
    <row r="297" spans="1:12" x14ac:dyDescent="0.2">
      <c r="A297" t="s">
        <v>1165</v>
      </c>
      <c r="B297" t="s">
        <v>74</v>
      </c>
      <c r="C297" t="s">
        <v>861</v>
      </c>
      <c r="D297" t="s">
        <v>44</v>
      </c>
      <c r="G297" s="10">
        <v>370000</v>
      </c>
      <c r="H297" t="str">
        <f t="shared" si="16"/>
        <v/>
      </c>
      <c r="I297" t="str">
        <f t="shared" si="17"/>
        <v/>
      </c>
      <c r="J297" t="str">
        <f t="shared" si="18"/>
        <v/>
      </c>
      <c r="K297" t="str">
        <f>IF(E297="","",SUM(ContractsTbl[[#This Row],[salaryY1]:[salaryY4]]))</f>
        <v/>
      </c>
      <c r="L297" t="b">
        <f t="shared" si="19"/>
        <v>1</v>
      </c>
    </row>
    <row r="298" spans="1:12" x14ac:dyDescent="0.2">
      <c r="A298" t="s">
        <v>1166</v>
      </c>
      <c r="B298" t="s">
        <v>74</v>
      </c>
      <c r="C298" t="s">
        <v>862</v>
      </c>
      <c r="D298" t="s">
        <v>44</v>
      </c>
      <c r="G298" s="10">
        <v>350000</v>
      </c>
      <c r="H298" t="str">
        <f t="shared" si="16"/>
        <v/>
      </c>
      <c r="I298" t="str">
        <f t="shared" si="17"/>
        <v/>
      </c>
      <c r="J298" t="str">
        <f t="shared" si="18"/>
        <v/>
      </c>
      <c r="K298" t="str">
        <f>IF(E298="","",SUM(ContractsTbl[[#This Row],[salaryY1]:[salaryY4]]))</f>
        <v/>
      </c>
      <c r="L298" t="b">
        <f t="shared" si="19"/>
        <v>1</v>
      </c>
    </row>
    <row r="299" spans="1:12" x14ac:dyDescent="0.2">
      <c r="A299" t="s">
        <v>1167</v>
      </c>
      <c r="B299" t="s">
        <v>74</v>
      </c>
      <c r="C299" t="s">
        <v>863</v>
      </c>
      <c r="D299" t="s">
        <v>44</v>
      </c>
      <c r="G299" s="10">
        <v>1670000</v>
      </c>
      <c r="H299" t="str">
        <f t="shared" si="16"/>
        <v/>
      </c>
      <c r="I299" t="str">
        <f t="shared" si="17"/>
        <v/>
      </c>
      <c r="J299" t="str">
        <f t="shared" si="18"/>
        <v/>
      </c>
      <c r="K299" t="str">
        <f>IF(E299="","",SUM(ContractsTbl[[#This Row],[salaryY1]:[salaryY4]]))</f>
        <v/>
      </c>
      <c r="L299" t="b">
        <f t="shared" si="19"/>
        <v>1</v>
      </c>
    </row>
    <row r="300" spans="1:12" x14ac:dyDescent="0.2">
      <c r="A300" t="s">
        <v>1168</v>
      </c>
      <c r="B300" t="s">
        <v>74</v>
      </c>
      <c r="C300" t="s">
        <v>864</v>
      </c>
      <c r="D300" t="s">
        <v>44</v>
      </c>
      <c r="G300" s="10">
        <v>360000</v>
      </c>
      <c r="H300" t="str">
        <f t="shared" si="16"/>
        <v/>
      </c>
      <c r="I300" t="str">
        <f t="shared" si="17"/>
        <v/>
      </c>
      <c r="J300" t="str">
        <f t="shared" si="18"/>
        <v/>
      </c>
      <c r="K300" t="str">
        <f>IF(E300="","",SUM(ContractsTbl[[#This Row],[salaryY1]:[salaryY4]]))</f>
        <v/>
      </c>
      <c r="L300" t="b">
        <f t="shared" si="19"/>
        <v>1</v>
      </c>
    </row>
    <row r="301" spans="1:12" x14ac:dyDescent="0.2">
      <c r="A301" t="s">
        <v>1169</v>
      </c>
      <c r="B301" t="s">
        <v>74</v>
      </c>
      <c r="C301" t="s">
        <v>865</v>
      </c>
      <c r="D301" t="s">
        <v>44</v>
      </c>
      <c r="G301" s="10">
        <v>1590000</v>
      </c>
      <c r="H301" t="str">
        <f t="shared" si="16"/>
        <v/>
      </c>
      <c r="I301" t="str">
        <f t="shared" si="17"/>
        <v/>
      </c>
      <c r="J301" t="str">
        <f t="shared" si="18"/>
        <v/>
      </c>
      <c r="K301" t="str">
        <f>IF(E301="","",SUM(ContractsTbl[[#This Row],[salaryY1]:[salaryY4]]))</f>
        <v/>
      </c>
      <c r="L301" t="b">
        <f t="shared" si="19"/>
        <v>1</v>
      </c>
    </row>
    <row r="302" spans="1:12" x14ac:dyDescent="0.2">
      <c r="A302" t="s">
        <v>1170</v>
      </c>
      <c r="B302" t="s">
        <v>74</v>
      </c>
      <c r="C302" t="s">
        <v>866</v>
      </c>
      <c r="D302" t="s">
        <v>44</v>
      </c>
      <c r="G302" s="10">
        <v>1430000</v>
      </c>
      <c r="H302" t="str">
        <f t="shared" si="16"/>
        <v/>
      </c>
      <c r="I302" t="str">
        <f t="shared" si="17"/>
        <v/>
      </c>
      <c r="J302" t="str">
        <f t="shared" si="18"/>
        <v/>
      </c>
      <c r="K302" t="str">
        <f>IF(E302="","",SUM(ContractsTbl[[#This Row],[salaryY1]:[salaryY4]]))</f>
        <v/>
      </c>
      <c r="L302" t="b">
        <f t="shared" si="19"/>
        <v>1</v>
      </c>
    </row>
    <row r="303" spans="1:12" x14ac:dyDescent="0.2">
      <c r="A303" t="s">
        <v>1171</v>
      </c>
      <c r="B303" t="s">
        <v>74</v>
      </c>
      <c r="C303" t="s">
        <v>867</v>
      </c>
      <c r="D303" t="s">
        <v>44</v>
      </c>
      <c r="G303" s="10">
        <v>15500000</v>
      </c>
      <c r="H303" t="str">
        <f t="shared" si="16"/>
        <v/>
      </c>
      <c r="I303" t="str">
        <f t="shared" si="17"/>
        <v/>
      </c>
      <c r="J303" t="str">
        <f t="shared" si="18"/>
        <v/>
      </c>
      <c r="K303" t="str">
        <f>IF(E303="","",SUM(ContractsTbl[[#This Row],[salaryY1]:[salaryY4]]))</f>
        <v/>
      </c>
      <c r="L303" t="b">
        <f t="shared" si="19"/>
        <v>1</v>
      </c>
    </row>
    <row r="304" spans="1:12" x14ac:dyDescent="0.2">
      <c r="A304" t="s">
        <v>1172</v>
      </c>
      <c r="B304" t="s">
        <v>74</v>
      </c>
      <c r="C304" t="s">
        <v>868</v>
      </c>
      <c r="D304" t="s">
        <v>44</v>
      </c>
      <c r="G304" s="10">
        <v>370000</v>
      </c>
      <c r="H304" t="str">
        <f t="shared" si="16"/>
        <v/>
      </c>
      <c r="I304" t="str">
        <f t="shared" si="17"/>
        <v/>
      </c>
      <c r="J304" t="str">
        <f t="shared" si="18"/>
        <v/>
      </c>
      <c r="K304" t="str">
        <f>IF(E304="","",SUM(ContractsTbl[[#This Row],[salaryY1]:[salaryY4]]))</f>
        <v/>
      </c>
      <c r="L304" t="b">
        <f t="shared" si="19"/>
        <v>1</v>
      </c>
    </row>
    <row r="305" spans="1:12" x14ac:dyDescent="0.2">
      <c r="A305" t="s">
        <v>1173</v>
      </c>
      <c r="B305" t="s">
        <v>74</v>
      </c>
      <c r="C305" t="s">
        <v>869</v>
      </c>
      <c r="D305" t="s">
        <v>44</v>
      </c>
      <c r="G305" s="10">
        <v>390000</v>
      </c>
      <c r="H305" t="str">
        <f t="shared" si="16"/>
        <v/>
      </c>
      <c r="I305" t="str">
        <f t="shared" si="17"/>
        <v/>
      </c>
      <c r="J305" t="str">
        <f t="shared" si="18"/>
        <v/>
      </c>
      <c r="K305" t="str">
        <f>IF(E305="","",SUM(ContractsTbl[[#This Row],[salaryY1]:[salaryY4]]))</f>
        <v/>
      </c>
      <c r="L305" t="b">
        <f t="shared" si="19"/>
        <v>1</v>
      </c>
    </row>
    <row r="306" spans="1:12" x14ac:dyDescent="0.2">
      <c r="A306" t="s">
        <v>1174</v>
      </c>
      <c r="B306" t="s">
        <v>74</v>
      </c>
      <c r="C306" t="s">
        <v>870</v>
      </c>
      <c r="D306" t="s">
        <v>25</v>
      </c>
      <c r="E306">
        <v>2023</v>
      </c>
      <c r="F306">
        <v>2027</v>
      </c>
      <c r="G306" s="10">
        <v>7850000</v>
      </c>
      <c r="H306">
        <f t="shared" si="16"/>
        <v>7850000</v>
      </c>
      <c r="I306" t="str">
        <f t="shared" si="17"/>
        <v/>
      </c>
      <c r="J306" t="str">
        <f t="shared" si="18"/>
        <v/>
      </c>
      <c r="K306">
        <f>IF(E306="","",SUM(ContractsTbl[[#This Row],[salaryY1]:[salaryY4]]))</f>
        <v>15700000</v>
      </c>
      <c r="L306" t="b">
        <f t="shared" si="19"/>
        <v>0</v>
      </c>
    </row>
    <row r="307" spans="1:12" ht="16" x14ac:dyDescent="0.2">
      <c r="A307" t="s">
        <v>55</v>
      </c>
      <c r="B307" t="s">
        <v>73</v>
      </c>
      <c r="C307" t="s">
        <v>52</v>
      </c>
      <c r="D307" s="2" t="s">
        <v>129</v>
      </c>
      <c r="E307">
        <v>2025</v>
      </c>
      <c r="F307">
        <v>2026</v>
      </c>
      <c r="G307" s="10">
        <v>14555000</v>
      </c>
      <c r="H307" t="str">
        <f t="shared" si="16"/>
        <v/>
      </c>
      <c r="I307" t="str">
        <f t="shared" si="17"/>
        <v/>
      </c>
      <c r="J307" t="str">
        <f t="shared" si="18"/>
        <v/>
      </c>
      <c r="K307">
        <v>9962932.2300000004</v>
      </c>
      <c r="L307" t="b">
        <f t="shared" si="19"/>
        <v>0</v>
      </c>
    </row>
    <row r="308" spans="1:12" ht="16" x14ac:dyDescent="0.2">
      <c r="A308" t="s">
        <v>60</v>
      </c>
      <c r="B308" t="s">
        <v>73</v>
      </c>
      <c r="C308" t="s">
        <v>56</v>
      </c>
      <c r="D308" s="2" t="s">
        <v>129</v>
      </c>
      <c r="G308" s="10" t="s">
        <v>2892</v>
      </c>
      <c r="H308" t="str">
        <f t="shared" si="16"/>
        <v/>
      </c>
      <c r="I308" t="str">
        <f t="shared" si="17"/>
        <v/>
      </c>
      <c r="J308" t="str">
        <f t="shared" si="18"/>
        <v/>
      </c>
      <c r="L308" t="b">
        <f t="shared" si="19"/>
        <v>1</v>
      </c>
    </row>
    <row r="309" spans="1:12" ht="16" x14ac:dyDescent="0.2">
      <c r="A309" t="s">
        <v>4607</v>
      </c>
      <c r="B309" t="s">
        <v>73</v>
      </c>
      <c r="C309" t="s">
        <v>2913</v>
      </c>
      <c r="D309" s="2" t="s">
        <v>129</v>
      </c>
      <c r="G309" s="10" t="s">
        <v>2892</v>
      </c>
      <c r="H309" t="str">
        <f t="shared" si="16"/>
        <v/>
      </c>
      <c r="I309" t="str">
        <f t="shared" si="17"/>
        <v/>
      </c>
      <c r="J309" t="str">
        <f t="shared" si="18"/>
        <v/>
      </c>
      <c r="L309" t="b">
        <f t="shared" si="19"/>
        <v>1</v>
      </c>
    </row>
    <row r="310" spans="1:12" ht="16" x14ac:dyDescent="0.2">
      <c r="A310" t="s">
        <v>4608</v>
      </c>
      <c r="B310" t="s">
        <v>73</v>
      </c>
      <c r="C310" t="s">
        <v>2914</v>
      </c>
      <c r="D310" s="2" t="s">
        <v>129</v>
      </c>
      <c r="E310">
        <v>2025</v>
      </c>
      <c r="F310">
        <v>2026</v>
      </c>
      <c r="G310" s="10">
        <v>2590000</v>
      </c>
      <c r="H310" t="str">
        <f t="shared" si="16"/>
        <v/>
      </c>
      <c r="I310" t="str">
        <f t="shared" si="17"/>
        <v/>
      </c>
      <c r="J310" t="str">
        <f t="shared" si="18"/>
        <v/>
      </c>
      <c r="K310">
        <v>407156.78</v>
      </c>
      <c r="L310" t="b">
        <f t="shared" si="19"/>
        <v>0</v>
      </c>
    </row>
    <row r="311" spans="1:12" ht="16" x14ac:dyDescent="0.2">
      <c r="A311" t="s">
        <v>4609</v>
      </c>
      <c r="B311" t="s">
        <v>73</v>
      </c>
      <c r="C311" t="s">
        <v>2915</v>
      </c>
      <c r="D311" s="2" t="s">
        <v>129</v>
      </c>
      <c r="E311">
        <v>2025</v>
      </c>
      <c r="F311">
        <v>2026</v>
      </c>
      <c r="G311" s="10">
        <v>4059999.9999999995</v>
      </c>
      <c r="H311" t="str">
        <f t="shared" si="16"/>
        <v/>
      </c>
      <c r="I311" t="str">
        <f t="shared" si="17"/>
        <v/>
      </c>
      <c r="J311" t="str">
        <f t="shared" si="18"/>
        <v/>
      </c>
      <c r="K311">
        <v>2371488.9</v>
      </c>
      <c r="L311" t="b">
        <f t="shared" si="19"/>
        <v>0</v>
      </c>
    </row>
    <row r="312" spans="1:12" ht="16" x14ac:dyDescent="0.2">
      <c r="A312" t="s">
        <v>4610</v>
      </c>
      <c r="B312" t="s">
        <v>73</v>
      </c>
      <c r="C312" t="s">
        <v>2916</v>
      </c>
      <c r="D312" s="2" t="s">
        <v>129</v>
      </c>
      <c r="E312">
        <v>2025</v>
      </c>
      <c r="F312">
        <v>2026</v>
      </c>
      <c r="G312" s="10">
        <v>7175000</v>
      </c>
      <c r="H312" t="str">
        <f t="shared" si="16"/>
        <v/>
      </c>
      <c r="I312" t="str">
        <f t="shared" si="17"/>
        <v/>
      </c>
      <c r="J312" t="str">
        <f t="shared" si="18"/>
        <v/>
      </c>
      <c r="K312">
        <v>4639347.57</v>
      </c>
      <c r="L312" t="b">
        <f t="shared" si="19"/>
        <v>0</v>
      </c>
    </row>
    <row r="313" spans="1:12" ht="16" x14ac:dyDescent="0.2">
      <c r="A313" t="s">
        <v>4611</v>
      </c>
      <c r="B313" t="s">
        <v>73</v>
      </c>
      <c r="C313" t="s">
        <v>2917</v>
      </c>
      <c r="D313" s="2" t="s">
        <v>129</v>
      </c>
      <c r="E313">
        <v>2025</v>
      </c>
      <c r="F313">
        <v>2028</v>
      </c>
      <c r="G313" s="10">
        <v>10417500</v>
      </c>
      <c r="H313">
        <f t="shared" si="16"/>
        <v>10417500</v>
      </c>
      <c r="I313">
        <f t="shared" si="17"/>
        <v>10417500</v>
      </c>
      <c r="J313" t="str">
        <f t="shared" si="18"/>
        <v/>
      </c>
      <c r="K313">
        <v>11760083.5</v>
      </c>
      <c r="L313" t="b">
        <f t="shared" si="19"/>
        <v>0</v>
      </c>
    </row>
    <row r="314" spans="1:12" ht="16" x14ac:dyDescent="0.2">
      <c r="A314" t="s">
        <v>4612</v>
      </c>
      <c r="B314" t="s">
        <v>73</v>
      </c>
      <c r="C314" t="s">
        <v>2918</v>
      </c>
      <c r="D314" s="2" t="s">
        <v>129</v>
      </c>
      <c r="E314">
        <v>2025</v>
      </c>
      <c r="F314">
        <v>2027</v>
      </c>
      <c r="G314" s="10">
        <v>9756666.6666666698</v>
      </c>
      <c r="H314">
        <f t="shared" si="16"/>
        <v>9756666.6666666698</v>
      </c>
      <c r="I314" t="str">
        <f t="shared" si="17"/>
        <v/>
      </c>
      <c r="J314" t="str">
        <f t="shared" si="18"/>
        <v/>
      </c>
      <c r="K314">
        <v>9265362.6699999999</v>
      </c>
      <c r="L314" t="b">
        <f t="shared" si="19"/>
        <v>0</v>
      </c>
    </row>
    <row r="315" spans="1:12" ht="16" x14ac:dyDescent="0.2">
      <c r="A315" t="s">
        <v>4613</v>
      </c>
      <c r="B315" t="s">
        <v>73</v>
      </c>
      <c r="C315" t="s">
        <v>2919</v>
      </c>
      <c r="D315" s="2" t="s">
        <v>129</v>
      </c>
      <c r="E315">
        <v>2025</v>
      </c>
      <c r="F315">
        <v>2026</v>
      </c>
      <c r="G315" s="10">
        <v>5835000</v>
      </c>
      <c r="H315" t="str">
        <f t="shared" si="16"/>
        <v/>
      </c>
      <c r="I315" t="str">
        <f t="shared" si="17"/>
        <v/>
      </c>
      <c r="J315" t="str">
        <f t="shared" si="18"/>
        <v/>
      </c>
      <c r="K315">
        <v>2304928.91</v>
      </c>
      <c r="L315" t="b">
        <f t="shared" si="19"/>
        <v>0</v>
      </c>
    </row>
    <row r="316" spans="1:12" ht="16" x14ac:dyDescent="0.2">
      <c r="A316" t="s">
        <v>4614</v>
      </c>
      <c r="B316" t="s">
        <v>73</v>
      </c>
      <c r="C316" t="s">
        <v>2920</v>
      </c>
      <c r="D316" s="2" t="s">
        <v>129</v>
      </c>
      <c r="G316" s="10" t="s">
        <v>2892</v>
      </c>
      <c r="H316" t="str">
        <f t="shared" si="16"/>
        <v/>
      </c>
      <c r="I316" t="str">
        <f t="shared" si="17"/>
        <v/>
      </c>
      <c r="J316" t="str">
        <f t="shared" si="18"/>
        <v/>
      </c>
      <c r="L316" t="b">
        <f t="shared" si="19"/>
        <v>1</v>
      </c>
    </row>
    <row r="317" spans="1:12" ht="16" x14ac:dyDescent="0.2">
      <c r="A317" t="s">
        <v>4615</v>
      </c>
      <c r="B317" t="s">
        <v>73</v>
      </c>
      <c r="C317" t="s">
        <v>2921</v>
      </c>
      <c r="D317" s="2" t="s">
        <v>129</v>
      </c>
      <c r="G317" s="10" t="s">
        <v>2892</v>
      </c>
      <c r="H317" t="str">
        <f t="shared" si="16"/>
        <v/>
      </c>
      <c r="I317" t="str">
        <f t="shared" si="17"/>
        <v/>
      </c>
      <c r="J317" t="str">
        <f t="shared" si="18"/>
        <v/>
      </c>
      <c r="L317" t="b">
        <f t="shared" si="19"/>
        <v>1</v>
      </c>
    </row>
    <row r="318" spans="1:12" ht="16" x14ac:dyDescent="0.2">
      <c r="A318" t="s">
        <v>4616</v>
      </c>
      <c r="B318" t="s">
        <v>73</v>
      </c>
      <c r="C318" t="s">
        <v>2922</v>
      </c>
      <c r="D318" s="2" t="s">
        <v>129</v>
      </c>
      <c r="E318">
        <v>2025</v>
      </c>
      <c r="F318">
        <v>2026</v>
      </c>
      <c r="G318" s="10">
        <v>1760000</v>
      </c>
      <c r="H318" t="str">
        <f t="shared" si="16"/>
        <v/>
      </c>
      <c r="I318" t="str">
        <f t="shared" si="17"/>
        <v/>
      </c>
      <c r="J318" t="str">
        <f t="shared" si="18"/>
        <v/>
      </c>
      <c r="K318">
        <v>60747.95</v>
      </c>
      <c r="L318" t="b">
        <f t="shared" si="19"/>
        <v>0</v>
      </c>
    </row>
    <row r="319" spans="1:12" ht="16" x14ac:dyDescent="0.2">
      <c r="A319" t="s">
        <v>4617</v>
      </c>
      <c r="B319" t="s">
        <v>73</v>
      </c>
      <c r="C319" t="s">
        <v>2923</v>
      </c>
      <c r="D319" s="2" t="s">
        <v>129</v>
      </c>
      <c r="E319">
        <v>2025</v>
      </c>
      <c r="F319">
        <v>2026</v>
      </c>
      <c r="G319" s="10">
        <v>4065000.0000000005</v>
      </c>
      <c r="H319" t="str">
        <f t="shared" si="16"/>
        <v/>
      </c>
      <c r="I319" t="str">
        <f t="shared" si="17"/>
        <v/>
      </c>
      <c r="J319" t="str">
        <f t="shared" si="18"/>
        <v/>
      </c>
      <c r="K319">
        <v>2243536.7000000002</v>
      </c>
      <c r="L319" t="b">
        <f t="shared" si="19"/>
        <v>0</v>
      </c>
    </row>
    <row r="320" spans="1:12" ht="16" x14ac:dyDescent="0.2">
      <c r="A320" t="s">
        <v>4618</v>
      </c>
      <c r="B320" t="s">
        <v>73</v>
      </c>
      <c r="C320" t="s">
        <v>2924</v>
      </c>
      <c r="D320" s="2" t="s">
        <v>129</v>
      </c>
      <c r="E320">
        <v>2025</v>
      </c>
      <c r="F320">
        <v>2026</v>
      </c>
      <c r="G320" s="10">
        <v>4735000</v>
      </c>
      <c r="H320" t="str">
        <f t="shared" si="16"/>
        <v/>
      </c>
      <c r="I320" t="str">
        <f t="shared" si="17"/>
        <v/>
      </c>
      <c r="J320" t="str">
        <f t="shared" si="18"/>
        <v/>
      </c>
      <c r="K320">
        <v>2838427.55</v>
      </c>
      <c r="L320" t="b">
        <f t="shared" si="19"/>
        <v>0</v>
      </c>
    </row>
    <row r="321" spans="1:12" ht="16" x14ac:dyDescent="0.2">
      <c r="A321" t="s">
        <v>4619</v>
      </c>
      <c r="B321" t="s">
        <v>73</v>
      </c>
      <c r="C321" t="s">
        <v>2925</v>
      </c>
      <c r="D321" s="2" t="s">
        <v>129</v>
      </c>
      <c r="G321" s="10" t="s">
        <v>2892</v>
      </c>
      <c r="H321" t="str">
        <f t="shared" si="16"/>
        <v/>
      </c>
      <c r="I321" t="str">
        <f t="shared" si="17"/>
        <v/>
      </c>
      <c r="J321" t="str">
        <f t="shared" si="18"/>
        <v/>
      </c>
      <c r="L321" t="b">
        <f t="shared" si="19"/>
        <v>1</v>
      </c>
    </row>
    <row r="322" spans="1:12" ht="16" x14ac:dyDescent="0.2">
      <c r="A322" t="s">
        <v>4620</v>
      </c>
      <c r="B322" t="s">
        <v>73</v>
      </c>
      <c r="C322" t="s">
        <v>2926</v>
      </c>
      <c r="D322" s="2" t="s">
        <v>129</v>
      </c>
      <c r="G322" s="10" t="s">
        <v>2892</v>
      </c>
      <c r="H322" t="str">
        <f t="shared" si="16"/>
        <v/>
      </c>
      <c r="I322" t="str">
        <f t="shared" si="17"/>
        <v/>
      </c>
      <c r="J322" t="str">
        <f t="shared" si="18"/>
        <v/>
      </c>
      <c r="L322" t="b">
        <f t="shared" si="19"/>
        <v>1</v>
      </c>
    </row>
    <row r="323" spans="1:12" ht="16" x14ac:dyDescent="0.2">
      <c r="A323" t="s">
        <v>4621</v>
      </c>
      <c r="B323" t="s">
        <v>73</v>
      </c>
      <c r="C323" t="s">
        <v>2927</v>
      </c>
      <c r="D323" s="2" t="s">
        <v>129</v>
      </c>
      <c r="E323">
        <v>2025</v>
      </c>
      <c r="F323">
        <v>2026</v>
      </c>
      <c r="G323" s="10">
        <v>2415000</v>
      </c>
      <c r="H323" t="str">
        <f t="shared" si="16"/>
        <v/>
      </c>
      <c r="I323" t="str">
        <f t="shared" si="17"/>
        <v/>
      </c>
      <c r="J323" t="str">
        <f t="shared" si="18"/>
        <v/>
      </c>
      <c r="K323">
        <v>919404.27</v>
      </c>
      <c r="L323" t="b">
        <f t="shared" si="19"/>
        <v>0</v>
      </c>
    </row>
    <row r="324" spans="1:12" ht="16" x14ac:dyDescent="0.2">
      <c r="A324" t="s">
        <v>4622</v>
      </c>
      <c r="B324" t="s">
        <v>73</v>
      </c>
      <c r="C324" t="s">
        <v>2928</v>
      </c>
      <c r="D324" s="2" t="s">
        <v>129</v>
      </c>
      <c r="E324">
        <v>2025</v>
      </c>
      <c r="F324">
        <v>2026</v>
      </c>
      <c r="G324" s="10">
        <v>10040000</v>
      </c>
      <c r="H324" t="str">
        <f t="shared" ref="H324:H387" si="20">IF(F324&gt;=2027,G324,"")</f>
        <v/>
      </c>
      <c r="I324" t="str">
        <f t="shared" ref="I324:I387" si="21">IF(F324&gt;=2028,G324,"")</f>
        <v/>
      </c>
      <c r="J324" t="str">
        <f t="shared" ref="J324:J387" si="22">IF(F324&gt;=2029,G324,"")</f>
        <v/>
      </c>
      <c r="K324">
        <v>8028238.2599999998</v>
      </c>
      <c r="L324" t="b">
        <f t="shared" si="19"/>
        <v>0</v>
      </c>
    </row>
    <row r="325" spans="1:12" ht="16" x14ac:dyDescent="0.2">
      <c r="A325" t="s">
        <v>4623</v>
      </c>
      <c r="B325" t="s">
        <v>73</v>
      </c>
      <c r="C325" t="s">
        <v>2929</v>
      </c>
      <c r="D325" s="2" t="s">
        <v>129</v>
      </c>
      <c r="G325" s="10" t="s">
        <v>2892</v>
      </c>
      <c r="H325" t="str">
        <f t="shared" si="20"/>
        <v/>
      </c>
      <c r="I325" t="str">
        <f t="shared" si="21"/>
        <v/>
      </c>
      <c r="J325" t="str">
        <f t="shared" si="22"/>
        <v/>
      </c>
      <c r="L325" t="b">
        <f t="shared" si="19"/>
        <v>1</v>
      </c>
    </row>
    <row r="326" spans="1:12" ht="16" x14ac:dyDescent="0.2">
      <c r="A326" t="s">
        <v>4624</v>
      </c>
      <c r="B326" t="s">
        <v>73</v>
      </c>
      <c r="C326" t="s">
        <v>2930</v>
      </c>
      <c r="D326" s="2" t="s">
        <v>129</v>
      </c>
      <c r="E326">
        <v>2025</v>
      </c>
      <c r="F326">
        <v>2028</v>
      </c>
      <c r="G326" s="10">
        <v>6002500</v>
      </c>
      <c r="H326">
        <f t="shared" si="20"/>
        <v>6002500</v>
      </c>
      <c r="I326">
        <f t="shared" si="21"/>
        <v>6002500</v>
      </c>
      <c r="J326" t="str">
        <f t="shared" si="22"/>
        <v/>
      </c>
      <c r="K326">
        <v>3771572.94</v>
      </c>
      <c r="L326" t="b">
        <f t="shared" si="19"/>
        <v>0</v>
      </c>
    </row>
    <row r="327" spans="1:12" ht="16" x14ac:dyDescent="0.2">
      <c r="A327" t="s">
        <v>4625</v>
      </c>
      <c r="B327" t="s">
        <v>73</v>
      </c>
      <c r="C327" t="s">
        <v>2931</v>
      </c>
      <c r="D327" s="2" t="s">
        <v>129</v>
      </c>
      <c r="E327">
        <v>2025</v>
      </c>
      <c r="F327">
        <v>2027</v>
      </c>
      <c r="G327" s="10">
        <v>10540000</v>
      </c>
      <c r="H327">
        <f t="shared" si="20"/>
        <v>10540000</v>
      </c>
      <c r="I327" t="str">
        <f t="shared" si="21"/>
        <v/>
      </c>
      <c r="J327" t="str">
        <f t="shared" si="22"/>
        <v/>
      </c>
      <c r="K327">
        <v>8336792.9000000004</v>
      </c>
      <c r="L327" t="b">
        <f t="shared" si="19"/>
        <v>0</v>
      </c>
    </row>
    <row r="328" spans="1:12" ht="16" x14ac:dyDescent="0.2">
      <c r="A328" t="s">
        <v>4626</v>
      </c>
      <c r="B328" t="s">
        <v>73</v>
      </c>
      <c r="C328" t="s">
        <v>2932</v>
      </c>
      <c r="D328" s="2" t="s">
        <v>129</v>
      </c>
      <c r="G328" s="10" t="s">
        <v>2892</v>
      </c>
      <c r="H328" t="str">
        <f t="shared" si="20"/>
        <v/>
      </c>
      <c r="I328" t="str">
        <f t="shared" si="21"/>
        <v/>
      </c>
      <c r="J328" t="str">
        <f t="shared" si="22"/>
        <v/>
      </c>
      <c r="L328" t="b">
        <f t="shared" si="19"/>
        <v>1</v>
      </c>
    </row>
    <row r="329" spans="1:12" ht="16" x14ac:dyDescent="0.2">
      <c r="A329" t="s">
        <v>4627</v>
      </c>
      <c r="B329" t="s">
        <v>73</v>
      </c>
      <c r="C329" t="s">
        <v>2933</v>
      </c>
      <c r="D329" s="2" t="s">
        <v>129</v>
      </c>
      <c r="G329" s="10" t="s">
        <v>2892</v>
      </c>
      <c r="H329" t="str">
        <f t="shared" si="20"/>
        <v/>
      </c>
      <c r="I329" t="str">
        <f t="shared" si="21"/>
        <v/>
      </c>
      <c r="J329" t="str">
        <f t="shared" si="22"/>
        <v/>
      </c>
      <c r="L329" t="b">
        <f t="shared" si="19"/>
        <v>1</v>
      </c>
    </row>
    <row r="330" spans="1:12" ht="16" x14ac:dyDescent="0.2">
      <c r="A330" t="s">
        <v>4628</v>
      </c>
      <c r="B330" t="s">
        <v>73</v>
      </c>
      <c r="C330" t="s">
        <v>2934</v>
      </c>
      <c r="D330" s="2" t="s">
        <v>129</v>
      </c>
      <c r="G330" s="10" t="s">
        <v>2892</v>
      </c>
      <c r="H330" t="str">
        <f t="shared" si="20"/>
        <v/>
      </c>
      <c r="I330" t="str">
        <f t="shared" si="21"/>
        <v/>
      </c>
      <c r="J330" t="str">
        <f t="shared" si="22"/>
        <v/>
      </c>
      <c r="L330" t="b">
        <f t="shared" si="19"/>
        <v>1</v>
      </c>
    </row>
    <row r="331" spans="1:12" ht="16" x14ac:dyDescent="0.2">
      <c r="A331" t="s">
        <v>4629</v>
      </c>
      <c r="B331" t="s">
        <v>73</v>
      </c>
      <c r="C331" t="s">
        <v>2935</v>
      </c>
      <c r="D331" s="2" t="s">
        <v>129</v>
      </c>
      <c r="G331" s="10" t="s">
        <v>2892</v>
      </c>
      <c r="H331" t="str">
        <f t="shared" si="20"/>
        <v/>
      </c>
      <c r="I331" t="str">
        <f t="shared" si="21"/>
        <v/>
      </c>
      <c r="J331" t="str">
        <f t="shared" si="22"/>
        <v/>
      </c>
      <c r="L331" t="b">
        <f t="shared" si="19"/>
        <v>1</v>
      </c>
    </row>
    <row r="332" spans="1:12" ht="16" x14ac:dyDescent="0.2">
      <c r="A332" t="s">
        <v>4630</v>
      </c>
      <c r="B332" t="s">
        <v>73</v>
      </c>
      <c r="C332" t="s">
        <v>2936</v>
      </c>
      <c r="D332" s="2" t="s">
        <v>129</v>
      </c>
      <c r="G332" s="10" t="s">
        <v>2892</v>
      </c>
      <c r="H332" t="str">
        <f t="shared" si="20"/>
        <v/>
      </c>
      <c r="I332" t="str">
        <f t="shared" si="21"/>
        <v/>
      </c>
      <c r="J332" t="str">
        <f t="shared" si="22"/>
        <v/>
      </c>
      <c r="L332" t="b">
        <f t="shared" si="19"/>
        <v>1</v>
      </c>
    </row>
    <row r="333" spans="1:12" ht="16" x14ac:dyDescent="0.2">
      <c r="A333" t="s">
        <v>4631</v>
      </c>
      <c r="B333" t="s">
        <v>73</v>
      </c>
      <c r="C333" t="s">
        <v>2937</v>
      </c>
      <c r="D333" s="2" t="s">
        <v>129</v>
      </c>
      <c r="E333">
        <v>2025</v>
      </c>
      <c r="F333">
        <v>2026</v>
      </c>
      <c r="G333" s="10">
        <v>4335000</v>
      </c>
      <c r="H333" t="str">
        <f t="shared" si="20"/>
        <v/>
      </c>
      <c r="I333" t="str">
        <f t="shared" si="21"/>
        <v/>
      </c>
      <c r="J333" t="str">
        <f t="shared" si="22"/>
        <v/>
      </c>
      <c r="K333">
        <v>1381372.75</v>
      </c>
      <c r="L333" t="b">
        <f t="shared" si="19"/>
        <v>0</v>
      </c>
    </row>
    <row r="334" spans="1:12" ht="16" x14ac:dyDescent="0.2">
      <c r="A334" t="s">
        <v>4632</v>
      </c>
      <c r="B334" t="s">
        <v>73</v>
      </c>
      <c r="C334" t="s">
        <v>2938</v>
      </c>
      <c r="D334" s="2" t="s">
        <v>129</v>
      </c>
      <c r="E334">
        <v>2025</v>
      </c>
      <c r="F334">
        <v>2027</v>
      </c>
      <c r="G334" s="10">
        <v>5070000</v>
      </c>
      <c r="H334">
        <f t="shared" si="20"/>
        <v>5070000</v>
      </c>
      <c r="I334" t="str">
        <f t="shared" si="21"/>
        <v/>
      </c>
      <c r="J334" t="str">
        <f t="shared" si="22"/>
        <v/>
      </c>
      <c r="K334">
        <v>2473475.16</v>
      </c>
      <c r="L334" t="b">
        <f t="shared" si="19"/>
        <v>0</v>
      </c>
    </row>
    <row r="335" spans="1:12" ht="16" x14ac:dyDescent="0.2">
      <c r="A335" t="s">
        <v>4633</v>
      </c>
      <c r="B335" t="s">
        <v>73</v>
      </c>
      <c r="C335" t="s">
        <v>2939</v>
      </c>
      <c r="D335" s="2" t="s">
        <v>129</v>
      </c>
      <c r="E335">
        <v>2025</v>
      </c>
      <c r="F335">
        <v>2027</v>
      </c>
      <c r="G335" s="10">
        <v>8386666.666666667</v>
      </c>
      <c r="H335">
        <f t="shared" si="20"/>
        <v>8386666.666666667</v>
      </c>
      <c r="I335" t="str">
        <f t="shared" si="21"/>
        <v/>
      </c>
      <c r="J335" t="str">
        <f t="shared" si="22"/>
        <v/>
      </c>
      <c r="K335">
        <v>6345673.9000000004</v>
      </c>
      <c r="L335" t="b">
        <f t="shared" si="19"/>
        <v>0</v>
      </c>
    </row>
    <row r="336" spans="1:12" ht="16" x14ac:dyDescent="0.2">
      <c r="A336" t="s">
        <v>4634</v>
      </c>
      <c r="B336" t="s">
        <v>73</v>
      </c>
      <c r="C336" t="s">
        <v>2940</v>
      </c>
      <c r="D336" s="2" t="s">
        <v>129</v>
      </c>
      <c r="G336" s="10" t="s">
        <v>2892</v>
      </c>
      <c r="H336" t="str">
        <f t="shared" si="20"/>
        <v/>
      </c>
      <c r="I336" t="str">
        <f t="shared" si="21"/>
        <v/>
      </c>
      <c r="J336" t="str">
        <f t="shared" si="22"/>
        <v/>
      </c>
      <c r="L336" t="b">
        <f t="shared" si="19"/>
        <v>1</v>
      </c>
    </row>
    <row r="337" spans="1:12" ht="16" x14ac:dyDescent="0.2">
      <c r="A337" t="s">
        <v>4635</v>
      </c>
      <c r="B337" t="s">
        <v>73</v>
      </c>
      <c r="C337" t="s">
        <v>2941</v>
      </c>
      <c r="D337" s="2" t="s">
        <v>129</v>
      </c>
      <c r="E337">
        <v>2025</v>
      </c>
      <c r="F337">
        <v>2027</v>
      </c>
      <c r="G337" s="10">
        <v>10043333.333333332</v>
      </c>
      <c r="H337">
        <f t="shared" si="20"/>
        <v>10043333.333333332</v>
      </c>
      <c r="I337" t="str">
        <f t="shared" si="21"/>
        <v/>
      </c>
      <c r="J337" t="str">
        <f t="shared" si="22"/>
        <v/>
      </c>
      <c r="K337">
        <v>12424821.939999999</v>
      </c>
      <c r="L337" t="b">
        <f t="shared" si="19"/>
        <v>0</v>
      </c>
    </row>
    <row r="338" spans="1:12" ht="16" x14ac:dyDescent="0.2">
      <c r="A338" t="s">
        <v>4636</v>
      </c>
      <c r="B338" t="s">
        <v>73</v>
      </c>
      <c r="C338" t="s">
        <v>2942</v>
      </c>
      <c r="D338" s="2" t="s">
        <v>129</v>
      </c>
      <c r="E338">
        <v>2025</v>
      </c>
      <c r="F338">
        <v>2026</v>
      </c>
      <c r="G338" s="10">
        <v>4995000</v>
      </c>
      <c r="H338" t="str">
        <f t="shared" si="20"/>
        <v/>
      </c>
      <c r="I338" t="str">
        <f t="shared" si="21"/>
        <v/>
      </c>
      <c r="J338" t="str">
        <f t="shared" si="22"/>
        <v/>
      </c>
      <c r="K338">
        <v>1507865.02</v>
      </c>
      <c r="L338" t="b">
        <f t="shared" si="19"/>
        <v>0</v>
      </c>
    </row>
    <row r="339" spans="1:12" ht="16" x14ac:dyDescent="0.2">
      <c r="A339" t="s">
        <v>4637</v>
      </c>
      <c r="B339" t="s">
        <v>73</v>
      </c>
      <c r="C339" t="s">
        <v>2943</v>
      </c>
      <c r="D339" s="2" t="s">
        <v>129</v>
      </c>
      <c r="E339">
        <v>2025</v>
      </c>
      <c r="F339">
        <v>2028</v>
      </c>
      <c r="G339" s="10">
        <v>4955000</v>
      </c>
      <c r="H339">
        <f t="shared" si="20"/>
        <v>4955000</v>
      </c>
      <c r="I339">
        <f t="shared" si="21"/>
        <v>4955000</v>
      </c>
      <c r="J339" t="str">
        <f t="shared" si="22"/>
        <v/>
      </c>
      <c r="K339">
        <v>2851471.34</v>
      </c>
      <c r="L339" t="b">
        <f t="shared" si="19"/>
        <v>0</v>
      </c>
    </row>
    <row r="340" spans="1:12" ht="16" x14ac:dyDescent="0.2">
      <c r="A340" t="s">
        <v>4638</v>
      </c>
      <c r="B340" t="s">
        <v>73</v>
      </c>
      <c r="C340" t="s">
        <v>2944</v>
      </c>
      <c r="D340" s="2" t="s">
        <v>129</v>
      </c>
      <c r="E340">
        <v>2025</v>
      </c>
      <c r="F340">
        <v>2027</v>
      </c>
      <c r="G340" s="10">
        <v>4586666.666666667</v>
      </c>
      <c r="H340">
        <f t="shared" si="20"/>
        <v>4586666.666666667</v>
      </c>
      <c r="I340" t="str">
        <f t="shared" si="21"/>
        <v/>
      </c>
      <c r="J340" t="str">
        <f t="shared" si="22"/>
        <v/>
      </c>
      <c r="K340">
        <v>3308943.68</v>
      </c>
      <c r="L340" t="b">
        <f t="shared" si="19"/>
        <v>0</v>
      </c>
    </row>
    <row r="341" spans="1:12" ht="16" x14ac:dyDescent="0.2">
      <c r="A341" t="s">
        <v>4639</v>
      </c>
      <c r="B341" t="s">
        <v>73</v>
      </c>
      <c r="C341" t="s">
        <v>2945</v>
      </c>
      <c r="D341" s="2" t="s">
        <v>129</v>
      </c>
      <c r="G341" s="10" t="s">
        <v>2892</v>
      </c>
      <c r="H341" t="str">
        <f t="shared" si="20"/>
        <v/>
      </c>
      <c r="I341" t="str">
        <f t="shared" si="21"/>
        <v/>
      </c>
      <c r="J341" t="str">
        <f t="shared" si="22"/>
        <v/>
      </c>
      <c r="L341" t="b">
        <f t="shared" si="19"/>
        <v>1</v>
      </c>
    </row>
    <row r="342" spans="1:12" ht="16" x14ac:dyDescent="0.2">
      <c r="A342" t="s">
        <v>4640</v>
      </c>
      <c r="B342" t="s">
        <v>73</v>
      </c>
      <c r="C342" t="s">
        <v>2946</v>
      </c>
      <c r="D342" s="2" t="s">
        <v>129</v>
      </c>
      <c r="E342">
        <v>2025</v>
      </c>
      <c r="F342">
        <v>2026</v>
      </c>
      <c r="G342" s="10">
        <v>1760000</v>
      </c>
      <c r="H342" t="str">
        <f t="shared" si="20"/>
        <v/>
      </c>
      <c r="I342" t="str">
        <f t="shared" si="21"/>
        <v/>
      </c>
      <c r="J342" t="str">
        <f t="shared" si="22"/>
        <v/>
      </c>
      <c r="K342">
        <v>268950.37</v>
      </c>
      <c r="L342" t="b">
        <f t="shared" si="19"/>
        <v>0</v>
      </c>
    </row>
    <row r="343" spans="1:12" ht="16" x14ac:dyDescent="0.2">
      <c r="A343" t="s">
        <v>4641</v>
      </c>
      <c r="B343" t="s">
        <v>73</v>
      </c>
      <c r="C343" t="s">
        <v>2947</v>
      </c>
      <c r="D343" s="2" t="s">
        <v>129</v>
      </c>
      <c r="E343">
        <v>2026</v>
      </c>
      <c r="F343">
        <v>2029</v>
      </c>
      <c r="G343" s="10">
        <v>18116666.666666668</v>
      </c>
      <c r="H343">
        <f t="shared" si="20"/>
        <v>18116666.666666668</v>
      </c>
      <c r="I343">
        <f t="shared" si="21"/>
        <v>18116666.666666668</v>
      </c>
      <c r="J343">
        <f t="shared" si="22"/>
        <v>18116666.666666668</v>
      </c>
      <c r="K343">
        <v>27715328.960000001</v>
      </c>
      <c r="L343" t="b">
        <f t="shared" si="19"/>
        <v>0</v>
      </c>
    </row>
    <row r="344" spans="1:12" ht="16" x14ac:dyDescent="0.2">
      <c r="A344" t="s">
        <v>4642</v>
      </c>
      <c r="B344" t="s">
        <v>73</v>
      </c>
      <c r="C344" t="s">
        <v>2948</v>
      </c>
      <c r="D344" s="2" t="s">
        <v>129</v>
      </c>
      <c r="E344">
        <v>2025</v>
      </c>
      <c r="F344">
        <v>2026</v>
      </c>
      <c r="G344" s="10">
        <v>4170000</v>
      </c>
      <c r="H344" t="str">
        <f t="shared" si="20"/>
        <v/>
      </c>
      <c r="I344" t="str">
        <f t="shared" si="21"/>
        <v/>
      </c>
      <c r="J344" t="str">
        <f t="shared" si="22"/>
        <v/>
      </c>
      <c r="K344">
        <v>1083925.99</v>
      </c>
      <c r="L344" t="b">
        <f t="shared" si="19"/>
        <v>0</v>
      </c>
    </row>
    <row r="345" spans="1:12" ht="16" x14ac:dyDescent="0.2">
      <c r="A345" t="s">
        <v>4643</v>
      </c>
      <c r="B345" t="s">
        <v>73</v>
      </c>
      <c r="C345" t="s">
        <v>2949</v>
      </c>
      <c r="D345" s="2" t="s">
        <v>129</v>
      </c>
      <c r="E345">
        <v>2025</v>
      </c>
      <c r="F345">
        <v>2027</v>
      </c>
      <c r="G345" s="10">
        <v>1750000</v>
      </c>
      <c r="H345">
        <f t="shared" si="20"/>
        <v>1750000</v>
      </c>
      <c r="I345" t="str">
        <f t="shared" si="21"/>
        <v/>
      </c>
      <c r="J345" t="str">
        <f t="shared" si="22"/>
        <v/>
      </c>
      <c r="K345">
        <v>315595.77</v>
      </c>
      <c r="L345" t="b">
        <f t="shared" si="19"/>
        <v>0</v>
      </c>
    </row>
    <row r="346" spans="1:12" ht="16" x14ac:dyDescent="0.2">
      <c r="A346" t="s">
        <v>4644</v>
      </c>
      <c r="B346" t="s">
        <v>73</v>
      </c>
      <c r="C346" t="s">
        <v>2950</v>
      </c>
      <c r="D346" s="2" t="s">
        <v>129</v>
      </c>
      <c r="E346">
        <v>2025</v>
      </c>
      <c r="F346">
        <v>2026</v>
      </c>
      <c r="G346" s="10">
        <v>3215000</v>
      </c>
      <c r="H346" t="str">
        <f t="shared" si="20"/>
        <v/>
      </c>
      <c r="I346" t="str">
        <f t="shared" si="21"/>
        <v/>
      </c>
      <c r="J346" t="str">
        <f t="shared" si="22"/>
        <v/>
      </c>
      <c r="K346">
        <v>1014021.32</v>
      </c>
      <c r="L346" t="b">
        <f t="shared" si="19"/>
        <v>0</v>
      </c>
    </row>
    <row r="347" spans="1:12" ht="16" x14ac:dyDescent="0.2">
      <c r="A347" t="s">
        <v>4645</v>
      </c>
      <c r="B347" t="s">
        <v>73</v>
      </c>
      <c r="C347" t="s">
        <v>2951</v>
      </c>
      <c r="D347" s="2" t="s">
        <v>129</v>
      </c>
      <c r="E347">
        <v>2025</v>
      </c>
      <c r="F347">
        <v>2026</v>
      </c>
      <c r="G347" s="10">
        <v>6660000</v>
      </c>
      <c r="H347" t="str">
        <f t="shared" si="20"/>
        <v/>
      </c>
      <c r="I347" t="str">
        <f t="shared" si="21"/>
        <v/>
      </c>
      <c r="J347" t="str">
        <f t="shared" si="22"/>
        <v/>
      </c>
      <c r="K347">
        <v>2470215.87</v>
      </c>
      <c r="L347" t="b">
        <f t="shared" si="19"/>
        <v>0</v>
      </c>
    </row>
    <row r="348" spans="1:12" ht="16" x14ac:dyDescent="0.2">
      <c r="A348" t="s">
        <v>4646</v>
      </c>
      <c r="B348" t="s">
        <v>73</v>
      </c>
      <c r="C348" t="s">
        <v>2952</v>
      </c>
      <c r="D348" s="2" t="s">
        <v>129</v>
      </c>
      <c r="E348">
        <v>2025</v>
      </c>
      <c r="F348">
        <v>2027</v>
      </c>
      <c r="G348" s="10">
        <v>1826666.666666667</v>
      </c>
      <c r="H348">
        <f t="shared" si="20"/>
        <v>1826666.666666667</v>
      </c>
      <c r="I348" t="str">
        <f t="shared" si="21"/>
        <v/>
      </c>
      <c r="J348" t="str">
        <f t="shared" si="22"/>
        <v/>
      </c>
      <c r="K348">
        <v>221573.01</v>
      </c>
      <c r="L348" t="b">
        <f t="shared" si="19"/>
        <v>0</v>
      </c>
    </row>
    <row r="349" spans="1:12" ht="16" x14ac:dyDescent="0.2">
      <c r="A349" t="s">
        <v>4647</v>
      </c>
      <c r="B349" t="s">
        <v>73</v>
      </c>
      <c r="C349" t="s">
        <v>2953</v>
      </c>
      <c r="D349" s="2" t="s">
        <v>129</v>
      </c>
      <c r="E349">
        <v>2025</v>
      </c>
      <c r="F349">
        <v>2026</v>
      </c>
      <c r="G349" s="10">
        <v>2035000.0000000002</v>
      </c>
      <c r="H349" t="str">
        <f t="shared" si="20"/>
        <v/>
      </c>
      <c r="I349" t="str">
        <f t="shared" si="21"/>
        <v/>
      </c>
      <c r="J349" t="str">
        <f t="shared" si="22"/>
        <v/>
      </c>
      <c r="K349">
        <v>85094.95</v>
      </c>
      <c r="L349" t="b">
        <f t="shared" si="19"/>
        <v>0</v>
      </c>
    </row>
    <row r="350" spans="1:12" ht="16" x14ac:dyDescent="0.2">
      <c r="A350" t="s">
        <v>4648</v>
      </c>
      <c r="B350" t="s">
        <v>73</v>
      </c>
      <c r="C350" t="s">
        <v>2954</v>
      </c>
      <c r="D350" s="2" t="s">
        <v>129</v>
      </c>
      <c r="G350" s="10" t="s">
        <v>2892</v>
      </c>
      <c r="H350" t="str">
        <f t="shared" si="20"/>
        <v/>
      </c>
      <c r="I350" t="str">
        <f t="shared" si="21"/>
        <v/>
      </c>
      <c r="J350" t="str">
        <f t="shared" si="22"/>
        <v/>
      </c>
      <c r="L350" t="b">
        <f t="shared" si="19"/>
        <v>1</v>
      </c>
    </row>
    <row r="351" spans="1:12" ht="16" x14ac:dyDescent="0.2">
      <c r="A351" t="s">
        <v>4649</v>
      </c>
      <c r="B351" t="s">
        <v>73</v>
      </c>
      <c r="C351" t="s">
        <v>2955</v>
      </c>
      <c r="D351" s="2" t="s">
        <v>129</v>
      </c>
      <c r="E351">
        <v>2025</v>
      </c>
      <c r="F351">
        <v>2027</v>
      </c>
      <c r="G351" s="10">
        <v>8556666.666666666</v>
      </c>
      <c r="H351">
        <f t="shared" si="20"/>
        <v>8556666.666666666</v>
      </c>
      <c r="I351" t="str">
        <f t="shared" si="21"/>
        <v/>
      </c>
      <c r="J351" t="str">
        <f t="shared" si="22"/>
        <v/>
      </c>
      <c r="K351">
        <v>9021808.5399999991</v>
      </c>
      <c r="L351" t="b">
        <f t="shared" si="19"/>
        <v>0</v>
      </c>
    </row>
    <row r="352" spans="1:12" ht="16" x14ac:dyDescent="0.2">
      <c r="A352" t="s">
        <v>4650</v>
      </c>
      <c r="B352" t="s">
        <v>73</v>
      </c>
      <c r="C352" t="s">
        <v>2956</v>
      </c>
      <c r="D352" s="2" t="s">
        <v>129</v>
      </c>
      <c r="E352">
        <v>2025</v>
      </c>
      <c r="F352">
        <v>2026</v>
      </c>
      <c r="G352" s="10">
        <v>1840000</v>
      </c>
      <c r="H352" t="str">
        <f t="shared" si="20"/>
        <v/>
      </c>
      <c r="I352" t="str">
        <f t="shared" si="21"/>
        <v/>
      </c>
      <c r="J352" t="str">
        <f t="shared" si="22"/>
        <v/>
      </c>
      <c r="K352">
        <v>252612.39</v>
      </c>
      <c r="L352" t="b">
        <f t="shared" si="19"/>
        <v>0</v>
      </c>
    </row>
    <row r="353" spans="1:12" ht="16" x14ac:dyDescent="0.2">
      <c r="A353" t="s">
        <v>4651</v>
      </c>
      <c r="B353" t="s">
        <v>73</v>
      </c>
      <c r="C353" t="s">
        <v>2957</v>
      </c>
      <c r="D353" s="2" t="s">
        <v>129</v>
      </c>
      <c r="E353">
        <v>2025</v>
      </c>
      <c r="F353">
        <v>2026</v>
      </c>
      <c r="G353" s="10">
        <v>4135000</v>
      </c>
      <c r="H353" t="str">
        <f t="shared" si="20"/>
        <v/>
      </c>
      <c r="I353" t="str">
        <f t="shared" si="21"/>
        <v/>
      </c>
      <c r="J353" t="str">
        <f t="shared" si="22"/>
        <v/>
      </c>
      <c r="K353">
        <v>2072706.56</v>
      </c>
      <c r="L353" t="b">
        <f t="shared" si="19"/>
        <v>0</v>
      </c>
    </row>
    <row r="354" spans="1:12" ht="16" x14ac:dyDescent="0.2">
      <c r="A354" t="s">
        <v>4652</v>
      </c>
      <c r="B354" t="s">
        <v>73</v>
      </c>
      <c r="C354" t="s">
        <v>2958</v>
      </c>
      <c r="D354" s="2" t="s">
        <v>129</v>
      </c>
      <c r="G354" s="10" t="s">
        <v>2892</v>
      </c>
      <c r="H354" t="str">
        <f t="shared" si="20"/>
        <v/>
      </c>
      <c r="I354" t="str">
        <f t="shared" si="21"/>
        <v/>
      </c>
      <c r="J354" t="str">
        <f t="shared" si="22"/>
        <v/>
      </c>
      <c r="L354" t="b">
        <f t="shared" si="19"/>
        <v>1</v>
      </c>
    </row>
    <row r="355" spans="1:12" ht="16" x14ac:dyDescent="0.2">
      <c r="A355" t="s">
        <v>4653</v>
      </c>
      <c r="B355" t="s">
        <v>73</v>
      </c>
      <c r="C355" t="s">
        <v>2959</v>
      </c>
      <c r="D355" s="2" t="s">
        <v>129</v>
      </c>
      <c r="E355">
        <v>2025</v>
      </c>
      <c r="F355">
        <v>2026</v>
      </c>
      <c r="G355" s="10">
        <v>2130000</v>
      </c>
      <c r="H355" t="str">
        <f t="shared" si="20"/>
        <v/>
      </c>
      <c r="I355" t="str">
        <f t="shared" si="21"/>
        <v/>
      </c>
      <c r="J355" t="str">
        <f t="shared" si="22"/>
        <v/>
      </c>
      <c r="K355">
        <v>219972.82</v>
      </c>
      <c r="L355" t="b">
        <f t="shared" ref="L355:L418" si="23">IF(F355="",TRUE,FALSE)</f>
        <v>0</v>
      </c>
    </row>
    <row r="356" spans="1:12" ht="16" x14ac:dyDescent="0.2">
      <c r="A356" t="s">
        <v>4654</v>
      </c>
      <c r="B356" t="s">
        <v>73</v>
      </c>
      <c r="C356" t="s">
        <v>2960</v>
      </c>
      <c r="D356" s="2" t="s">
        <v>129</v>
      </c>
      <c r="G356" s="10" t="s">
        <v>2892</v>
      </c>
      <c r="H356" t="str">
        <f t="shared" si="20"/>
        <v/>
      </c>
      <c r="I356" t="str">
        <f t="shared" si="21"/>
        <v/>
      </c>
      <c r="J356" t="str">
        <f t="shared" si="22"/>
        <v/>
      </c>
      <c r="L356" t="b">
        <f t="shared" si="23"/>
        <v>1</v>
      </c>
    </row>
    <row r="357" spans="1:12" ht="16" x14ac:dyDescent="0.2">
      <c r="A357" t="s">
        <v>4655</v>
      </c>
      <c r="B357" t="s">
        <v>73</v>
      </c>
      <c r="C357" t="s">
        <v>2961</v>
      </c>
      <c r="D357" s="2" t="s">
        <v>129</v>
      </c>
      <c r="E357">
        <v>2025</v>
      </c>
      <c r="F357">
        <v>2026</v>
      </c>
      <c r="G357" s="10">
        <v>960000</v>
      </c>
      <c r="H357" t="str">
        <f t="shared" si="20"/>
        <v/>
      </c>
      <c r="I357" t="str">
        <f t="shared" si="21"/>
        <v/>
      </c>
      <c r="J357" t="str">
        <f t="shared" si="22"/>
        <v/>
      </c>
      <c r="K357">
        <v>357610.07</v>
      </c>
      <c r="L357" t="b">
        <f t="shared" si="23"/>
        <v>0</v>
      </c>
    </row>
    <row r="358" spans="1:12" ht="16" x14ac:dyDescent="0.2">
      <c r="A358" t="s">
        <v>4656</v>
      </c>
      <c r="B358" t="s">
        <v>73</v>
      </c>
      <c r="C358" t="s">
        <v>2962</v>
      </c>
      <c r="D358" s="2" t="s">
        <v>129</v>
      </c>
      <c r="E358">
        <v>2025</v>
      </c>
      <c r="F358">
        <v>2026</v>
      </c>
      <c r="G358" s="10">
        <v>9250000</v>
      </c>
      <c r="H358" t="str">
        <f t="shared" si="20"/>
        <v/>
      </c>
      <c r="I358" t="str">
        <f t="shared" si="21"/>
        <v/>
      </c>
      <c r="J358" t="str">
        <f t="shared" si="22"/>
        <v/>
      </c>
      <c r="K358">
        <v>5363377.59</v>
      </c>
      <c r="L358" t="b">
        <f t="shared" si="23"/>
        <v>0</v>
      </c>
    </row>
    <row r="359" spans="1:12" ht="16" x14ac:dyDescent="0.2">
      <c r="A359" t="s">
        <v>4657</v>
      </c>
      <c r="B359" t="s">
        <v>73</v>
      </c>
      <c r="C359" t="s">
        <v>2963</v>
      </c>
      <c r="D359" s="2" t="s">
        <v>129</v>
      </c>
      <c r="E359">
        <v>2025</v>
      </c>
      <c r="F359">
        <v>2026</v>
      </c>
      <c r="G359" s="10">
        <v>3695000</v>
      </c>
      <c r="H359" t="str">
        <f t="shared" si="20"/>
        <v/>
      </c>
      <c r="I359" t="str">
        <f t="shared" si="21"/>
        <v/>
      </c>
      <c r="J359" t="str">
        <f t="shared" si="22"/>
        <v/>
      </c>
      <c r="K359">
        <v>1912918.71</v>
      </c>
      <c r="L359" t="b">
        <f t="shared" si="23"/>
        <v>0</v>
      </c>
    </row>
    <row r="360" spans="1:12" ht="16" x14ac:dyDescent="0.2">
      <c r="A360" t="s">
        <v>4658</v>
      </c>
      <c r="B360" t="s">
        <v>73</v>
      </c>
      <c r="C360" t="s">
        <v>2964</v>
      </c>
      <c r="D360" s="2" t="s">
        <v>146</v>
      </c>
      <c r="E360">
        <v>2025</v>
      </c>
      <c r="F360">
        <v>2026</v>
      </c>
      <c r="G360" s="10">
        <v>6205000</v>
      </c>
      <c r="H360" t="str">
        <f t="shared" si="20"/>
        <v/>
      </c>
      <c r="I360" t="str">
        <f t="shared" si="21"/>
        <v/>
      </c>
      <c r="J360" t="str">
        <f t="shared" si="22"/>
        <v/>
      </c>
      <c r="K360">
        <v>2156786.2000000002</v>
      </c>
      <c r="L360" t="b">
        <f t="shared" si="23"/>
        <v>0</v>
      </c>
    </row>
    <row r="361" spans="1:12" ht="16" x14ac:dyDescent="0.2">
      <c r="A361" t="s">
        <v>4659</v>
      </c>
      <c r="B361" t="s">
        <v>73</v>
      </c>
      <c r="C361" t="s">
        <v>2965</v>
      </c>
      <c r="D361" s="2" t="s">
        <v>146</v>
      </c>
      <c r="E361">
        <v>2025</v>
      </c>
      <c r="F361">
        <v>2026</v>
      </c>
      <c r="G361" s="10">
        <v>6990000</v>
      </c>
      <c r="H361" t="str">
        <f t="shared" si="20"/>
        <v/>
      </c>
      <c r="I361" t="str">
        <f t="shared" si="21"/>
        <v/>
      </c>
      <c r="J361" t="str">
        <f t="shared" si="22"/>
        <v/>
      </c>
      <c r="K361">
        <v>2918510.83</v>
      </c>
      <c r="L361" t="b">
        <f t="shared" si="23"/>
        <v>0</v>
      </c>
    </row>
    <row r="362" spans="1:12" ht="16" x14ac:dyDescent="0.2">
      <c r="A362" t="s">
        <v>4660</v>
      </c>
      <c r="B362" t="s">
        <v>73</v>
      </c>
      <c r="C362" t="s">
        <v>2966</v>
      </c>
      <c r="D362" s="2" t="s">
        <v>146</v>
      </c>
      <c r="G362" s="10" t="s">
        <v>2892</v>
      </c>
      <c r="H362" t="str">
        <f t="shared" si="20"/>
        <v/>
      </c>
      <c r="I362" t="str">
        <f t="shared" si="21"/>
        <v/>
      </c>
      <c r="J362" t="str">
        <f t="shared" si="22"/>
        <v/>
      </c>
      <c r="L362" t="b">
        <f t="shared" si="23"/>
        <v>1</v>
      </c>
    </row>
    <row r="363" spans="1:12" ht="16" x14ac:dyDescent="0.2">
      <c r="A363" t="s">
        <v>4661</v>
      </c>
      <c r="B363" t="s">
        <v>73</v>
      </c>
      <c r="C363" t="s">
        <v>2967</v>
      </c>
      <c r="D363" s="2" t="s">
        <v>146</v>
      </c>
      <c r="E363">
        <v>2025</v>
      </c>
      <c r="F363">
        <v>2027</v>
      </c>
      <c r="G363" s="10">
        <v>1483333.3333333335</v>
      </c>
      <c r="H363">
        <f t="shared" si="20"/>
        <v>1483333.3333333335</v>
      </c>
      <c r="I363" t="str">
        <f t="shared" si="21"/>
        <v/>
      </c>
      <c r="J363" t="str">
        <f t="shared" si="22"/>
        <v/>
      </c>
      <c r="K363">
        <v>3212.5</v>
      </c>
      <c r="L363" t="b">
        <f t="shared" si="23"/>
        <v>0</v>
      </c>
    </row>
    <row r="364" spans="1:12" ht="16" x14ac:dyDescent="0.2">
      <c r="A364" t="s">
        <v>4662</v>
      </c>
      <c r="B364" t="s">
        <v>73</v>
      </c>
      <c r="C364" t="s">
        <v>2968</v>
      </c>
      <c r="D364" s="2" t="s">
        <v>146</v>
      </c>
      <c r="E364">
        <v>2025</v>
      </c>
      <c r="F364">
        <v>2026</v>
      </c>
      <c r="G364" s="10">
        <v>11820000</v>
      </c>
      <c r="H364" t="str">
        <f t="shared" si="20"/>
        <v/>
      </c>
      <c r="I364" t="str">
        <f t="shared" si="21"/>
        <v/>
      </c>
      <c r="J364" t="str">
        <f t="shared" si="22"/>
        <v/>
      </c>
      <c r="K364">
        <v>6418127.0700000003</v>
      </c>
      <c r="L364" t="b">
        <f t="shared" si="23"/>
        <v>0</v>
      </c>
    </row>
    <row r="365" spans="1:12" ht="16" x14ac:dyDescent="0.2">
      <c r="A365" t="s">
        <v>4663</v>
      </c>
      <c r="B365" t="s">
        <v>73</v>
      </c>
      <c r="C365" t="s">
        <v>2969</v>
      </c>
      <c r="D365" s="2" t="s">
        <v>146</v>
      </c>
      <c r="E365">
        <v>2025</v>
      </c>
      <c r="F365">
        <v>2026</v>
      </c>
      <c r="G365" s="10">
        <v>8845000</v>
      </c>
      <c r="H365" t="str">
        <f t="shared" si="20"/>
        <v/>
      </c>
      <c r="I365" t="str">
        <f t="shared" si="21"/>
        <v/>
      </c>
      <c r="J365" t="str">
        <f t="shared" si="22"/>
        <v/>
      </c>
      <c r="K365">
        <v>6807764.4400000004</v>
      </c>
      <c r="L365" t="b">
        <f t="shared" si="23"/>
        <v>0</v>
      </c>
    </row>
    <row r="366" spans="1:12" ht="16" x14ac:dyDescent="0.2">
      <c r="A366" t="s">
        <v>4664</v>
      </c>
      <c r="B366" t="s">
        <v>73</v>
      </c>
      <c r="C366" t="s">
        <v>2970</v>
      </c>
      <c r="D366" s="2" t="s">
        <v>146</v>
      </c>
      <c r="E366">
        <v>2025</v>
      </c>
      <c r="F366">
        <v>2027</v>
      </c>
      <c r="G366" s="10">
        <v>9523333.333333334</v>
      </c>
      <c r="H366">
        <f t="shared" si="20"/>
        <v>9523333.333333334</v>
      </c>
      <c r="I366" t="str">
        <f t="shared" si="21"/>
        <v/>
      </c>
      <c r="J366" t="str">
        <f t="shared" si="22"/>
        <v/>
      </c>
      <c r="K366">
        <v>12203023.16</v>
      </c>
      <c r="L366" t="b">
        <f t="shared" si="23"/>
        <v>0</v>
      </c>
    </row>
    <row r="367" spans="1:12" ht="16" x14ac:dyDescent="0.2">
      <c r="A367" t="s">
        <v>4665</v>
      </c>
      <c r="B367" t="s">
        <v>73</v>
      </c>
      <c r="C367" t="s">
        <v>2971</v>
      </c>
      <c r="D367" s="2" t="s">
        <v>146</v>
      </c>
      <c r="G367" s="10" t="s">
        <v>2892</v>
      </c>
      <c r="H367" t="str">
        <f t="shared" si="20"/>
        <v/>
      </c>
      <c r="I367" t="str">
        <f t="shared" si="21"/>
        <v/>
      </c>
      <c r="J367" t="str">
        <f t="shared" si="22"/>
        <v/>
      </c>
      <c r="L367" t="b">
        <f t="shared" si="23"/>
        <v>1</v>
      </c>
    </row>
    <row r="368" spans="1:12" ht="16" x14ac:dyDescent="0.2">
      <c r="A368" t="s">
        <v>4666</v>
      </c>
      <c r="B368" t="s">
        <v>73</v>
      </c>
      <c r="C368" t="s">
        <v>2972</v>
      </c>
      <c r="D368" s="2" t="s">
        <v>146</v>
      </c>
      <c r="G368" s="10" t="s">
        <v>2892</v>
      </c>
      <c r="H368" t="str">
        <f t="shared" si="20"/>
        <v/>
      </c>
      <c r="I368" t="str">
        <f t="shared" si="21"/>
        <v/>
      </c>
      <c r="J368" t="str">
        <f t="shared" si="22"/>
        <v/>
      </c>
      <c r="L368" t="b">
        <f t="shared" si="23"/>
        <v>1</v>
      </c>
    </row>
    <row r="369" spans="1:12" ht="16" x14ac:dyDescent="0.2">
      <c r="A369" t="s">
        <v>4667</v>
      </c>
      <c r="B369" t="s">
        <v>73</v>
      </c>
      <c r="C369" t="s">
        <v>2973</v>
      </c>
      <c r="D369" s="2" t="s">
        <v>146</v>
      </c>
      <c r="G369" s="10" t="s">
        <v>2892</v>
      </c>
      <c r="H369" t="str">
        <f t="shared" si="20"/>
        <v/>
      </c>
      <c r="I369" t="str">
        <f t="shared" si="21"/>
        <v/>
      </c>
      <c r="J369" t="str">
        <f t="shared" si="22"/>
        <v/>
      </c>
      <c r="L369" t="b">
        <f t="shared" si="23"/>
        <v>1</v>
      </c>
    </row>
    <row r="370" spans="1:12" ht="16" x14ac:dyDescent="0.2">
      <c r="A370" t="s">
        <v>4668</v>
      </c>
      <c r="B370" t="s">
        <v>73</v>
      </c>
      <c r="C370" t="s">
        <v>2974</v>
      </c>
      <c r="D370" s="2" t="s">
        <v>146</v>
      </c>
      <c r="G370" s="10" t="s">
        <v>2892</v>
      </c>
      <c r="H370" t="str">
        <f t="shared" si="20"/>
        <v/>
      </c>
      <c r="I370" t="str">
        <f t="shared" si="21"/>
        <v/>
      </c>
      <c r="J370" t="str">
        <f t="shared" si="22"/>
        <v/>
      </c>
      <c r="L370" t="b">
        <f t="shared" si="23"/>
        <v>1</v>
      </c>
    </row>
    <row r="371" spans="1:12" ht="16" x14ac:dyDescent="0.2">
      <c r="A371" t="s">
        <v>4669</v>
      </c>
      <c r="B371" t="s">
        <v>73</v>
      </c>
      <c r="C371" t="s">
        <v>2975</v>
      </c>
      <c r="D371" s="2" t="s">
        <v>146</v>
      </c>
      <c r="G371" s="10" t="s">
        <v>2892</v>
      </c>
      <c r="H371" t="str">
        <f t="shared" si="20"/>
        <v/>
      </c>
      <c r="I371" t="str">
        <f t="shared" si="21"/>
        <v/>
      </c>
      <c r="J371" t="str">
        <f t="shared" si="22"/>
        <v/>
      </c>
      <c r="L371" t="b">
        <f t="shared" si="23"/>
        <v>1</v>
      </c>
    </row>
    <row r="372" spans="1:12" ht="16" x14ac:dyDescent="0.2">
      <c r="A372" t="s">
        <v>4670</v>
      </c>
      <c r="B372" t="s">
        <v>73</v>
      </c>
      <c r="C372" t="s">
        <v>2976</v>
      </c>
      <c r="D372" s="2" t="s">
        <v>146</v>
      </c>
      <c r="G372" s="10" t="s">
        <v>2892</v>
      </c>
      <c r="H372" t="str">
        <f t="shared" si="20"/>
        <v/>
      </c>
      <c r="I372" t="str">
        <f t="shared" si="21"/>
        <v/>
      </c>
      <c r="J372" t="str">
        <f t="shared" si="22"/>
        <v/>
      </c>
      <c r="L372" t="b">
        <f t="shared" si="23"/>
        <v>1</v>
      </c>
    </row>
    <row r="373" spans="1:12" ht="16" x14ac:dyDescent="0.2">
      <c r="A373" t="s">
        <v>4671</v>
      </c>
      <c r="B373" t="s">
        <v>73</v>
      </c>
      <c r="C373" t="s">
        <v>2977</v>
      </c>
      <c r="D373" s="2" t="s">
        <v>146</v>
      </c>
      <c r="E373">
        <v>2025</v>
      </c>
      <c r="F373">
        <v>2027</v>
      </c>
      <c r="G373" s="10">
        <v>3310000</v>
      </c>
      <c r="H373">
        <f t="shared" si="20"/>
        <v>3310000</v>
      </c>
      <c r="I373" t="str">
        <f t="shared" si="21"/>
        <v/>
      </c>
      <c r="J373" t="str">
        <f t="shared" si="22"/>
        <v/>
      </c>
      <c r="K373">
        <v>1731617.42</v>
      </c>
      <c r="L373" t="b">
        <f t="shared" si="23"/>
        <v>0</v>
      </c>
    </row>
    <row r="374" spans="1:12" ht="16" x14ac:dyDescent="0.2">
      <c r="A374" t="s">
        <v>4672</v>
      </c>
      <c r="B374" t="s">
        <v>73</v>
      </c>
      <c r="C374" t="s">
        <v>2978</v>
      </c>
      <c r="D374" s="2" t="s">
        <v>146</v>
      </c>
      <c r="E374">
        <v>2025</v>
      </c>
      <c r="F374">
        <v>2026</v>
      </c>
      <c r="G374" s="10">
        <v>2985000</v>
      </c>
      <c r="H374" t="str">
        <f t="shared" si="20"/>
        <v/>
      </c>
      <c r="I374" t="str">
        <f t="shared" si="21"/>
        <v/>
      </c>
      <c r="J374" t="str">
        <f t="shared" si="22"/>
        <v/>
      </c>
      <c r="K374">
        <v>971280.44</v>
      </c>
      <c r="L374" t="b">
        <f t="shared" si="23"/>
        <v>0</v>
      </c>
    </row>
    <row r="375" spans="1:12" ht="16" x14ac:dyDescent="0.2">
      <c r="A375" t="s">
        <v>4673</v>
      </c>
      <c r="B375" t="s">
        <v>73</v>
      </c>
      <c r="C375" t="s">
        <v>2979</v>
      </c>
      <c r="D375" s="2" t="s">
        <v>146</v>
      </c>
      <c r="E375">
        <v>2025</v>
      </c>
      <c r="F375">
        <v>2028</v>
      </c>
      <c r="G375" s="10">
        <v>11772500</v>
      </c>
      <c r="H375">
        <f t="shared" si="20"/>
        <v>11772500</v>
      </c>
      <c r="I375">
        <f t="shared" si="21"/>
        <v>11772500</v>
      </c>
      <c r="J375" t="str">
        <f t="shared" si="22"/>
        <v/>
      </c>
      <c r="K375">
        <v>16857617.280000001</v>
      </c>
      <c r="L375" t="b">
        <f t="shared" si="23"/>
        <v>0</v>
      </c>
    </row>
    <row r="376" spans="1:12" ht="16" x14ac:dyDescent="0.2">
      <c r="A376" t="s">
        <v>4674</v>
      </c>
      <c r="B376" t="s">
        <v>73</v>
      </c>
      <c r="C376" t="s">
        <v>2980</v>
      </c>
      <c r="D376" s="2" t="s">
        <v>146</v>
      </c>
      <c r="G376" s="10" t="s">
        <v>2892</v>
      </c>
      <c r="H376" t="str">
        <f t="shared" si="20"/>
        <v/>
      </c>
      <c r="I376" t="str">
        <f t="shared" si="21"/>
        <v/>
      </c>
      <c r="J376" t="str">
        <f t="shared" si="22"/>
        <v/>
      </c>
      <c r="L376" t="b">
        <f t="shared" si="23"/>
        <v>1</v>
      </c>
    </row>
    <row r="377" spans="1:12" ht="16" x14ac:dyDescent="0.2">
      <c r="A377" t="s">
        <v>4675</v>
      </c>
      <c r="B377" t="s">
        <v>73</v>
      </c>
      <c r="C377" t="s">
        <v>2981</v>
      </c>
      <c r="D377" s="2" t="s">
        <v>146</v>
      </c>
      <c r="G377" s="10" t="s">
        <v>2892</v>
      </c>
      <c r="H377" t="str">
        <f t="shared" si="20"/>
        <v/>
      </c>
      <c r="I377" t="str">
        <f t="shared" si="21"/>
        <v/>
      </c>
      <c r="J377" t="str">
        <f t="shared" si="22"/>
        <v/>
      </c>
      <c r="L377" t="b">
        <f t="shared" si="23"/>
        <v>1</v>
      </c>
    </row>
    <row r="378" spans="1:12" ht="16" x14ac:dyDescent="0.2">
      <c r="A378" t="s">
        <v>4676</v>
      </c>
      <c r="B378" t="s">
        <v>73</v>
      </c>
      <c r="C378" t="s">
        <v>2982</v>
      </c>
      <c r="D378" s="2" t="s">
        <v>146</v>
      </c>
      <c r="E378">
        <v>2025</v>
      </c>
      <c r="F378">
        <v>2027</v>
      </c>
      <c r="G378" s="10">
        <v>4283333.333333333</v>
      </c>
      <c r="H378">
        <f t="shared" si="20"/>
        <v>4283333.333333333</v>
      </c>
      <c r="I378" t="str">
        <f t="shared" si="21"/>
        <v/>
      </c>
      <c r="J378" t="str">
        <f t="shared" si="22"/>
        <v/>
      </c>
      <c r="K378">
        <v>2723023.17</v>
      </c>
      <c r="L378" t="b">
        <f t="shared" si="23"/>
        <v>0</v>
      </c>
    </row>
    <row r="379" spans="1:12" ht="16" x14ac:dyDescent="0.2">
      <c r="A379" t="s">
        <v>4677</v>
      </c>
      <c r="B379" t="s">
        <v>73</v>
      </c>
      <c r="C379" t="s">
        <v>2983</v>
      </c>
      <c r="D379" s="2" t="s">
        <v>146</v>
      </c>
      <c r="E379">
        <v>2025</v>
      </c>
      <c r="F379">
        <v>2026</v>
      </c>
      <c r="G379" s="10">
        <v>2240000</v>
      </c>
      <c r="H379" t="str">
        <f t="shared" si="20"/>
        <v/>
      </c>
      <c r="I379" t="str">
        <f t="shared" si="21"/>
        <v/>
      </c>
      <c r="J379" t="str">
        <f t="shared" si="22"/>
        <v/>
      </c>
      <c r="K379">
        <v>308183.53000000003</v>
      </c>
      <c r="L379" t="b">
        <f t="shared" si="23"/>
        <v>0</v>
      </c>
    </row>
    <row r="380" spans="1:12" ht="16" x14ac:dyDescent="0.2">
      <c r="A380" t="s">
        <v>4678</v>
      </c>
      <c r="B380" t="s">
        <v>73</v>
      </c>
      <c r="C380" t="s">
        <v>2984</v>
      </c>
      <c r="D380" s="2" t="s">
        <v>146</v>
      </c>
      <c r="E380">
        <v>2025</v>
      </c>
      <c r="F380">
        <v>2026</v>
      </c>
      <c r="G380" s="10">
        <v>1530000</v>
      </c>
      <c r="H380" t="str">
        <f t="shared" si="20"/>
        <v/>
      </c>
      <c r="I380" t="str">
        <f t="shared" si="21"/>
        <v/>
      </c>
      <c r="J380" t="str">
        <f t="shared" si="22"/>
        <v/>
      </c>
      <c r="K380">
        <v>466685.26</v>
      </c>
      <c r="L380" t="b">
        <f t="shared" si="23"/>
        <v>0</v>
      </c>
    </row>
    <row r="381" spans="1:12" ht="16" x14ac:dyDescent="0.2">
      <c r="A381" t="s">
        <v>4679</v>
      </c>
      <c r="B381" t="s">
        <v>73</v>
      </c>
      <c r="C381" t="s">
        <v>2985</v>
      </c>
      <c r="D381" s="2" t="s">
        <v>146</v>
      </c>
      <c r="E381">
        <v>2025</v>
      </c>
      <c r="F381">
        <v>2027</v>
      </c>
      <c r="G381" s="10">
        <v>4943333.333333333</v>
      </c>
      <c r="H381">
        <f t="shared" si="20"/>
        <v>4943333.333333333</v>
      </c>
      <c r="I381" t="str">
        <f t="shared" si="21"/>
        <v/>
      </c>
      <c r="J381" t="str">
        <f t="shared" si="22"/>
        <v/>
      </c>
      <c r="K381">
        <v>3846863.47</v>
      </c>
      <c r="L381" t="b">
        <f t="shared" si="23"/>
        <v>0</v>
      </c>
    </row>
    <row r="382" spans="1:12" ht="16" x14ac:dyDescent="0.2">
      <c r="A382" t="s">
        <v>4680</v>
      </c>
      <c r="B382" t="s">
        <v>73</v>
      </c>
      <c r="C382" t="s">
        <v>2986</v>
      </c>
      <c r="D382" s="2" t="s">
        <v>146</v>
      </c>
      <c r="E382">
        <v>2025</v>
      </c>
      <c r="F382">
        <v>2028</v>
      </c>
      <c r="G382" s="10">
        <v>20812500</v>
      </c>
      <c r="H382">
        <f t="shared" si="20"/>
        <v>20812500</v>
      </c>
      <c r="I382">
        <f t="shared" si="21"/>
        <v>20812500</v>
      </c>
      <c r="J382" t="str">
        <f t="shared" si="22"/>
        <v/>
      </c>
      <c r="K382">
        <v>45762052.670000002</v>
      </c>
      <c r="L382" t="b">
        <f t="shared" si="23"/>
        <v>0</v>
      </c>
    </row>
    <row r="383" spans="1:12" ht="16" x14ac:dyDescent="0.2">
      <c r="A383" t="s">
        <v>4681</v>
      </c>
      <c r="B383" t="s">
        <v>73</v>
      </c>
      <c r="C383" t="s">
        <v>2987</v>
      </c>
      <c r="D383" s="2" t="s">
        <v>146</v>
      </c>
      <c r="E383">
        <v>2025</v>
      </c>
      <c r="F383">
        <v>2026</v>
      </c>
      <c r="G383" s="10">
        <v>5595000</v>
      </c>
      <c r="H383" t="str">
        <f t="shared" si="20"/>
        <v/>
      </c>
      <c r="I383" t="str">
        <f t="shared" si="21"/>
        <v/>
      </c>
      <c r="J383" t="str">
        <f t="shared" si="22"/>
        <v/>
      </c>
      <c r="K383">
        <v>1746042.43</v>
      </c>
      <c r="L383" t="b">
        <f t="shared" si="23"/>
        <v>0</v>
      </c>
    </row>
    <row r="384" spans="1:12" ht="16" x14ac:dyDescent="0.2">
      <c r="A384" t="s">
        <v>4682</v>
      </c>
      <c r="B384" t="s">
        <v>73</v>
      </c>
      <c r="C384" t="s">
        <v>2988</v>
      </c>
      <c r="D384" s="2" t="s">
        <v>146</v>
      </c>
      <c r="G384" s="10" t="s">
        <v>2892</v>
      </c>
      <c r="H384" t="str">
        <f t="shared" si="20"/>
        <v/>
      </c>
      <c r="I384" t="str">
        <f t="shared" si="21"/>
        <v/>
      </c>
      <c r="J384" t="str">
        <f t="shared" si="22"/>
        <v/>
      </c>
      <c r="L384" t="b">
        <f t="shared" si="23"/>
        <v>1</v>
      </c>
    </row>
    <row r="385" spans="1:12" ht="16" x14ac:dyDescent="0.2">
      <c r="A385" t="s">
        <v>4683</v>
      </c>
      <c r="B385" t="s">
        <v>73</v>
      </c>
      <c r="C385" t="s">
        <v>2989</v>
      </c>
      <c r="D385" s="2" t="s">
        <v>146</v>
      </c>
      <c r="G385" s="10" t="s">
        <v>2892</v>
      </c>
      <c r="H385" t="str">
        <f t="shared" si="20"/>
        <v/>
      </c>
      <c r="I385" t="str">
        <f t="shared" si="21"/>
        <v/>
      </c>
      <c r="J385" t="str">
        <f t="shared" si="22"/>
        <v/>
      </c>
      <c r="L385" t="b">
        <f t="shared" si="23"/>
        <v>1</v>
      </c>
    </row>
    <row r="386" spans="1:12" ht="16" x14ac:dyDescent="0.2">
      <c r="A386" t="s">
        <v>4684</v>
      </c>
      <c r="B386" t="s">
        <v>73</v>
      </c>
      <c r="C386" t="s">
        <v>2990</v>
      </c>
      <c r="D386" s="2" t="s">
        <v>146</v>
      </c>
      <c r="E386">
        <v>2025</v>
      </c>
      <c r="F386">
        <v>2027</v>
      </c>
      <c r="G386" s="10">
        <v>2563333.3333333335</v>
      </c>
      <c r="H386">
        <f t="shared" si="20"/>
        <v>2563333.3333333335</v>
      </c>
      <c r="I386" t="str">
        <f t="shared" si="21"/>
        <v/>
      </c>
      <c r="J386" t="str">
        <f t="shared" si="22"/>
        <v/>
      </c>
      <c r="K386">
        <v>1180456.17</v>
      </c>
      <c r="L386" t="b">
        <f t="shared" si="23"/>
        <v>0</v>
      </c>
    </row>
    <row r="387" spans="1:12" ht="16" x14ac:dyDescent="0.2">
      <c r="A387" t="s">
        <v>4685</v>
      </c>
      <c r="B387" t="s">
        <v>73</v>
      </c>
      <c r="C387" t="s">
        <v>2991</v>
      </c>
      <c r="D387" s="2" t="s">
        <v>146</v>
      </c>
      <c r="E387">
        <v>2025</v>
      </c>
      <c r="F387">
        <v>2027</v>
      </c>
      <c r="G387" s="10">
        <v>7986666.666666667</v>
      </c>
      <c r="H387">
        <f t="shared" si="20"/>
        <v>7986666.666666667</v>
      </c>
      <c r="I387" t="str">
        <f t="shared" si="21"/>
        <v/>
      </c>
      <c r="J387" t="str">
        <f t="shared" si="22"/>
        <v/>
      </c>
      <c r="K387">
        <v>6083931.5800000001</v>
      </c>
      <c r="L387" t="b">
        <f t="shared" si="23"/>
        <v>0</v>
      </c>
    </row>
    <row r="388" spans="1:12" ht="16" x14ac:dyDescent="0.2">
      <c r="A388" t="s">
        <v>4686</v>
      </c>
      <c r="B388" t="s">
        <v>73</v>
      </c>
      <c r="C388" t="s">
        <v>2992</v>
      </c>
      <c r="D388" s="2" t="s">
        <v>146</v>
      </c>
      <c r="E388">
        <v>2025</v>
      </c>
      <c r="F388">
        <v>2027</v>
      </c>
      <c r="G388" s="10">
        <v>3996666.6666666665</v>
      </c>
      <c r="H388">
        <f t="shared" ref="H388:H451" si="24">IF(F388&gt;=2027,G388,"")</f>
        <v>3996666.6666666665</v>
      </c>
      <c r="I388" t="str">
        <f t="shared" ref="I388:I451" si="25">IF(F388&gt;=2028,G388,"")</f>
        <v/>
      </c>
      <c r="J388" t="str">
        <f t="shared" ref="J388:J451" si="26">IF(F388&gt;=2029,G388,"")</f>
        <v/>
      </c>
      <c r="K388">
        <v>2190915.27</v>
      </c>
      <c r="L388" t="b">
        <f t="shared" si="23"/>
        <v>0</v>
      </c>
    </row>
    <row r="389" spans="1:12" ht="16" x14ac:dyDescent="0.2">
      <c r="A389" t="s">
        <v>4687</v>
      </c>
      <c r="B389" t="s">
        <v>73</v>
      </c>
      <c r="C389" t="s">
        <v>2993</v>
      </c>
      <c r="D389" s="2" t="s">
        <v>146</v>
      </c>
      <c r="E389">
        <v>2025</v>
      </c>
      <c r="F389">
        <v>2026</v>
      </c>
      <c r="G389" s="10">
        <v>2130000</v>
      </c>
      <c r="H389" t="str">
        <f t="shared" si="24"/>
        <v/>
      </c>
      <c r="I389" t="str">
        <f t="shared" si="25"/>
        <v/>
      </c>
      <c r="J389" t="str">
        <f t="shared" si="26"/>
        <v/>
      </c>
      <c r="K389">
        <v>85559.039999999994</v>
      </c>
      <c r="L389" t="b">
        <f t="shared" si="23"/>
        <v>0</v>
      </c>
    </row>
    <row r="390" spans="1:12" ht="16" x14ac:dyDescent="0.2">
      <c r="A390" t="s">
        <v>4688</v>
      </c>
      <c r="B390" t="s">
        <v>73</v>
      </c>
      <c r="C390" t="s">
        <v>2994</v>
      </c>
      <c r="D390" s="2" t="s">
        <v>146</v>
      </c>
      <c r="E390">
        <v>2025</v>
      </c>
      <c r="F390">
        <v>2027</v>
      </c>
      <c r="G390" s="10">
        <v>12573333.333333332</v>
      </c>
      <c r="H390">
        <f t="shared" si="24"/>
        <v>12573333.333333332</v>
      </c>
      <c r="I390" t="str">
        <f t="shared" si="25"/>
        <v/>
      </c>
      <c r="J390" t="str">
        <f t="shared" si="26"/>
        <v/>
      </c>
      <c r="K390">
        <v>15579448.960000001</v>
      </c>
      <c r="L390" t="b">
        <f t="shared" si="23"/>
        <v>0</v>
      </c>
    </row>
    <row r="391" spans="1:12" ht="16" x14ac:dyDescent="0.2">
      <c r="A391" t="s">
        <v>4689</v>
      </c>
      <c r="B391" t="s">
        <v>73</v>
      </c>
      <c r="C391" t="s">
        <v>2995</v>
      </c>
      <c r="D391" s="2" t="s">
        <v>146</v>
      </c>
      <c r="E391">
        <v>2026</v>
      </c>
      <c r="F391">
        <v>2030</v>
      </c>
      <c r="G391" s="10">
        <v>4735000</v>
      </c>
      <c r="H391">
        <f t="shared" si="24"/>
        <v>4735000</v>
      </c>
      <c r="I391">
        <f t="shared" si="25"/>
        <v>4735000</v>
      </c>
      <c r="J391">
        <f t="shared" si="26"/>
        <v>4735000</v>
      </c>
      <c r="K391">
        <v>4220550.3099999996</v>
      </c>
      <c r="L391" t="b">
        <f t="shared" si="23"/>
        <v>0</v>
      </c>
    </row>
    <row r="392" spans="1:12" ht="16" x14ac:dyDescent="0.2">
      <c r="A392" t="s">
        <v>4690</v>
      </c>
      <c r="B392" t="s">
        <v>73</v>
      </c>
      <c r="C392" t="s">
        <v>2996</v>
      </c>
      <c r="D392" s="2" t="s">
        <v>146</v>
      </c>
      <c r="G392" s="10" t="s">
        <v>2892</v>
      </c>
      <c r="H392" t="str">
        <f t="shared" si="24"/>
        <v/>
      </c>
      <c r="I392" t="str">
        <f t="shared" si="25"/>
        <v/>
      </c>
      <c r="J392" t="str">
        <f t="shared" si="26"/>
        <v/>
      </c>
      <c r="L392" t="b">
        <f t="shared" si="23"/>
        <v>1</v>
      </c>
    </row>
    <row r="393" spans="1:12" ht="16" x14ac:dyDescent="0.2">
      <c r="A393" t="s">
        <v>4691</v>
      </c>
      <c r="B393" t="s">
        <v>73</v>
      </c>
      <c r="C393" t="s">
        <v>2997</v>
      </c>
      <c r="D393" s="2" t="s">
        <v>146</v>
      </c>
      <c r="E393">
        <v>2025</v>
      </c>
      <c r="F393">
        <v>2026</v>
      </c>
      <c r="G393" s="10">
        <v>5430000</v>
      </c>
      <c r="H393" t="str">
        <f t="shared" si="24"/>
        <v/>
      </c>
      <c r="I393" t="str">
        <f t="shared" si="25"/>
        <v/>
      </c>
      <c r="J393" t="str">
        <f t="shared" si="26"/>
        <v/>
      </c>
      <c r="K393">
        <v>3169902.09</v>
      </c>
      <c r="L393" t="b">
        <f t="shared" si="23"/>
        <v>0</v>
      </c>
    </row>
    <row r="394" spans="1:12" ht="16" x14ac:dyDescent="0.2">
      <c r="A394" t="s">
        <v>4692</v>
      </c>
      <c r="B394" t="s">
        <v>73</v>
      </c>
      <c r="C394" t="s">
        <v>2998</v>
      </c>
      <c r="D394" s="2" t="s">
        <v>146</v>
      </c>
      <c r="E394">
        <v>2025</v>
      </c>
      <c r="F394">
        <v>2026</v>
      </c>
      <c r="G394" s="10">
        <v>9150000</v>
      </c>
      <c r="H394" t="str">
        <f t="shared" si="24"/>
        <v/>
      </c>
      <c r="I394" t="str">
        <f t="shared" si="25"/>
        <v/>
      </c>
      <c r="J394" t="str">
        <f t="shared" si="26"/>
        <v/>
      </c>
      <c r="K394">
        <v>6891898.0499999998</v>
      </c>
      <c r="L394" t="b">
        <f t="shared" si="23"/>
        <v>0</v>
      </c>
    </row>
    <row r="395" spans="1:12" ht="16" x14ac:dyDescent="0.2">
      <c r="A395" t="s">
        <v>4693</v>
      </c>
      <c r="B395" t="s">
        <v>73</v>
      </c>
      <c r="C395" t="s">
        <v>2999</v>
      </c>
      <c r="D395" s="2" t="s">
        <v>146</v>
      </c>
      <c r="G395" s="10" t="s">
        <v>2892</v>
      </c>
      <c r="H395" t="str">
        <f t="shared" si="24"/>
        <v/>
      </c>
      <c r="I395" t="str">
        <f t="shared" si="25"/>
        <v/>
      </c>
      <c r="J395" t="str">
        <f t="shared" si="26"/>
        <v/>
      </c>
      <c r="L395" t="b">
        <f t="shared" si="23"/>
        <v>1</v>
      </c>
    </row>
    <row r="396" spans="1:12" ht="16" x14ac:dyDescent="0.2">
      <c r="A396" t="s">
        <v>4694</v>
      </c>
      <c r="B396" t="s">
        <v>73</v>
      </c>
      <c r="C396" t="s">
        <v>3000</v>
      </c>
      <c r="D396" s="2" t="s">
        <v>146</v>
      </c>
      <c r="E396">
        <v>2025</v>
      </c>
      <c r="F396">
        <v>2026</v>
      </c>
      <c r="G396" s="10">
        <v>1740000</v>
      </c>
      <c r="H396" t="str">
        <f t="shared" si="24"/>
        <v/>
      </c>
      <c r="I396" t="str">
        <f t="shared" si="25"/>
        <v/>
      </c>
      <c r="J396" t="str">
        <f t="shared" si="26"/>
        <v/>
      </c>
      <c r="K396">
        <v>346357.85</v>
      </c>
      <c r="L396" t="b">
        <f t="shared" si="23"/>
        <v>0</v>
      </c>
    </row>
    <row r="397" spans="1:12" ht="16" x14ac:dyDescent="0.2">
      <c r="A397" t="s">
        <v>4695</v>
      </c>
      <c r="B397" t="s">
        <v>73</v>
      </c>
      <c r="C397" t="s">
        <v>3001</v>
      </c>
      <c r="D397" s="2" t="s">
        <v>146</v>
      </c>
      <c r="G397" s="10" t="s">
        <v>2892</v>
      </c>
      <c r="H397" t="str">
        <f t="shared" si="24"/>
        <v/>
      </c>
      <c r="I397" t="str">
        <f t="shared" si="25"/>
        <v/>
      </c>
      <c r="J397" t="str">
        <f t="shared" si="26"/>
        <v/>
      </c>
      <c r="L397" t="b">
        <f t="shared" si="23"/>
        <v>1</v>
      </c>
    </row>
    <row r="398" spans="1:12" ht="16" x14ac:dyDescent="0.2">
      <c r="A398" t="s">
        <v>4696</v>
      </c>
      <c r="B398" t="s">
        <v>73</v>
      </c>
      <c r="C398" t="s">
        <v>3002</v>
      </c>
      <c r="D398" s="2" t="s">
        <v>146</v>
      </c>
      <c r="G398" s="10" t="s">
        <v>2892</v>
      </c>
      <c r="H398" t="str">
        <f t="shared" si="24"/>
        <v/>
      </c>
      <c r="I398" t="str">
        <f t="shared" si="25"/>
        <v/>
      </c>
      <c r="J398" t="str">
        <f t="shared" si="26"/>
        <v/>
      </c>
      <c r="L398" t="b">
        <f t="shared" si="23"/>
        <v>1</v>
      </c>
    </row>
    <row r="399" spans="1:12" ht="16" x14ac:dyDescent="0.2">
      <c r="A399" t="s">
        <v>4697</v>
      </c>
      <c r="B399" t="s">
        <v>73</v>
      </c>
      <c r="C399" t="s">
        <v>3003</v>
      </c>
      <c r="D399" s="2" t="s">
        <v>146</v>
      </c>
      <c r="G399" s="10" t="s">
        <v>2892</v>
      </c>
      <c r="H399" t="str">
        <f t="shared" si="24"/>
        <v/>
      </c>
      <c r="I399" t="str">
        <f t="shared" si="25"/>
        <v/>
      </c>
      <c r="J399" t="str">
        <f t="shared" si="26"/>
        <v/>
      </c>
      <c r="L399" t="b">
        <f t="shared" si="23"/>
        <v>1</v>
      </c>
    </row>
    <row r="400" spans="1:12" ht="16" x14ac:dyDescent="0.2">
      <c r="A400" t="s">
        <v>4698</v>
      </c>
      <c r="B400" t="s">
        <v>73</v>
      </c>
      <c r="C400" t="s">
        <v>3004</v>
      </c>
      <c r="D400" s="2" t="s">
        <v>146</v>
      </c>
      <c r="E400">
        <v>2025</v>
      </c>
      <c r="F400">
        <v>2026</v>
      </c>
      <c r="G400" s="10">
        <v>7655000</v>
      </c>
      <c r="H400" t="str">
        <f t="shared" si="24"/>
        <v/>
      </c>
      <c r="I400" t="str">
        <f t="shared" si="25"/>
        <v/>
      </c>
      <c r="J400" t="str">
        <f t="shared" si="26"/>
        <v/>
      </c>
      <c r="K400">
        <v>4202341.5</v>
      </c>
      <c r="L400" t="b">
        <f t="shared" si="23"/>
        <v>0</v>
      </c>
    </row>
    <row r="401" spans="1:12" ht="16" x14ac:dyDescent="0.2">
      <c r="A401" t="s">
        <v>4699</v>
      </c>
      <c r="B401" t="s">
        <v>73</v>
      </c>
      <c r="C401" t="s">
        <v>3005</v>
      </c>
      <c r="D401" s="2" t="s">
        <v>146</v>
      </c>
      <c r="E401">
        <v>2025</v>
      </c>
      <c r="F401">
        <v>2026</v>
      </c>
      <c r="G401" s="10">
        <v>4230000</v>
      </c>
      <c r="H401" t="str">
        <f t="shared" si="24"/>
        <v/>
      </c>
      <c r="I401" t="str">
        <f t="shared" si="25"/>
        <v/>
      </c>
      <c r="J401" t="str">
        <f t="shared" si="26"/>
        <v/>
      </c>
      <c r="K401">
        <v>2359410.5099999998</v>
      </c>
      <c r="L401" t="b">
        <f t="shared" si="23"/>
        <v>0</v>
      </c>
    </row>
    <row r="402" spans="1:12" ht="16" x14ac:dyDescent="0.2">
      <c r="A402" t="s">
        <v>4700</v>
      </c>
      <c r="B402" t="s">
        <v>73</v>
      </c>
      <c r="C402" t="s">
        <v>3006</v>
      </c>
      <c r="D402" s="2" t="s">
        <v>146</v>
      </c>
      <c r="G402" s="10" t="s">
        <v>2892</v>
      </c>
      <c r="H402" t="str">
        <f t="shared" si="24"/>
        <v/>
      </c>
      <c r="I402" t="str">
        <f t="shared" si="25"/>
        <v/>
      </c>
      <c r="J402" t="str">
        <f t="shared" si="26"/>
        <v/>
      </c>
      <c r="L402" t="b">
        <f t="shared" si="23"/>
        <v>1</v>
      </c>
    </row>
    <row r="403" spans="1:12" ht="16" x14ac:dyDescent="0.2">
      <c r="A403" t="s">
        <v>4701</v>
      </c>
      <c r="B403" t="s">
        <v>73</v>
      </c>
      <c r="C403" t="s">
        <v>3007</v>
      </c>
      <c r="D403" s="2" t="s">
        <v>146</v>
      </c>
      <c r="G403" s="10" t="s">
        <v>2892</v>
      </c>
      <c r="H403" t="str">
        <f t="shared" si="24"/>
        <v/>
      </c>
      <c r="I403" t="str">
        <f t="shared" si="25"/>
        <v/>
      </c>
      <c r="J403" t="str">
        <f t="shared" si="26"/>
        <v/>
      </c>
      <c r="L403" t="b">
        <f t="shared" si="23"/>
        <v>1</v>
      </c>
    </row>
    <row r="404" spans="1:12" ht="16" x14ac:dyDescent="0.2">
      <c r="A404" t="s">
        <v>4702</v>
      </c>
      <c r="B404" t="s">
        <v>73</v>
      </c>
      <c r="C404" t="s">
        <v>3008</v>
      </c>
      <c r="D404" s="2" t="s">
        <v>146</v>
      </c>
      <c r="E404">
        <v>2025</v>
      </c>
      <c r="F404">
        <v>2026</v>
      </c>
      <c r="G404" s="10">
        <v>2230000</v>
      </c>
      <c r="H404" t="str">
        <f t="shared" si="24"/>
        <v/>
      </c>
      <c r="I404" t="str">
        <f t="shared" si="25"/>
        <v/>
      </c>
      <c r="J404" t="str">
        <f t="shared" si="26"/>
        <v/>
      </c>
      <c r="K404">
        <v>340964.61</v>
      </c>
      <c r="L404" t="b">
        <f t="shared" si="23"/>
        <v>0</v>
      </c>
    </row>
    <row r="405" spans="1:12" ht="16" x14ac:dyDescent="0.2">
      <c r="A405" t="s">
        <v>4703</v>
      </c>
      <c r="B405" t="s">
        <v>73</v>
      </c>
      <c r="C405" t="s">
        <v>3009</v>
      </c>
      <c r="D405" s="2" t="s">
        <v>146</v>
      </c>
      <c r="G405" s="10" t="s">
        <v>2892</v>
      </c>
      <c r="H405" t="str">
        <f t="shared" si="24"/>
        <v/>
      </c>
      <c r="I405" t="str">
        <f t="shared" si="25"/>
        <v/>
      </c>
      <c r="J405" t="str">
        <f t="shared" si="26"/>
        <v/>
      </c>
      <c r="L405" t="b">
        <f t="shared" si="23"/>
        <v>1</v>
      </c>
    </row>
    <row r="406" spans="1:12" ht="16" x14ac:dyDescent="0.2">
      <c r="A406" t="s">
        <v>4704</v>
      </c>
      <c r="B406" t="s">
        <v>73</v>
      </c>
      <c r="C406" t="s">
        <v>3010</v>
      </c>
      <c r="D406" s="2" t="s">
        <v>131</v>
      </c>
      <c r="E406">
        <v>2025</v>
      </c>
      <c r="F406">
        <v>2027</v>
      </c>
      <c r="G406" s="10">
        <v>7796666.666666667</v>
      </c>
      <c r="H406">
        <f t="shared" si="24"/>
        <v>7796666.666666667</v>
      </c>
      <c r="I406" t="str">
        <f t="shared" si="25"/>
        <v/>
      </c>
      <c r="J406" t="str">
        <f t="shared" si="26"/>
        <v/>
      </c>
      <c r="K406">
        <v>5238867.16</v>
      </c>
      <c r="L406" t="b">
        <f t="shared" si="23"/>
        <v>0</v>
      </c>
    </row>
    <row r="407" spans="1:12" ht="16" x14ac:dyDescent="0.2">
      <c r="A407" t="s">
        <v>4705</v>
      </c>
      <c r="B407" t="s">
        <v>73</v>
      </c>
      <c r="C407" t="s">
        <v>3011</v>
      </c>
      <c r="D407" s="2" t="s">
        <v>131</v>
      </c>
      <c r="G407" s="10" t="s">
        <v>2892</v>
      </c>
      <c r="H407" t="str">
        <f t="shared" si="24"/>
        <v/>
      </c>
      <c r="I407" t="str">
        <f t="shared" si="25"/>
        <v/>
      </c>
      <c r="J407" t="str">
        <f t="shared" si="26"/>
        <v/>
      </c>
      <c r="L407" t="b">
        <f t="shared" si="23"/>
        <v>1</v>
      </c>
    </row>
    <row r="408" spans="1:12" ht="16" x14ac:dyDescent="0.2">
      <c r="A408" t="s">
        <v>4706</v>
      </c>
      <c r="B408" t="s">
        <v>73</v>
      </c>
      <c r="C408" t="s">
        <v>3012</v>
      </c>
      <c r="D408" s="2" t="s">
        <v>131</v>
      </c>
      <c r="E408">
        <v>2025</v>
      </c>
      <c r="F408">
        <v>2027</v>
      </c>
      <c r="G408" s="10">
        <v>7456666.666666667</v>
      </c>
      <c r="H408">
        <f t="shared" si="24"/>
        <v>7456666.666666667</v>
      </c>
      <c r="I408" t="str">
        <f t="shared" si="25"/>
        <v/>
      </c>
      <c r="J408" t="str">
        <f t="shared" si="26"/>
        <v/>
      </c>
      <c r="K408">
        <v>7986866.8399999999</v>
      </c>
      <c r="L408" t="b">
        <f t="shared" si="23"/>
        <v>0</v>
      </c>
    </row>
    <row r="409" spans="1:12" ht="16" x14ac:dyDescent="0.2">
      <c r="A409" t="s">
        <v>4707</v>
      </c>
      <c r="B409" t="s">
        <v>73</v>
      </c>
      <c r="C409" t="s">
        <v>3013</v>
      </c>
      <c r="D409" s="2" t="s">
        <v>131</v>
      </c>
      <c r="G409" s="10" t="s">
        <v>2892</v>
      </c>
      <c r="H409" t="str">
        <f t="shared" si="24"/>
        <v/>
      </c>
      <c r="I409" t="str">
        <f t="shared" si="25"/>
        <v/>
      </c>
      <c r="J409" t="str">
        <f t="shared" si="26"/>
        <v/>
      </c>
      <c r="L409" t="b">
        <f t="shared" si="23"/>
        <v>1</v>
      </c>
    </row>
    <row r="410" spans="1:12" ht="16" x14ac:dyDescent="0.2">
      <c r="A410" t="s">
        <v>4708</v>
      </c>
      <c r="B410" t="s">
        <v>73</v>
      </c>
      <c r="C410" t="s">
        <v>3014</v>
      </c>
      <c r="D410" s="2" t="s">
        <v>131</v>
      </c>
      <c r="E410">
        <v>2025</v>
      </c>
      <c r="F410">
        <v>2026</v>
      </c>
      <c r="G410" s="10">
        <v>9290000</v>
      </c>
      <c r="H410" t="str">
        <f t="shared" si="24"/>
        <v/>
      </c>
      <c r="I410" t="str">
        <f t="shared" si="25"/>
        <v/>
      </c>
      <c r="J410" t="str">
        <f t="shared" si="26"/>
        <v/>
      </c>
      <c r="K410">
        <v>4753666.97</v>
      </c>
      <c r="L410" t="b">
        <f t="shared" si="23"/>
        <v>0</v>
      </c>
    </row>
    <row r="411" spans="1:12" ht="16" x14ac:dyDescent="0.2">
      <c r="A411" t="s">
        <v>4709</v>
      </c>
      <c r="B411" t="s">
        <v>73</v>
      </c>
      <c r="C411" t="s">
        <v>3015</v>
      </c>
      <c r="D411" s="2" t="s">
        <v>131</v>
      </c>
      <c r="G411" s="10" t="s">
        <v>2892</v>
      </c>
      <c r="H411" t="str">
        <f t="shared" si="24"/>
        <v/>
      </c>
      <c r="I411" t="str">
        <f t="shared" si="25"/>
        <v/>
      </c>
      <c r="J411" t="str">
        <f t="shared" si="26"/>
        <v/>
      </c>
      <c r="L411" t="b">
        <f t="shared" si="23"/>
        <v>1</v>
      </c>
    </row>
    <row r="412" spans="1:12" ht="16" x14ac:dyDescent="0.2">
      <c r="A412" t="s">
        <v>4710</v>
      </c>
      <c r="B412" t="s">
        <v>73</v>
      </c>
      <c r="C412" t="s">
        <v>3016</v>
      </c>
      <c r="D412" s="2" t="s">
        <v>131</v>
      </c>
      <c r="G412" s="10" t="s">
        <v>2892</v>
      </c>
      <c r="H412" t="str">
        <f t="shared" si="24"/>
        <v/>
      </c>
      <c r="I412" t="str">
        <f t="shared" si="25"/>
        <v/>
      </c>
      <c r="J412" t="str">
        <f t="shared" si="26"/>
        <v/>
      </c>
      <c r="L412" t="b">
        <f t="shared" si="23"/>
        <v>1</v>
      </c>
    </row>
    <row r="413" spans="1:12" ht="16" x14ac:dyDescent="0.2">
      <c r="A413" t="s">
        <v>4711</v>
      </c>
      <c r="B413" t="s">
        <v>73</v>
      </c>
      <c r="C413" t="s">
        <v>3017</v>
      </c>
      <c r="D413" s="2" t="s">
        <v>131</v>
      </c>
      <c r="E413">
        <v>2025</v>
      </c>
      <c r="F413">
        <v>2027</v>
      </c>
      <c r="G413" s="10">
        <v>1953333.3333333333</v>
      </c>
      <c r="H413">
        <f t="shared" si="24"/>
        <v>1953333.3333333333</v>
      </c>
      <c r="I413" t="str">
        <f t="shared" si="25"/>
        <v/>
      </c>
      <c r="J413" t="str">
        <f t="shared" si="26"/>
        <v/>
      </c>
      <c r="K413">
        <v>882634.67</v>
      </c>
      <c r="L413" t="b">
        <f t="shared" si="23"/>
        <v>0</v>
      </c>
    </row>
    <row r="414" spans="1:12" ht="16" x14ac:dyDescent="0.2">
      <c r="A414" t="s">
        <v>4712</v>
      </c>
      <c r="B414" t="s">
        <v>73</v>
      </c>
      <c r="C414" t="s">
        <v>3018</v>
      </c>
      <c r="D414" s="2" t="s">
        <v>131</v>
      </c>
      <c r="G414" s="10" t="s">
        <v>2892</v>
      </c>
      <c r="H414" t="str">
        <f t="shared" si="24"/>
        <v/>
      </c>
      <c r="I414" t="str">
        <f t="shared" si="25"/>
        <v/>
      </c>
      <c r="J414" t="str">
        <f t="shared" si="26"/>
        <v/>
      </c>
      <c r="L414" t="b">
        <f t="shared" si="23"/>
        <v>1</v>
      </c>
    </row>
    <row r="415" spans="1:12" ht="16" x14ac:dyDescent="0.2">
      <c r="A415" t="s">
        <v>4713</v>
      </c>
      <c r="B415" t="s">
        <v>73</v>
      </c>
      <c r="C415" t="s">
        <v>3019</v>
      </c>
      <c r="D415" s="2" t="s">
        <v>131</v>
      </c>
      <c r="E415">
        <v>2025</v>
      </c>
      <c r="F415">
        <v>2028</v>
      </c>
      <c r="G415" s="10">
        <v>10862500</v>
      </c>
      <c r="H415">
        <f t="shared" si="24"/>
        <v>10862500</v>
      </c>
      <c r="I415">
        <f t="shared" si="25"/>
        <v>10862500</v>
      </c>
      <c r="J415" t="str">
        <f t="shared" si="26"/>
        <v/>
      </c>
      <c r="K415">
        <v>19544991.170000002</v>
      </c>
      <c r="L415" t="b">
        <f t="shared" si="23"/>
        <v>0</v>
      </c>
    </row>
    <row r="416" spans="1:12" ht="16" x14ac:dyDescent="0.2">
      <c r="A416" t="s">
        <v>4714</v>
      </c>
      <c r="B416" t="s">
        <v>73</v>
      </c>
      <c r="C416" t="s">
        <v>3020</v>
      </c>
      <c r="D416" s="2" t="s">
        <v>131</v>
      </c>
      <c r="E416">
        <v>2025</v>
      </c>
      <c r="F416">
        <v>2027</v>
      </c>
      <c r="G416" s="10">
        <v>11393333.333333332</v>
      </c>
      <c r="H416">
        <f t="shared" si="24"/>
        <v>11393333.333333332</v>
      </c>
      <c r="I416" t="str">
        <f t="shared" si="25"/>
        <v/>
      </c>
      <c r="J416" t="str">
        <f t="shared" si="26"/>
        <v/>
      </c>
      <c r="K416">
        <v>9921328.6099999994</v>
      </c>
      <c r="L416" t="b">
        <f t="shared" si="23"/>
        <v>0</v>
      </c>
    </row>
    <row r="417" spans="1:12" ht="16" x14ac:dyDescent="0.2">
      <c r="A417" t="s">
        <v>4715</v>
      </c>
      <c r="B417" t="s">
        <v>73</v>
      </c>
      <c r="C417" t="s">
        <v>3021</v>
      </c>
      <c r="D417" s="2" t="s">
        <v>131</v>
      </c>
      <c r="G417" s="10" t="s">
        <v>2892</v>
      </c>
      <c r="H417" t="str">
        <f t="shared" si="24"/>
        <v/>
      </c>
      <c r="I417" t="str">
        <f t="shared" si="25"/>
        <v/>
      </c>
      <c r="J417" t="str">
        <f t="shared" si="26"/>
        <v/>
      </c>
      <c r="L417" t="b">
        <f t="shared" si="23"/>
        <v>1</v>
      </c>
    </row>
    <row r="418" spans="1:12" ht="16" x14ac:dyDescent="0.2">
      <c r="A418" t="s">
        <v>4716</v>
      </c>
      <c r="B418" t="s">
        <v>73</v>
      </c>
      <c r="C418" t="s">
        <v>3022</v>
      </c>
      <c r="D418" s="2" t="s">
        <v>131</v>
      </c>
      <c r="G418" s="10" t="s">
        <v>2892</v>
      </c>
      <c r="H418" t="str">
        <f t="shared" si="24"/>
        <v/>
      </c>
      <c r="I418" t="str">
        <f t="shared" si="25"/>
        <v/>
      </c>
      <c r="J418" t="str">
        <f t="shared" si="26"/>
        <v/>
      </c>
      <c r="L418" t="b">
        <f t="shared" si="23"/>
        <v>1</v>
      </c>
    </row>
    <row r="419" spans="1:12" ht="16" x14ac:dyDescent="0.2">
      <c r="A419" t="s">
        <v>4717</v>
      </c>
      <c r="B419" t="s">
        <v>73</v>
      </c>
      <c r="C419" t="s">
        <v>3023</v>
      </c>
      <c r="D419" s="2" t="s">
        <v>131</v>
      </c>
      <c r="G419" s="10" t="s">
        <v>2892</v>
      </c>
      <c r="H419" t="str">
        <f t="shared" si="24"/>
        <v/>
      </c>
      <c r="I419" t="str">
        <f t="shared" si="25"/>
        <v/>
      </c>
      <c r="J419" t="str">
        <f t="shared" si="26"/>
        <v/>
      </c>
      <c r="L419" t="b">
        <f t="shared" ref="L419:L482" si="27">IF(F419="",TRUE,FALSE)</f>
        <v>1</v>
      </c>
    </row>
    <row r="420" spans="1:12" ht="16" x14ac:dyDescent="0.2">
      <c r="A420" t="s">
        <v>4718</v>
      </c>
      <c r="B420" t="s">
        <v>73</v>
      </c>
      <c r="C420" t="s">
        <v>3024</v>
      </c>
      <c r="D420" s="2" t="s">
        <v>131</v>
      </c>
      <c r="G420" s="10" t="s">
        <v>2892</v>
      </c>
      <c r="H420" t="str">
        <f t="shared" si="24"/>
        <v/>
      </c>
      <c r="I420" t="str">
        <f t="shared" si="25"/>
        <v/>
      </c>
      <c r="J420" t="str">
        <f t="shared" si="26"/>
        <v/>
      </c>
      <c r="L420" t="b">
        <f t="shared" si="27"/>
        <v>1</v>
      </c>
    </row>
    <row r="421" spans="1:12" ht="16" x14ac:dyDescent="0.2">
      <c r="A421" t="s">
        <v>4719</v>
      </c>
      <c r="B421" t="s">
        <v>73</v>
      </c>
      <c r="C421" t="s">
        <v>3025</v>
      </c>
      <c r="D421" s="2" t="s">
        <v>131</v>
      </c>
      <c r="E421">
        <v>2025</v>
      </c>
      <c r="F421">
        <v>2026</v>
      </c>
      <c r="G421" s="10">
        <v>2290000</v>
      </c>
      <c r="H421" t="str">
        <f t="shared" si="24"/>
        <v/>
      </c>
      <c r="I421" t="str">
        <f t="shared" si="25"/>
        <v/>
      </c>
      <c r="J421" t="str">
        <f t="shared" si="26"/>
        <v/>
      </c>
      <c r="K421">
        <v>50430.879999999997</v>
      </c>
      <c r="L421" t="b">
        <f t="shared" si="27"/>
        <v>0</v>
      </c>
    </row>
    <row r="422" spans="1:12" ht="16" x14ac:dyDescent="0.2">
      <c r="A422" t="s">
        <v>4720</v>
      </c>
      <c r="B422" t="s">
        <v>73</v>
      </c>
      <c r="C422" t="s">
        <v>3026</v>
      </c>
      <c r="D422" s="2" t="s">
        <v>131</v>
      </c>
      <c r="G422" s="10" t="s">
        <v>2892</v>
      </c>
      <c r="H422" t="str">
        <f t="shared" si="24"/>
        <v/>
      </c>
      <c r="I422" t="str">
        <f t="shared" si="25"/>
        <v/>
      </c>
      <c r="J422" t="str">
        <f t="shared" si="26"/>
        <v/>
      </c>
      <c r="L422" t="b">
        <f t="shared" si="27"/>
        <v>1</v>
      </c>
    </row>
    <row r="423" spans="1:12" ht="16" x14ac:dyDescent="0.2">
      <c r="A423" t="s">
        <v>4721</v>
      </c>
      <c r="B423" t="s">
        <v>73</v>
      </c>
      <c r="C423" t="s">
        <v>3027</v>
      </c>
      <c r="D423" s="2" t="s">
        <v>131</v>
      </c>
      <c r="E423">
        <v>2025</v>
      </c>
      <c r="F423">
        <v>2026</v>
      </c>
      <c r="G423" s="10">
        <v>8515000</v>
      </c>
      <c r="H423" t="str">
        <f t="shared" si="24"/>
        <v/>
      </c>
      <c r="I423" t="str">
        <f t="shared" si="25"/>
        <v/>
      </c>
      <c r="J423" t="str">
        <f t="shared" si="26"/>
        <v/>
      </c>
      <c r="K423">
        <v>7463700.9199999999</v>
      </c>
      <c r="L423" t="b">
        <f t="shared" si="27"/>
        <v>0</v>
      </c>
    </row>
    <row r="424" spans="1:12" ht="16" x14ac:dyDescent="0.2">
      <c r="A424" t="s">
        <v>4722</v>
      </c>
      <c r="B424" t="s">
        <v>73</v>
      </c>
      <c r="C424" t="s">
        <v>3028</v>
      </c>
      <c r="D424" s="2" t="s">
        <v>131</v>
      </c>
      <c r="G424" s="10" t="s">
        <v>2892</v>
      </c>
      <c r="H424" t="str">
        <f t="shared" si="24"/>
        <v/>
      </c>
      <c r="I424" t="str">
        <f t="shared" si="25"/>
        <v/>
      </c>
      <c r="J424" t="str">
        <f t="shared" si="26"/>
        <v/>
      </c>
      <c r="L424" t="b">
        <f t="shared" si="27"/>
        <v>1</v>
      </c>
    </row>
    <row r="425" spans="1:12" ht="16" x14ac:dyDescent="0.2">
      <c r="A425" t="s">
        <v>4723</v>
      </c>
      <c r="B425" t="s">
        <v>73</v>
      </c>
      <c r="C425" t="s">
        <v>3029</v>
      </c>
      <c r="D425" s="2" t="s">
        <v>131</v>
      </c>
      <c r="G425" s="10" t="s">
        <v>2892</v>
      </c>
      <c r="H425" t="str">
        <f t="shared" si="24"/>
        <v/>
      </c>
      <c r="I425" t="str">
        <f t="shared" si="25"/>
        <v/>
      </c>
      <c r="J425" t="str">
        <f t="shared" si="26"/>
        <v/>
      </c>
      <c r="L425" t="b">
        <f t="shared" si="27"/>
        <v>1</v>
      </c>
    </row>
    <row r="426" spans="1:12" ht="16" x14ac:dyDescent="0.2">
      <c r="A426" t="s">
        <v>4724</v>
      </c>
      <c r="B426" t="s">
        <v>73</v>
      </c>
      <c r="C426" t="s">
        <v>3030</v>
      </c>
      <c r="D426" s="2" t="s">
        <v>131</v>
      </c>
      <c r="E426">
        <v>2025</v>
      </c>
      <c r="F426">
        <v>2026</v>
      </c>
      <c r="G426" s="10">
        <v>2750000</v>
      </c>
      <c r="H426" t="str">
        <f t="shared" si="24"/>
        <v/>
      </c>
      <c r="I426" t="str">
        <f t="shared" si="25"/>
        <v/>
      </c>
      <c r="J426" t="str">
        <f t="shared" si="26"/>
        <v/>
      </c>
      <c r="K426">
        <v>1080709.1599999999</v>
      </c>
      <c r="L426" t="b">
        <f t="shared" si="27"/>
        <v>0</v>
      </c>
    </row>
    <row r="427" spans="1:12" ht="16" x14ac:dyDescent="0.2">
      <c r="A427" t="s">
        <v>4725</v>
      </c>
      <c r="B427" t="s">
        <v>73</v>
      </c>
      <c r="C427" t="s">
        <v>3031</v>
      </c>
      <c r="D427" s="2" t="s">
        <v>131</v>
      </c>
      <c r="E427">
        <v>2025</v>
      </c>
      <c r="F427">
        <v>2027</v>
      </c>
      <c r="G427" s="10">
        <v>2603333.333333333</v>
      </c>
      <c r="H427">
        <f t="shared" si="24"/>
        <v>2603333.333333333</v>
      </c>
      <c r="I427" t="str">
        <f t="shared" si="25"/>
        <v/>
      </c>
      <c r="J427" t="str">
        <f t="shared" si="26"/>
        <v/>
      </c>
      <c r="K427">
        <v>383909.53</v>
      </c>
      <c r="L427" t="b">
        <f t="shared" si="27"/>
        <v>0</v>
      </c>
    </row>
    <row r="428" spans="1:12" ht="16" x14ac:dyDescent="0.2">
      <c r="A428" t="s">
        <v>4726</v>
      </c>
      <c r="B428" t="s">
        <v>73</v>
      </c>
      <c r="C428" t="s">
        <v>3032</v>
      </c>
      <c r="D428" s="2" t="s">
        <v>131</v>
      </c>
      <c r="E428">
        <v>2025</v>
      </c>
      <c r="F428">
        <v>2027</v>
      </c>
      <c r="G428" s="10">
        <v>9960000</v>
      </c>
      <c r="H428">
        <f t="shared" si="24"/>
        <v>9960000</v>
      </c>
      <c r="I428" t="str">
        <f t="shared" si="25"/>
        <v/>
      </c>
      <c r="J428" t="str">
        <f t="shared" si="26"/>
        <v/>
      </c>
      <c r="K428">
        <v>10169733.35</v>
      </c>
      <c r="L428" t="b">
        <f t="shared" si="27"/>
        <v>0</v>
      </c>
    </row>
    <row r="429" spans="1:12" ht="16" x14ac:dyDescent="0.2">
      <c r="A429" t="s">
        <v>4727</v>
      </c>
      <c r="B429" t="s">
        <v>73</v>
      </c>
      <c r="C429" t="s">
        <v>3033</v>
      </c>
      <c r="D429" s="2" t="s">
        <v>131</v>
      </c>
      <c r="E429">
        <v>2025</v>
      </c>
      <c r="F429">
        <v>2027</v>
      </c>
      <c r="G429" s="10">
        <v>12180000</v>
      </c>
      <c r="H429">
        <f t="shared" si="24"/>
        <v>12180000</v>
      </c>
      <c r="I429" t="str">
        <f t="shared" si="25"/>
        <v/>
      </c>
      <c r="J429" t="str">
        <f t="shared" si="26"/>
        <v/>
      </c>
      <c r="K429">
        <v>10232367.369999999</v>
      </c>
      <c r="L429" t="b">
        <f t="shared" si="27"/>
        <v>0</v>
      </c>
    </row>
    <row r="430" spans="1:12" ht="16" x14ac:dyDescent="0.2">
      <c r="A430" t="s">
        <v>4728</v>
      </c>
      <c r="B430" t="s">
        <v>73</v>
      </c>
      <c r="C430" t="s">
        <v>3034</v>
      </c>
      <c r="D430" s="2" t="s">
        <v>131</v>
      </c>
      <c r="E430">
        <v>2025</v>
      </c>
      <c r="F430">
        <v>2029</v>
      </c>
      <c r="G430" s="10">
        <v>14600000</v>
      </c>
      <c r="H430">
        <f t="shared" si="24"/>
        <v>14600000</v>
      </c>
      <c r="I430">
        <f t="shared" si="25"/>
        <v>14600000</v>
      </c>
      <c r="J430">
        <f t="shared" si="26"/>
        <v>14600000</v>
      </c>
      <c r="K430">
        <v>22806725.16</v>
      </c>
      <c r="L430" t="b">
        <f t="shared" si="27"/>
        <v>0</v>
      </c>
    </row>
    <row r="431" spans="1:12" ht="16" x14ac:dyDescent="0.2">
      <c r="A431" t="s">
        <v>4729</v>
      </c>
      <c r="B431" t="s">
        <v>73</v>
      </c>
      <c r="C431" t="s">
        <v>3035</v>
      </c>
      <c r="D431" s="2" t="s">
        <v>131</v>
      </c>
      <c r="E431">
        <v>2025</v>
      </c>
      <c r="F431">
        <v>2027</v>
      </c>
      <c r="G431" s="10">
        <v>11476666.666666666</v>
      </c>
      <c r="H431">
        <f t="shared" si="24"/>
        <v>11476666.666666666</v>
      </c>
      <c r="I431" t="str">
        <f t="shared" si="25"/>
        <v/>
      </c>
      <c r="J431" t="str">
        <f t="shared" si="26"/>
        <v/>
      </c>
      <c r="K431">
        <v>12247993.76</v>
      </c>
      <c r="L431" t="b">
        <f t="shared" si="27"/>
        <v>0</v>
      </c>
    </row>
    <row r="432" spans="1:12" ht="16" x14ac:dyDescent="0.2">
      <c r="A432" t="s">
        <v>4730</v>
      </c>
      <c r="B432" t="s">
        <v>73</v>
      </c>
      <c r="C432" t="s">
        <v>3036</v>
      </c>
      <c r="D432" s="2" t="s">
        <v>131</v>
      </c>
      <c r="G432" s="10" t="s">
        <v>2892</v>
      </c>
      <c r="H432" t="str">
        <f t="shared" si="24"/>
        <v/>
      </c>
      <c r="I432" t="str">
        <f t="shared" si="25"/>
        <v/>
      </c>
      <c r="J432" t="str">
        <f t="shared" si="26"/>
        <v/>
      </c>
      <c r="L432" t="b">
        <f t="shared" si="27"/>
        <v>1</v>
      </c>
    </row>
    <row r="433" spans="1:12" ht="16" x14ac:dyDescent="0.2">
      <c r="A433" t="s">
        <v>4731</v>
      </c>
      <c r="B433" t="s">
        <v>73</v>
      </c>
      <c r="C433" t="s">
        <v>3037</v>
      </c>
      <c r="D433" s="2" t="s">
        <v>131</v>
      </c>
      <c r="E433">
        <v>2025</v>
      </c>
      <c r="F433">
        <v>2026</v>
      </c>
      <c r="G433" s="10">
        <v>5605000</v>
      </c>
      <c r="H433" t="str">
        <f t="shared" si="24"/>
        <v/>
      </c>
      <c r="I433" t="str">
        <f t="shared" si="25"/>
        <v/>
      </c>
      <c r="J433" t="str">
        <f t="shared" si="26"/>
        <v/>
      </c>
      <c r="K433">
        <v>1584320.62</v>
      </c>
      <c r="L433" t="b">
        <f t="shared" si="27"/>
        <v>0</v>
      </c>
    </row>
    <row r="434" spans="1:12" ht="16" x14ac:dyDescent="0.2">
      <c r="A434" t="s">
        <v>4732</v>
      </c>
      <c r="B434" t="s">
        <v>73</v>
      </c>
      <c r="C434" t="s">
        <v>3038</v>
      </c>
      <c r="D434" s="2" t="s">
        <v>131</v>
      </c>
      <c r="G434" s="10" t="s">
        <v>2892</v>
      </c>
      <c r="H434" t="str">
        <f t="shared" si="24"/>
        <v/>
      </c>
      <c r="I434" t="str">
        <f t="shared" si="25"/>
        <v/>
      </c>
      <c r="J434" t="str">
        <f t="shared" si="26"/>
        <v/>
      </c>
      <c r="L434" t="b">
        <f t="shared" si="27"/>
        <v>1</v>
      </c>
    </row>
    <row r="435" spans="1:12" ht="16" x14ac:dyDescent="0.2">
      <c r="A435" t="s">
        <v>4733</v>
      </c>
      <c r="B435" t="s">
        <v>73</v>
      </c>
      <c r="C435" t="s">
        <v>3039</v>
      </c>
      <c r="D435" s="2" t="s">
        <v>131</v>
      </c>
      <c r="G435" s="10" t="s">
        <v>2892</v>
      </c>
      <c r="H435" t="str">
        <f t="shared" si="24"/>
        <v/>
      </c>
      <c r="I435" t="str">
        <f t="shared" si="25"/>
        <v/>
      </c>
      <c r="J435" t="str">
        <f t="shared" si="26"/>
        <v/>
      </c>
      <c r="L435" t="b">
        <f t="shared" si="27"/>
        <v>1</v>
      </c>
    </row>
    <row r="436" spans="1:12" ht="16" x14ac:dyDescent="0.2">
      <c r="A436" t="s">
        <v>4734</v>
      </c>
      <c r="B436" t="s">
        <v>73</v>
      </c>
      <c r="C436" t="s">
        <v>3040</v>
      </c>
      <c r="D436" s="2" t="s">
        <v>131</v>
      </c>
      <c r="E436">
        <v>2025</v>
      </c>
      <c r="F436">
        <v>2026</v>
      </c>
      <c r="G436" s="10">
        <v>5580000</v>
      </c>
      <c r="H436" t="str">
        <f t="shared" si="24"/>
        <v/>
      </c>
      <c r="I436" t="str">
        <f t="shared" si="25"/>
        <v/>
      </c>
      <c r="J436" t="str">
        <f t="shared" si="26"/>
        <v/>
      </c>
      <c r="K436">
        <v>2503581.2200000002</v>
      </c>
      <c r="L436" t="b">
        <f t="shared" si="27"/>
        <v>0</v>
      </c>
    </row>
    <row r="437" spans="1:12" ht="16" x14ac:dyDescent="0.2">
      <c r="A437" t="s">
        <v>4735</v>
      </c>
      <c r="B437" t="s">
        <v>73</v>
      </c>
      <c r="C437" t="s">
        <v>3041</v>
      </c>
      <c r="D437" s="2" t="s">
        <v>131</v>
      </c>
      <c r="E437">
        <v>2025</v>
      </c>
      <c r="F437">
        <v>2027</v>
      </c>
      <c r="G437" s="10">
        <v>9103333.333333334</v>
      </c>
      <c r="H437">
        <f t="shared" si="24"/>
        <v>9103333.333333334</v>
      </c>
      <c r="I437" t="str">
        <f t="shared" si="25"/>
        <v/>
      </c>
      <c r="J437" t="str">
        <f t="shared" si="26"/>
        <v/>
      </c>
      <c r="K437">
        <v>11404836.189999999</v>
      </c>
      <c r="L437" t="b">
        <f t="shared" si="27"/>
        <v>0</v>
      </c>
    </row>
    <row r="438" spans="1:12" ht="16" x14ac:dyDescent="0.2">
      <c r="A438" t="s">
        <v>4736</v>
      </c>
      <c r="B438" t="s">
        <v>73</v>
      </c>
      <c r="C438" t="s">
        <v>3042</v>
      </c>
      <c r="D438" s="2" t="s">
        <v>131</v>
      </c>
      <c r="E438">
        <v>2025</v>
      </c>
      <c r="F438">
        <v>2027</v>
      </c>
      <c r="G438" s="10">
        <v>5673333.333333333</v>
      </c>
      <c r="H438">
        <f t="shared" si="24"/>
        <v>5673333.333333333</v>
      </c>
      <c r="I438" t="str">
        <f t="shared" si="25"/>
        <v/>
      </c>
      <c r="J438" t="str">
        <f t="shared" si="26"/>
        <v/>
      </c>
      <c r="K438">
        <v>3985176.34</v>
      </c>
      <c r="L438" t="b">
        <f t="shared" si="27"/>
        <v>0</v>
      </c>
    </row>
    <row r="439" spans="1:12" ht="16" x14ac:dyDescent="0.2">
      <c r="A439" t="s">
        <v>4737</v>
      </c>
      <c r="B439" t="s">
        <v>73</v>
      </c>
      <c r="C439" t="s">
        <v>3043</v>
      </c>
      <c r="D439" s="2" t="s">
        <v>131</v>
      </c>
      <c r="E439">
        <v>2025</v>
      </c>
      <c r="F439">
        <v>2026</v>
      </c>
      <c r="G439" s="10">
        <v>5280000</v>
      </c>
      <c r="H439" t="str">
        <f t="shared" si="24"/>
        <v/>
      </c>
      <c r="I439" t="str">
        <f t="shared" si="25"/>
        <v/>
      </c>
      <c r="J439" t="str">
        <f t="shared" si="26"/>
        <v/>
      </c>
      <c r="K439">
        <v>3080852.8</v>
      </c>
      <c r="L439" t="b">
        <f t="shared" si="27"/>
        <v>0</v>
      </c>
    </row>
    <row r="440" spans="1:12" ht="16" x14ac:dyDescent="0.2">
      <c r="A440" t="s">
        <v>4738</v>
      </c>
      <c r="B440" t="s">
        <v>73</v>
      </c>
      <c r="C440" t="s">
        <v>3044</v>
      </c>
      <c r="D440" s="2" t="s">
        <v>131</v>
      </c>
      <c r="G440" s="10" t="s">
        <v>2892</v>
      </c>
      <c r="H440" t="str">
        <f t="shared" si="24"/>
        <v/>
      </c>
      <c r="I440" t="str">
        <f t="shared" si="25"/>
        <v/>
      </c>
      <c r="J440" t="str">
        <f t="shared" si="26"/>
        <v/>
      </c>
      <c r="L440" t="b">
        <f t="shared" si="27"/>
        <v>1</v>
      </c>
    </row>
    <row r="441" spans="1:12" ht="16" x14ac:dyDescent="0.2">
      <c r="A441" t="s">
        <v>4739</v>
      </c>
      <c r="B441" t="s">
        <v>73</v>
      </c>
      <c r="C441" t="s">
        <v>3045</v>
      </c>
      <c r="D441" s="2" t="s">
        <v>131</v>
      </c>
      <c r="E441">
        <v>2026</v>
      </c>
      <c r="F441">
        <v>2029</v>
      </c>
      <c r="G441" s="10">
        <v>4850000.0000000009</v>
      </c>
      <c r="H441">
        <f t="shared" si="24"/>
        <v>4850000.0000000009</v>
      </c>
      <c r="I441">
        <f t="shared" si="25"/>
        <v>4850000.0000000009</v>
      </c>
      <c r="J441">
        <f t="shared" si="26"/>
        <v>4850000.0000000009</v>
      </c>
      <c r="K441">
        <v>1796897.42</v>
      </c>
      <c r="L441" t="b">
        <f t="shared" si="27"/>
        <v>0</v>
      </c>
    </row>
    <row r="442" spans="1:12" ht="16" x14ac:dyDescent="0.2">
      <c r="A442" t="s">
        <v>4740</v>
      </c>
      <c r="B442" t="s">
        <v>73</v>
      </c>
      <c r="C442" t="s">
        <v>3046</v>
      </c>
      <c r="D442" s="2" t="s">
        <v>131</v>
      </c>
      <c r="E442">
        <v>2025</v>
      </c>
      <c r="F442">
        <v>2027</v>
      </c>
      <c r="G442" s="10">
        <v>3823333.3333333335</v>
      </c>
      <c r="H442">
        <f t="shared" si="24"/>
        <v>3823333.3333333335</v>
      </c>
      <c r="I442" t="str">
        <f t="shared" si="25"/>
        <v/>
      </c>
      <c r="J442" t="str">
        <f t="shared" si="26"/>
        <v/>
      </c>
      <c r="K442">
        <v>1183649.01</v>
      </c>
      <c r="L442" t="b">
        <f t="shared" si="27"/>
        <v>0</v>
      </c>
    </row>
    <row r="443" spans="1:12" ht="16" x14ac:dyDescent="0.2">
      <c r="A443" t="s">
        <v>4741</v>
      </c>
      <c r="B443" t="s">
        <v>73</v>
      </c>
      <c r="C443" t="s">
        <v>3047</v>
      </c>
      <c r="D443" s="2" t="s">
        <v>131</v>
      </c>
      <c r="E443">
        <v>2025</v>
      </c>
      <c r="F443">
        <v>2026</v>
      </c>
      <c r="G443" s="10">
        <v>10240000</v>
      </c>
      <c r="H443" t="str">
        <f t="shared" si="24"/>
        <v/>
      </c>
      <c r="I443" t="str">
        <f t="shared" si="25"/>
        <v/>
      </c>
      <c r="J443" t="str">
        <f t="shared" si="26"/>
        <v/>
      </c>
      <c r="K443">
        <v>7899748.6399999997</v>
      </c>
      <c r="L443" t="b">
        <f t="shared" si="27"/>
        <v>0</v>
      </c>
    </row>
    <row r="444" spans="1:12" ht="16" x14ac:dyDescent="0.2">
      <c r="A444" t="s">
        <v>4742</v>
      </c>
      <c r="B444" t="s">
        <v>73</v>
      </c>
      <c r="C444" t="s">
        <v>3048</v>
      </c>
      <c r="D444" s="2" t="s">
        <v>131</v>
      </c>
      <c r="E444">
        <v>2025</v>
      </c>
      <c r="F444">
        <v>2026</v>
      </c>
      <c r="G444" s="10">
        <v>2890000</v>
      </c>
      <c r="H444" t="str">
        <f t="shared" si="24"/>
        <v/>
      </c>
      <c r="I444" t="str">
        <f t="shared" si="25"/>
        <v/>
      </c>
      <c r="J444" t="str">
        <f t="shared" si="26"/>
        <v/>
      </c>
      <c r="K444">
        <v>1581776.22</v>
      </c>
      <c r="L444" t="b">
        <f t="shared" si="27"/>
        <v>0</v>
      </c>
    </row>
    <row r="445" spans="1:12" ht="16" x14ac:dyDescent="0.2">
      <c r="A445" t="s">
        <v>4743</v>
      </c>
      <c r="B445" t="s">
        <v>73</v>
      </c>
      <c r="C445" t="s">
        <v>3049</v>
      </c>
      <c r="D445" s="2" t="s">
        <v>131</v>
      </c>
      <c r="E445">
        <v>2025</v>
      </c>
      <c r="F445">
        <v>2027</v>
      </c>
      <c r="G445" s="10">
        <v>2540000</v>
      </c>
      <c r="H445">
        <f t="shared" si="24"/>
        <v>2540000</v>
      </c>
      <c r="I445" t="str">
        <f t="shared" si="25"/>
        <v/>
      </c>
      <c r="J445" t="str">
        <f t="shared" si="26"/>
        <v/>
      </c>
      <c r="K445">
        <v>1876845.13</v>
      </c>
      <c r="L445" t="b">
        <f t="shared" si="27"/>
        <v>0</v>
      </c>
    </row>
    <row r="446" spans="1:12" ht="16" x14ac:dyDescent="0.2">
      <c r="A446" t="s">
        <v>4744</v>
      </c>
      <c r="B446" t="s">
        <v>73</v>
      </c>
      <c r="C446" t="s">
        <v>3050</v>
      </c>
      <c r="D446" s="2" t="s">
        <v>131</v>
      </c>
      <c r="E446">
        <v>2025</v>
      </c>
      <c r="F446">
        <v>2026</v>
      </c>
      <c r="G446" s="10">
        <v>790000</v>
      </c>
      <c r="H446" t="str">
        <f t="shared" si="24"/>
        <v/>
      </c>
      <c r="I446" t="str">
        <f t="shared" si="25"/>
        <v/>
      </c>
      <c r="J446" t="str">
        <f t="shared" si="26"/>
        <v/>
      </c>
      <c r="K446">
        <v>204798.76</v>
      </c>
      <c r="L446" t="b">
        <f t="shared" si="27"/>
        <v>0</v>
      </c>
    </row>
    <row r="447" spans="1:12" ht="16" x14ac:dyDescent="0.2">
      <c r="A447" t="s">
        <v>4745</v>
      </c>
      <c r="B447" t="s">
        <v>73</v>
      </c>
      <c r="C447" t="s">
        <v>3051</v>
      </c>
      <c r="D447" s="2" t="s">
        <v>131</v>
      </c>
      <c r="E447">
        <v>2025</v>
      </c>
      <c r="F447">
        <v>2026</v>
      </c>
      <c r="G447" s="10">
        <v>5075000</v>
      </c>
      <c r="H447" t="str">
        <f t="shared" si="24"/>
        <v/>
      </c>
      <c r="I447" t="str">
        <f t="shared" si="25"/>
        <v/>
      </c>
      <c r="J447" t="str">
        <f t="shared" si="26"/>
        <v/>
      </c>
      <c r="K447">
        <v>1808930.49</v>
      </c>
      <c r="L447" t="b">
        <f t="shared" si="27"/>
        <v>0</v>
      </c>
    </row>
    <row r="448" spans="1:12" ht="16" x14ac:dyDescent="0.2">
      <c r="A448" t="s">
        <v>4746</v>
      </c>
      <c r="B448" t="s">
        <v>73</v>
      </c>
      <c r="C448" t="s">
        <v>3052</v>
      </c>
      <c r="D448" s="2" t="s">
        <v>131</v>
      </c>
      <c r="G448" s="10" t="s">
        <v>2892</v>
      </c>
      <c r="H448" t="str">
        <f t="shared" si="24"/>
        <v/>
      </c>
      <c r="I448" t="str">
        <f t="shared" si="25"/>
        <v/>
      </c>
      <c r="J448" t="str">
        <f t="shared" si="26"/>
        <v/>
      </c>
      <c r="L448" t="b">
        <f t="shared" si="27"/>
        <v>1</v>
      </c>
    </row>
    <row r="449" spans="1:12" ht="16" x14ac:dyDescent="0.2">
      <c r="A449" t="s">
        <v>4747</v>
      </c>
      <c r="B449" t="s">
        <v>73</v>
      </c>
      <c r="C449" t="s">
        <v>3053</v>
      </c>
      <c r="D449" s="2" t="s">
        <v>131</v>
      </c>
      <c r="E449">
        <v>2025</v>
      </c>
      <c r="F449">
        <v>2026</v>
      </c>
      <c r="G449" s="10">
        <v>2235000</v>
      </c>
      <c r="H449" t="str">
        <f t="shared" si="24"/>
        <v/>
      </c>
      <c r="I449" t="str">
        <f t="shared" si="25"/>
        <v/>
      </c>
      <c r="J449" t="str">
        <f t="shared" si="26"/>
        <v/>
      </c>
      <c r="K449">
        <v>808609.4</v>
      </c>
      <c r="L449" t="b">
        <f t="shared" si="27"/>
        <v>0</v>
      </c>
    </row>
    <row r="450" spans="1:12" ht="16" x14ac:dyDescent="0.2">
      <c r="A450" t="s">
        <v>4748</v>
      </c>
      <c r="B450" t="s">
        <v>73</v>
      </c>
      <c r="C450" t="s">
        <v>3054</v>
      </c>
      <c r="D450" s="2" t="s">
        <v>131</v>
      </c>
      <c r="E450">
        <v>2025</v>
      </c>
      <c r="F450">
        <v>2026</v>
      </c>
      <c r="G450" s="10">
        <v>2009999.9999999998</v>
      </c>
      <c r="H450" t="str">
        <f t="shared" si="24"/>
        <v/>
      </c>
      <c r="I450" t="str">
        <f t="shared" si="25"/>
        <v/>
      </c>
      <c r="J450" t="str">
        <f t="shared" si="26"/>
        <v/>
      </c>
      <c r="K450">
        <v>665426.03</v>
      </c>
      <c r="L450" t="b">
        <f t="shared" si="27"/>
        <v>0</v>
      </c>
    </row>
    <row r="451" spans="1:12" ht="16" x14ac:dyDescent="0.2">
      <c r="A451" t="s">
        <v>4749</v>
      </c>
      <c r="B451" t="s">
        <v>73</v>
      </c>
      <c r="C451" t="s">
        <v>3055</v>
      </c>
      <c r="D451" s="2" t="s">
        <v>130</v>
      </c>
      <c r="E451">
        <v>2025</v>
      </c>
      <c r="F451">
        <v>2026</v>
      </c>
      <c r="G451" s="10">
        <v>49400000</v>
      </c>
      <c r="H451" t="str">
        <f t="shared" si="24"/>
        <v/>
      </c>
      <c r="I451" t="str">
        <f t="shared" si="25"/>
        <v/>
      </c>
      <c r="J451" t="str">
        <f t="shared" si="26"/>
        <v/>
      </c>
      <c r="K451">
        <v>22206408.420000002</v>
      </c>
      <c r="L451" t="b">
        <f t="shared" si="27"/>
        <v>0</v>
      </c>
    </row>
    <row r="452" spans="1:12" ht="16" x14ac:dyDescent="0.2">
      <c r="A452" t="s">
        <v>4750</v>
      </c>
      <c r="B452" t="s">
        <v>73</v>
      </c>
      <c r="C452" t="s">
        <v>3056</v>
      </c>
      <c r="D452" s="2" t="s">
        <v>130</v>
      </c>
      <c r="E452">
        <v>2025</v>
      </c>
      <c r="F452">
        <v>2026</v>
      </c>
      <c r="G452" s="10">
        <v>6665000</v>
      </c>
      <c r="H452" t="str">
        <f t="shared" ref="H452:H515" si="28">IF(F452&gt;=2027,G452,"")</f>
        <v/>
      </c>
      <c r="I452" t="str">
        <f t="shared" ref="I452:I515" si="29">IF(F452&gt;=2028,G452,"")</f>
        <v/>
      </c>
      <c r="J452" t="str">
        <f t="shared" ref="J452:J515" si="30">IF(F452&gt;=2029,G452,"")</f>
        <v/>
      </c>
      <c r="K452">
        <v>2083433.44</v>
      </c>
      <c r="L452" t="b">
        <f t="shared" si="27"/>
        <v>0</v>
      </c>
    </row>
    <row r="453" spans="1:12" ht="16" x14ac:dyDescent="0.2">
      <c r="A453" t="s">
        <v>4751</v>
      </c>
      <c r="B453" t="s">
        <v>73</v>
      </c>
      <c r="C453" t="s">
        <v>3057</v>
      </c>
      <c r="D453" s="2" t="s">
        <v>130</v>
      </c>
      <c r="G453" s="10" t="s">
        <v>2892</v>
      </c>
      <c r="H453" t="str">
        <f t="shared" si="28"/>
        <v/>
      </c>
      <c r="I453" t="str">
        <f t="shared" si="29"/>
        <v/>
      </c>
      <c r="J453" t="str">
        <f t="shared" si="30"/>
        <v/>
      </c>
      <c r="L453" t="b">
        <f t="shared" si="27"/>
        <v>1</v>
      </c>
    </row>
    <row r="454" spans="1:12" ht="16" x14ac:dyDescent="0.2">
      <c r="A454" t="s">
        <v>4752</v>
      </c>
      <c r="B454" t="s">
        <v>73</v>
      </c>
      <c r="C454" t="s">
        <v>3058</v>
      </c>
      <c r="D454" s="2" t="s">
        <v>130</v>
      </c>
      <c r="E454">
        <v>2025</v>
      </c>
      <c r="F454">
        <v>2027</v>
      </c>
      <c r="G454" s="10">
        <v>7726666.666666667</v>
      </c>
      <c r="H454">
        <f t="shared" si="28"/>
        <v>7726666.666666667</v>
      </c>
      <c r="I454" t="str">
        <f t="shared" si="29"/>
        <v/>
      </c>
      <c r="J454" t="str">
        <f t="shared" si="30"/>
        <v/>
      </c>
      <c r="K454">
        <v>8339328.7599999998</v>
      </c>
      <c r="L454" t="b">
        <f t="shared" si="27"/>
        <v>0</v>
      </c>
    </row>
    <row r="455" spans="1:12" ht="16" x14ac:dyDescent="0.2">
      <c r="A455" t="s">
        <v>4753</v>
      </c>
      <c r="B455" t="s">
        <v>73</v>
      </c>
      <c r="C455" t="s">
        <v>3059</v>
      </c>
      <c r="D455" s="2" t="s">
        <v>130</v>
      </c>
      <c r="E455">
        <v>2025</v>
      </c>
      <c r="F455">
        <v>2026</v>
      </c>
      <c r="G455" s="10">
        <v>4054999.9999999995</v>
      </c>
      <c r="H455" t="str">
        <f t="shared" si="28"/>
        <v/>
      </c>
      <c r="I455" t="str">
        <f t="shared" si="29"/>
        <v/>
      </c>
      <c r="J455" t="str">
        <f t="shared" si="30"/>
        <v/>
      </c>
      <c r="K455">
        <v>1972664.88</v>
      </c>
      <c r="L455" t="b">
        <f t="shared" si="27"/>
        <v>0</v>
      </c>
    </row>
    <row r="456" spans="1:12" ht="16" x14ac:dyDescent="0.2">
      <c r="A456" t="s">
        <v>4754</v>
      </c>
      <c r="B456" t="s">
        <v>73</v>
      </c>
      <c r="C456" t="s">
        <v>3060</v>
      </c>
      <c r="D456" s="2" t="s">
        <v>130</v>
      </c>
      <c r="E456">
        <v>2025</v>
      </c>
      <c r="F456">
        <v>2026</v>
      </c>
      <c r="G456" s="10">
        <v>2945000</v>
      </c>
      <c r="H456" t="str">
        <f t="shared" si="28"/>
        <v/>
      </c>
      <c r="I456" t="str">
        <f t="shared" si="29"/>
        <v/>
      </c>
      <c r="J456" t="str">
        <f t="shared" si="30"/>
        <v/>
      </c>
      <c r="K456">
        <v>1646930.35</v>
      </c>
      <c r="L456" t="b">
        <f t="shared" si="27"/>
        <v>0</v>
      </c>
    </row>
    <row r="457" spans="1:12" ht="16" x14ac:dyDescent="0.2">
      <c r="A457" t="s">
        <v>4755</v>
      </c>
      <c r="B457" t="s">
        <v>73</v>
      </c>
      <c r="C457" t="s">
        <v>3061</v>
      </c>
      <c r="D457" s="2" t="s">
        <v>130</v>
      </c>
      <c r="G457" s="10" t="s">
        <v>2892</v>
      </c>
      <c r="H457" t="str">
        <f t="shared" si="28"/>
        <v/>
      </c>
      <c r="I457" t="str">
        <f t="shared" si="29"/>
        <v/>
      </c>
      <c r="J457" t="str">
        <f t="shared" si="30"/>
        <v/>
      </c>
      <c r="L457" t="b">
        <f t="shared" si="27"/>
        <v>1</v>
      </c>
    </row>
    <row r="458" spans="1:12" ht="16" x14ac:dyDescent="0.2">
      <c r="A458" t="s">
        <v>4756</v>
      </c>
      <c r="B458" t="s">
        <v>73</v>
      </c>
      <c r="C458" t="s">
        <v>3062</v>
      </c>
      <c r="D458" s="2" t="s">
        <v>130</v>
      </c>
      <c r="E458">
        <v>2025</v>
      </c>
      <c r="F458">
        <v>2026</v>
      </c>
      <c r="G458" s="10">
        <v>9575000</v>
      </c>
      <c r="H458" t="str">
        <f t="shared" si="28"/>
        <v/>
      </c>
      <c r="I458" t="str">
        <f t="shared" si="29"/>
        <v/>
      </c>
      <c r="J458" t="str">
        <f t="shared" si="30"/>
        <v/>
      </c>
      <c r="K458">
        <v>8280475.2699999996</v>
      </c>
      <c r="L458" t="b">
        <f t="shared" si="27"/>
        <v>0</v>
      </c>
    </row>
    <row r="459" spans="1:12" ht="16" x14ac:dyDescent="0.2">
      <c r="A459" t="s">
        <v>4757</v>
      </c>
      <c r="B459" t="s">
        <v>73</v>
      </c>
      <c r="C459" t="s">
        <v>3063</v>
      </c>
      <c r="D459" s="2" t="s">
        <v>130</v>
      </c>
      <c r="E459">
        <v>2025</v>
      </c>
      <c r="F459">
        <v>2027</v>
      </c>
      <c r="G459" s="10">
        <v>3186666.666666667</v>
      </c>
      <c r="H459">
        <f t="shared" si="28"/>
        <v>3186666.666666667</v>
      </c>
      <c r="I459" t="str">
        <f t="shared" si="29"/>
        <v/>
      </c>
      <c r="J459" t="str">
        <f t="shared" si="30"/>
        <v/>
      </c>
      <c r="K459">
        <v>1239798.94</v>
      </c>
      <c r="L459" t="b">
        <f t="shared" si="27"/>
        <v>0</v>
      </c>
    </row>
    <row r="460" spans="1:12" ht="16" x14ac:dyDescent="0.2">
      <c r="A460" t="s">
        <v>4758</v>
      </c>
      <c r="B460" t="s">
        <v>73</v>
      </c>
      <c r="C460" t="s">
        <v>3064</v>
      </c>
      <c r="D460" s="2" t="s">
        <v>130</v>
      </c>
      <c r="E460">
        <v>2025</v>
      </c>
      <c r="F460">
        <v>2026</v>
      </c>
      <c r="G460" s="10">
        <v>4760000</v>
      </c>
      <c r="H460" t="str">
        <f t="shared" si="28"/>
        <v/>
      </c>
      <c r="I460" t="str">
        <f t="shared" si="29"/>
        <v/>
      </c>
      <c r="J460" t="str">
        <f t="shared" si="30"/>
        <v/>
      </c>
      <c r="K460">
        <v>1393751.17</v>
      </c>
      <c r="L460" t="b">
        <f t="shared" si="27"/>
        <v>0</v>
      </c>
    </row>
    <row r="461" spans="1:12" ht="16" x14ac:dyDescent="0.2">
      <c r="A461" t="s">
        <v>4759</v>
      </c>
      <c r="B461" t="s">
        <v>73</v>
      </c>
      <c r="C461" t="s">
        <v>3065</v>
      </c>
      <c r="D461" s="2" t="s">
        <v>130</v>
      </c>
      <c r="G461" s="10" t="s">
        <v>2892</v>
      </c>
      <c r="H461" t="str">
        <f t="shared" si="28"/>
        <v/>
      </c>
      <c r="I461" t="str">
        <f t="shared" si="29"/>
        <v/>
      </c>
      <c r="J461" t="str">
        <f t="shared" si="30"/>
        <v/>
      </c>
      <c r="L461" t="b">
        <f t="shared" si="27"/>
        <v>1</v>
      </c>
    </row>
    <row r="462" spans="1:12" ht="16" x14ac:dyDescent="0.2">
      <c r="A462" t="s">
        <v>4760</v>
      </c>
      <c r="B462" t="s">
        <v>73</v>
      </c>
      <c r="C462" t="s">
        <v>3066</v>
      </c>
      <c r="D462" s="2" t="s">
        <v>130</v>
      </c>
      <c r="E462">
        <v>2025</v>
      </c>
      <c r="F462">
        <v>2027</v>
      </c>
      <c r="G462" s="10">
        <v>1876666.6666666667</v>
      </c>
      <c r="H462">
        <f t="shared" si="28"/>
        <v>1876666.6666666667</v>
      </c>
      <c r="I462" t="str">
        <f t="shared" si="29"/>
        <v/>
      </c>
      <c r="J462" t="str">
        <f t="shared" si="30"/>
        <v/>
      </c>
      <c r="K462">
        <v>964251.87</v>
      </c>
      <c r="L462" t="b">
        <f t="shared" si="27"/>
        <v>0</v>
      </c>
    </row>
    <row r="463" spans="1:12" ht="16" x14ac:dyDescent="0.2">
      <c r="A463" t="s">
        <v>4761</v>
      </c>
      <c r="B463" t="s">
        <v>73</v>
      </c>
      <c r="C463" t="s">
        <v>3067</v>
      </c>
      <c r="D463" s="2" t="s">
        <v>130</v>
      </c>
      <c r="E463">
        <v>2025</v>
      </c>
      <c r="F463">
        <v>2026</v>
      </c>
      <c r="G463" s="10">
        <v>4510000</v>
      </c>
      <c r="H463" t="str">
        <f t="shared" si="28"/>
        <v/>
      </c>
      <c r="I463" t="str">
        <f t="shared" si="29"/>
        <v/>
      </c>
      <c r="J463" t="str">
        <f t="shared" si="30"/>
        <v/>
      </c>
      <c r="K463">
        <v>2046532.38</v>
      </c>
      <c r="L463" t="b">
        <f t="shared" si="27"/>
        <v>0</v>
      </c>
    </row>
    <row r="464" spans="1:12" ht="16" x14ac:dyDescent="0.2">
      <c r="A464" t="s">
        <v>4762</v>
      </c>
      <c r="B464" t="s">
        <v>73</v>
      </c>
      <c r="C464" t="s">
        <v>3068</v>
      </c>
      <c r="D464" s="2" t="s">
        <v>130</v>
      </c>
      <c r="G464" s="10" t="s">
        <v>2892</v>
      </c>
      <c r="H464" t="str">
        <f t="shared" si="28"/>
        <v/>
      </c>
      <c r="I464" t="str">
        <f t="shared" si="29"/>
        <v/>
      </c>
      <c r="J464" t="str">
        <f t="shared" si="30"/>
        <v/>
      </c>
      <c r="L464" t="b">
        <f t="shared" si="27"/>
        <v>1</v>
      </c>
    </row>
    <row r="465" spans="1:12" ht="16" x14ac:dyDescent="0.2">
      <c r="A465" t="s">
        <v>4763</v>
      </c>
      <c r="B465" t="s">
        <v>73</v>
      </c>
      <c r="C465" t="s">
        <v>3069</v>
      </c>
      <c r="D465" s="2" t="s">
        <v>130</v>
      </c>
      <c r="G465" s="10" t="s">
        <v>2892</v>
      </c>
      <c r="H465" t="str">
        <f t="shared" si="28"/>
        <v/>
      </c>
      <c r="I465" t="str">
        <f t="shared" si="29"/>
        <v/>
      </c>
      <c r="J465" t="str">
        <f t="shared" si="30"/>
        <v/>
      </c>
      <c r="L465" t="b">
        <f t="shared" si="27"/>
        <v>1</v>
      </c>
    </row>
    <row r="466" spans="1:12" ht="16" x14ac:dyDescent="0.2">
      <c r="A466" t="s">
        <v>4764</v>
      </c>
      <c r="B466" t="s">
        <v>73</v>
      </c>
      <c r="C466" t="s">
        <v>3070</v>
      </c>
      <c r="D466" s="2" t="s">
        <v>130</v>
      </c>
      <c r="G466" s="10" t="s">
        <v>2892</v>
      </c>
      <c r="H466" t="str">
        <f t="shared" si="28"/>
        <v/>
      </c>
      <c r="I466" t="str">
        <f t="shared" si="29"/>
        <v/>
      </c>
      <c r="J466" t="str">
        <f t="shared" si="30"/>
        <v/>
      </c>
      <c r="L466" t="b">
        <f t="shared" si="27"/>
        <v>1</v>
      </c>
    </row>
    <row r="467" spans="1:12" ht="16" x14ac:dyDescent="0.2">
      <c r="A467" t="s">
        <v>4765</v>
      </c>
      <c r="B467" t="s">
        <v>73</v>
      </c>
      <c r="C467" t="s">
        <v>3071</v>
      </c>
      <c r="D467" s="2" t="s">
        <v>130</v>
      </c>
      <c r="G467" s="10" t="s">
        <v>2892</v>
      </c>
      <c r="H467" t="str">
        <f t="shared" si="28"/>
        <v/>
      </c>
      <c r="I467" t="str">
        <f t="shared" si="29"/>
        <v/>
      </c>
      <c r="J467" t="str">
        <f t="shared" si="30"/>
        <v/>
      </c>
      <c r="L467" t="b">
        <f t="shared" si="27"/>
        <v>1</v>
      </c>
    </row>
    <row r="468" spans="1:12" ht="16" x14ac:dyDescent="0.2">
      <c r="A468" t="s">
        <v>4766</v>
      </c>
      <c r="B468" t="s">
        <v>73</v>
      </c>
      <c r="C468" t="s">
        <v>3072</v>
      </c>
      <c r="D468" s="2" t="s">
        <v>130</v>
      </c>
      <c r="E468">
        <v>2025</v>
      </c>
      <c r="F468">
        <v>2026</v>
      </c>
      <c r="G468" s="10">
        <v>14775000</v>
      </c>
      <c r="H468" t="str">
        <f t="shared" si="28"/>
        <v/>
      </c>
      <c r="I468" t="str">
        <f t="shared" si="29"/>
        <v/>
      </c>
      <c r="J468" t="str">
        <f t="shared" si="30"/>
        <v/>
      </c>
      <c r="K468">
        <v>8789098.9800000004</v>
      </c>
      <c r="L468" t="b">
        <f t="shared" si="27"/>
        <v>0</v>
      </c>
    </row>
    <row r="469" spans="1:12" ht="16" x14ac:dyDescent="0.2">
      <c r="A469" t="s">
        <v>4767</v>
      </c>
      <c r="B469" t="s">
        <v>73</v>
      </c>
      <c r="C469" t="s">
        <v>3073</v>
      </c>
      <c r="D469" s="2" t="s">
        <v>130</v>
      </c>
      <c r="G469" s="10" t="s">
        <v>2892</v>
      </c>
      <c r="H469" t="str">
        <f t="shared" si="28"/>
        <v/>
      </c>
      <c r="I469" t="str">
        <f t="shared" si="29"/>
        <v/>
      </c>
      <c r="J469" t="str">
        <f t="shared" si="30"/>
        <v/>
      </c>
      <c r="L469" t="b">
        <f t="shared" si="27"/>
        <v>1</v>
      </c>
    </row>
    <row r="470" spans="1:12" ht="16" x14ac:dyDescent="0.2">
      <c r="A470" t="s">
        <v>4768</v>
      </c>
      <c r="B470" t="s">
        <v>73</v>
      </c>
      <c r="C470" t="s">
        <v>3074</v>
      </c>
      <c r="D470" s="2" t="s">
        <v>130</v>
      </c>
      <c r="E470">
        <v>2025</v>
      </c>
      <c r="F470">
        <v>2026</v>
      </c>
      <c r="G470" s="10">
        <v>4340000</v>
      </c>
      <c r="H470" t="str">
        <f t="shared" si="28"/>
        <v/>
      </c>
      <c r="I470" t="str">
        <f t="shared" si="29"/>
        <v/>
      </c>
      <c r="J470" t="str">
        <f t="shared" si="30"/>
        <v/>
      </c>
      <c r="K470">
        <v>960913.19</v>
      </c>
      <c r="L470" t="b">
        <f t="shared" si="27"/>
        <v>0</v>
      </c>
    </row>
    <row r="471" spans="1:12" ht="16" x14ac:dyDescent="0.2">
      <c r="A471" t="s">
        <v>4769</v>
      </c>
      <c r="B471" t="s">
        <v>73</v>
      </c>
      <c r="C471" t="s">
        <v>3075</v>
      </c>
      <c r="D471" s="2" t="s">
        <v>130</v>
      </c>
      <c r="G471" s="10" t="s">
        <v>2892</v>
      </c>
      <c r="H471" t="str">
        <f t="shared" si="28"/>
        <v/>
      </c>
      <c r="I471" t="str">
        <f t="shared" si="29"/>
        <v/>
      </c>
      <c r="J471" t="str">
        <f t="shared" si="30"/>
        <v/>
      </c>
      <c r="L471" t="b">
        <f t="shared" si="27"/>
        <v>1</v>
      </c>
    </row>
    <row r="472" spans="1:12" ht="16" x14ac:dyDescent="0.2">
      <c r="A472" t="s">
        <v>4770</v>
      </c>
      <c r="B472" t="s">
        <v>73</v>
      </c>
      <c r="C472" t="s">
        <v>3076</v>
      </c>
      <c r="D472" s="2" t="s">
        <v>130</v>
      </c>
      <c r="G472" s="10" t="s">
        <v>2892</v>
      </c>
      <c r="H472" t="str">
        <f t="shared" si="28"/>
        <v/>
      </c>
      <c r="I472" t="str">
        <f t="shared" si="29"/>
        <v/>
      </c>
      <c r="J472" t="str">
        <f t="shared" si="30"/>
        <v/>
      </c>
      <c r="L472" t="b">
        <f t="shared" si="27"/>
        <v>1</v>
      </c>
    </row>
    <row r="473" spans="1:12" ht="16" x14ac:dyDescent="0.2">
      <c r="A473" t="s">
        <v>4771</v>
      </c>
      <c r="B473" t="s">
        <v>73</v>
      </c>
      <c r="C473" t="s">
        <v>3077</v>
      </c>
      <c r="D473" s="2" t="s">
        <v>130</v>
      </c>
      <c r="E473">
        <v>2025</v>
      </c>
      <c r="F473">
        <v>2026</v>
      </c>
      <c r="G473" s="10">
        <v>1755000</v>
      </c>
      <c r="H473" t="str">
        <f t="shared" si="28"/>
        <v/>
      </c>
      <c r="I473" t="str">
        <f t="shared" si="29"/>
        <v/>
      </c>
      <c r="J473" t="str">
        <f t="shared" si="30"/>
        <v/>
      </c>
      <c r="K473">
        <v>633387.14</v>
      </c>
      <c r="L473" t="b">
        <f t="shared" si="27"/>
        <v>0</v>
      </c>
    </row>
    <row r="474" spans="1:12" ht="16" x14ac:dyDescent="0.2">
      <c r="A474" t="s">
        <v>4772</v>
      </c>
      <c r="B474" t="s">
        <v>73</v>
      </c>
      <c r="C474" t="s">
        <v>3078</v>
      </c>
      <c r="D474" s="2" t="s">
        <v>130</v>
      </c>
      <c r="E474">
        <v>2025</v>
      </c>
      <c r="F474">
        <v>2026</v>
      </c>
      <c r="G474" s="10">
        <v>4054999.9999999995</v>
      </c>
      <c r="H474" t="str">
        <f t="shared" si="28"/>
        <v/>
      </c>
      <c r="I474" t="str">
        <f t="shared" si="29"/>
        <v/>
      </c>
      <c r="J474" t="str">
        <f t="shared" si="30"/>
        <v/>
      </c>
      <c r="K474">
        <v>1147286.1399999999</v>
      </c>
      <c r="L474" t="b">
        <f t="shared" si="27"/>
        <v>0</v>
      </c>
    </row>
    <row r="475" spans="1:12" ht="16" x14ac:dyDescent="0.2">
      <c r="A475" t="s">
        <v>4773</v>
      </c>
      <c r="B475" t="s">
        <v>73</v>
      </c>
      <c r="C475" t="s">
        <v>3079</v>
      </c>
      <c r="D475" s="2" t="s">
        <v>130</v>
      </c>
      <c r="E475">
        <v>2025</v>
      </c>
      <c r="F475">
        <v>2027</v>
      </c>
      <c r="G475" s="10">
        <v>4096666.6666666665</v>
      </c>
      <c r="H475">
        <f t="shared" si="28"/>
        <v>4096666.6666666665</v>
      </c>
      <c r="I475" t="str">
        <f t="shared" si="29"/>
        <v/>
      </c>
      <c r="J475" t="str">
        <f t="shared" si="30"/>
        <v/>
      </c>
      <c r="K475">
        <v>1958956.38</v>
      </c>
      <c r="L475" t="b">
        <f t="shared" si="27"/>
        <v>0</v>
      </c>
    </row>
    <row r="476" spans="1:12" ht="16" x14ac:dyDescent="0.2">
      <c r="A476" t="s">
        <v>4774</v>
      </c>
      <c r="B476" t="s">
        <v>73</v>
      </c>
      <c r="C476" t="s">
        <v>3080</v>
      </c>
      <c r="D476" s="2" t="s">
        <v>130</v>
      </c>
      <c r="E476">
        <v>2025</v>
      </c>
      <c r="F476">
        <v>2027</v>
      </c>
      <c r="G476" s="10">
        <v>5060000</v>
      </c>
      <c r="H476">
        <f t="shared" si="28"/>
        <v>5060000</v>
      </c>
      <c r="I476" t="str">
        <f t="shared" si="29"/>
        <v/>
      </c>
      <c r="J476" t="str">
        <f t="shared" si="30"/>
        <v/>
      </c>
      <c r="K476">
        <v>2766222.42</v>
      </c>
      <c r="L476" t="b">
        <f t="shared" si="27"/>
        <v>0</v>
      </c>
    </row>
    <row r="477" spans="1:12" ht="16" x14ac:dyDescent="0.2">
      <c r="A477" t="s">
        <v>4775</v>
      </c>
      <c r="B477" t="s">
        <v>73</v>
      </c>
      <c r="C477" t="s">
        <v>3081</v>
      </c>
      <c r="D477" s="2" t="s">
        <v>130</v>
      </c>
      <c r="G477" s="10" t="s">
        <v>2892</v>
      </c>
      <c r="H477" t="str">
        <f t="shared" si="28"/>
        <v/>
      </c>
      <c r="I477" t="str">
        <f t="shared" si="29"/>
        <v/>
      </c>
      <c r="J477" t="str">
        <f t="shared" si="30"/>
        <v/>
      </c>
      <c r="L477" t="b">
        <f t="shared" si="27"/>
        <v>1</v>
      </c>
    </row>
    <row r="478" spans="1:12" ht="16" x14ac:dyDescent="0.2">
      <c r="A478" t="s">
        <v>4776</v>
      </c>
      <c r="B478" t="s">
        <v>73</v>
      </c>
      <c r="C478" t="s">
        <v>3082</v>
      </c>
      <c r="D478" s="2" t="s">
        <v>130</v>
      </c>
      <c r="E478">
        <v>2025</v>
      </c>
      <c r="F478">
        <v>2026</v>
      </c>
      <c r="G478" s="10">
        <v>6245000</v>
      </c>
      <c r="H478" t="str">
        <f t="shared" si="28"/>
        <v/>
      </c>
      <c r="I478" t="str">
        <f t="shared" si="29"/>
        <v/>
      </c>
      <c r="J478" t="str">
        <f t="shared" si="30"/>
        <v/>
      </c>
      <c r="K478">
        <v>1561505.56</v>
      </c>
      <c r="L478" t="b">
        <f t="shared" si="27"/>
        <v>0</v>
      </c>
    </row>
    <row r="479" spans="1:12" ht="16" x14ac:dyDescent="0.2">
      <c r="A479" t="s">
        <v>4777</v>
      </c>
      <c r="B479" t="s">
        <v>73</v>
      </c>
      <c r="C479" t="s">
        <v>3083</v>
      </c>
      <c r="D479" s="2" t="s">
        <v>130</v>
      </c>
      <c r="G479" s="10" t="s">
        <v>2892</v>
      </c>
      <c r="H479" t="str">
        <f t="shared" si="28"/>
        <v/>
      </c>
      <c r="I479" t="str">
        <f t="shared" si="29"/>
        <v/>
      </c>
      <c r="J479" t="str">
        <f t="shared" si="30"/>
        <v/>
      </c>
      <c r="L479" t="b">
        <f t="shared" si="27"/>
        <v>1</v>
      </c>
    </row>
    <row r="480" spans="1:12" ht="16" x14ac:dyDescent="0.2">
      <c r="A480" t="s">
        <v>4778</v>
      </c>
      <c r="B480" t="s">
        <v>73</v>
      </c>
      <c r="C480" t="s">
        <v>3084</v>
      </c>
      <c r="D480" s="2" t="s">
        <v>130</v>
      </c>
      <c r="G480" s="10" t="s">
        <v>2892</v>
      </c>
      <c r="H480" t="str">
        <f t="shared" si="28"/>
        <v/>
      </c>
      <c r="I480" t="str">
        <f t="shared" si="29"/>
        <v/>
      </c>
      <c r="J480" t="str">
        <f t="shared" si="30"/>
        <v/>
      </c>
      <c r="L480" t="b">
        <f t="shared" si="27"/>
        <v>1</v>
      </c>
    </row>
    <row r="481" spans="1:12" ht="16" x14ac:dyDescent="0.2">
      <c r="A481" t="s">
        <v>4779</v>
      </c>
      <c r="B481" t="s">
        <v>73</v>
      </c>
      <c r="C481" t="s">
        <v>3085</v>
      </c>
      <c r="D481" s="2" t="s">
        <v>130</v>
      </c>
      <c r="G481" s="10" t="s">
        <v>2892</v>
      </c>
      <c r="H481" t="str">
        <f t="shared" si="28"/>
        <v/>
      </c>
      <c r="I481" t="str">
        <f t="shared" si="29"/>
        <v/>
      </c>
      <c r="J481" t="str">
        <f t="shared" si="30"/>
        <v/>
      </c>
      <c r="L481" t="b">
        <f t="shared" si="27"/>
        <v>1</v>
      </c>
    </row>
    <row r="482" spans="1:12" ht="16" x14ac:dyDescent="0.2">
      <c r="A482" t="s">
        <v>4780</v>
      </c>
      <c r="B482" t="s">
        <v>73</v>
      </c>
      <c r="C482" t="s">
        <v>3086</v>
      </c>
      <c r="D482" s="2" t="s">
        <v>130</v>
      </c>
      <c r="G482" s="10" t="s">
        <v>2892</v>
      </c>
      <c r="H482" t="str">
        <f t="shared" si="28"/>
        <v/>
      </c>
      <c r="I482" t="str">
        <f t="shared" si="29"/>
        <v/>
      </c>
      <c r="J482" t="str">
        <f t="shared" si="30"/>
        <v/>
      </c>
      <c r="L482" t="b">
        <f t="shared" si="27"/>
        <v>1</v>
      </c>
    </row>
    <row r="483" spans="1:12" ht="16" x14ac:dyDescent="0.2">
      <c r="A483" t="s">
        <v>4781</v>
      </c>
      <c r="B483" t="s">
        <v>73</v>
      </c>
      <c r="C483" t="s">
        <v>3087</v>
      </c>
      <c r="D483" s="2" t="s">
        <v>130</v>
      </c>
      <c r="E483">
        <v>2025</v>
      </c>
      <c r="F483">
        <v>2027</v>
      </c>
      <c r="G483" s="10">
        <v>11403333.333333334</v>
      </c>
      <c r="H483">
        <f t="shared" si="28"/>
        <v>11403333.333333334</v>
      </c>
      <c r="I483" t="str">
        <f t="shared" si="29"/>
        <v/>
      </c>
      <c r="J483" t="str">
        <f t="shared" si="30"/>
        <v/>
      </c>
      <c r="K483">
        <v>11996450.59</v>
      </c>
      <c r="L483" t="b">
        <f t="shared" ref="L483:L546" si="31">IF(F483="",TRUE,FALSE)</f>
        <v>0</v>
      </c>
    </row>
    <row r="484" spans="1:12" ht="16" x14ac:dyDescent="0.2">
      <c r="A484" t="s">
        <v>4782</v>
      </c>
      <c r="B484" t="s">
        <v>73</v>
      </c>
      <c r="C484" t="s">
        <v>3088</v>
      </c>
      <c r="D484" s="2" t="s">
        <v>130</v>
      </c>
      <c r="G484" s="10" t="s">
        <v>2892</v>
      </c>
      <c r="H484" t="str">
        <f t="shared" si="28"/>
        <v/>
      </c>
      <c r="I484" t="str">
        <f t="shared" si="29"/>
        <v/>
      </c>
      <c r="J484" t="str">
        <f t="shared" si="30"/>
        <v/>
      </c>
      <c r="L484" t="b">
        <f t="shared" si="31"/>
        <v>1</v>
      </c>
    </row>
    <row r="485" spans="1:12" ht="16" x14ac:dyDescent="0.2">
      <c r="A485" t="s">
        <v>4783</v>
      </c>
      <c r="B485" t="s">
        <v>73</v>
      </c>
      <c r="C485" t="s">
        <v>3089</v>
      </c>
      <c r="D485" s="2" t="s">
        <v>130</v>
      </c>
      <c r="E485">
        <v>2025</v>
      </c>
      <c r="F485">
        <v>2027</v>
      </c>
      <c r="G485" s="10">
        <v>4636666.666666667</v>
      </c>
      <c r="H485">
        <f t="shared" si="28"/>
        <v>4636666.666666667</v>
      </c>
      <c r="I485" t="str">
        <f t="shared" si="29"/>
        <v/>
      </c>
      <c r="J485" t="str">
        <f t="shared" si="30"/>
        <v/>
      </c>
      <c r="K485">
        <v>2499981.1800000002</v>
      </c>
      <c r="L485" t="b">
        <f t="shared" si="31"/>
        <v>0</v>
      </c>
    </row>
    <row r="486" spans="1:12" ht="16" x14ac:dyDescent="0.2">
      <c r="A486" t="s">
        <v>4784</v>
      </c>
      <c r="B486" t="s">
        <v>73</v>
      </c>
      <c r="C486" t="s">
        <v>3090</v>
      </c>
      <c r="D486" s="2" t="s">
        <v>130</v>
      </c>
      <c r="E486">
        <v>2025</v>
      </c>
      <c r="F486">
        <v>2026</v>
      </c>
      <c r="G486" s="10">
        <v>5295000</v>
      </c>
      <c r="H486" t="str">
        <f t="shared" si="28"/>
        <v/>
      </c>
      <c r="I486" t="str">
        <f t="shared" si="29"/>
        <v/>
      </c>
      <c r="J486" t="str">
        <f t="shared" si="30"/>
        <v/>
      </c>
      <c r="K486">
        <v>1510817.54</v>
      </c>
      <c r="L486" t="b">
        <f t="shared" si="31"/>
        <v>0</v>
      </c>
    </row>
    <row r="487" spans="1:12" ht="16" x14ac:dyDescent="0.2">
      <c r="A487" t="s">
        <v>4785</v>
      </c>
      <c r="B487" t="s">
        <v>73</v>
      </c>
      <c r="C487" t="s">
        <v>3091</v>
      </c>
      <c r="D487" s="2" t="s">
        <v>130</v>
      </c>
      <c r="E487">
        <v>2025</v>
      </c>
      <c r="F487">
        <v>2027</v>
      </c>
      <c r="G487" s="10">
        <v>20390000</v>
      </c>
      <c r="H487">
        <f t="shared" si="28"/>
        <v>20390000</v>
      </c>
      <c r="I487" t="str">
        <f t="shared" si="29"/>
        <v/>
      </c>
      <c r="J487" t="str">
        <f t="shared" si="30"/>
        <v/>
      </c>
      <c r="K487">
        <v>28278516.449999999</v>
      </c>
      <c r="L487" t="b">
        <f t="shared" si="31"/>
        <v>0</v>
      </c>
    </row>
    <row r="488" spans="1:12" ht="16" x14ac:dyDescent="0.2">
      <c r="A488" t="s">
        <v>4786</v>
      </c>
      <c r="B488" t="s">
        <v>73</v>
      </c>
      <c r="C488" t="s">
        <v>3092</v>
      </c>
      <c r="D488" s="2" t="s">
        <v>130</v>
      </c>
      <c r="E488">
        <v>2025</v>
      </c>
      <c r="F488">
        <v>2027</v>
      </c>
      <c r="G488" s="10">
        <v>12396666.666666666</v>
      </c>
      <c r="H488">
        <f t="shared" si="28"/>
        <v>12396666.666666666</v>
      </c>
      <c r="I488" t="str">
        <f t="shared" si="29"/>
        <v/>
      </c>
      <c r="J488" t="str">
        <f t="shared" si="30"/>
        <v/>
      </c>
      <c r="K488">
        <v>16611228.300000001</v>
      </c>
      <c r="L488" t="b">
        <f t="shared" si="31"/>
        <v>0</v>
      </c>
    </row>
    <row r="489" spans="1:12" ht="16" x14ac:dyDescent="0.2">
      <c r="A489" t="s">
        <v>4787</v>
      </c>
      <c r="B489" t="s">
        <v>73</v>
      </c>
      <c r="C489" t="s">
        <v>3093</v>
      </c>
      <c r="D489" s="2" t="s">
        <v>130</v>
      </c>
      <c r="E489">
        <v>2025</v>
      </c>
      <c r="F489">
        <v>2026</v>
      </c>
      <c r="G489" s="10">
        <v>10915000</v>
      </c>
      <c r="H489" t="str">
        <f t="shared" si="28"/>
        <v/>
      </c>
      <c r="I489" t="str">
        <f t="shared" si="29"/>
        <v/>
      </c>
      <c r="J489" t="str">
        <f t="shared" si="30"/>
        <v/>
      </c>
      <c r="K489">
        <v>9148420.4499999993</v>
      </c>
      <c r="L489" t="b">
        <f t="shared" si="31"/>
        <v>0</v>
      </c>
    </row>
    <row r="490" spans="1:12" ht="16" x14ac:dyDescent="0.2">
      <c r="A490" t="s">
        <v>4788</v>
      </c>
      <c r="B490" t="s">
        <v>73</v>
      </c>
      <c r="C490" t="s">
        <v>3094</v>
      </c>
      <c r="D490" s="2" t="s">
        <v>130</v>
      </c>
      <c r="E490">
        <v>2025</v>
      </c>
      <c r="F490">
        <v>2026</v>
      </c>
      <c r="G490" s="10">
        <v>6630000</v>
      </c>
      <c r="H490" t="str">
        <f t="shared" si="28"/>
        <v/>
      </c>
      <c r="I490" t="str">
        <f t="shared" si="29"/>
        <v/>
      </c>
      <c r="J490" t="str">
        <f t="shared" si="30"/>
        <v/>
      </c>
      <c r="K490">
        <v>3112590.77</v>
      </c>
      <c r="L490" t="b">
        <f t="shared" si="31"/>
        <v>0</v>
      </c>
    </row>
    <row r="491" spans="1:12" ht="16" x14ac:dyDescent="0.2">
      <c r="A491" t="s">
        <v>4789</v>
      </c>
      <c r="B491" t="s">
        <v>73</v>
      </c>
      <c r="C491" t="s">
        <v>3095</v>
      </c>
      <c r="D491" s="2" t="s">
        <v>130</v>
      </c>
      <c r="E491">
        <v>2025</v>
      </c>
      <c r="F491">
        <v>2026</v>
      </c>
      <c r="G491" s="10">
        <v>3770000</v>
      </c>
      <c r="H491" t="str">
        <f t="shared" si="28"/>
        <v/>
      </c>
      <c r="I491" t="str">
        <f t="shared" si="29"/>
        <v/>
      </c>
      <c r="J491" t="str">
        <f t="shared" si="30"/>
        <v/>
      </c>
      <c r="K491">
        <v>1549793.93</v>
      </c>
      <c r="L491" t="b">
        <f t="shared" si="31"/>
        <v>0</v>
      </c>
    </row>
    <row r="492" spans="1:12" ht="16" x14ac:dyDescent="0.2">
      <c r="A492" t="s">
        <v>4790</v>
      </c>
      <c r="B492" t="s">
        <v>73</v>
      </c>
      <c r="C492" t="s">
        <v>3096</v>
      </c>
      <c r="D492" s="2" t="s">
        <v>130</v>
      </c>
      <c r="E492">
        <v>2025</v>
      </c>
      <c r="F492">
        <v>2026</v>
      </c>
      <c r="G492" s="10">
        <v>5185000</v>
      </c>
      <c r="H492" t="str">
        <f t="shared" si="28"/>
        <v/>
      </c>
      <c r="I492" t="str">
        <f t="shared" si="29"/>
        <v/>
      </c>
      <c r="J492" t="str">
        <f t="shared" si="30"/>
        <v/>
      </c>
      <c r="K492">
        <v>1134358.6000000001</v>
      </c>
      <c r="L492" t="b">
        <f t="shared" si="31"/>
        <v>0</v>
      </c>
    </row>
    <row r="493" spans="1:12" ht="16" x14ac:dyDescent="0.2">
      <c r="A493" t="s">
        <v>4791</v>
      </c>
      <c r="B493" t="s">
        <v>73</v>
      </c>
      <c r="C493" t="s">
        <v>3097</v>
      </c>
      <c r="D493" s="2" t="s">
        <v>130</v>
      </c>
      <c r="G493" s="10" t="s">
        <v>2892</v>
      </c>
      <c r="H493" t="str">
        <f t="shared" si="28"/>
        <v/>
      </c>
      <c r="I493" t="str">
        <f t="shared" si="29"/>
        <v/>
      </c>
      <c r="J493" t="str">
        <f t="shared" si="30"/>
        <v/>
      </c>
      <c r="L493" t="b">
        <f t="shared" si="31"/>
        <v>1</v>
      </c>
    </row>
    <row r="494" spans="1:12" ht="16" x14ac:dyDescent="0.2">
      <c r="A494" t="s">
        <v>4792</v>
      </c>
      <c r="B494" t="s">
        <v>73</v>
      </c>
      <c r="C494" t="s">
        <v>3098</v>
      </c>
      <c r="D494" s="2" t="s">
        <v>130</v>
      </c>
      <c r="E494">
        <v>2025</v>
      </c>
      <c r="F494">
        <v>2026</v>
      </c>
      <c r="G494" s="10">
        <v>2875000</v>
      </c>
      <c r="H494" t="str">
        <f t="shared" si="28"/>
        <v/>
      </c>
      <c r="I494" t="str">
        <f t="shared" si="29"/>
        <v/>
      </c>
      <c r="J494" t="str">
        <f t="shared" si="30"/>
        <v/>
      </c>
      <c r="K494">
        <v>1550212.6</v>
      </c>
      <c r="L494" t="b">
        <f t="shared" si="31"/>
        <v>0</v>
      </c>
    </row>
    <row r="495" spans="1:12" ht="16" x14ac:dyDescent="0.2">
      <c r="A495" t="s">
        <v>4793</v>
      </c>
      <c r="B495" t="s">
        <v>73</v>
      </c>
      <c r="C495" t="s">
        <v>3099</v>
      </c>
      <c r="D495" s="2" t="s">
        <v>130</v>
      </c>
      <c r="E495">
        <v>2025</v>
      </c>
      <c r="F495">
        <v>2026</v>
      </c>
      <c r="G495" s="10">
        <v>2000000</v>
      </c>
      <c r="H495" t="str">
        <f t="shared" si="28"/>
        <v/>
      </c>
      <c r="I495" t="str">
        <f t="shared" si="29"/>
        <v/>
      </c>
      <c r="J495" t="str">
        <f t="shared" si="30"/>
        <v/>
      </c>
      <c r="K495">
        <v>1185009.26</v>
      </c>
      <c r="L495" t="b">
        <f t="shared" si="31"/>
        <v>0</v>
      </c>
    </row>
    <row r="496" spans="1:12" ht="16" x14ac:dyDescent="0.2">
      <c r="A496" t="s">
        <v>4794</v>
      </c>
      <c r="B496" t="s">
        <v>73</v>
      </c>
      <c r="C496" t="s">
        <v>3100</v>
      </c>
      <c r="D496" s="2" t="s">
        <v>130</v>
      </c>
      <c r="G496" s="10" t="s">
        <v>2892</v>
      </c>
      <c r="H496" t="str">
        <f t="shared" si="28"/>
        <v/>
      </c>
      <c r="I496" t="str">
        <f t="shared" si="29"/>
        <v/>
      </c>
      <c r="J496" t="str">
        <f t="shared" si="30"/>
        <v/>
      </c>
      <c r="L496" t="b">
        <f t="shared" si="31"/>
        <v>1</v>
      </c>
    </row>
    <row r="497" spans="1:12" ht="16" x14ac:dyDescent="0.2">
      <c r="A497" t="s">
        <v>4795</v>
      </c>
      <c r="B497" t="s">
        <v>73</v>
      </c>
      <c r="C497" t="s">
        <v>3101</v>
      </c>
      <c r="D497" s="2" t="s">
        <v>130</v>
      </c>
      <c r="G497" s="10" t="s">
        <v>2892</v>
      </c>
      <c r="H497" t="str">
        <f t="shared" si="28"/>
        <v/>
      </c>
      <c r="I497" t="str">
        <f t="shared" si="29"/>
        <v/>
      </c>
      <c r="J497" t="str">
        <f t="shared" si="30"/>
        <v/>
      </c>
      <c r="L497" t="b">
        <f t="shared" si="31"/>
        <v>1</v>
      </c>
    </row>
    <row r="498" spans="1:12" ht="16" x14ac:dyDescent="0.2">
      <c r="A498" t="s">
        <v>4796</v>
      </c>
      <c r="B498" t="s">
        <v>73</v>
      </c>
      <c r="C498" t="s">
        <v>3102</v>
      </c>
      <c r="D498" s="2" t="s">
        <v>130</v>
      </c>
      <c r="E498">
        <v>2025</v>
      </c>
      <c r="F498">
        <v>2026</v>
      </c>
      <c r="G498" s="10">
        <v>4860000</v>
      </c>
      <c r="H498" t="str">
        <f t="shared" si="28"/>
        <v/>
      </c>
      <c r="I498" t="str">
        <f t="shared" si="29"/>
        <v/>
      </c>
      <c r="J498" t="str">
        <f t="shared" si="30"/>
        <v/>
      </c>
      <c r="K498">
        <v>2687951.48</v>
      </c>
      <c r="L498" t="b">
        <f t="shared" si="31"/>
        <v>0</v>
      </c>
    </row>
    <row r="499" spans="1:12" ht="16" x14ac:dyDescent="0.2">
      <c r="A499" t="s">
        <v>4797</v>
      </c>
      <c r="B499" t="s">
        <v>73</v>
      </c>
      <c r="C499" t="s">
        <v>3103</v>
      </c>
      <c r="D499" s="2" t="s">
        <v>130</v>
      </c>
      <c r="E499">
        <v>2025</v>
      </c>
      <c r="F499">
        <v>2026</v>
      </c>
      <c r="G499" s="10">
        <v>2240000</v>
      </c>
      <c r="H499" t="str">
        <f t="shared" si="28"/>
        <v/>
      </c>
      <c r="I499" t="str">
        <f t="shared" si="29"/>
        <v/>
      </c>
      <c r="J499" t="str">
        <f t="shared" si="30"/>
        <v/>
      </c>
      <c r="K499">
        <v>37625.949999999997</v>
      </c>
      <c r="L499" t="b">
        <f t="shared" si="31"/>
        <v>0</v>
      </c>
    </row>
    <row r="500" spans="1:12" ht="16" x14ac:dyDescent="0.2">
      <c r="A500" t="s">
        <v>4798</v>
      </c>
      <c r="B500" t="s">
        <v>73</v>
      </c>
      <c r="C500" t="s">
        <v>3104</v>
      </c>
      <c r="D500" s="2" t="s">
        <v>133</v>
      </c>
      <c r="E500">
        <v>2025</v>
      </c>
      <c r="F500">
        <v>2029</v>
      </c>
      <c r="G500" s="10">
        <v>12872000</v>
      </c>
      <c r="H500">
        <f t="shared" si="28"/>
        <v>12872000</v>
      </c>
      <c r="I500">
        <f t="shared" si="29"/>
        <v>12872000</v>
      </c>
      <c r="J500">
        <f t="shared" si="30"/>
        <v>12872000</v>
      </c>
      <c r="K500">
        <v>26891028.52</v>
      </c>
      <c r="L500" t="b">
        <f t="shared" si="31"/>
        <v>0</v>
      </c>
    </row>
    <row r="501" spans="1:12" ht="16" x14ac:dyDescent="0.2">
      <c r="A501" t="s">
        <v>4799</v>
      </c>
      <c r="B501" t="s">
        <v>73</v>
      </c>
      <c r="C501" t="s">
        <v>3105</v>
      </c>
      <c r="D501" s="2" t="s">
        <v>133</v>
      </c>
      <c r="E501">
        <v>2025</v>
      </c>
      <c r="F501">
        <v>2026</v>
      </c>
      <c r="G501" s="10">
        <v>3240000</v>
      </c>
      <c r="H501" t="str">
        <f t="shared" si="28"/>
        <v/>
      </c>
      <c r="I501" t="str">
        <f t="shared" si="29"/>
        <v/>
      </c>
      <c r="J501" t="str">
        <f t="shared" si="30"/>
        <v/>
      </c>
      <c r="K501">
        <v>123766.77</v>
      </c>
      <c r="L501" t="b">
        <f t="shared" si="31"/>
        <v>0</v>
      </c>
    </row>
    <row r="502" spans="1:12" ht="16" x14ac:dyDescent="0.2">
      <c r="A502" t="s">
        <v>4800</v>
      </c>
      <c r="B502" t="s">
        <v>73</v>
      </c>
      <c r="C502" t="s">
        <v>3106</v>
      </c>
      <c r="D502" s="2" t="s">
        <v>133</v>
      </c>
      <c r="E502">
        <v>2025</v>
      </c>
      <c r="F502">
        <v>2026</v>
      </c>
      <c r="G502" s="10">
        <v>8885000</v>
      </c>
      <c r="H502" t="str">
        <f t="shared" si="28"/>
        <v/>
      </c>
      <c r="I502" t="str">
        <f t="shared" si="29"/>
        <v/>
      </c>
      <c r="J502" t="str">
        <f t="shared" si="30"/>
        <v/>
      </c>
      <c r="K502">
        <v>6689007.4100000001</v>
      </c>
      <c r="L502" t="b">
        <f t="shared" si="31"/>
        <v>0</v>
      </c>
    </row>
    <row r="503" spans="1:12" ht="16" x14ac:dyDescent="0.2">
      <c r="A503" t="s">
        <v>4801</v>
      </c>
      <c r="B503" t="s">
        <v>73</v>
      </c>
      <c r="C503" t="s">
        <v>3107</v>
      </c>
      <c r="D503" s="2" t="s">
        <v>133</v>
      </c>
      <c r="E503">
        <v>2025</v>
      </c>
      <c r="F503">
        <v>2026</v>
      </c>
      <c r="G503" s="10">
        <v>4005000</v>
      </c>
      <c r="H503" t="str">
        <f t="shared" si="28"/>
        <v/>
      </c>
      <c r="I503" t="str">
        <f t="shared" si="29"/>
        <v/>
      </c>
      <c r="J503" t="str">
        <f t="shared" si="30"/>
        <v/>
      </c>
      <c r="K503">
        <v>1138928.43</v>
      </c>
      <c r="L503" t="b">
        <f t="shared" si="31"/>
        <v>0</v>
      </c>
    </row>
    <row r="504" spans="1:12" ht="16" x14ac:dyDescent="0.2">
      <c r="A504" t="s">
        <v>4802</v>
      </c>
      <c r="B504" t="s">
        <v>73</v>
      </c>
      <c r="C504" t="s">
        <v>3108</v>
      </c>
      <c r="D504" s="2" t="s">
        <v>133</v>
      </c>
      <c r="E504">
        <v>2025</v>
      </c>
      <c r="F504">
        <v>2026</v>
      </c>
      <c r="G504" s="10">
        <v>2040000</v>
      </c>
      <c r="H504" t="str">
        <f t="shared" si="28"/>
        <v/>
      </c>
      <c r="I504" t="str">
        <f t="shared" si="29"/>
        <v/>
      </c>
      <c r="J504" t="str">
        <f t="shared" si="30"/>
        <v/>
      </c>
      <c r="K504">
        <v>732418.3</v>
      </c>
      <c r="L504" t="b">
        <f t="shared" si="31"/>
        <v>0</v>
      </c>
    </row>
    <row r="505" spans="1:12" ht="16" x14ac:dyDescent="0.2">
      <c r="A505" t="s">
        <v>4803</v>
      </c>
      <c r="B505" t="s">
        <v>73</v>
      </c>
      <c r="C505" t="s">
        <v>3109</v>
      </c>
      <c r="D505" s="2" t="s">
        <v>133</v>
      </c>
      <c r="G505" s="10" t="s">
        <v>2892</v>
      </c>
      <c r="H505" t="str">
        <f t="shared" si="28"/>
        <v/>
      </c>
      <c r="I505" t="str">
        <f t="shared" si="29"/>
        <v/>
      </c>
      <c r="J505" t="str">
        <f t="shared" si="30"/>
        <v/>
      </c>
      <c r="L505" t="b">
        <f t="shared" si="31"/>
        <v>1</v>
      </c>
    </row>
    <row r="506" spans="1:12" ht="16" x14ac:dyDescent="0.2">
      <c r="A506" t="s">
        <v>4804</v>
      </c>
      <c r="B506" t="s">
        <v>73</v>
      </c>
      <c r="C506" t="s">
        <v>3110</v>
      </c>
      <c r="D506" s="2" t="s">
        <v>133</v>
      </c>
      <c r="E506">
        <v>2025</v>
      </c>
      <c r="F506">
        <v>2026</v>
      </c>
      <c r="G506" s="10">
        <v>10290000</v>
      </c>
      <c r="H506" t="str">
        <f t="shared" si="28"/>
        <v/>
      </c>
      <c r="I506" t="str">
        <f t="shared" si="29"/>
        <v/>
      </c>
      <c r="J506" t="str">
        <f t="shared" si="30"/>
        <v/>
      </c>
      <c r="K506">
        <v>7895483.04</v>
      </c>
      <c r="L506" t="b">
        <f t="shared" si="31"/>
        <v>0</v>
      </c>
    </row>
    <row r="507" spans="1:12" ht="16" x14ac:dyDescent="0.2">
      <c r="A507" t="s">
        <v>4805</v>
      </c>
      <c r="B507" t="s">
        <v>73</v>
      </c>
      <c r="C507" t="s">
        <v>3111</v>
      </c>
      <c r="D507" s="2" t="s">
        <v>133</v>
      </c>
      <c r="E507">
        <v>2025</v>
      </c>
      <c r="F507">
        <v>2026</v>
      </c>
      <c r="G507" s="10">
        <v>6790000</v>
      </c>
      <c r="H507" t="str">
        <f t="shared" si="28"/>
        <v/>
      </c>
      <c r="I507" t="str">
        <f t="shared" si="29"/>
        <v/>
      </c>
      <c r="J507" t="str">
        <f t="shared" si="30"/>
        <v/>
      </c>
      <c r="K507">
        <v>1455441.41</v>
      </c>
      <c r="L507" t="b">
        <f t="shared" si="31"/>
        <v>0</v>
      </c>
    </row>
    <row r="508" spans="1:12" ht="16" x14ac:dyDescent="0.2">
      <c r="A508" t="s">
        <v>4806</v>
      </c>
      <c r="B508" t="s">
        <v>73</v>
      </c>
      <c r="C508" t="s">
        <v>3112</v>
      </c>
      <c r="D508" s="2" t="s">
        <v>133</v>
      </c>
      <c r="E508">
        <v>2025</v>
      </c>
      <c r="F508">
        <v>2026</v>
      </c>
      <c r="G508" s="10">
        <v>4370000</v>
      </c>
      <c r="H508" t="str">
        <f t="shared" si="28"/>
        <v/>
      </c>
      <c r="I508" t="str">
        <f t="shared" si="29"/>
        <v/>
      </c>
      <c r="J508" t="str">
        <f t="shared" si="30"/>
        <v/>
      </c>
      <c r="K508">
        <v>1311905.51</v>
      </c>
      <c r="L508" t="b">
        <f t="shared" si="31"/>
        <v>0</v>
      </c>
    </row>
    <row r="509" spans="1:12" ht="16" x14ac:dyDescent="0.2">
      <c r="A509" t="s">
        <v>4807</v>
      </c>
      <c r="B509" t="s">
        <v>73</v>
      </c>
      <c r="C509" t="s">
        <v>3113</v>
      </c>
      <c r="D509" s="2" t="s">
        <v>133</v>
      </c>
      <c r="G509" s="10" t="s">
        <v>2892</v>
      </c>
      <c r="H509" t="str">
        <f t="shared" si="28"/>
        <v/>
      </c>
      <c r="I509" t="str">
        <f t="shared" si="29"/>
        <v/>
      </c>
      <c r="J509" t="str">
        <f t="shared" si="30"/>
        <v/>
      </c>
      <c r="L509" t="b">
        <f t="shared" si="31"/>
        <v>1</v>
      </c>
    </row>
    <row r="510" spans="1:12" ht="16" x14ac:dyDescent="0.2">
      <c r="A510" t="s">
        <v>4808</v>
      </c>
      <c r="B510" t="s">
        <v>73</v>
      </c>
      <c r="C510" t="s">
        <v>3114</v>
      </c>
      <c r="D510" s="2" t="s">
        <v>133</v>
      </c>
      <c r="E510">
        <v>2025</v>
      </c>
      <c r="F510">
        <v>2027</v>
      </c>
      <c r="G510" s="10">
        <v>15190000</v>
      </c>
      <c r="H510">
        <f t="shared" si="28"/>
        <v>15190000</v>
      </c>
      <c r="I510" t="str">
        <f t="shared" si="29"/>
        <v/>
      </c>
      <c r="J510" t="str">
        <f t="shared" si="30"/>
        <v/>
      </c>
      <c r="K510">
        <v>24178181.25</v>
      </c>
      <c r="L510" t="b">
        <f t="shared" si="31"/>
        <v>0</v>
      </c>
    </row>
    <row r="511" spans="1:12" ht="16" x14ac:dyDescent="0.2">
      <c r="A511" t="s">
        <v>4809</v>
      </c>
      <c r="B511" t="s">
        <v>73</v>
      </c>
      <c r="C511" t="s">
        <v>3115</v>
      </c>
      <c r="D511" s="2" t="s">
        <v>133</v>
      </c>
      <c r="G511" s="10" t="s">
        <v>2892</v>
      </c>
      <c r="H511" t="str">
        <f t="shared" si="28"/>
        <v/>
      </c>
      <c r="I511" t="str">
        <f t="shared" si="29"/>
        <v/>
      </c>
      <c r="J511" t="str">
        <f t="shared" si="30"/>
        <v/>
      </c>
      <c r="L511" t="b">
        <f t="shared" si="31"/>
        <v>1</v>
      </c>
    </row>
    <row r="512" spans="1:12" ht="16" x14ac:dyDescent="0.2">
      <c r="A512" t="s">
        <v>4810</v>
      </c>
      <c r="B512" t="s">
        <v>73</v>
      </c>
      <c r="C512" t="s">
        <v>3116</v>
      </c>
      <c r="D512" s="2" t="s">
        <v>133</v>
      </c>
      <c r="G512" s="10" t="s">
        <v>2892</v>
      </c>
      <c r="H512" t="str">
        <f t="shared" si="28"/>
        <v/>
      </c>
      <c r="I512" t="str">
        <f t="shared" si="29"/>
        <v/>
      </c>
      <c r="J512" t="str">
        <f t="shared" si="30"/>
        <v/>
      </c>
      <c r="L512" t="b">
        <f t="shared" si="31"/>
        <v>1</v>
      </c>
    </row>
    <row r="513" spans="1:12" ht="16" x14ac:dyDescent="0.2">
      <c r="A513" t="s">
        <v>4811</v>
      </c>
      <c r="B513" t="s">
        <v>73</v>
      </c>
      <c r="C513" t="s">
        <v>3117</v>
      </c>
      <c r="D513" s="2" t="s">
        <v>133</v>
      </c>
      <c r="E513">
        <v>2025</v>
      </c>
      <c r="F513">
        <v>2026</v>
      </c>
      <c r="G513" s="10">
        <v>10540000</v>
      </c>
      <c r="H513" t="str">
        <f t="shared" si="28"/>
        <v/>
      </c>
      <c r="I513" t="str">
        <f t="shared" si="29"/>
        <v/>
      </c>
      <c r="J513" t="str">
        <f t="shared" si="30"/>
        <v/>
      </c>
      <c r="K513">
        <v>6361563.9800000004</v>
      </c>
      <c r="L513" t="b">
        <f t="shared" si="31"/>
        <v>0</v>
      </c>
    </row>
    <row r="514" spans="1:12" ht="16" x14ac:dyDescent="0.2">
      <c r="A514" t="s">
        <v>4812</v>
      </c>
      <c r="B514" t="s">
        <v>73</v>
      </c>
      <c r="C514" t="s">
        <v>3118</v>
      </c>
      <c r="D514" s="2" t="s">
        <v>133</v>
      </c>
      <c r="E514">
        <v>2025</v>
      </c>
      <c r="F514">
        <v>2026</v>
      </c>
      <c r="G514" s="10">
        <v>4870000</v>
      </c>
      <c r="H514" t="str">
        <f t="shared" si="28"/>
        <v/>
      </c>
      <c r="I514" t="str">
        <f t="shared" si="29"/>
        <v/>
      </c>
      <c r="J514" t="str">
        <f t="shared" si="30"/>
        <v/>
      </c>
      <c r="K514">
        <v>1023220.1</v>
      </c>
      <c r="L514" t="b">
        <f t="shared" si="31"/>
        <v>0</v>
      </c>
    </row>
    <row r="515" spans="1:12" ht="16" x14ac:dyDescent="0.2">
      <c r="A515" t="s">
        <v>4813</v>
      </c>
      <c r="B515" t="s">
        <v>73</v>
      </c>
      <c r="C515" t="s">
        <v>3119</v>
      </c>
      <c r="D515" s="2" t="s">
        <v>133</v>
      </c>
      <c r="G515" s="10" t="s">
        <v>2892</v>
      </c>
      <c r="H515" t="str">
        <f t="shared" si="28"/>
        <v/>
      </c>
      <c r="I515" t="str">
        <f t="shared" si="29"/>
        <v/>
      </c>
      <c r="J515" t="str">
        <f t="shared" si="30"/>
        <v/>
      </c>
      <c r="L515" t="b">
        <f t="shared" si="31"/>
        <v>1</v>
      </c>
    </row>
    <row r="516" spans="1:12" ht="16" x14ac:dyDescent="0.2">
      <c r="A516" t="s">
        <v>4814</v>
      </c>
      <c r="B516" t="s">
        <v>73</v>
      </c>
      <c r="C516" t="s">
        <v>3120</v>
      </c>
      <c r="D516" s="2" t="s">
        <v>133</v>
      </c>
      <c r="E516">
        <v>2025</v>
      </c>
      <c r="F516">
        <v>2027</v>
      </c>
      <c r="G516" s="10">
        <v>2613333.3333333335</v>
      </c>
      <c r="H516">
        <f t="shared" ref="H516:H579" si="32">IF(F516&gt;=2027,G516,"")</f>
        <v>2613333.3333333335</v>
      </c>
      <c r="I516" t="str">
        <f t="shared" ref="I516:I579" si="33">IF(F516&gt;=2028,G516,"")</f>
        <v/>
      </c>
      <c r="J516" t="str">
        <f t="shared" ref="J516:J579" si="34">IF(F516&gt;=2029,G516,"")</f>
        <v/>
      </c>
      <c r="K516">
        <v>959992.9</v>
      </c>
      <c r="L516" t="b">
        <f t="shared" si="31"/>
        <v>0</v>
      </c>
    </row>
    <row r="517" spans="1:12" ht="16" x14ac:dyDescent="0.2">
      <c r="A517" t="s">
        <v>4815</v>
      </c>
      <c r="B517" t="s">
        <v>73</v>
      </c>
      <c r="C517" t="s">
        <v>3121</v>
      </c>
      <c r="D517" s="2" t="s">
        <v>133</v>
      </c>
      <c r="G517" s="10" t="s">
        <v>2892</v>
      </c>
      <c r="H517" t="str">
        <f t="shared" si="32"/>
        <v/>
      </c>
      <c r="I517" t="str">
        <f t="shared" si="33"/>
        <v/>
      </c>
      <c r="J517" t="str">
        <f t="shared" si="34"/>
        <v/>
      </c>
      <c r="L517" t="b">
        <f t="shared" si="31"/>
        <v>1</v>
      </c>
    </row>
    <row r="518" spans="1:12" ht="16" x14ac:dyDescent="0.2">
      <c r="A518" t="s">
        <v>4816</v>
      </c>
      <c r="B518" t="s">
        <v>73</v>
      </c>
      <c r="C518" t="s">
        <v>3122</v>
      </c>
      <c r="D518" s="2" t="s">
        <v>133</v>
      </c>
      <c r="G518" s="10" t="s">
        <v>2892</v>
      </c>
      <c r="H518" t="str">
        <f t="shared" si="32"/>
        <v/>
      </c>
      <c r="I518" t="str">
        <f t="shared" si="33"/>
        <v/>
      </c>
      <c r="J518" t="str">
        <f t="shared" si="34"/>
        <v/>
      </c>
      <c r="L518" t="b">
        <f t="shared" si="31"/>
        <v>1</v>
      </c>
    </row>
    <row r="519" spans="1:12" ht="16" x14ac:dyDescent="0.2">
      <c r="A519" t="s">
        <v>4817</v>
      </c>
      <c r="B519" t="s">
        <v>73</v>
      </c>
      <c r="C519" t="s">
        <v>3123</v>
      </c>
      <c r="D519" s="2" t="s">
        <v>133</v>
      </c>
      <c r="G519" s="10" t="s">
        <v>2892</v>
      </c>
      <c r="H519" t="str">
        <f t="shared" si="32"/>
        <v/>
      </c>
      <c r="I519" t="str">
        <f t="shared" si="33"/>
        <v/>
      </c>
      <c r="J519" t="str">
        <f t="shared" si="34"/>
        <v/>
      </c>
      <c r="L519" t="b">
        <f t="shared" si="31"/>
        <v>1</v>
      </c>
    </row>
    <row r="520" spans="1:12" ht="16" x14ac:dyDescent="0.2">
      <c r="A520" t="s">
        <v>4818</v>
      </c>
      <c r="B520" t="s">
        <v>73</v>
      </c>
      <c r="C520" t="s">
        <v>3124</v>
      </c>
      <c r="D520" s="2" t="s">
        <v>133</v>
      </c>
      <c r="E520">
        <v>2025</v>
      </c>
      <c r="F520">
        <v>2026</v>
      </c>
      <c r="G520" s="10">
        <v>1655000</v>
      </c>
      <c r="H520" t="str">
        <f t="shared" si="32"/>
        <v/>
      </c>
      <c r="I520" t="str">
        <f t="shared" si="33"/>
        <v/>
      </c>
      <c r="J520" t="str">
        <f t="shared" si="34"/>
        <v/>
      </c>
      <c r="K520">
        <v>382711.02</v>
      </c>
      <c r="L520" t="b">
        <f t="shared" si="31"/>
        <v>0</v>
      </c>
    </row>
    <row r="521" spans="1:12" ht="16" x14ac:dyDescent="0.2">
      <c r="A521" t="s">
        <v>4819</v>
      </c>
      <c r="B521" t="s">
        <v>73</v>
      </c>
      <c r="C521" t="s">
        <v>3125</v>
      </c>
      <c r="D521" s="2" t="s">
        <v>133</v>
      </c>
      <c r="E521">
        <v>2025</v>
      </c>
      <c r="F521">
        <v>2027</v>
      </c>
      <c r="G521" s="10">
        <v>4716666.666666667</v>
      </c>
      <c r="H521">
        <f t="shared" si="32"/>
        <v>4716666.666666667</v>
      </c>
      <c r="I521" t="str">
        <f t="shared" si="33"/>
        <v/>
      </c>
      <c r="J521" t="str">
        <f t="shared" si="34"/>
        <v/>
      </c>
      <c r="K521">
        <v>3264383.82</v>
      </c>
      <c r="L521" t="b">
        <f t="shared" si="31"/>
        <v>0</v>
      </c>
    </row>
    <row r="522" spans="1:12" ht="16" x14ac:dyDescent="0.2">
      <c r="A522" t="s">
        <v>4820</v>
      </c>
      <c r="B522" t="s">
        <v>73</v>
      </c>
      <c r="C522" t="s">
        <v>3126</v>
      </c>
      <c r="D522" s="2" t="s">
        <v>133</v>
      </c>
      <c r="E522">
        <v>2025</v>
      </c>
      <c r="F522">
        <v>2026</v>
      </c>
      <c r="G522" s="10">
        <v>3885000</v>
      </c>
      <c r="H522" t="str">
        <f t="shared" si="32"/>
        <v/>
      </c>
      <c r="I522" t="str">
        <f t="shared" si="33"/>
        <v/>
      </c>
      <c r="J522" t="str">
        <f t="shared" si="34"/>
        <v/>
      </c>
      <c r="K522">
        <v>846154.78</v>
      </c>
      <c r="L522" t="b">
        <f t="shared" si="31"/>
        <v>0</v>
      </c>
    </row>
    <row r="523" spans="1:12" ht="16" x14ac:dyDescent="0.2">
      <c r="A523" t="s">
        <v>4821</v>
      </c>
      <c r="B523" t="s">
        <v>73</v>
      </c>
      <c r="C523" t="s">
        <v>3127</v>
      </c>
      <c r="D523" s="2" t="s">
        <v>133</v>
      </c>
      <c r="E523">
        <v>2025</v>
      </c>
      <c r="F523">
        <v>2027</v>
      </c>
      <c r="G523" s="10">
        <v>26673333.333333332</v>
      </c>
      <c r="H523">
        <f t="shared" si="32"/>
        <v>26673333.333333332</v>
      </c>
      <c r="I523" t="str">
        <f t="shared" si="33"/>
        <v/>
      </c>
      <c r="J523" t="str">
        <f t="shared" si="34"/>
        <v/>
      </c>
      <c r="K523">
        <v>32842546.82</v>
      </c>
      <c r="L523" t="b">
        <f t="shared" si="31"/>
        <v>0</v>
      </c>
    </row>
    <row r="524" spans="1:12" ht="16" x14ac:dyDescent="0.2">
      <c r="A524" t="s">
        <v>4822</v>
      </c>
      <c r="B524" t="s">
        <v>73</v>
      </c>
      <c r="C524" t="s">
        <v>3128</v>
      </c>
      <c r="D524" s="2" t="s">
        <v>133</v>
      </c>
      <c r="E524">
        <v>2026</v>
      </c>
      <c r="F524">
        <v>2029</v>
      </c>
      <c r="G524" s="10">
        <v>10786666.666666668</v>
      </c>
      <c r="H524">
        <f t="shared" si="32"/>
        <v>10786666.666666668</v>
      </c>
      <c r="I524">
        <f t="shared" si="33"/>
        <v>10786666.666666668</v>
      </c>
      <c r="J524">
        <f t="shared" si="34"/>
        <v>10786666.666666668</v>
      </c>
      <c r="K524">
        <v>11296247.35</v>
      </c>
      <c r="L524" t="b">
        <f t="shared" si="31"/>
        <v>0</v>
      </c>
    </row>
    <row r="525" spans="1:12" ht="16" x14ac:dyDescent="0.2">
      <c r="A525" t="s">
        <v>4823</v>
      </c>
      <c r="B525" t="s">
        <v>73</v>
      </c>
      <c r="C525" t="s">
        <v>3129</v>
      </c>
      <c r="D525" s="2" t="s">
        <v>133</v>
      </c>
      <c r="E525">
        <v>2025</v>
      </c>
      <c r="F525">
        <v>2027</v>
      </c>
      <c r="G525" s="10">
        <v>5480000</v>
      </c>
      <c r="H525">
        <f t="shared" si="32"/>
        <v>5480000</v>
      </c>
      <c r="I525" t="str">
        <f t="shared" si="33"/>
        <v/>
      </c>
      <c r="J525" t="str">
        <f t="shared" si="34"/>
        <v/>
      </c>
      <c r="K525">
        <v>2477189.9700000002</v>
      </c>
      <c r="L525" t="b">
        <f t="shared" si="31"/>
        <v>0</v>
      </c>
    </row>
    <row r="526" spans="1:12" ht="16" x14ac:dyDescent="0.2">
      <c r="A526" t="s">
        <v>4824</v>
      </c>
      <c r="B526" t="s">
        <v>73</v>
      </c>
      <c r="C526" t="s">
        <v>3130</v>
      </c>
      <c r="D526" s="2" t="s">
        <v>133</v>
      </c>
      <c r="E526">
        <v>2025</v>
      </c>
      <c r="F526">
        <v>2026</v>
      </c>
      <c r="G526" s="10">
        <v>7285000</v>
      </c>
      <c r="H526" t="str">
        <f t="shared" si="32"/>
        <v/>
      </c>
      <c r="I526" t="str">
        <f t="shared" si="33"/>
        <v/>
      </c>
      <c r="J526" t="str">
        <f t="shared" si="34"/>
        <v/>
      </c>
      <c r="K526">
        <v>2856208.38</v>
      </c>
      <c r="L526" t="b">
        <f t="shared" si="31"/>
        <v>0</v>
      </c>
    </row>
    <row r="527" spans="1:12" ht="16" x14ac:dyDescent="0.2">
      <c r="A527" t="s">
        <v>4825</v>
      </c>
      <c r="B527" t="s">
        <v>73</v>
      </c>
      <c r="C527" t="s">
        <v>3131</v>
      </c>
      <c r="D527" s="2" t="s">
        <v>133</v>
      </c>
      <c r="G527" s="10" t="s">
        <v>2892</v>
      </c>
      <c r="H527" t="str">
        <f t="shared" si="32"/>
        <v/>
      </c>
      <c r="I527" t="str">
        <f t="shared" si="33"/>
        <v/>
      </c>
      <c r="J527" t="str">
        <f t="shared" si="34"/>
        <v/>
      </c>
      <c r="L527" t="b">
        <f t="shared" si="31"/>
        <v>1</v>
      </c>
    </row>
    <row r="528" spans="1:12" ht="16" x14ac:dyDescent="0.2">
      <c r="A528" t="s">
        <v>4826</v>
      </c>
      <c r="B528" t="s">
        <v>73</v>
      </c>
      <c r="C528" t="s">
        <v>3132</v>
      </c>
      <c r="D528" s="2" t="s">
        <v>133</v>
      </c>
      <c r="E528">
        <v>2025</v>
      </c>
      <c r="F528">
        <v>2026</v>
      </c>
      <c r="G528" s="10">
        <v>5305000</v>
      </c>
      <c r="H528" t="str">
        <f t="shared" si="32"/>
        <v/>
      </c>
      <c r="I528" t="str">
        <f t="shared" si="33"/>
        <v/>
      </c>
      <c r="J528" t="str">
        <f t="shared" si="34"/>
        <v/>
      </c>
      <c r="K528">
        <v>2739453.47</v>
      </c>
      <c r="L528" t="b">
        <f t="shared" si="31"/>
        <v>0</v>
      </c>
    </row>
    <row r="529" spans="1:12" ht="16" x14ac:dyDescent="0.2">
      <c r="A529" t="s">
        <v>4827</v>
      </c>
      <c r="B529" t="s">
        <v>73</v>
      </c>
      <c r="C529" t="s">
        <v>3133</v>
      </c>
      <c r="D529" s="2" t="s">
        <v>133</v>
      </c>
      <c r="G529" s="10" t="s">
        <v>2892</v>
      </c>
      <c r="H529" t="str">
        <f t="shared" si="32"/>
        <v/>
      </c>
      <c r="I529" t="str">
        <f t="shared" si="33"/>
        <v/>
      </c>
      <c r="J529" t="str">
        <f t="shared" si="34"/>
        <v/>
      </c>
      <c r="L529" t="b">
        <f t="shared" si="31"/>
        <v>1</v>
      </c>
    </row>
    <row r="530" spans="1:12" ht="16" x14ac:dyDescent="0.2">
      <c r="A530" t="s">
        <v>4828</v>
      </c>
      <c r="B530" t="s">
        <v>73</v>
      </c>
      <c r="C530" t="s">
        <v>3134</v>
      </c>
      <c r="D530" s="2" t="s">
        <v>133</v>
      </c>
      <c r="E530">
        <v>2025</v>
      </c>
      <c r="F530">
        <v>2026</v>
      </c>
      <c r="G530" s="10">
        <v>5665000</v>
      </c>
      <c r="H530" t="str">
        <f t="shared" si="32"/>
        <v/>
      </c>
      <c r="I530" t="str">
        <f t="shared" si="33"/>
        <v/>
      </c>
      <c r="J530" t="str">
        <f t="shared" si="34"/>
        <v/>
      </c>
      <c r="K530">
        <v>1920841.82</v>
      </c>
      <c r="L530" t="b">
        <f t="shared" si="31"/>
        <v>0</v>
      </c>
    </row>
    <row r="531" spans="1:12" ht="16" x14ac:dyDescent="0.2">
      <c r="A531" t="s">
        <v>4829</v>
      </c>
      <c r="B531" t="s">
        <v>73</v>
      </c>
      <c r="C531" t="s">
        <v>3135</v>
      </c>
      <c r="D531" s="2" t="s">
        <v>133</v>
      </c>
      <c r="E531">
        <v>2025</v>
      </c>
      <c r="F531">
        <v>2027</v>
      </c>
      <c r="G531" s="10">
        <v>5690000</v>
      </c>
      <c r="H531">
        <f t="shared" si="32"/>
        <v>5690000</v>
      </c>
      <c r="I531" t="str">
        <f t="shared" si="33"/>
        <v/>
      </c>
      <c r="J531" t="str">
        <f t="shared" si="34"/>
        <v/>
      </c>
      <c r="K531">
        <v>4408435.5999999996</v>
      </c>
      <c r="L531" t="b">
        <f t="shared" si="31"/>
        <v>0</v>
      </c>
    </row>
    <row r="532" spans="1:12" ht="16" x14ac:dyDescent="0.2">
      <c r="A532" t="s">
        <v>4830</v>
      </c>
      <c r="B532" t="s">
        <v>73</v>
      </c>
      <c r="C532" t="s">
        <v>3136</v>
      </c>
      <c r="D532" s="2" t="s">
        <v>133</v>
      </c>
      <c r="G532" s="10" t="s">
        <v>2892</v>
      </c>
      <c r="H532" t="str">
        <f t="shared" si="32"/>
        <v/>
      </c>
      <c r="I532" t="str">
        <f t="shared" si="33"/>
        <v/>
      </c>
      <c r="J532" t="str">
        <f t="shared" si="34"/>
        <v/>
      </c>
      <c r="L532" t="b">
        <f t="shared" si="31"/>
        <v>1</v>
      </c>
    </row>
    <row r="533" spans="1:12" ht="16" x14ac:dyDescent="0.2">
      <c r="A533" t="s">
        <v>4831</v>
      </c>
      <c r="B533" t="s">
        <v>73</v>
      </c>
      <c r="C533" t="s">
        <v>3137</v>
      </c>
      <c r="D533" s="2" t="s">
        <v>133</v>
      </c>
      <c r="G533" s="10" t="s">
        <v>2892</v>
      </c>
      <c r="H533" t="str">
        <f t="shared" si="32"/>
        <v/>
      </c>
      <c r="I533" t="str">
        <f t="shared" si="33"/>
        <v/>
      </c>
      <c r="J533" t="str">
        <f t="shared" si="34"/>
        <v/>
      </c>
      <c r="L533" t="b">
        <f t="shared" si="31"/>
        <v>1</v>
      </c>
    </row>
    <row r="534" spans="1:12" ht="16" x14ac:dyDescent="0.2">
      <c r="A534" t="s">
        <v>4832</v>
      </c>
      <c r="B534" t="s">
        <v>73</v>
      </c>
      <c r="C534" t="s">
        <v>3138</v>
      </c>
      <c r="D534" s="2" t="s">
        <v>133</v>
      </c>
      <c r="G534" s="10" t="s">
        <v>2892</v>
      </c>
      <c r="H534" t="str">
        <f t="shared" si="32"/>
        <v/>
      </c>
      <c r="I534" t="str">
        <f t="shared" si="33"/>
        <v/>
      </c>
      <c r="J534" t="str">
        <f t="shared" si="34"/>
        <v/>
      </c>
      <c r="L534" t="b">
        <f t="shared" si="31"/>
        <v>1</v>
      </c>
    </row>
    <row r="535" spans="1:12" ht="16" x14ac:dyDescent="0.2">
      <c r="A535" t="s">
        <v>4833</v>
      </c>
      <c r="B535" t="s">
        <v>73</v>
      </c>
      <c r="C535" t="s">
        <v>3139</v>
      </c>
      <c r="D535" s="2" t="s">
        <v>133</v>
      </c>
      <c r="G535" s="10" t="s">
        <v>2892</v>
      </c>
      <c r="H535" t="str">
        <f t="shared" si="32"/>
        <v/>
      </c>
      <c r="I535" t="str">
        <f t="shared" si="33"/>
        <v/>
      </c>
      <c r="J535" t="str">
        <f t="shared" si="34"/>
        <v/>
      </c>
      <c r="L535" t="b">
        <f t="shared" si="31"/>
        <v>1</v>
      </c>
    </row>
    <row r="536" spans="1:12" ht="16" x14ac:dyDescent="0.2">
      <c r="A536" t="s">
        <v>4834</v>
      </c>
      <c r="B536" t="s">
        <v>73</v>
      </c>
      <c r="C536" t="s">
        <v>3140</v>
      </c>
      <c r="D536" s="2" t="s">
        <v>133</v>
      </c>
      <c r="G536" s="10" t="s">
        <v>2892</v>
      </c>
      <c r="H536" t="str">
        <f t="shared" si="32"/>
        <v/>
      </c>
      <c r="I536" t="str">
        <f t="shared" si="33"/>
        <v/>
      </c>
      <c r="J536" t="str">
        <f t="shared" si="34"/>
        <v/>
      </c>
      <c r="L536" t="b">
        <f t="shared" si="31"/>
        <v>1</v>
      </c>
    </row>
    <row r="537" spans="1:12" ht="16" x14ac:dyDescent="0.2">
      <c r="A537" t="s">
        <v>4835</v>
      </c>
      <c r="B537" t="s">
        <v>73</v>
      </c>
      <c r="C537" t="s">
        <v>3141</v>
      </c>
      <c r="D537" s="2" t="s">
        <v>133</v>
      </c>
      <c r="E537">
        <v>2025</v>
      </c>
      <c r="F537">
        <v>2026</v>
      </c>
      <c r="G537" s="10">
        <v>1470000</v>
      </c>
      <c r="H537" t="str">
        <f t="shared" si="32"/>
        <v/>
      </c>
      <c r="I537" t="str">
        <f t="shared" si="33"/>
        <v/>
      </c>
      <c r="J537" t="str">
        <f t="shared" si="34"/>
        <v/>
      </c>
      <c r="K537">
        <v>555775.31999999995</v>
      </c>
      <c r="L537" t="b">
        <f t="shared" si="31"/>
        <v>0</v>
      </c>
    </row>
    <row r="538" spans="1:12" ht="16" x14ac:dyDescent="0.2">
      <c r="A538" t="s">
        <v>4836</v>
      </c>
      <c r="B538" t="s">
        <v>73</v>
      </c>
      <c r="C538" t="s">
        <v>3142</v>
      </c>
      <c r="D538" s="2" t="s">
        <v>133</v>
      </c>
      <c r="E538">
        <v>2025</v>
      </c>
      <c r="F538">
        <v>2028</v>
      </c>
      <c r="G538" s="10">
        <v>13327500</v>
      </c>
      <c r="H538">
        <f t="shared" si="32"/>
        <v>13327500</v>
      </c>
      <c r="I538">
        <f t="shared" si="33"/>
        <v>13327500</v>
      </c>
      <c r="J538" t="str">
        <f t="shared" si="34"/>
        <v/>
      </c>
      <c r="K538">
        <v>18344816.149999999</v>
      </c>
      <c r="L538" t="b">
        <f t="shared" si="31"/>
        <v>0</v>
      </c>
    </row>
    <row r="539" spans="1:12" ht="16" x14ac:dyDescent="0.2">
      <c r="A539" t="s">
        <v>4837</v>
      </c>
      <c r="B539" t="s">
        <v>73</v>
      </c>
      <c r="C539" t="s">
        <v>3143</v>
      </c>
      <c r="D539" s="2" t="s">
        <v>133</v>
      </c>
      <c r="E539">
        <v>2025</v>
      </c>
      <c r="F539">
        <v>2027</v>
      </c>
      <c r="G539" s="10">
        <v>5609999.9999999991</v>
      </c>
      <c r="H539">
        <f t="shared" si="32"/>
        <v>5609999.9999999991</v>
      </c>
      <c r="I539" t="str">
        <f t="shared" si="33"/>
        <v/>
      </c>
      <c r="J539" t="str">
        <f t="shared" si="34"/>
        <v/>
      </c>
      <c r="K539">
        <v>2076943.82</v>
      </c>
      <c r="L539" t="b">
        <f t="shared" si="31"/>
        <v>0</v>
      </c>
    </row>
    <row r="540" spans="1:12" ht="16" x14ac:dyDescent="0.2">
      <c r="A540" t="s">
        <v>4838</v>
      </c>
      <c r="B540" t="s">
        <v>73</v>
      </c>
      <c r="C540" t="s">
        <v>3144</v>
      </c>
      <c r="D540" s="2" t="s">
        <v>133</v>
      </c>
      <c r="E540">
        <v>2025</v>
      </c>
      <c r="F540">
        <v>2026</v>
      </c>
      <c r="G540" s="10">
        <v>2375000</v>
      </c>
      <c r="H540" t="str">
        <f t="shared" si="32"/>
        <v/>
      </c>
      <c r="I540" t="str">
        <f t="shared" si="33"/>
        <v/>
      </c>
      <c r="J540" t="str">
        <f t="shared" si="34"/>
        <v/>
      </c>
      <c r="K540">
        <v>723000.72</v>
      </c>
      <c r="L540" t="b">
        <f t="shared" si="31"/>
        <v>0</v>
      </c>
    </row>
    <row r="541" spans="1:12" ht="16" x14ac:dyDescent="0.2">
      <c r="A541" t="s">
        <v>4839</v>
      </c>
      <c r="B541" t="s">
        <v>73</v>
      </c>
      <c r="C541" t="s">
        <v>3145</v>
      </c>
      <c r="D541" s="2" t="s">
        <v>133</v>
      </c>
      <c r="E541">
        <v>2025</v>
      </c>
      <c r="F541">
        <v>2026</v>
      </c>
      <c r="G541" s="10">
        <v>2770000</v>
      </c>
      <c r="H541" t="str">
        <f t="shared" si="32"/>
        <v/>
      </c>
      <c r="I541" t="str">
        <f t="shared" si="33"/>
        <v/>
      </c>
      <c r="J541" t="str">
        <f t="shared" si="34"/>
        <v/>
      </c>
      <c r="K541">
        <v>203883.61</v>
      </c>
      <c r="L541" t="b">
        <f t="shared" si="31"/>
        <v>0</v>
      </c>
    </row>
    <row r="542" spans="1:12" ht="16" x14ac:dyDescent="0.2">
      <c r="A542" t="s">
        <v>4840</v>
      </c>
      <c r="B542" t="s">
        <v>73</v>
      </c>
      <c r="C542" t="s">
        <v>3146</v>
      </c>
      <c r="D542" s="2" t="s">
        <v>133</v>
      </c>
      <c r="G542" s="10" t="s">
        <v>2892</v>
      </c>
      <c r="H542" t="str">
        <f t="shared" si="32"/>
        <v/>
      </c>
      <c r="I542" t="str">
        <f t="shared" si="33"/>
        <v/>
      </c>
      <c r="J542" t="str">
        <f t="shared" si="34"/>
        <v/>
      </c>
      <c r="L542" t="b">
        <f t="shared" si="31"/>
        <v>1</v>
      </c>
    </row>
    <row r="543" spans="1:12" ht="16" x14ac:dyDescent="0.2">
      <c r="A543" t="s">
        <v>4841</v>
      </c>
      <c r="B543" t="s">
        <v>73</v>
      </c>
      <c r="C543" t="s">
        <v>3147</v>
      </c>
      <c r="D543" s="2" t="s">
        <v>133</v>
      </c>
      <c r="E543">
        <v>2025</v>
      </c>
      <c r="F543">
        <v>2027</v>
      </c>
      <c r="G543" s="10">
        <v>4813333.333333333</v>
      </c>
      <c r="H543">
        <f t="shared" si="32"/>
        <v>4813333.333333333</v>
      </c>
      <c r="I543" t="str">
        <f t="shared" si="33"/>
        <v/>
      </c>
      <c r="J543" t="str">
        <f t="shared" si="34"/>
        <v/>
      </c>
      <c r="K543">
        <v>3259267.6</v>
      </c>
      <c r="L543" t="b">
        <f t="shared" si="31"/>
        <v>0</v>
      </c>
    </row>
    <row r="544" spans="1:12" ht="16" x14ac:dyDescent="0.2">
      <c r="A544" t="s">
        <v>4842</v>
      </c>
      <c r="B544" t="s">
        <v>73</v>
      </c>
      <c r="C544" t="s">
        <v>3148</v>
      </c>
      <c r="D544" s="2" t="s">
        <v>133</v>
      </c>
      <c r="E544">
        <v>2025</v>
      </c>
      <c r="F544">
        <v>2028</v>
      </c>
      <c r="G544" s="10">
        <v>8780000</v>
      </c>
      <c r="H544">
        <f t="shared" si="32"/>
        <v>8780000</v>
      </c>
      <c r="I544">
        <f t="shared" si="33"/>
        <v>8780000</v>
      </c>
      <c r="J544" t="str">
        <f t="shared" si="34"/>
        <v/>
      </c>
      <c r="K544">
        <v>10361972.27</v>
      </c>
      <c r="L544" t="b">
        <f t="shared" si="31"/>
        <v>0</v>
      </c>
    </row>
    <row r="545" spans="1:12" ht="16" x14ac:dyDescent="0.2">
      <c r="A545" t="s">
        <v>4843</v>
      </c>
      <c r="B545" t="s">
        <v>73</v>
      </c>
      <c r="C545" t="s">
        <v>3149</v>
      </c>
      <c r="D545" s="2" t="s">
        <v>133</v>
      </c>
      <c r="G545" s="10" t="s">
        <v>2892</v>
      </c>
      <c r="H545" t="str">
        <f t="shared" si="32"/>
        <v/>
      </c>
      <c r="I545" t="str">
        <f t="shared" si="33"/>
        <v/>
      </c>
      <c r="J545" t="str">
        <f t="shared" si="34"/>
        <v/>
      </c>
      <c r="L545" t="b">
        <f t="shared" si="31"/>
        <v>1</v>
      </c>
    </row>
    <row r="546" spans="1:12" ht="16" x14ac:dyDescent="0.2">
      <c r="A546" t="s">
        <v>4844</v>
      </c>
      <c r="B546" t="s">
        <v>73</v>
      </c>
      <c r="C546" t="s">
        <v>3150</v>
      </c>
      <c r="D546" s="2" t="s">
        <v>133</v>
      </c>
      <c r="E546">
        <v>2025</v>
      </c>
      <c r="F546">
        <v>2026</v>
      </c>
      <c r="G546" s="10">
        <v>6120000</v>
      </c>
      <c r="H546" t="str">
        <f t="shared" si="32"/>
        <v/>
      </c>
      <c r="I546" t="str">
        <f t="shared" si="33"/>
        <v/>
      </c>
      <c r="J546" t="str">
        <f t="shared" si="34"/>
        <v/>
      </c>
      <c r="K546">
        <v>5176814.7</v>
      </c>
      <c r="L546" t="b">
        <f t="shared" si="31"/>
        <v>0</v>
      </c>
    </row>
    <row r="547" spans="1:12" ht="16" x14ac:dyDescent="0.2">
      <c r="A547" t="s">
        <v>4845</v>
      </c>
      <c r="B547" t="s">
        <v>73</v>
      </c>
      <c r="C547" t="s">
        <v>3151</v>
      </c>
      <c r="D547" s="2" t="s">
        <v>133</v>
      </c>
      <c r="E547">
        <v>2025</v>
      </c>
      <c r="F547">
        <v>2026</v>
      </c>
      <c r="G547" s="10">
        <v>1230000</v>
      </c>
      <c r="H547" t="str">
        <f t="shared" si="32"/>
        <v/>
      </c>
      <c r="I547" t="str">
        <f t="shared" si="33"/>
        <v/>
      </c>
      <c r="J547" t="str">
        <f t="shared" si="34"/>
        <v/>
      </c>
      <c r="K547">
        <v>313397.3</v>
      </c>
      <c r="L547" t="b">
        <f t="shared" ref="L547:L610" si="35">IF(F547="",TRUE,FALSE)</f>
        <v>0</v>
      </c>
    </row>
    <row r="548" spans="1:12" ht="16" x14ac:dyDescent="0.2">
      <c r="A548" t="s">
        <v>4846</v>
      </c>
      <c r="B548" t="s">
        <v>73</v>
      </c>
      <c r="C548" t="s">
        <v>3152</v>
      </c>
      <c r="D548" s="2" t="s">
        <v>133</v>
      </c>
      <c r="E548">
        <v>2025</v>
      </c>
      <c r="F548">
        <v>2026</v>
      </c>
      <c r="G548" s="10">
        <v>4690000</v>
      </c>
      <c r="H548" t="str">
        <f t="shared" si="32"/>
        <v/>
      </c>
      <c r="I548" t="str">
        <f t="shared" si="33"/>
        <v/>
      </c>
      <c r="J548" t="str">
        <f t="shared" si="34"/>
        <v/>
      </c>
      <c r="K548">
        <v>1969923.33</v>
      </c>
      <c r="L548" t="b">
        <f t="shared" si="35"/>
        <v>0</v>
      </c>
    </row>
    <row r="549" spans="1:12" ht="16" x14ac:dyDescent="0.2">
      <c r="A549" t="s">
        <v>4847</v>
      </c>
      <c r="B549" t="s">
        <v>73</v>
      </c>
      <c r="C549" t="s">
        <v>3153</v>
      </c>
      <c r="D549" s="2" t="s">
        <v>133</v>
      </c>
      <c r="E549">
        <v>2025</v>
      </c>
      <c r="F549">
        <v>2026</v>
      </c>
      <c r="G549" s="10">
        <v>1785000</v>
      </c>
      <c r="H549" t="str">
        <f t="shared" si="32"/>
        <v/>
      </c>
      <c r="I549" t="str">
        <f t="shared" si="33"/>
        <v/>
      </c>
      <c r="J549" t="str">
        <f t="shared" si="34"/>
        <v/>
      </c>
      <c r="K549">
        <v>529843.81000000006</v>
      </c>
      <c r="L549" t="b">
        <f t="shared" si="35"/>
        <v>0</v>
      </c>
    </row>
    <row r="550" spans="1:12" ht="16" x14ac:dyDescent="0.2">
      <c r="A550" t="s">
        <v>4848</v>
      </c>
      <c r="B550" t="s">
        <v>73</v>
      </c>
      <c r="C550" t="s">
        <v>3154</v>
      </c>
      <c r="D550" s="2" t="s">
        <v>133</v>
      </c>
      <c r="E550">
        <v>2025</v>
      </c>
      <c r="F550">
        <v>2027</v>
      </c>
      <c r="G550" s="10">
        <v>4426666.666666667</v>
      </c>
      <c r="H550">
        <f t="shared" si="32"/>
        <v>4426666.666666667</v>
      </c>
      <c r="I550" t="str">
        <f t="shared" si="33"/>
        <v/>
      </c>
      <c r="J550" t="str">
        <f t="shared" si="34"/>
        <v/>
      </c>
      <c r="K550">
        <v>1723742.29</v>
      </c>
      <c r="L550" t="b">
        <f t="shared" si="35"/>
        <v>0</v>
      </c>
    </row>
    <row r="551" spans="1:12" ht="16" x14ac:dyDescent="0.2">
      <c r="A551" t="s">
        <v>4849</v>
      </c>
      <c r="B551" t="s">
        <v>73</v>
      </c>
      <c r="C551" t="s">
        <v>3155</v>
      </c>
      <c r="D551" s="2" t="s">
        <v>134</v>
      </c>
      <c r="E551">
        <v>2025</v>
      </c>
      <c r="F551">
        <v>2026</v>
      </c>
      <c r="G551" s="10">
        <v>11750000</v>
      </c>
      <c r="H551" t="str">
        <f t="shared" si="32"/>
        <v/>
      </c>
      <c r="I551" t="str">
        <f t="shared" si="33"/>
        <v/>
      </c>
      <c r="J551" t="str">
        <f t="shared" si="34"/>
        <v/>
      </c>
      <c r="K551">
        <v>5883105.8700000001</v>
      </c>
      <c r="L551" t="b">
        <f t="shared" si="35"/>
        <v>0</v>
      </c>
    </row>
    <row r="552" spans="1:12" ht="16" x14ac:dyDescent="0.2">
      <c r="A552" t="s">
        <v>4850</v>
      </c>
      <c r="B552" t="s">
        <v>73</v>
      </c>
      <c r="C552" t="s">
        <v>3156</v>
      </c>
      <c r="D552" s="2" t="s">
        <v>134</v>
      </c>
      <c r="E552">
        <v>2025</v>
      </c>
      <c r="F552">
        <v>2026</v>
      </c>
      <c r="G552" s="10">
        <v>3185000</v>
      </c>
      <c r="H552" t="str">
        <f t="shared" si="32"/>
        <v/>
      </c>
      <c r="I552" t="str">
        <f t="shared" si="33"/>
        <v/>
      </c>
      <c r="J552" t="str">
        <f t="shared" si="34"/>
        <v/>
      </c>
      <c r="K552">
        <v>892283.22</v>
      </c>
      <c r="L552" t="b">
        <f t="shared" si="35"/>
        <v>0</v>
      </c>
    </row>
    <row r="553" spans="1:12" ht="16" x14ac:dyDescent="0.2">
      <c r="A553" t="s">
        <v>4851</v>
      </c>
      <c r="B553" t="s">
        <v>73</v>
      </c>
      <c r="C553" t="s">
        <v>3157</v>
      </c>
      <c r="D553" s="2" t="s">
        <v>134</v>
      </c>
      <c r="G553" s="10" t="s">
        <v>2892</v>
      </c>
      <c r="H553" t="str">
        <f t="shared" si="32"/>
        <v/>
      </c>
      <c r="I553" t="str">
        <f t="shared" si="33"/>
        <v/>
      </c>
      <c r="J553" t="str">
        <f t="shared" si="34"/>
        <v/>
      </c>
      <c r="L553" t="b">
        <f t="shared" si="35"/>
        <v>1</v>
      </c>
    </row>
    <row r="554" spans="1:12" ht="16" x14ac:dyDescent="0.2">
      <c r="A554" t="s">
        <v>4852</v>
      </c>
      <c r="B554" t="s">
        <v>73</v>
      </c>
      <c r="C554" t="s">
        <v>3158</v>
      </c>
      <c r="D554" s="2" t="s">
        <v>134</v>
      </c>
      <c r="E554">
        <v>2025</v>
      </c>
      <c r="F554">
        <v>2026</v>
      </c>
      <c r="G554" s="10">
        <v>15140000</v>
      </c>
      <c r="H554" t="str">
        <f t="shared" si="32"/>
        <v/>
      </c>
      <c r="I554" t="str">
        <f t="shared" si="33"/>
        <v/>
      </c>
      <c r="J554" t="str">
        <f t="shared" si="34"/>
        <v/>
      </c>
      <c r="K554">
        <v>14502639.279999999</v>
      </c>
      <c r="L554" t="b">
        <f t="shared" si="35"/>
        <v>0</v>
      </c>
    </row>
    <row r="555" spans="1:12" ht="16" x14ac:dyDescent="0.2">
      <c r="A555" t="s">
        <v>4853</v>
      </c>
      <c r="B555" t="s">
        <v>73</v>
      </c>
      <c r="C555" t="s">
        <v>3159</v>
      </c>
      <c r="D555" s="2" t="s">
        <v>134</v>
      </c>
      <c r="E555">
        <v>2025</v>
      </c>
      <c r="F555">
        <v>2026</v>
      </c>
      <c r="G555" s="10">
        <v>1420000</v>
      </c>
      <c r="H555" t="str">
        <f t="shared" si="32"/>
        <v/>
      </c>
      <c r="I555" t="str">
        <f t="shared" si="33"/>
        <v/>
      </c>
      <c r="J555" t="str">
        <f t="shared" si="34"/>
        <v/>
      </c>
      <c r="K555">
        <v>118435.91</v>
      </c>
      <c r="L555" t="b">
        <f t="shared" si="35"/>
        <v>0</v>
      </c>
    </row>
    <row r="556" spans="1:12" ht="16" x14ac:dyDescent="0.2">
      <c r="A556" t="s">
        <v>4854</v>
      </c>
      <c r="B556" t="s">
        <v>73</v>
      </c>
      <c r="C556" t="s">
        <v>3160</v>
      </c>
      <c r="D556" s="2" t="s">
        <v>134</v>
      </c>
      <c r="E556">
        <v>2025</v>
      </c>
      <c r="F556">
        <v>2026</v>
      </c>
      <c r="G556" s="10">
        <v>1590000</v>
      </c>
      <c r="H556" t="str">
        <f t="shared" si="32"/>
        <v/>
      </c>
      <c r="I556" t="str">
        <f t="shared" si="33"/>
        <v/>
      </c>
      <c r="J556" t="str">
        <f t="shared" si="34"/>
        <v/>
      </c>
      <c r="K556">
        <v>19471.759999999998</v>
      </c>
      <c r="L556" t="b">
        <f t="shared" si="35"/>
        <v>0</v>
      </c>
    </row>
    <row r="557" spans="1:12" ht="16" x14ac:dyDescent="0.2">
      <c r="A557" t="s">
        <v>4855</v>
      </c>
      <c r="B557" t="s">
        <v>73</v>
      </c>
      <c r="C557" t="s">
        <v>3161</v>
      </c>
      <c r="D557" s="2" t="s">
        <v>134</v>
      </c>
      <c r="E557">
        <v>2025</v>
      </c>
      <c r="F557">
        <v>2028</v>
      </c>
      <c r="G557" s="10">
        <v>9882500</v>
      </c>
      <c r="H557">
        <f t="shared" si="32"/>
        <v>9882500</v>
      </c>
      <c r="I557">
        <f t="shared" si="33"/>
        <v>9882500</v>
      </c>
      <c r="J557" t="str">
        <f t="shared" si="34"/>
        <v/>
      </c>
      <c r="K557">
        <v>13604325.67</v>
      </c>
      <c r="L557" t="b">
        <f t="shared" si="35"/>
        <v>0</v>
      </c>
    </row>
    <row r="558" spans="1:12" ht="16" x14ac:dyDescent="0.2">
      <c r="A558" t="s">
        <v>4856</v>
      </c>
      <c r="B558" t="s">
        <v>73</v>
      </c>
      <c r="C558" t="s">
        <v>3162</v>
      </c>
      <c r="D558" s="2" t="s">
        <v>134</v>
      </c>
      <c r="E558">
        <v>2025</v>
      </c>
      <c r="F558">
        <v>2028</v>
      </c>
      <c r="G558" s="10">
        <v>10155000</v>
      </c>
      <c r="H558">
        <f t="shared" si="32"/>
        <v>10155000</v>
      </c>
      <c r="I558">
        <f t="shared" si="33"/>
        <v>10155000</v>
      </c>
      <c r="J558" t="str">
        <f t="shared" si="34"/>
        <v/>
      </c>
      <c r="K558">
        <v>11326580.199999999</v>
      </c>
      <c r="L558" t="b">
        <f t="shared" si="35"/>
        <v>0</v>
      </c>
    </row>
    <row r="559" spans="1:12" ht="16" x14ac:dyDescent="0.2">
      <c r="A559" t="s">
        <v>4857</v>
      </c>
      <c r="B559" t="s">
        <v>73</v>
      </c>
      <c r="C559" t="s">
        <v>3163</v>
      </c>
      <c r="D559" s="2" t="s">
        <v>134</v>
      </c>
      <c r="G559" s="10" t="s">
        <v>2892</v>
      </c>
      <c r="H559" t="str">
        <f t="shared" si="32"/>
        <v/>
      </c>
      <c r="I559" t="str">
        <f t="shared" si="33"/>
        <v/>
      </c>
      <c r="J559" t="str">
        <f t="shared" si="34"/>
        <v/>
      </c>
      <c r="L559" t="b">
        <f t="shared" si="35"/>
        <v>1</v>
      </c>
    </row>
    <row r="560" spans="1:12" ht="16" x14ac:dyDescent="0.2">
      <c r="A560" t="s">
        <v>4858</v>
      </c>
      <c r="B560" t="s">
        <v>73</v>
      </c>
      <c r="C560" t="s">
        <v>3164</v>
      </c>
      <c r="D560" s="2" t="s">
        <v>134</v>
      </c>
      <c r="G560" s="10" t="s">
        <v>2892</v>
      </c>
      <c r="H560" t="str">
        <f t="shared" si="32"/>
        <v/>
      </c>
      <c r="I560" t="str">
        <f t="shared" si="33"/>
        <v/>
      </c>
      <c r="J560" t="str">
        <f t="shared" si="34"/>
        <v/>
      </c>
      <c r="L560" t="b">
        <f t="shared" si="35"/>
        <v>1</v>
      </c>
    </row>
    <row r="561" spans="1:12" ht="16" x14ac:dyDescent="0.2">
      <c r="A561" t="s">
        <v>4859</v>
      </c>
      <c r="B561" t="s">
        <v>73</v>
      </c>
      <c r="C561" t="s">
        <v>3165</v>
      </c>
      <c r="D561" s="2" t="s">
        <v>134</v>
      </c>
      <c r="G561" s="10" t="s">
        <v>2892</v>
      </c>
      <c r="H561" t="str">
        <f t="shared" si="32"/>
        <v/>
      </c>
      <c r="I561" t="str">
        <f t="shared" si="33"/>
        <v/>
      </c>
      <c r="J561" t="str">
        <f t="shared" si="34"/>
        <v/>
      </c>
      <c r="L561" t="b">
        <f t="shared" si="35"/>
        <v>1</v>
      </c>
    </row>
    <row r="562" spans="1:12" ht="16" x14ac:dyDescent="0.2">
      <c r="A562" t="s">
        <v>4860</v>
      </c>
      <c r="B562" t="s">
        <v>73</v>
      </c>
      <c r="C562" t="s">
        <v>3166</v>
      </c>
      <c r="D562" s="2" t="s">
        <v>134</v>
      </c>
      <c r="E562">
        <v>2025</v>
      </c>
      <c r="F562">
        <v>2026</v>
      </c>
      <c r="G562" s="10">
        <v>5295000</v>
      </c>
      <c r="H562" t="str">
        <f t="shared" si="32"/>
        <v/>
      </c>
      <c r="I562" t="str">
        <f t="shared" si="33"/>
        <v/>
      </c>
      <c r="J562" t="str">
        <f t="shared" si="34"/>
        <v/>
      </c>
      <c r="K562">
        <v>2219864.09</v>
      </c>
      <c r="L562" t="b">
        <f t="shared" si="35"/>
        <v>0</v>
      </c>
    </row>
    <row r="563" spans="1:12" ht="16" x14ac:dyDescent="0.2">
      <c r="A563" t="s">
        <v>4861</v>
      </c>
      <c r="B563" t="s">
        <v>73</v>
      </c>
      <c r="C563" t="s">
        <v>3167</v>
      </c>
      <c r="D563" s="2" t="s">
        <v>134</v>
      </c>
      <c r="E563">
        <v>2025</v>
      </c>
      <c r="F563">
        <v>2027</v>
      </c>
      <c r="G563" s="10">
        <v>9923333.333333334</v>
      </c>
      <c r="H563">
        <f t="shared" si="32"/>
        <v>9923333.333333334</v>
      </c>
      <c r="I563" t="str">
        <f t="shared" si="33"/>
        <v/>
      </c>
      <c r="J563" t="str">
        <f t="shared" si="34"/>
        <v/>
      </c>
      <c r="K563">
        <v>7511384.2999999998</v>
      </c>
      <c r="L563" t="b">
        <f t="shared" si="35"/>
        <v>0</v>
      </c>
    </row>
    <row r="564" spans="1:12" ht="16" x14ac:dyDescent="0.2">
      <c r="A564" t="s">
        <v>4862</v>
      </c>
      <c r="B564" t="s">
        <v>73</v>
      </c>
      <c r="C564" t="s">
        <v>3168</v>
      </c>
      <c r="D564" s="2" t="s">
        <v>134</v>
      </c>
      <c r="E564">
        <v>2025</v>
      </c>
      <c r="F564">
        <v>2026</v>
      </c>
      <c r="G564" s="10">
        <v>4075000</v>
      </c>
      <c r="H564" t="str">
        <f t="shared" si="32"/>
        <v/>
      </c>
      <c r="I564" t="str">
        <f t="shared" si="33"/>
        <v/>
      </c>
      <c r="J564" t="str">
        <f t="shared" si="34"/>
        <v/>
      </c>
      <c r="K564">
        <v>1200786.01</v>
      </c>
      <c r="L564" t="b">
        <f t="shared" si="35"/>
        <v>0</v>
      </c>
    </row>
    <row r="565" spans="1:12" ht="16" x14ac:dyDescent="0.2">
      <c r="A565" t="s">
        <v>4863</v>
      </c>
      <c r="B565" t="s">
        <v>73</v>
      </c>
      <c r="C565" t="s">
        <v>3169</v>
      </c>
      <c r="D565" s="2" t="s">
        <v>134</v>
      </c>
      <c r="G565" s="10" t="s">
        <v>2892</v>
      </c>
      <c r="H565" t="str">
        <f t="shared" si="32"/>
        <v/>
      </c>
      <c r="I565" t="str">
        <f t="shared" si="33"/>
        <v/>
      </c>
      <c r="J565" t="str">
        <f t="shared" si="34"/>
        <v/>
      </c>
      <c r="L565" t="b">
        <f t="shared" si="35"/>
        <v>1</v>
      </c>
    </row>
    <row r="566" spans="1:12" ht="16" x14ac:dyDescent="0.2">
      <c r="A566" t="s">
        <v>4864</v>
      </c>
      <c r="B566" t="s">
        <v>73</v>
      </c>
      <c r="C566" t="s">
        <v>3170</v>
      </c>
      <c r="D566" s="2" t="s">
        <v>134</v>
      </c>
      <c r="E566">
        <v>2025</v>
      </c>
      <c r="F566">
        <v>2028</v>
      </c>
      <c r="G566" s="10">
        <v>5927500</v>
      </c>
      <c r="H566">
        <f t="shared" si="32"/>
        <v>5927500</v>
      </c>
      <c r="I566">
        <f t="shared" si="33"/>
        <v>5927500</v>
      </c>
      <c r="J566" t="str">
        <f t="shared" si="34"/>
        <v/>
      </c>
      <c r="K566">
        <v>2394649.92</v>
      </c>
      <c r="L566" t="b">
        <f t="shared" si="35"/>
        <v>0</v>
      </c>
    </row>
    <row r="567" spans="1:12" ht="16" x14ac:dyDescent="0.2">
      <c r="A567" t="s">
        <v>4865</v>
      </c>
      <c r="B567" t="s">
        <v>73</v>
      </c>
      <c r="C567" t="s">
        <v>3171</v>
      </c>
      <c r="D567" s="2" t="s">
        <v>134</v>
      </c>
      <c r="E567">
        <v>2025</v>
      </c>
      <c r="F567">
        <v>2026</v>
      </c>
      <c r="G567" s="10">
        <v>4475000</v>
      </c>
      <c r="H567" t="str">
        <f t="shared" si="32"/>
        <v/>
      </c>
      <c r="I567" t="str">
        <f t="shared" si="33"/>
        <v/>
      </c>
      <c r="J567" t="str">
        <f t="shared" si="34"/>
        <v/>
      </c>
      <c r="K567">
        <v>1673670.59</v>
      </c>
      <c r="L567" t="b">
        <f t="shared" si="35"/>
        <v>0</v>
      </c>
    </row>
    <row r="568" spans="1:12" ht="16" x14ac:dyDescent="0.2">
      <c r="A568" t="s">
        <v>4866</v>
      </c>
      <c r="B568" t="s">
        <v>73</v>
      </c>
      <c r="C568" t="s">
        <v>3172</v>
      </c>
      <c r="D568" s="2" t="s">
        <v>134</v>
      </c>
      <c r="E568">
        <v>2025</v>
      </c>
      <c r="F568">
        <v>2026</v>
      </c>
      <c r="G568" s="10">
        <v>4950000</v>
      </c>
      <c r="H568" t="str">
        <f t="shared" si="32"/>
        <v/>
      </c>
      <c r="I568" t="str">
        <f t="shared" si="33"/>
        <v/>
      </c>
      <c r="J568" t="str">
        <f t="shared" si="34"/>
        <v/>
      </c>
      <c r="K568">
        <v>2713292.73</v>
      </c>
      <c r="L568" t="b">
        <f t="shared" si="35"/>
        <v>0</v>
      </c>
    </row>
    <row r="569" spans="1:12" ht="16" x14ac:dyDescent="0.2">
      <c r="A569" t="s">
        <v>4867</v>
      </c>
      <c r="B569" t="s">
        <v>73</v>
      </c>
      <c r="C569" t="s">
        <v>3173</v>
      </c>
      <c r="D569" s="2" t="s">
        <v>134</v>
      </c>
      <c r="E569">
        <v>2025</v>
      </c>
      <c r="F569">
        <v>2026</v>
      </c>
      <c r="G569" s="10">
        <v>5085000</v>
      </c>
      <c r="H569" t="str">
        <f t="shared" si="32"/>
        <v/>
      </c>
      <c r="I569" t="str">
        <f t="shared" si="33"/>
        <v/>
      </c>
      <c r="J569" t="str">
        <f t="shared" si="34"/>
        <v/>
      </c>
      <c r="K569">
        <v>2121458.41</v>
      </c>
      <c r="L569" t="b">
        <f t="shared" si="35"/>
        <v>0</v>
      </c>
    </row>
    <row r="570" spans="1:12" ht="16" x14ac:dyDescent="0.2">
      <c r="A570" t="s">
        <v>4868</v>
      </c>
      <c r="B570" t="s">
        <v>73</v>
      </c>
      <c r="C570" t="s">
        <v>3174</v>
      </c>
      <c r="D570" s="2" t="s">
        <v>134</v>
      </c>
      <c r="E570">
        <v>2025</v>
      </c>
      <c r="F570">
        <v>2027</v>
      </c>
      <c r="G570" s="10">
        <v>9323333.3333333321</v>
      </c>
      <c r="H570">
        <f t="shared" si="32"/>
        <v>9323333.3333333321</v>
      </c>
      <c r="I570" t="str">
        <f t="shared" si="33"/>
        <v/>
      </c>
      <c r="J570" t="str">
        <f t="shared" si="34"/>
        <v/>
      </c>
      <c r="K570">
        <v>9179170.2400000002</v>
      </c>
      <c r="L570" t="b">
        <f t="shared" si="35"/>
        <v>0</v>
      </c>
    </row>
    <row r="571" spans="1:12" ht="16" x14ac:dyDescent="0.2">
      <c r="A571" t="s">
        <v>4869</v>
      </c>
      <c r="B571" t="s">
        <v>73</v>
      </c>
      <c r="C571" t="s">
        <v>3175</v>
      </c>
      <c r="D571" s="2" t="s">
        <v>134</v>
      </c>
      <c r="E571">
        <v>2025</v>
      </c>
      <c r="F571">
        <v>2027</v>
      </c>
      <c r="G571" s="10">
        <v>3813333.333333333</v>
      </c>
      <c r="H571">
        <f t="shared" si="32"/>
        <v>3813333.333333333</v>
      </c>
      <c r="I571" t="str">
        <f t="shared" si="33"/>
        <v/>
      </c>
      <c r="J571" t="str">
        <f t="shared" si="34"/>
        <v/>
      </c>
      <c r="K571">
        <v>2303050.64</v>
      </c>
      <c r="L571" t="b">
        <f t="shared" si="35"/>
        <v>0</v>
      </c>
    </row>
    <row r="572" spans="1:12" ht="16" x14ac:dyDescent="0.2">
      <c r="A572" t="s">
        <v>4870</v>
      </c>
      <c r="B572" t="s">
        <v>73</v>
      </c>
      <c r="C572" t="s">
        <v>3176</v>
      </c>
      <c r="D572" s="2" t="s">
        <v>134</v>
      </c>
      <c r="E572">
        <v>2025</v>
      </c>
      <c r="F572">
        <v>2028</v>
      </c>
      <c r="G572" s="10">
        <v>5725000</v>
      </c>
      <c r="H572">
        <f t="shared" si="32"/>
        <v>5725000</v>
      </c>
      <c r="I572">
        <f t="shared" si="33"/>
        <v>5725000</v>
      </c>
      <c r="J572" t="str">
        <f t="shared" si="34"/>
        <v/>
      </c>
      <c r="K572">
        <v>5232084.72</v>
      </c>
      <c r="L572" t="b">
        <f t="shared" si="35"/>
        <v>0</v>
      </c>
    </row>
    <row r="573" spans="1:12" ht="16" x14ac:dyDescent="0.2">
      <c r="A573" t="s">
        <v>4871</v>
      </c>
      <c r="B573" t="s">
        <v>73</v>
      </c>
      <c r="C573" t="s">
        <v>3177</v>
      </c>
      <c r="D573" s="2" t="s">
        <v>134</v>
      </c>
      <c r="E573">
        <v>2025</v>
      </c>
      <c r="F573">
        <v>2026</v>
      </c>
      <c r="G573" s="10">
        <v>5145000</v>
      </c>
      <c r="H573" t="str">
        <f t="shared" si="32"/>
        <v/>
      </c>
      <c r="I573" t="str">
        <f t="shared" si="33"/>
        <v/>
      </c>
      <c r="J573" t="str">
        <f t="shared" si="34"/>
        <v/>
      </c>
      <c r="K573">
        <v>1413385.48</v>
      </c>
      <c r="L573" t="b">
        <f t="shared" si="35"/>
        <v>0</v>
      </c>
    </row>
    <row r="574" spans="1:12" ht="16" x14ac:dyDescent="0.2">
      <c r="A574" t="s">
        <v>4872</v>
      </c>
      <c r="B574" t="s">
        <v>73</v>
      </c>
      <c r="C574" t="s">
        <v>3178</v>
      </c>
      <c r="D574" s="2" t="s">
        <v>134</v>
      </c>
      <c r="E574">
        <v>2025</v>
      </c>
      <c r="F574">
        <v>2027</v>
      </c>
      <c r="G574" s="10">
        <v>5770000</v>
      </c>
      <c r="H574">
        <f t="shared" si="32"/>
        <v>5770000</v>
      </c>
      <c r="I574" t="str">
        <f t="shared" si="33"/>
        <v/>
      </c>
      <c r="J574" t="str">
        <f t="shared" si="34"/>
        <v/>
      </c>
      <c r="K574">
        <v>1887557.16</v>
      </c>
      <c r="L574" t="b">
        <f t="shared" si="35"/>
        <v>0</v>
      </c>
    </row>
    <row r="575" spans="1:12" ht="16" x14ac:dyDescent="0.2">
      <c r="A575" t="s">
        <v>4873</v>
      </c>
      <c r="B575" t="s">
        <v>73</v>
      </c>
      <c r="C575" t="s">
        <v>3179</v>
      </c>
      <c r="D575" s="2" t="s">
        <v>134</v>
      </c>
      <c r="G575" s="10" t="s">
        <v>2892</v>
      </c>
      <c r="H575" t="str">
        <f t="shared" si="32"/>
        <v/>
      </c>
      <c r="I575" t="str">
        <f t="shared" si="33"/>
        <v/>
      </c>
      <c r="J575" t="str">
        <f t="shared" si="34"/>
        <v/>
      </c>
      <c r="L575" t="b">
        <f t="shared" si="35"/>
        <v>1</v>
      </c>
    </row>
    <row r="576" spans="1:12" ht="16" x14ac:dyDescent="0.2">
      <c r="A576" t="s">
        <v>4874</v>
      </c>
      <c r="B576" t="s">
        <v>73</v>
      </c>
      <c r="C576" t="s">
        <v>3180</v>
      </c>
      <c r="D576" s="2" t="s">
        <v>134</v>
      </c>
      <c r="E576">
        <v>2026</v>
      </c>
      <c r="F576">
        <v>2029</v>
      </c>
      <c r="G576" s="10">
        <v>4363333.333333333</v>
      </c>
      <c r="H576">
        <f t="shared" si="32"/>
        <v>4363333.333333333</v>
      </c>
      <c r="I576">
        <f t="shared" si="33"/>
        <v>4363333.333333333</v>
      </c>
      <c r="J576">
        <f t="shared" si="34"/>
        <v>4363333.333333333</v>
      </c>
      <c r="K576">
        <v>3282868.57</v>
      </c>
      <c r="L576" t="b">
        <f t="shared" si="35"/>
        <v>0</v>
      </c>
    </row>
    <row r="577" spans="1:12" ht="16" x14ac:dyDescent="0.2">
      <c r="A577" t="s">
        <v>4875</v>
      </c>
      <c r="B577" t="s">
        <v>73</v>
      </c>
      <c r="C577" t="s">
        <v>3181</v>
      </c>
      <c r="D577" s="2" t="s">
        <v>134</v>
      </c>
      <c r="E577">
        <v>2025</v>
      </c>
      <c r="F577">
        <v>2027</v>
      </c>
      <c r="G577" s="10">
        <v>2136666.6666666665</v>
      </c>
      <c r="H577">
        <f t="shared" si="32"/>
        <v>2136666.6666666665</v>
      </c>
      <c r="I577" t="str">
        <f t="shared" si="33"/>
        <v/>
      </c>
      <c r="J577" t="str">
        <f t="shared" si="34"/>
        <v/>
      </c>
      <c r="K577">
        <v>30038.33</v>
      </c>
      <c r="L577" t="b">
        <f t="shared" si="35"/>
        <v>0</v>
      </c>
    </row>
    <row r="578" spans="1:12" ht="16" x14ac:dyDescent="0.2">
      <c r="A578" t="s">
        <v>4876</v>
      </c>
      <c r="B578" t="s">
        <v>73</v>
      </c>
      <c r="C578" t="s">
        <v>3182</v>
      </c>
      <c r="D578" s="2" t="s">
        <v>134</v>
      </c>
      <c r="G578" s="10" t="s">
        <v>2892</v>
      </c>
      <c r="H578" t="str">
        <f t="shared" si="32"/>
        <v/>
      </c>
      <c r="I578" t="str">
        <f t="shared" si="33"/>
        <v/>
      </c>
      <c r="J578" t="str">
        <f t="shared" si="34"/>
        <v/>
      </c>
      <c r="L578" t="b">
        <f t="shared" si="35"/>
        <v>1</v>
      </c>
    </row>
    <row r="579" spans="1:12" ht="16" x14ac:dyDescent="0.2">
      <c r="A579" t="s">
        <v>4877</v>
      </c>
      <c r="B579" t="s">
        <v>73</v>
      </c>
      <c r="C579" t="s">
        <v>3183</v>
      </c>
      <c r="D579" s="2" t="s">
        <v>134</v>
      </c>
      <c r="E579">
        <v>2025</v>
      </c>
      <c r="F579">
        <v>2026</v>
      </c>
      <c r="G579" s="10">
        <v>2295000</v>
      </c>
      <c r="H579" t="str">
        <f t="shared" si="32"/>
        <v/>
      </c>
      <c r="I579" t="str">
        <f t="shared" si="33"/>
        <v/>
      </c>
      <c r="J579" t="str">
        <f t="shared" si="34"/>
        <v/>
      </c>
      <c r="K579">
        <v>427027.39</v>
      </c>
      <c r="L579" t="b">
        <f t="shared" si="35"/>
        <v>0</v>
      </c>
    </row>
    <row r="580" spans="1:12" ht="16" x14ac:dyDescent="0.2">
      <c r="A580" t="s">
        <v>4878</v>
      </c>
      <c r="B580" t="s">
        <v>73</v>
      </c>
      <c r="C580" t="s">
        <v>3184</v>
      </c>
      <c r="D580" s="2" t="s">
        <v>134</v>
      </c>
      <c r="E580">
        <v>2025</v>
      </c>
      <c r="F580">
        <v>2026</v>
      </c>
      <c r="G580" s="10">
        <v>17830000</v>
      </c>
      <c r="H580" t="str">
        <f t="shared" ref="H580:H643" si="36">IF(F580&gt;=2027,G580,"")</f>
        <v/>
      </c>
      <c r="I580" t="str">
        <f t="shared" ref="I580:I643" si="37">IF(F580&gt;=2028,G580,"")</f>
        <v/>
      </c>
      <c r="J580" t="str">
        <f t="shared" ref="J580:J643" si="38">IF(F580&gt;=2029,G580,"")</f>
        <v/>
      </c>
      <c r="K580">
        <v>15341575.68</v>
      </c>
      <c r="L580" t="b">
        <f t="shared" si="35"/>
        <v>0</v>
      </c>
    </row>
    <row r="581" spans="1:12" ht="16" x14ac:dyDescent="0.2">
      <c r="A581" t="s">
        <v>4879</v>
      </c>
      <c r="B581" t="s">
        <v>73</v>
      </c>
      <c r="C581" t="s">
        <v>3185</v>
      </c>
      <c r="D581" s="2" t="s">
        <v>134</v>
      </c>
      <c r="E581">
        <v>2025</v>
      </c>
      <c r="F581">
        <v>2026</v>
      </c>
      <c r="G581" s="10">
        <v>10585000</v>
      </c>
      <c r="H581" t="str">
        <f t="shared" si="36"/>
        <v/>
      </c>
      <c r="I581" t="str">
        <f t="shared" si="37"/>
        <v/>
      </c>
      <c r="J581" t="str">
        <f t="shared" si="38"/>
        <v/>
      </c>
      <c r="K581">
        <v>6164949.5899999999</v>
      </c>
      <c r="L581" t="b">
        <f t="shared" si="35"/>
        <v>0</v>
      </c>
    </row>
    <row r="582" spans="1:12" ht="16" x14ac:dyDescent="0.2">
      <c r="A582" t="s">
        <v>4880</v>
      </c>
      <c r="B582" t="s">
        <v>73</v>
      </c>
      <c r="C582" t="s">
        <v>3186</v>
      </c>
      <c r="D582" s="2" t="s">
        <v>134</v>
      </c>
      <c r="E582">
        <v>2025</v>
      </c>
      <c r="F582">
        <v>2026</v>
      </c>
      <c r="G582" s="10">
        <v>5060000</v>
      </c>
      <c r="H582" t="str">
        <f t="shared" si="36"/>
        <v/>
      </c>
      <c r="I582" t="str">
        <f t="shared" si="37"/>
        <v/>
      </c>
      <c r="J582" t="str">
        <f t="shared" si="38"/>
        <v/>
      </c>
      <c r="K582">
        <v>1404447.62</v>
      </c>
      <c r="L582" t="b">
        <f t="shared" si="35"/>
        <v>0</v>
      </c>
    </row>
    <row r="583" spans="1:12" ht="16" x14ac:dyDescent="0.2">
      <c r="A583" t="s">
        <v>4881</v>
      </c>
      <c r="B583" t="s">
        <v>73</v>
      </c>
      <c r="C583" t="s">
        <v>3187</v>
      </c>
      <c r="D583" s="2" t="s">
        <v>134</v>
      </c>
      <c r="E583">
        <v>2025</v>
      </c>
      <c r="F583">
        <v>2026</v>
      </c>
      <c r="G583" s="10">
        <v>4240000</v>
      </c>
      <c r="H583" t="str">
        <f t="shared" si="36"/>
        <v/>
      </c>
      <c r="I583" t="str">
        <f t="shared" si="37"/>
        <v/>
      </c>
      <c r="J583" t="str">
        <f t="shared" si="38"/>
        <v/>
      </c>
      <c r="K583">
        <v>1725051.45</v>
      </c>
      <c r="L583" t="b">
        <f t="shared" si="35"/>
        <v>0</v>
      </c>
    </row>
    <row r="584" spans="1:12" ht="16" x14ac:dyDescent="0.2">
      <c r="A584" t="s">
        <v>4882</v>
      </c>
      <c r="B584" t="s">
        <v>73</v>
      </c>
      <c r="C584" t="s">
        <v>3188</v>
      </c>
      <c r="D584" s="2" t="s">
        <v>134</v>
      </c>
      <c r="G584" s="10" t="s">
        <v>2892</v>
      </c>
      <c r="H584" t="str">
        <f t="shared" si="36"/>
        <v/>
      </c>
      <c r="I584" t="str">
        <f t="shared" si="37"/>
        <v/>
      </c>
      <c r="J584" t="str">
        <f t="shared" si="38"/>
        <v/>
      </c>
      <c r="L584" t="b">
        <f t="shared" si="35"/>
        <v>1</v>
      </c>
    </row>
    <row r="585" spans="1:12" ht="16" x14ac:dyDescent="0.2">
      <c r="A585" t="s">
        <v>4883</v>
      </c>
      <c r="B585" t="s">
        <v>73</v>
      </c>
      <c r="C585" t="s">
        <v>3189</v>
      </c>
      <c r="D585" s="2" t="s">
        <v>134</v>
      </c>
      <c r="G585" s="10" t="s">
        <v>2892</v>
      </c>
      <c r="H585" t="str">
        <f t="shared" si="36"/>
        <v/>
      </c>
      <c r="I585" t="str">
        <f t="shared" si="37"/>
        <v/>
      </c>
      <c r="J585" t="str">
        <f t="shared" si="38"/>
        <v/>
      </c>
      <c r="L585" t="b">
        <f t="shared" si="35"/>
        <v>1</v>
      </c>
    </row>
    <row r="586" spans="1:12" ht="16" x14ac:dyDescent="0.2">
      <c r="A586" t="s">
        <v>4884</v>
      </c>
      <c r="B586" t="s">
        <v>73</v>
      </c>
      <c r="C586" t="s">
        <v>3190</v>
      </c>
      <c r="D586" s="2" t="s">
        <v>134</v>
      </c>
      <c r="E586">
        <v>2025</v>
      </c>
      <c r="F586">
        <v>2027</v>
      </c>
      <c r="G586" s="10">
        <v>4510000</v>
      </c>
      <c r="H586">
        <f t="shared" si="36"/>
        <v>4510000</v>
      </c>
      <c r="I586" t="str">
        <f t="shared" si="37"/>
        <v/>
      </c>
      <c r="J586" t="str">
        <f t="shared" si="38"/>
        <v/>
      </c>
      <c r="K586">
        <v>3080737.62</v>
      </c>
      <c r="L586" t="b">
        <f t="shared" si="35"/>
        <v>0</v>
      </c>
    </row>
    <row r="587" spans="1:12" ht="16" x14ac:dyDescent="0.2">
      <c r="A587" t="s">
        <v>4885</v>
      </c>
      <c r="B587" t="s">
        <v>73</v>
      </c>
      <c r="C587" t="s">
        <v>3191</v>
      </c>
      <c r="D587" s="2" t="s">
        <v>134</v>
      </c>
      <c r="E587">
        <v>2025</v>
      </c>
      <c r="F587">
        <v>2026</v>
      </c>
      <c r="G587" s="10">
        <v>5875000</v>
      </c>
      <c r="H587" t="str">
        <f t="shared" si="36"/>
        <v/>
      </c>
      <c r="I587" t="str">
        <f t="shared" si="37"/>
        <v/>
      </c>
      <c r="J587" t="str">
        <f t="shared" si="38"/>
        <v/>
      </c>
      <c r="K587">
        <v>1239642.73</v>
      </c>
      <c r="L587" t="b">
        <f t="shared" si="35"/>
        <v>0</v>
      </c>
    </row>
    <row r="588" spans="1:12" ht="16" x14ac:dyDescent="0.2">
      <c r="A588" t="s">
        <v>4886</v>
      </c>
      <c r="B588" t="s">
        <v>73</v>
      </c>
      <c r="C588" t="s">
        <v>3192</v>
      </c>
      <c r="D588" s="2" t="s">
        <v>134</v>
      </c>
      <c r="E588">
        <v>2025</v>
      </c>
      <c r="F588">
        <v>2027</v>
      </c>
      <c r="G588" s="10">
        <v>2323333.333333333</v>
      </c>
      <c r="H588">
        <f t="shared" si="36"/>
        <v>2323333.333333333</v>
      </c>
      <c r="I588" t="str">
        <f t="shared" si="37"/>
        <v/>
      </c>
      <c r="J588" t="str">
        <f t="shared" si="38"/>
        <v/>
      </c>
      <c r="K588">
        <v>107073.77</v>
      </c>
      <c r="L588" t="b">
        <f t="shared" si="35"/>
        <v>0</v>
      </c>
    </row>
    <row r="589" spans="1:12" ht="16" x14ac:dyDescent="0.2">
      <c r="A589" t="s">
        <v>4887</v>
      </c>
      <c r="B589" t="s">
        <v>73</v>
      </c>
      <c r="C589" t="s">
        <v>3193</v>
      </c>
      <c r="D589" s="2" t="s">
        <v>134</v>
      </c>
      <c r="E589">
        <v>2025</v>
      </c>
      <c r="F589">
        <v>2026</v>
      </c>
      <c r="G589" s="10">
        <v>2665000</v>
      </c>
      <c r="H589" t="str">
        <f t="shared" si="36"/>
        <v/>
      </c>
      <c r="I589" t="str">
        <f t="shared" si="37"/>
        <v/>
      </c>
      <c r="J589" t="str">
        <f t="shared" si="38"/>
        <v/>
      </c>
      <c r="K589">
        <v>190230.56</v>
      </c>
      <c r="L589" t="b">
        <f t="shared" si="35"/>
        <v>0</v>
      </c>
    </row>
    <row r="590" spans="1:12" ht="16" x14ac:dyDescent="0.2">
      <c r="A590" t="s">
        <v>4888</v>
      </c>
      <c r="B590" t="s">
        <v>73</v>
      </c>
      <c r="C590" t="s">
        <v>3194</v>
      </c>
      <c r="D590" s="2" t="s">
        <v>134</v>
      </c>
      <c r="E590">
        <v>2025</v>
      </c>
      <c r="F590">
        <v>2026</v>
      </c>
      <c r="G590" s="10">
        <v>2835000</v>
      </c>
      <c r="H590" t="str">
        <f t="shared" si="36"/>
        <v/>
      </c>
      <c r="I590" t="str">
        <f t="shared" si="37"/>
        <v/>
      </c>
      <c r="J590" t="str">
        <f t="shared" si="38"/>
        <v/>
      </c>
      <c r="K590">
        <v>918508.87</v>
      </c>
      <c r="L590" t="b">
        <f t="shared" si="35"/>
        <v>0</v>
      </c>
    </row>
    <row r="591" spans="1:12" ht="16" x14ac:dyDescent="0.2">
      <c r="A591" t="s">
        <v>4889</v>
      </c>
      <c r="B591" t="s">
        <v>73</v>
      </c>
      <c r="C591" t="s">
        <v>3195</v>
      </c>
      <c r="D591" s="2" t="s">
        <v>134</v>
      </c>
      <c r="E591">
        <v>2025</v>
      </c>
      <c r="F591">
        <v>2027</v>
      </c>
      <c r="G591" s="10">
        <v>4406666.666666667</v>
      </c>
      <c r="H591">
        <f t="shared" si="36"/>
        <v>4406666.666666667</v>
      </c>
      <c r="I591" t="str">
        <f t="shared" si="37"/>
        <v/>
      </c>
      <c r="J591" t="str">
        <f t="shared" si="38"/>
        <v/>
      </c>
      <c r="K591">
        <v>1903655.26</v>
      </c>
      <c r="L591" t="b">
        <f t="shared" si="35"/>
        <v>0</v>
      </c>
    </row>
    <row r="592" spans="1:12" ht="16" x14ac:dyDescent="0.2">
      <c r="A592" t="s">
        <v>4890</v>
      </c>
      <c r="B592" t="s">
        <v>73</v>
      </c>
      <c r="C592" t="s">
        <v>3196</v>
      </c>
      <c r="D592" s="2" t="s">
        <v>134</v>
      </c>
      <c r="G592" s="10" t="s">
        <v>2892</v>
      </c>
      <c r="H592" t="str">
        <f t="shared" si="36"/>
        <v/>
      </c>
      <c r="I592" t="str">
        <f t="shared" si="37"/>
        <v/>
      </c>
      <c r="J592" t="str">
        <f t="shared" si="38"/>
        <v/>
      </c>
      <c r="L592" t="b">
        <f t="shared" si="35"/>
        <v>1</v>
      </c>
    </row>
    <row r="593" spans="1:12" ht="16" x14ac:dyDescent="0.2">
      <c r="A593" t="s">
        <v>4891</v>
      </c>
      <c r="B593" t="s">
        <v>73</v>
      </c>
      <c r="C593" t="s">
        <v>3197</v>
      </c>
      <c r="D593" s="2" t="s">
        <v>134</v>
      </c>
      <c r="G593" s="10" t="s">
        <v>2892</v>
      </c>
      <c r="H593" t="str">
        <f t="shared" si="36"/>
        <v/>
      </c>
      <c r="I593" t="str">
        <f t="shared" si="37"/>
        <v/>
      </c>
      <c r="J593" t="str">
        <f t="shared" si="38"/>
        <v/>
      </c>
      <c r="L593" t="b">
        <f t="shared" si="35"/>
        <v>1</v>
      </c>
    </row>
    <row r="594" spans="1:12" ht="16" x14ac:dyDescent="0.2">
      <c r="A594" t="s">
        <v>4892</v>
      </c>
      <c r="B594" t="s">
        <v>73</v>
      </c>
      <c r="C594" t="s">
        <v>3198</v>
      </c>
      <c r="D594" s="2" t="s">
        <v>134</v>
      </c>
      <c r="E594">
        <v>2025</v>
      </c>
      <c r="F594">
        <v>2026</v>
      </c>
      <c r="G594" s="10">
        <v>3820000</v>
      </c>
      <c r="H594" t="str">
        <f t="shared" si="36"/>
        <v/>
      </c>
      <c r="I594" t="str">
        <f t="shared" si="37"/>
        <v/>
      </c>
      <c r="J594" t="str">
        <f t="shared" si="38"/>
        <v/>
      </c>
      <c r="K594">
        <v>2215812.09</v>
      </c>
      <c r="L594" t="b">
        <f t="shared" si="35"/>
        <v>0</v>
      </c>
    </row>
    <row r="595" spans="1:12" ht="16" x14ac:dyDescent="0.2">
      <c r="A595" t="s">
        <v>4893</v>
      </c>
      <c r="B595" t="s">
        <v>73</v>
      </c>
      <c r="C595" t="s">
        <v>3199</v>
      </c>
      <c r="D595" s="2" t="s">
        <v>134</v>
      </c>
      <c r="G595" s="10" t="s">
        <v>2892</v>
      </c>
      <c r="H595" t="str">
        <f t="shared" si="36"/>
        <v/>
      </c>
      <c r="I595" t="str">
        <f t="shared" si="37"/>
        <v/>
      </c>
      <c r="J595" t="str">
        <f t="shared" si="38"/>
        <v/>
      </c>
      <c r="L595" t="b">
        <f t="shared" si="35"/>
        <v>1</v>
      </c>
    </row>
    <row r="596" spans="1:12" ht="16" x14ac:dyDescent="0.2">
      <c r="A596" t="s">
        <v>4894</v>
      </c>
      <c r="B596" t="s">
        <v>73</v>
      </c>
      <c r="C596" t="s">
        <v>3200</v>
      </c>
      <c r="D596" s="2" t="s">
        <v>134</v>
      </c>
      <c r="G596" s="10" t="s">
        <v>2892</v>
      </c>
      <c r="H596" t="str">
        <f t="shared" si="36"/>
        <v/>
      </c>
      <c r="I596" t="str">
        <f t="shared" si="37"/>
        <v/>
      </c>
      <c r="J596" t="str">
        <f t="shared" si="38"/>
        <v/>
      </c>
      <c r="L596" t="b">
        <f t="shared" si="35"/>
        <v>1</v>
      </c>
    </row>
    <row r="597" spans="1:12" ht="16" x14ac:dyDescent="0.2">
      <c r="A597" t="s">
        <v>4895</v>
      </c>
      <c r="B597" t="s">
        <v>73</v>
      </c>
      <c r="C597" t="s">
        <v>3201</v>
      </c>
      <c r="D597" s="2" t="s">
        <v>134</v>
      </c>
      <c r="E597">
        <v>2025</v>
      </c>
      <c r="F597">
        <v>2026</v>
      </c>
      <c r="G597" s="10">
        <v>1075000</v>
      </c>
      <c r="H597" t="str">
        <f t="shared" si="36"/>
        <v/>
      </c>
      <c r="I597" t="str">
        <f t="shared" si="37"/>
        <v/>
      </c>
      <c r="J597" t="str">
        <f t="shared" si="38"/>
        <v/>
      </c>
      <c r="K597">
        <v>182174.95</v>
      </c>
      <c r="L597" t="b">
        <f t="shared" si="35"/>
        <v>0</v>
      </c>
    </row>
    <row r="598" spans="1:12" ht="16" x14ac:dyDescent="0.2">
      <c r="A598" t="s">
        <v>4896</v>
      </c>
      <c r="B598" t="s">
        <v>73</v>
      </c>
      <c r="C598" t="s">
        <v>3202</v>
      </c>
      <c r="D598" s="2" t="s">
        <v>134</v>
      </c>
      <c r="G598" s="10" t="s">
        <v>2892</v>
      </c>
      <c r="H598" t="str">
        <f t="shared" si="36"/>
        <v/>
      </c>
      <c r="I598" t="str">
        <f t="shared" si="37"/>
        <v/>
      </c>
      <c r="J598" t="str">
        <f t="shared" si="38"/>
        <v/>
      </c>
      <c r="L598" t="b">
        <f t="shared" si="35"/>
        <v>1</v>
      </c>
    </row>
    <row r="599" spans="1:12" ht="16" x14ac:dyDescent="0.2">
      <c r="A599" t="s">
        <v>4897</v>
      </c>
      <c r="B599" t="s">
        <v>73</v>
      </c>
      <c r="C599" t="s">
        <v>3203</v>
      </c>
      <c r="D599" s="2" t="s">
        <v>134</v>
      </c>
      <c r="E599">
        <v>2025</v>
      </c>
      <c r="F599">
        <v>2027</v>
      </c>
      <c r="G599" s="10">
        <v>1883333.3333333335</v>
      </c>
      <c r="H599">
        <f t="shared" si="36"/>
        <v>1883333.3333333335</v>
      </c>
      <c r="I599" t="str">
        <f t="shared" si="37"/>
        <v/>
      </c>
      <c r="J599" t="str">
        <f t="shared" si="38"/>
        <v/>
      </c>
      <c r="K599">
        <v>589737.57999999996</v>
      </c>
      <c r="L599" t="b">
        <f t="shared" si="35"/>
        <v>0</v>
      </c>
    </row>
    <row r="600" spans="1:12" ht="16" x14ac:dyDescent="0.2">
      <c r="A600" t="s">
        <v>4898</v>
      </c>
      <c r="B600" t="s">
        <v>73</v>
      </c>
      <c r="C600" t="s">
        <v>3204</v>
      </c>
      <c r="D600" s="2" t="s">
        <v>134</v>
      </c>
      <c r="G600" s="10" t="s">
        <v>2892</v>
      </c>
      <c r="H600" t="str">
        <f t="shared" si="36"/>
        <v/>
      </c>
      <c r="I600" t="str">
        <f t="shared" si="37"/>
        <v/>
      </c>
      <c r="J600" t="str">
        <f t="shared" si="38"/>
        <v/>
      </c>
      <c r="L600" t="b">
        <f t="shared" si="35"/>
        <v>1</v>
      </c>
    </row>
    <row r="601" spans="1:12" ht="16" x14ac:dyDescent="0.2">
      <c r="A601" t="s">
        <v>4899</v>
      </c>
      <c r="B601" t="s">
        <v>73</v>
      </c>
      <c r="C601" t="s">
        <v>3205</v>
      </c>
      <c r="D601" s="2" t="s">
        <v>134</v>
      </c>
      <c r="G601" s="10" t="s">
        <v>2892</v>
      </c>
      <c r="H601" t="str">
        <f t="shared" si="36"/>
        <v/>
      </c>
      <c r="I601" t="str">
        <f t="shared" si="37"/>
        <v/>
      </c>
      <c r="J601" t="str">
        <f t="shared" si="38"/>
        <v/>
      </c>
      <c r="L601" t="b">
        <f t="shared" si="35"/>
        <v>1</v>
      </c>
    </row>
    <row r="602" spans="1:12" ht="16" x14ac:dyDescent="0.2">
      <c r="A602" t="s">
        <v>4900</v>
      </c>
      <c r="B602" t="s">
        <v>73</v>
      </c>
      <c r="C602" t="s">
        <v>3206</v>
      </c>
      <c r="D602" s="2" t="s">
        <v>134</v>
      </c>
      <c r="G602" s="10" t="s">
        <v>2892</v>
      </c>
      <c r="H602" t="str">
        <f t="shared" si="36"/>
        <v/>
      </c>
      <c r="I602" t="str">
        <f t="shared" si="37"/>
        <v/>
      </c>
      <c r="J602" t="str">
        <f t="shared" si="38"/>
        <v/>
      </c>
      <c r="L602" t="b">
        <f t="shared" si="35"/>
        <v>1</v>
      </c>
    </row>
    <row r="603" spans="1:12" ht="16" x14ac:dyDescent="0.2">
      <c r="A603" t="s">
        <v>4901</v>
      </c>
      <c r="B603" t="s">
        <v>73</v>
      </c>
      <c r="C603" t="s">
        <v>3207</v>
      </c>
      <c r="D603" s="2" t="s">
        <v>134</v>
      </c>
      <c r="G603" s="10" t="s">
        <v>2892</v>
      </c>
      <c r="H603" t="str">
        <f t="shared" si="36"/>
        <v/>
      </c>
      <c r="I603" t="str">
        <f t="shared" si="37"/>
        <v/>
      </c>
      <c r="J603" t="str">
        <f t="shared" si="38"/>
        <v/>
      </c>
      <c r="L603" t="b">
        <f t="shared" si="35"/>
        <v>1</v>
      </c>
    </row>
    <row r="604" spans="1:12" ht="16" x14ac:dyDescent="0.2">
      <c r="A604" t="s">
        <v>4902</v>
      </c>
      <c r="B604" t="s">
        <v>73</v>
      </c>
      <c r="C604" t="s">
        <v>3208</v>
      </c>
      <c r="D604" s="2" t="s">
        <v>134</v>
      </c>
      <c r="E604">
        <v>2025</v>
      </c>
      <c r="F604">
        <v>2026</v>
      </c>
      <c r="G604" s="10">
        <v>7010000</v>
      </c>
      <c r="H604" t="str">
        <f t="shared" si="36"/>
        <v/>
      </c>
      <c r="I604" t="str">
        <f t="shared" si="37"/>
        <v/>
      </c>
      <c r="J604" t="str">
        <f t="shared" si="38"/>
        <v/>
      </c>
      <c r="K604">
        <v>4227068.57</v>
      </c>
      <c r="L604" t="b">
        <f t="shared" si="35"/>
        <v>0</v>
      </c>
    </row>
    <row r="605" spans="1:12" ht="16" x14ac:dyDescent="0.2">
      <c r="A605" t="s">
        <v>4903</v>
      </c>
      <c r="B605" t="s">
        <v>73</v>
      </c>
      <c r="C605" t="s">
        <v>3209</v>
      </c>
      <c r="D605" s="2" t="s">
        <v>132</v>
      </c>
      <c r="E605">
        <v>2025</v>
      </c>
      <c r="F605">
        <v>2026</v>
      </c>
      <c r="G605" s="10">
        <v>11495000</v>
      </c>
      <c r="H605" t="str">
        <f t="shared" si="36"/>
        <v/>
      </c>
      <c r="I605" t="str">
        <f t="shared" si="37"/>
        <v/>
      </c>
      <c r="J605" t="str">
        <f t="shared" si="38"/>
        <v/>
      </c>
      <c r="K605">
        <v>6336044.04</v>
      </c>
      <c r="L605" t="b">
        <f t="shared" si="35"/>
        <v>0</v>
      </c>
    </row>
    <row r="606" spans="1:12" ht="16" x14ac:dyDescent="0.2">
      <c r="A606" t="s">
        <v>4904</v>
      </c>
      <c r="B606" t="s">
        <v>73</v>
      </c>
      <c r="C606" t="s">
        <v>3210</v>
      </c>
      <c r="D606" s="2" t="s">
        <v>132</v>
      </c>
      <c r="G606" s="10" t="s">
        <v>2892</v>
      </c>
      <c r="H606" t="str">
        <f t="shared" si="36"/>
        <v/>
      </c>
      <c r="I606" t="str">
        <f t="shared" si="37"/>
        <v/>
      </c>
      <c r="J606" t="str">
        <f t="shared" si="38"/>
        <v/>
      </c>
      <c r="L606" t="b">
        <f t="shared" si="35"/>
        <v>1</v>
      </c>
    </row>
    <row r="607" spans="1:12" ht="16" x14ac:dyDescent="0.2">
      <c r="A607" t="s">
        <v>4905</v>
      </c>
      <c r="B607" t="s">
        <v>73</v>
      </c>
      <c r="C607" t="s">
        <v>3211</v>
      </c>
      <c r="D607" s="2" t="s">
        <v>132</v>
      </c>
      <c r="G607" s="10" t="s">
        <v>2892</v>
      </c>
      <c r="H607" t="str">
        <f t="shared" si="36"/>
        <v/>
      </c>
      <c r="I607" t="str">
        <f t="shared" si="37"/>
        <v/>
      </c>
      <c r="J607" t="str">
        <f t="shared" si="38"/>
        <v/>
      </c>
      <c r="L607" t="b">
        <f t="shared" si="35"/>
        <v>1</v>
      </c>
    </row>
    <row r="608" spans="1:12" ht="16" x14ac:dyDescent="0.2">
      <c r="A608" t="s">
        <v>4906</v>
      </c>
      <c r="B608" t="s">
        <v>73</v>
      </c>
      <c r="C608" t="s">
        <v>3212</v>
      </c>
      <c r="D608" s="2" t="s">
        <v>132</v>
      </c>
      <c r="G608" s="10" t="s">
        <v>2892</v>
      </c>
      <c r="H608" t="str">
        <f t="shared" si="36"/>
        <v/>
      </c>
      <c r="I608" t="str">
        <f t="shared" si="37"/>
        <v/>
      </c>
      <c r="J608" t="str">
        <f t="shared" si="38"/>
        <v/>
      </c>
      <c r="L608" t="b">
        <f t="shared" si="35"/>
        <v>1</v>
      </c>
    </row>
    <row r="609" spans="1:12" ht="16" x14ac:dyDescent="0.2">
      <c r="A609" t="s">
        <v>4907</v>
      </c>
      <c r="B609" t="s">
        <v>73</v>
      </c>
      <c r="C609" t="s">
        <v>3213</v>
      </c>
      <c r="D609" s="2" t="s">
        <v>132</v>
      </c>
      <c r="E609">
        <v>2025</v>
      </c>
      <c r="F609">
        <v>2026</v>
      </c>
      <c r="G609" s="10">
        <v>2750000</v>
      </c>
      <c r="H609" t="str">
        <f t="shared" si="36"/>
        <v/>
      </c>
      <c r="I609" t="str">
        <f t="shared" si="37"/>
        <v/>
      </c>
      <c r="J609" t="str">
        <f t="shared" si="38"/>
        <v/>
      </c>
      <c r="K609">
        <v>797247.36</v>
      </c>
      <c r="L609" t="b">
        <f t="shared" si="35"/>
        <v>0</v>
      </c>
    </row>
    <row r="610" spans="1:12" ht="16" x14ac:dyDescent="0.2">
      <c r="A610" t="s">
        <v>4908</v>
      </c>
      <c r="B610" t="s">
        <v>73</v>
      </c>
      <c r="C610" t="s">
        <v>3214</v>
      </c>
      <c r="D610" s="2" t="s">
        <v>132</v>
      </c>
      <c r="G610" s="10" t="s">
        <v>2892</v>
      </c>
      <c r="H610" t="str">
        <f t="shared" si="36"/>
        <v/>
      </c>
      <c r="I610" t="str">
        <f t="shared" si="37"/>
        <v/>
      </c>
      <c r="J610" t="str">
        <f t="shared" si="38"/>
        <v/>
      </c>
      <c r="L610" t="b">
        <f t="shared" si="35"/>
        <v>1</v>
      </c>
    </row>
    <row r="611" spans="1:12" ht="16" x14ac:dyDescent="0.2">
      <c r="A611" t="s">
        <v>4909</v>
      </c>
      <c r="B611" t="s">
        <v>73</v>
      </c>
      <c r="C611" t="s">
        <v>3215</v>
      </c>
      <c r="D611" s="2" t="s">
        <v>132</v>
      </c>
      <c r="G611" s="10" t="s">
        <v>2892</v>
      </c>
      <c r="H611" t="str">
        <f t="shared" si="36"/>
        <v/>
      </c>
      <c r="I611" t="str">
        <f t="shared" si="37"/>
        <v/>
      </c>
      <c r="J611" t="str">
        <f t="shared" si="38"/>
        <v/>
      </c>
      <c r="L611" t="b">
        <f t="shared" ref="L611:L674" si="39">IF(F611="",TRUE,FALSE)</f>
        <v>1</v>
      </c>
    </row>
    <row r="612" spans="1:12" ht="16" x14ac:dyDescent="0.2">
      <c r="A612" t="s">
        <v>4910</v>
      </c>
      <c r="B612" t="s">
        <v>73</v>
      </c>
      <c r="C612" t="s">
        <v>3216</v>
      </c>
      <c r="D612" s="2" t="s">
        <v>132</v>
      </c>
      <c r="E612">
        <v>2025</v>
      </c>
      <c r="F612">
        <v>2027</v>
      </c>
      <c r="G612" s="10">
        <v>10240000</v>
      </c>
      <c r="H612">
        <f t="shared" si="36"/>
        <v>10240000</v>
      </c>
      <c r="I612" t="str">
        <f t="shared" si="37"/>
        <v/>
      </c>
      <c r="J612" t="str">
        <f t="shared" si="38"/>
        <v/>
      </c>
      <c r="K612">
        <v>13379954.9</v>
      </c>
      <c r="L612" t="b">
        <f t="shared" si="39"/>
        <v>0</v>
      </c>
    </row>
    <row r="613" spans="1:12" ht="16" x14ac:dyDescent="0.2">
      <c r="A613" t="s">
        <v>4911</v>
      </c>
      <c r="B613" t="s">
        <v>73</v>
      </c>
      <c r="C613" t="s">
        <v>3217</v>
      </c>
      <c r="D613" s="2" t="s">
        <v>132</v>
      </c>
      <c r="E613">
        <v>2025</v>
      </c>
      <c r="F613">
        <v>2027</v>
      </c>
      <c r="G613" s="10">
        <v>10420000</v>
      </c>
      <c r="H613">
        <f t="shared" si="36"/>
        <v>10420000</v>
      </c>
      <c r="I613" t="str">
        <f t="shared" si="37"/>
        <v/>
      </c>
      <c r="J613" t="str">
        <f t="shared" si="38"/>
        <v/>
      </c>
      <c r="K613">
        <v>9679639.2599999998</v>
      </c>
      <c r="L613" t="b">
        <f t="shared" si="39"/>
        <v>0</v>
      </c>
    </row>
    <row r="614" spans="1:12" ht="16" x14ac:dyDescent="0.2">
      <c r="A614" t="s">
        <v>4912</v>
      </c>
      <c r="B614" t="s">
        <v>73</v>
      </c>
      <c r="C614" t="s">
        <v>3218</v>
      </c>
      <c r="D614" s="2" t="s">
        <v>132</v>
      </c>
      <c r="E614">
        <v>2025</v>
      </c>
      <c r="F614">
        <v>2026</v>
      </c>
      <c r="G614" s="10">
        <v>5475000</v>
      </c>
      <c r="H614" t="str">
        <f t="shared" si="36"/>
        <v/>
      </c>
      <c r="I614" t="str">
        <f t="shared" si="37"/>
        <v/>
      </c>
      <c r="J614" t="str">
        <f t="shared" si="38"/>
        <v/>
      </c>
      <c r="K614">
        <v>1830817.19</v>
      </c>
      <c r="L614" t="b">
        <f t="shared" si="39"/>
        <v>0</v>
      </c>
    </row>
    <row r="615" spans="1:12" ht="16" x14ac:dyDescent="0.2">
      <c r="A615" t="s">
        <v>4913</v>
      </c>
      <c r="B615" t="s">
        <v>73</v>
      </c>
      <c r="C615" t="s">
        <v>3219</v>
      </c>
      <c r="D615" s="2" t="s">
        <v>132</v>
      </c>
      <c r="E615">
        <v>2025</v>
      </c>
      <c r="F615">
        <v>2026</v>
      </c>
      <c r="G615" s="10">
        <v>6190000</v>
      </c>
      <c r="H615" t="str">
        <f t="shared" si="36"/>
        <v/>
      </c>
      <c r="I615" t="str">
        <f t="shared" si="37"/>
        <v/>
      </c>
      <c r="J615" t="str">
        <f t="shared" si="38"/>
        <v/>
      </c>
      <c r="K615">
        <v>2724205.92</v>
      </c>
      <c r="L615" t="b">
        <f t="shared" si="39"/>
        <v>0</v>
      </c>
    </row>
    <row r="616" spans="1:12" ht="16" x14ac:dyDescent="0.2">
      <c r="A616" t="s">
        <v>4914</v>
      </c>
      <c r="B616" t="s">
        <v>73</v>
      </c>
      <c r="C616" t="s">
        <v>3220</v>
      </c>
      <c r="D616" s="2" t="s">
        <v>132</v>
      </c>
      <c r="G616" s="10" t="s">
        <v>2892</v>
      </c>
      <c r="H616" t="str">
        <f t="shared" si="36"/>
        <v/>
      </c>
      <c r="I616" t="str">
        <f t="shared" si="37"/>
        <v/>
      </c>
      <c r="J616" t="str">
        <f t="shared" si="38"/>
        <v/>
      </c>
      <c r="L616" t="b">
        <f t="shared" si="39"/>
        <v>1</v>
      </c>
    </row>
    <row r="617" spans="1:12" ht="16" x14ac:dyDescent="0.2">
      <c r="A617" t="s">
        <v>4915</v>
      </c>
      <c r="B617" t="s">
        <v>73</v>
      </c>
      <c r="C617" t="s">
        <v>3221</v>
      </c>
      <c r="D617" s="2" t="s">
        <v>132</v>
      </c>
      <c r="G617" s="10" t="s">
        <v>2892</v>
      </c>
      <c r="H617" t="str">
        <f t="shared" si="36"/>
        <v/>
      </c>
      <c r="I617" t="str">
        <f t="shared" si="37"/>
        <v/>
      </c>
      <c r="J617" t="str">
        <f t="shared" si="38"/>
        <v/>
      </c>
      <c r="L617" t="b">
        <f t="shared" si="39"/>
        <v>1</v>
      </c>
    </row>
    <row r="618" spans="1:12" ht="16" x14ac:dyDescent="0.2">
      <c r="A618" t="s">
        <v>4916</v>
      </c>
      <c r="B618" t="s">
        <v>73</v>
      </c>
      <c r="C618" t="s">
        <v>3222</v>
      </c>
      <c r="D618" s="2" t="s">
        <v>132</v>
      </c>
      <c r="G618" s="10" t="s">
        <v>2892</v>
      </c>
      <c r="H618" t="str">
        <f t="shared" si="36"/>
        <v/>
      </c>
      <c r="I618" t="str">
        <f t="shared" si="37"/>
        <v/>
      </c>
      <c r="J618" t="str">
        <f t="shared" si="38"/>
        <v/>
      </c>
      <c r="L618" t="b">
        <f t="shared" si="39"/>
        <v>1</v>
      </c>
    </row>
    <row r="619" spans="1:12" ht="16" x14ac:dyDescent="0.2">
      <c r="A619" t="s">
        <v>4917</v>
      </c>
      <c r="B619" t="s">
        <v>73</v>
      </c>
      <c r="C619" t="s">
        <v>3223</v>
      </c>
      <c r="D619" s="2" t="s">
        <v>132</v>
      </c>
      <c r="G619" s="10" t="s">
        <v>2892</v>
      </c>
      <c r="H619" t="str">
        <f t="shared" si="36"/>
        <v/>
      </c>
      <c r="I619" t="str">
        <f t="shared" si="37"/>
        <v/>
      </c>
      <c r="J619" t="str">
        <f t="shared" si="38"/>
        <v/>
      </c>
      <c r="L619" t="b">
        <f t="shared" si="39"/>
        <v>1</v>
      </c>
    </row>
    <row r="620" spans="1:12" ht="16" x14ac:dyDescent="0.2">
      <c r="A620" t="s">
        <v>4918</v>
      </c>
      <c r="B620" t="s">
        <v>73</v>
      </c>
      <c r="C620" t="s">
        <v>3224</v>
      </c>
      <c r="D620" s="2" t="s">
        <v>132</v>
      </c>
      <c r="G620" s="10" t="s">
        <v>2892</v>
      </c>
      <c r="H620" t="str">
        <f t="shared" si="36"/>
        <v/>
      </c>
      <c r="I620" t="str">
        <f t="shared" si="37"/>
        <v/>
      </c>
      <c r="J620" t="str">
        <f t="shared" si="38"/>
        <v/>
      </c>
      <c r="L620" t="b">
        <f t="shared" si="39"/>
        <v>1</v>
      </c>
    </row>
    <row r="621" spans="1:12" ht="16" x14ac:dyDescent="0.2">
      <c r="A621" t="s">
        <v>4919</v>
      </c>
      <c r="B621" t="s">
        <v>73</v>
      </c>
      <c r="C621" t="s">
        <v>3225</v>
      </c>
      <c r="D621" s="2" t="s">
        <v>132</v>
      </c>
      <c r="E621">
        <v>2025</v>
      </c>
      <c r="F621">
        <v>2026</v>
      </c>
      <c r="G621" s="10">
        <v>5540000</v>
      </c>
      <c r="H621" t="str">
        <f t="shared" si="36"/>
        <v/>
      </c>
      <c r="I621" t="str">
        <f t="shared" si="37"/>
        <v/>
      </c>
      <c r="J621" t="str">
        <f t="shared" si="38"/>
        <v/>
      </c>
      <c r="K621">
        <v>2315228.2999999998</v>
      </c>
      <c r="L621" t="b">
        <f t="shared" si="39"/>
        <v>0</v>
      </c>
    </row>
    <row r="622" spans="1:12" ht="16" x14ac:dyDescent="0.2">
      <c r="A622" t="s">
        <v>4920</v>
      </c>
      <c r="B622" t="s">
        <v>73</v>
      </c>
      <c r="C622" t="s">
        <v>3226</v>
      </c>
      <c r="D622" s="2" t="s">
        <v>132</v>
      </c>
      <c r="E622">
        <v>2025</v>
      </c>
      <c r="F622">
        <v>2026</v>
      </c>
      <c r="G622" s="10">
        <v>4094999.9999999995</v>
      </c>
      <c r="H622" t="str">
        <f t="shared" si="36"/>
        <v/>
      </c>
      <c r="I622" t="str">
        <f t="shared" si="37"/>
        <v/>
      </c>
      <c r="J622" t="str">
        <f t="shared" si="38"/>
        <v/>
      </c>
      <c r="K622">
        <v>1149789.01</v>
      </c>
      <c r="L622" t="b">
        <f t="shared" si="39"/>
        <v>0</v>
      </c>
    </row>
    <row r="623" spans="1:12" ht="16" x14ac:dyDescent="0.2">
      <c r="A623" t="s">
        <v>4921</v>
      </c>
      <c r="B623" t="s">
        <v>73</v>
      </c>
      <c r="C623" t="s">
        <v>3227</v>
      </c>
      <c r="D623" s="2" t="s">
        <v>132</v>
      </c>
      <c r="G623" s="10" t="s">
        <v>2892</v>
      </c>
      <c r="H623" t="str">
        <f t="shared" si="36"/>
        <v/>
      </c>
      <c r="I623" t="str">
        <f t="shared" si="37"/>
        <v/>
      </c>
      <c r="J623" t="str">
        <f t="shared" si="38"/>
        <v/>
      </c>
      <c r="L623" t="b">
        <f t="shared" si="39"/>
        <v>1</v>
      </c>
    </row>
    <row r="624" spans="1:12" ht="16" x14ac:dyDescent="0.2">
      <c r="A624" t="s">
        <v>4922</v>
      </c>
      <c r="B624" t="s">
        <v>73</v>
      </c>
      <c r="C624" t="s">
        <v>3228</v>
      </c>
      <c r="D624" s="2" t="s">
        <v>132</v>
      </c>
      <c r="E624">
        <v>2025</v>
      </c>
      <c r="F624">
        <v>2026</v>
      </c>
      <c r="G624" s="10">
        <v>3850000</v>
      </c>
      <c r="H624" t="str">
        <f t="shared" si="36"/>
        <v/>
      </c>
      <c r="I624" t="str">
        <f t="shared" si="37"/>
        <v/>
      </c>
      <c r="J624" t="str">
        <f t="shared" si="38"/>
        <v/>
      </c>
      <c r="K624">
        <v>1518505.99</v>
      </c>
      <c r="L624" t="b">
        <f t="shared" si="39"/>
        <v>0</v>
      </c>
    </row>
    <row r="625" spans="1:12" ht="16" x14ac:dyDescent="0.2">
      <c r="A625" t="s">
        <v>4923</v>
      </c>
      <c r="B625" t="s">
        <v>73</v>
      </c>
      <c r="C625" t="s">
        <v>3229</v>
      </c>
      <c r="D625" s="2" t="s">
        <v>132</v>
      </c>
      <c r="E625">
        <v>2025</v>
      </c>
      <c r="F625">
        <v>2026</v>
      </c>
      <c r="G625" s="10">
        <v>2020000</v>
      </c>
      <c r="H625" t="str">
        <f t="shared" si="36"/>
        <v/>
      </c>
      <c r="I625" t="str">
        <f t="shared" si="37"/>
        <v/>
      </c>
      <c r="J625" t="str">
        <f t="shared" si="38"/>
        <v/>
      </c>
      <c r="K625">
        <v>285600.51</v>
      </c>
      <c r="L625" t="b">
        <f t="shared" si="39"/>
        <v>0</v>
      </c>
    </row>
    <row r="626" spans="1:12" ht="16" x14ac:dyDescent="0.2">
      <c r="A626" t="s">
        <v>4924</v>
      </c>
      <c r="B626" t="s">
        <v>73</v>
      </c>
      <c r="C626" t="s">
        <v>3230</v>
      </c>
      <c r="D626" s="2" t="s">
        <v>132</v>
      </c>
      <c r="E626">
        <v>2025</v>
      </c>
      <c r="F626">
        <v>2027</v>
      </c>
      <c r="G626" s="10">
        <v>1866666.6666666665</v>
      </c>
      <c r="H626">
        <f t="shared" si="36"/>
        <v>1866666.6666666665</v>
      </c>
      <c r="I626" t="str">
        <f t="shared" si="37"/>
        <v/>
      </c>
      <c r="J626" t="str">
        <f t="shared" si="38"/>
        <v/>
      </c>
      <c r="K626">
        <v>612110.22</v>
      </c>
      <c r="L626" t="b">
        <f t="shared" si="39"/>
        <v>0</v>
      </c>
    </row>
    <row r="627" spans="1:12" ht="16" x14ac:dyDescent="0.2">
      <c r="A627" t="s">
        <v>4925</v>
      </c>
      <c r="B627" t="s">
        <v>73</v>
      </c>
      <c r="C627" t="s">
        <v>3231</v>
      </c>
      <c r="D627" s="2" t="s">
        <v>132</v>
      </c>
      <c r="E627">
        <v>2025</v>
      </c>
      <c r="F627">
        <v>2027</v>
      </c>
      <c r="G627" s="10">
        <v>11083333.333333334</v>
      </c>
      <c r="H627">
        <f t="shared" si="36"/>
        <v>11083333.333333334</v>
      </c>
      <c r="I627" t="str">
        <f t="shared" si="37"/>
        <v/>
      </c>
      <c r="J627" t="str">
        <f t="shared" si="38"/>
        <v/>
      </c>
      <c r="K627">
        <v>8532736.8900000006</v>
      </c>
      <c r="L627" t="b">
        <f t="shared" si="39"/>
        <v>0</v>
      </c>
    </row>
    <row r="628" spans="1:12" ht="16" x14ac:dyDescent="0.2">
      <c r="A628" t="s">
        <v>4926</v>
      </c>
      <c r="B628" t="s">
        <v>73</v>
      </c>
      <c r="C628" t="s">
        <v>3232</v>
      </c>
      <c r="D628" s="2" t="s">
        <v>132</v>
      </c>
      <c r="G628" s="10" t="s">
        <v>2892</v>
      </c>
      <c r="H628" t="str">
        <f t="shared" si="36"/>
        <v/>
      </c>
      <c r="I628" t="str">
        <f t="shared" si="37"/>
        <v/>
      </c>
      <c r="J628" t="str">
        <f t="shared" si="38"/>
        <v/>
      </c>
      <c r="L628" t="b">
        <f t="shared" si="39"/>
        <v>1</v>
      </c>
    </row>
    <row r="629" spans="1:12" ht="16" x14ac:dyDescent="0.2">
      <c r="A629" t="s">
        <v>4927</v>
      </c>
      <c r="B629" t="s">
        <v>73</v>
      </c>
      <c r="C629" t="s">
        <v>3233</v>
      </c>
      <c r="D629" s="2" t="s">
        <v>132</v>
      </c>
      <c r="E629">
        <v>2025</v>
      </c>
      <c r="F629">
        <v>2026</v>
      </c>
      <c r="G629" s="10">
        <v>8600000</v>
      </c>
      <c r="H629" t="str">
        <f t="shared" si="36"/>
        <v/>
      </c>
      <c r="I629" t="str">
        <f t="shared" si="37"/>
        <v/>
      </c>
      <c r="J629" t="str">
        <f t="shared" si="38"/>
        <v/>
      </c>
      <c r="K629">
        <v>7165819.6399999997</v>
      </c>
      <c r="L629" t="b">
        <f t="shared" si="39"/>
        <v>0</v>
      </c>
    </row>
    <row r="630" spans="1:12" ht="16" x14ac:dyDescent="0.2">
      <c r="A630" t="s">
        <v>4928</v>
      </c>
      <c r="B630" t="s">
        <v>73</v>
      </c>
      <c r="C630" t="s">
        <v>3234</v>
      </c>
      <c r="D630" s="2" t="s">
        <v>132</v>
      </c>
      <c r="E630">
        <v>2026</v>
      </c>
      <c r="F630">
        <v>2029</v>
      </c>
      <c r="G630" s="10">
        <v>5853333.333333333</v>
      </c>
      <c r="H630">
        <f t="shared" si="36"/>
        <v>5853333.333333333</v>
      </c>
      <c r="I630">
        <f t="shared" si="37"/>
        <v>5853333.333333333</v>
      </c>
      <c r="J630">
        <f t="shared" si="38"/>
        <v>5853333.333333333</v>
      </c>
      <c r="K630">
        <v>2816156.54</v>
      </c>
      <c r="L630" t="b">
        <f t="shared" si="39"/>
        <v>0</v>
      </c>
    </row>
    <row r="631" spans="1:12" ht="16" x14ac:dyDescent="0.2">
      <c r="A631" t="s">
        <v>4929</v>
      </c>
      <c r="B631" t="s">
        <v>73</v>
      </c>
      <c r="C631" t="s">
        <v>3235</v>
      </c>
      <c r="D631" s="2" t="s">
        <v>132</v>
      </c>
      <c r="E631">
        <v>2025</v>
      </c>
      <c r="F631">
        <v>2026</v>
      </c>
      <c r="G631" s="10">
        <v>5225000</v>
      </c>
      <c r="H631" t="str">
        <f t="shared" si="36"/>
        <v/>
      </c>
      <c r="I631" t="str">
        <f t="shared" si="37"/>
        <v/>
      </c>
      <c r="J631" t="str">
        <f t="shared" si="38"/>
        <v/>
      </c>
      <c r="K631">
        <v>2224009.7200000002</v>
      </c>
      <c r="L631" t="b">
        <f t="shared" si="39"/>
        <v>0</v>
      </c>
    </row>
    <row r="632" spans="1:12" ht="16" x14ac:dyDescent="0.2">
      <c r="A632" t="s">
        <v>4930</v>
      </c>
      <c r="B632" t="s">
        <v>73</v>
      </c>
      <c r="C632" t="s">
        <v>3236</v>
      </c>
      <c r="D632" s="2" t="s">
        <v>132</v>
      </c>
      <c r="E632">
        <v>2025</v>
      </c>
      <c r="F632">
        <v>2026</v>
      </c>
      <c r="G632" s="10">
        <v>2795000</v>
      </c>
      <c r="H632" t="str">
        <f t="shared" si="36"/>
        <v/>
      </c>
      <c r="I632" t="str">
        <f t="shared" si="37"/>
        <v/>
      </c>
      <c r="J632" t="str">
        <f t="shared" si="38"/>
        <v/>
      </c>
      <c r="K632">
        <v>986486.79</v>
      </c>
      <c r="L632" t="b">
        <f t="shared" si="39"/>
        <v>0</v>
      </c>
    </row>
    <row r="633" spans="1:12" ht="16" x14ac:dyDescent="0.2">
      <c r="A633" t="s">
        <v>4931</v>
      </c>
      <c r="B633" t="s">
        <v>73</v>
      </c>
      <c r="C633" t="s">
        <v>3237</v>
      </c>
      <c r="D633" s="2" t="s">
        <v>132</v>
      </c>
      <c r="E633">
        <v>2025</v>
      </c>
      <c r="F633">
        <v>2026</v>
      </c>
      <c r="G633" s="10">
        <v>8725000</v>
      </c>
      <c r="H633" t="str">
        <f t="shared" si="36"/>
        <v/>
      </c>
      <c r="I633" t="str">
        <f t="shared" si="37"/>
        <v/>
      </c>
      <c r="J633" t="str">
        <f t="shared" si="38"/>
        <v/>
      </c>
      <c r="K633">
        <v>5604500.7699999996</v>
      </c>
      <c r="L633" t="b">
        <f t="shared" si="39"/>
        <v>0</v>
      </c>
    </row>
    <row r="634" spans="1:12" ht="16" x14ac:dyDescent="0.2">
      <c r="A634" t="s">
        <v>4932</v>
      </c>
      <c r="B634" t="s">
        <v>73</v>
      </c>
      <c r="C634" t="s">
        <v>3238</v>
      </c>
      <c r="D634" s="2" t="s">
        <v>132</v>
      </c>
      <c r="E634">
        <v>2025</v>
      </c>
      <c r="F634">
        <v>2026</v>
      </c>
      <c r="G634" s="10">
        <v>5380000</v>
      </c>
      <c r="H634" t="str">
        <f t="shared" si="36"/>
        <v/>
      </c>
      <c r="I634" t="str">
        <f t="shared" si="37"/>
        <v/>
      </c>
      <c r="J634" t="str">
        <f t="shared" si="38"/>
        <v/>
      </c>
      <c r="K634">
        <v>3133943.48</v>
      </c>
      <c r="L634" t="b">
        <f t="shared" si="39"/>
        <v>0</v>
      </c>
    </row>
    <row r="635" spans="1:12" ht="16" x14ac:dyDescent="0.2">
      <c r="A635" t="s">
        <v>4933</v>
      </c>
      <c r="B635" t="s">
        <v>73</v>
      </c>
      <c r="C635" t="s">
        <v>3239</v>
      </c>
      <c r="D635" s="2" t="s">
        <v>132</v>
      </c>
      <c r="G635" s="10" t="s">
        <v>2892</v>
      </c>
      <c r="H635" t="str">
        <f t="shared" si="36"/>
        <v/>
      </c>
      <c r="I635" t="str">
        <f t="shared" si="37"/>
        <v/>
      </c>
      <c r="J635" t="str">
        <f t="shared" si="38"/>
        <v/>
      </c>
      <c r="L635" t="b">
        <f t="shared" si="39"/>
        <v>1</v>
      </c>
    </row>
    <row r="636" spans="1:12" ht="16" x14ac:dyDescent="0.2">
      <c r="A636" t="s">
        <v>4934</v>
      </c>
      <c r="B636" t="s">
        <v>73</v>
      </c>
      <c r="C636" t="s">
        <v>3240</v>
      </c>
      <c r="D636" s="2" t="s">
        <v>132</v>
      </c>
      <c r="E636">
        <v>2025</v>
      </c>
      <c r="F636">
        <v>2026</v>
      </c>
      <c r="G636" s="10">
        <v>4835000</v>
      </c>
      <c r="H636" t="str">
        <f t="shared" si="36"/>
        <v/>
      </c>
      <c r="I636" t="str">
        <f t="shared" si="37"/>
        <v/>
      </c>
      <c r="J636" t="str">
        <f t="shared" si="38"/>
        <v/>
      </c>
      <c r="K636">
        <v>1682909.71</v>
      </c>
      <c r="L636" t="b">
        <f t="shared" si="39"/>
        <v>0</v>
      </c>
    </row>
    <row r="637" spans="1:12" ht="16" x14ac:dyDescent="0.2">
      <c r="A637" t="s">
        <v>4935</v>
      </c>
      <c r="B637" t="s">
        <v>73</v>
      </c>
      <c r="C637" t="s">
        <v>3241</v>
      </c>
      <c r="D637" s="2" t="s">
        <v>132</v>
      </c>
      <c r="E637">
        <v>2025</v>
      </c>
      <c r="F637">
        <v>2026</v>
      </c>
      <c r="G637" s="10">
        <v>3955000</v>
      </c>
      <c r="H637" t="str">
        <f t="shared" si="36"/>
        <v/>
      </c>
      <c r="I637" t="str">
        <f t="shared" si="37"/>
        <v/>
      </c>
      <c r="J637" t="str">
        <f t="shared" si="38"/>
        <v/>
      </c>
      <c r="K637">
        <v>1772818.57</v>
      </c>
      <c r="L637" t="b">
        <f t="shared" si="39"/>
        <v>0</v>
      </c>
    </row>
    <row r="638" spans="1:12" ht="16" x14ac:dyDescent="0.2">
      <c r="A638" t="s">
        <v>4936</v>
      </c>
      <c r="B638" t="s">
        <v>73</v>
      </c>
      <c r="C638" t="s">
        <v>3242</v>
      </c>
      <c r="D638" s="2" t="s">
        <v>132</v>
      </c>
      <c r="G638" s="10" t="s">
        <v>2892</v>
      </c>
      <c r="H638" t="str">
        <f t="shared" si="36"/>
        <v/>
      </c>
      <c r="I638" t="str">
        <f t="shared" si="37"/>
        <v/>
      </c>
      <c r="J638" t="str">
        <f t="shared" si="38"/>
        <v/>
      </c>
      <c r="L638" t="b">
        <f t="shared" si="39"/>
        <v>1</v>
      </c>
    </row>
    <row r="639" spans="1:12" ht="16" x14ac:dyDescent="0.2">
      <c r="A639" t="s">
        <v>4937</v>
      </c>
      <c r="B639" t="s">
        <v>73</v>
      </c>
      <c r="C639" t="s">
        <v>3243</v>
      </c>
      <c r="D639" s="2" t="s">
        <v>132</v>
      </c>
      <c r="E639">
        <v>2025</v>
      </c>
      <c r="F639">
        <v>2026</v>
      </c>
      <c r="G639" s="10">
        <v>1870000</v>
      </c>
      <c r="H639" t="str">
        <f t="shared" si="36"/>
        <v/>
      </c>
      <c r="I639" t="str">
        <f t="shared" si="37"/>
        <v/>
      </c>
      <c r="J639" t="str">
        <f t="shared" si="38"/>
        <v/>
      </c>
      <c r="K639">
        <v>305464.69</v>
      </c>
      <c r="L639" t="b">
        <f t="shared" si="39"/>
        <v>0</v>
      </c>
    </row>
    <row r="640" spans="1:12" ht="16" x14ac:dyDescent="0.2">
      <c r="A640" t="s">
        <v>4938</v>
      </c>
      <c r="B640" t="s">
        <v>73</v>
      </c>
      <c r="C640" t="s">
        <v>3244</v>
      </c>
      <c r="D640" s="2" t="s">
        <v>132</v>
      </c>
      <c r="E640">
        <v>2025</v>
      </c>
      <c r="F640">
        <v>2027</v>
      </c>
      <c r="G640" s="10">
        <v>13026666.666666666</v>
      </c>
      <c r="H640">
        <f t="shared" si="36"/>
        <v>13026666.666666666</v>
      </c>
      <c r="I640" t="str">
        <f t="shared" si="37"/>
        <v/>
      </c>
      <c r="J640" t="str">
        <f t="shared" si="38"/>
        <v/>
      </c>
      <c r="K640">
        <v>14290918.189999999</v>
      </c>
      <c r="L640" t="b">
        <f t="shared" si="39"/>
        <v>0</v>
      </c>
    </row>
    <row r="641" spans="1:12" ht="16" x14ac:dyDescent="0.2">
      <c r="A641" t="s">
        <v>4939</v>
      </c>
      <c r="B641" t="s">
        <v>73</v>
      </c>
      <c r="C641" t="s">
        <v>3245</v>
      </c>
      <c r="D641" s="2" t="s">
        <v>132</v>
      </c>
      <c r="E641">
        <v>2025</v>
      </c>
      <c r="F641">
        <v>2026</v>
      </c>
      <c r="G641" s="10">
        <v>6965000</v>
      </c>
      <c r="H641" t="str">
        <f t="shared" si="36"/>
        <v/>
      </c>
      <c r="I641" t="str">
        <f t="shared" si="37"/>
        <v/>
      </c>
      <c r="J641" t="str">
        <f t="shared" si="38"/>
        <v/>
      </c>
      <c r="K641">
        <v>1966608.67</v>
      </c>
      <c r="L641" t="b">
        <f t="shared" si="39"/>
        <v>0</v>
      </c>
    </row>
    <row r="642" spans="1:12" ht="16" x14ac:dyDescent="0.2">
      <c r="A642" t="s">
        <v>4940</v>
      </c>
      <c r="B642" t="s">
        <v>73</v>
      </c>
      <c r="C642" t="s">
        <v>3246</v>
      </c>
      <c r="D642" s="2" t="s">
        <v>132</v>
      </c>
      <c r="E642">
        <v>2025</v>
      </c>
      <c r="F642">
        <v>2026</v>
      </c>
      <c r="G642" s="10">
        <v>2275000</v>
      </c>
      <c r="H642" t="str">
        <f t="shared" si="36"/>
        <v/>
      </c>
      <c r="I642" t="str">
        <f t="shared" si="37"/>
        <v/>
      </c>
      <c r="J642" t="str">
        <f t="shared" si="38"/>
        <v/>
      </c>
      <c r="K642">
        <v>423112.58</v>
      </c>
      <c r="L642" t="b">
        <f t="shared" si="39"/>
        <v>0</v>
      </c>
    </row>
    <row r="643" spans="1:12" ht="16" x14ac:dyDescent="0.2">
      <c r="A643" t="s">
        <v>4941</v>
      </c>
      <c r="B643" t="s">
        <v>73</v>
      </c>
      <c r="C643" t="s">
        <v>3247</v>
      </c>
      <c r="D643" s="2" t="s">
        <v>132</v>
      </c>
      <c r="E643">
        <v>2025</v>
      </c>
      <c r="F643">
        <v>2026</v>
      </c>
      <c r="G643" s="10">
        <v>3630000</v>
      </c>
      <c r="H643" t="str">
        <f t="shared" si="36"/>
        <v/>
      </c>
      <c r="I643" t="str">
        <f t="shared" si="37"/>
        <v/>
      </c>
      <c r="J643" t="str">
        <f t="shared" si="38"/>
        <v/>
      </c>
      <c r="K643">
        <v>1199134.5900000001</v>
      </c>
      <c r="L643" t="b">
        <f t="shared" si="39"/>
        <v>0</v>
      </c>
    </row>
    <row r="644" spans="1:12" ht="16" x14ac:dyDescent="0.2">
      <c r="A644" t="s">
        <v>4942</v>
      </c>
      <c r="B644" t="s">
        <v>73</v>
      </c>
      <c r="C644" t="s">
        <v>3248</v>
      </c>
      <c r="D644" s="2" t="s">
        <v>132</v>
      </c>
      <c r="E644">
        <v>2025</v>
      </c>
      <c r="F644">
        <v>2026</v>
      </c>
      <c r="G644" s="10">
        <v>4665000</v>
      </c>
      <c r="H644" t="str">
        <f t="shared" ref="H644:H707" si="40">IF(F644&gt;=2027,G644,"")</f>
        <v/>
      </c>
      <c r="I644" t="str">
        <f t="shared" ref="I644:I707" si="41">IF(F644&gt;=2028,G644,"")</f>
        <v/>
      </c>
      <c r="J644" t="str">
        <f t="shared" ref="J644:J707" si="42">IF(F644&gt;=2029,G644,"")</f>
        <v/>
      </c>
      <c r="K644">
        <v>1790111.54</v>
      </c>
      <c r="L644" t="b">
        <f t="shared" si="39"/>
        <v>0</v>
      </c>
    </row>
    <row r="645" spans="1:12" ht="16" x14ac:dyDescent="0.2">
      <c r="A645" t="s">
        <v>4943</v>
      </c>
      <c r="B645" t="s">
        <v>73</v>
      </c>
      <c r="C645" t="s">
        <v>3249</v>
      </c>
      <c r="D645" s="2" t="s">
        <v>132</v>
      </c>
      <c r="G645" s="10" t="s">
        <v>2892</v>
      </c>
      <c r="H645" t="str">
        <f t="shared" si="40"/>
        <v/>
      </c>
      <c r="I645" t="str">
        <f t="shared" si="41"/>
        <v/>
      </c>
      <c r="J645" t="str">
        <f t="shared" si="42"/>
        <v/>
      </c>
      <c r="L645" t="b">
        <f t="shared" si="39"/>
        <v>1</v>
      </c>
    </row>
    <row r="646" spans="1:12" ht="16" x14ac:dyDescent="0.2">
      <c r="A646" t="s">
        <v>4944</v>
      </c>
      <c r="B646" t="s">
        <v>73</v>
      </c>
      <c r="C646" t="s">
        <v>3250</v>
      </c>
      <c r="D646" s="2" t="s">
        <v>132</v>
      </c>
      <c r="E646">
        <v>2025</v>
      </c>
      <c r="F646">
        <v>2026</v>
      </c>
      <c r="G646" s="10">
        <v>5130000</v>
      </c>
      <c r="H646" t="str">
        <f t="shared" si="40"/>
        <v/>
      </c>
      <c r="I646" t="str">
        <f t="shared" si="41"/>
        <v/>
      </c>
      <c r="J646" t="str">
        <f t="shared" si="42"/>
        <v/>
      </c>
      <c r="K646">
        <v>2757761.95</v>
      </c>
      <c r="L646" t="b">
        <f t="shared" si="39"/>
        <v>0</v>
      </c>
    </row>
    <row r="647" spans="1:12" ht="16" x14ac:dyDescent="0.2">
      <c r="A647" t="s">
        <v>4945</v>
      </c>
      <c r="B647" t="s">
        <v>73</v>
      </c>
      <c r="C647" t="s">
        <v>3251</v>
      </c>
      <c r="D647" s="2" t="s">
        <v>132</v>
      </c>
      <c r="G647" s="10" t="s">
        <v>2892</v>
      </c>
      <c r="H647" t="str">
        <f t="shared" si="40"/>
        <v/>
      </c>
      <c r="I647" t="str">
        <f t="shared" si="41"/>
        <v/>
      </c>
      <c r="J647" t="str">
        <f t="shared" si="42"/>
        <v/>
      </c>
      <c r="L647" t="b">
        <f t="shared" si="39"/>
        <v>1</v>
      </c>
    </row>
    <row r="648" spans="1:12" ht="16" x14ac:dyDescent="0.2">
      <c r="A648" t="s">
        <v>4946</v>
      </c>
      <c r="B648" t="s">
        <v>73</v>
      </c>
      <c r="C648" t="s">
        <v>3252</v>
      </c>
      <c r="D648" s="2" t="s">
        <v>132</v>
      </c>
      <c r="E648">
        <v>2025</v>
      </c>
      <c r="F648">
        <v>2026</v>
      </c>
      <c r="G648" s="10">
        <v>5320000</v>
      </c>
      <c r="H648" t="str">
        <f t="shared" si="40"/>
        <v/>
      </c>
      <c r="I648" t="str">
        <f t="shared" si="41"/>
        <v/>
      </c>
      <c r="J648" t="str">
        <f t="shared" si="42"/>
        <v/>
      </c>
      <c r="K648">
        <v>3851642.03</v>
      </c>
      <c r="L648" t="b">
        <f t="shared" si="39"/>
        <v>0</v>
      </c>
    </row>
    <row r="649" spans="1:12" ht="16" x14ac:dyDescent="0.2">
      <c r="A649" t="s">
        <v>4947</v>
      </c>
      <c r="B649" t="s">
        <v>73</v>
      </c>
      <c r="C649" t="s">
        <v>3253</v>
      </c>
      <c r="D649" s="2" t="s">
        <v>132</v>
      </c>
      <c r="G649" s="10" t="s">
        <v>2892</v>
      </c>
      <c r="H649" t="str">
        <f t="shared" si="40"/>
        <v/>
      </c>
      <c r="I649" t="str">
        <f t="shared" si="41"/>
        <v/>
      </c>
      <c r="J649" t="str">
        <f t="shared" si="42"/>
        <v/>
      </c>
      <c r="L649" t="b">
        <f t="shared" si="39"/>
        <v>1</v>
      </c>
    </row>
    <row r="650" spans="1:12" ht="16" x14ac:dyDescent="0.2">
      <c r="A650" t="s">
        <v>4948</v>
      </c>
      <c r="B650" t="s">
        <v>73</v>
      </c>
      <c r="C650" t="s">
        <v>3254</v>
      </c>
      <c r="D650" s="2" t="s">
        <v>132</v>
      </c>
      <c r="E650">
        <v>2025</v>
      </c>
      <c r="F650">
        <v>2026</v>
      </c>
      <c r="G650" s="10">
        <v>4115000</v>
      </c>
      <c r="H650" t="str">
        <f t="shared" si="40"/>
        <v/>
      </c>
      <c r="I650" t="str">
        <f t="shared" si="41"/>
        <v/>
      </c>
      <c r="J650" t="str">
        <f t="shared" si="42"/>
        <v/>
      </c>
      <c r="K650">
        <v>1371392.96</v>
      </c>
      <c r="L650" t="b">
        <f t="shared" si="39"/>
        <v>0</v>
      </c>
    </row>
    <row r="651" spans="1:12" ht="16" x14ac:dyDescent="0.2">
      <c r="A651" t="s">
        <v>4949</v>
      </c>
      <c r="B651" t="s">
        <v>73</v>
      </c>
      <c r="C651" t="s">
        <v>3255</v>
      </c>
      <c r="D651" s="2" t="s">
        <v>132</v>
      </c>
      <c r="E651">
        <v>2025</v>
      </c>
      <c r="F651">
        <v>2027</v>
      </c>
      <c r="G651" s="10">
        <v>4376666.666666667</v>
      </c>
      <c r="H651">
        <f t="shared" si="40"/>
        <v>4376666.666666667</v>
      </c>
      <c r="I651" t="str">
        <f t="shared" si="41"/>
        <v/>
      </c>
      <c r="J651" t="str">
        <f t="shared" si="42"/>
        <v/>
      </c>
      <c r="K651">
        <v>3787126.68</v>
      </c>
      <c r="L651" t="b">
        <f t="shared" si="39"/>
        <v>0</v>
      </c>
    </row>
    <row r="652" spans="1:12" ht="16" x14ac:dyDescent="0.2">
      <c r="A652" t="s">
        <v>4950</v>
      </c>
      <c r="B652" t="s">
        <v>73</v>
      </c>
      <c r="C652" t="s">
        <v>3256</v>
      </c>
      <c r="D652" s="2" t="s">
        <v>132</v>
      </c>
      <c r="G652" s="10" t="s">
        <v>2892</v>
      </c>
      <c r="H652" t="str">
        <f t="shared" si="40"/>
        <v/>
      </c>
      <c r="I652" t="str">
        <f t="shared" si="41"/>
        <v/>
      </c>
      <c r="J652" t="str">
        <f t="shared" si="42"/>
        <v/>
      </c>
      <c r="L652" t="b">
        <f t="shared" si="39"/>
        <v>1</v>
      </c>
    </row>
    <row r="653" spans="1:12" ht="16" x14ac:dyDescent="0.2">
      <c r="A653" t="s">
        <v>4951</v>
      </c>
      <c r="B653" t="s">
        <v>73</v>
      </c>
      <c r="C653" t="s">
        <v>3257</v>
      </c>
      <c r="D653" s="2" t="s">
        <v>136</v>
      </c>
      <c r="E653">
        <v>2025</v>
      </c>
      <c r="F653">
        <v>2026</v>
      </c>
      <c r="G653" s="10">
        <v>12430000</v>
      </c>
      <c r="H653" t="str">
        <f t="shared" si="40"/>
        <v/>
      </c>
      <c r="I653" t="str">
        <f t="shared" si="41"/>
        <v/>
      </c>
      <c r="J653" t="str">
        <f t="shared" si="42"/>
        <v/>
      </c>
      <c r="K653">
        <v>9308489.3000000007</v>
      </c>
      <c r="L653" t="b">
        <f t="shared" si="39"/>
        <v>0</v>
      </c>
    </row>
    <row r="654" spans="1:12" ht="16" x14ac:dyDescent="0.2">
      <c r="A654" t="s">
        <v>4952</v>
      </c>
      <c r="B654" t="s">
        <v>73</v>
      </c>
      <c r="C654" t="s">
        <v>3258</v>
      </c>
      <c r="D654" s="2" t="s">
        <v>136</v>
      </c>
      <c r="E654">
        <v>2025</v>
      </c>
      <c r="F654">
        <v>2026</v>
      </c>
      <c r="G654" s="10">
        <v>6670000</v>
      </c>
      <c r="H654" t="str">
        <f t="shared" si="40"/>
        <v/>
      </c>
      <c r="I654" t="str">
        <f t="shared" si="41"/>
        <v/>
      </c>
      <c r="J654" t="str">
        <f t="shared" si="42"/>
        <v/>
      </c>
      <c r="K654">
        <v>2022155.5</v>
      </c>
      <c r="L654" t="b">
        <f t="shared" si="39"/>
        <v>0</v>
      </c>
    </row>
    <row r="655" spans="1:12" ht="16" x14ac:dyDescent="0.2">
      <c r="A655" t="s">
        <v>4953</v>
      </c>
      <c r="B655" t="s">
        <v>73</v>
      </c>
      <c r="C655" t="s">
        <v>3259</v>
      </c>
      <c r="D655" s="2" t="s">
        <v>136</v>
      </c>
      <c r="G655" s="10" t="s">
        <v>2892</v>
      </c>
      <c r="H655" t="str">
        <f t="shared" si="40"/>
        <v/>
      </c>
      <c r="I655" t="str">
        <f t="shared" si="41"/>
        <v/>
      </c>
      <c r="J655" t="str">
        <f t="shared" si="42"/>
        <v/>
      </c>
      <c r="L655" t="b">
        <f t="shared" si="39"/>
        <v>1</v>
      </c>
    </row>
    <row r="656" spans="1:12" ht="16" x14ac:dyDescent="0.2">
      <c r="A656" t="s">
        <v>4954</v>
      </c>
      <c r="B656" t="s">
        <v>73</v>
      </c>
      <c r="C656" t="s">
        <v>3260</v>
      </c>
      <c r="D656" s="2" t="s">
        <v>136</v>
      </c>
      <c r="G656" s="10" t="s">
        <v>2892</v>
      </c>
      <c r="H656" t="str">
        <f t="shared" si="40"/>
        <v/>
      </c>
      <c r="I656" t="str">
        <f t="shared" si="41"/>
        <v/>
      </c>
      <c r="J656" t="str">
        <f t="shared" si="42"/>
        <v/>
      </c>
      <c r="L656" t="b">
        <f t="shared" si="39"/>
        <v>1</v>
      </c>
    </row>
    <row r="657" spans="1:12" ht="16" x14ac:dyDescent="0.2">
      <c r="A657" t="s">
        <v>4955</v>
      </c>
      <c r="B657" t="s">
        <v>73</v>
      </c>
      <c r="C657" t="s">
        <v>3261</v>
      </c>
      <c r="D657" s="2" t="s">
        <v>136</v>
      </c>
      <c r="G657" s="10" t="s">
        <v>2892</v>
      </c>
      <c r="H657" t="str">
        <f t="shared" si="40"/>
        <v/>
      </c>
      <c r="I657" t="str">
        <f t="shared" si="41"/>
        <v/>
      </c>
      <c r="J657" t="str">
        <f t="shared" si="42"/>
        <v/>
      </c>
      <c r="L657" t="b">
        <f t="shared" si="39"/>
        <v>1</v>
      </c>
    </row>
    <row r="658" spans="1:12" ht="16" x14ac:dyDescent="0.2">
      <c r="A658" t="s">
        <v>4956</v>
      </c>
      <c r="B658" t="s">
        <v>73</v>
      </c>
      <c r="C658" t="s">
        <v>3262</v>
      </c>
      <c r="D658" s="2" t="s">
        <v>136</v>
      </c>
      <c r="G658" s="10" t="s">
        <v>2892</v>
      </c>
      <c r="H658" t="str">
        <f t="shared" si="40"/>
        <v/>
      </c>
      <c r="I658" t="str">
        <f t="shared" si="41"/>
        <v/>
      </c>
      <c r="J658" t="str">
        <f t="shared" si="42"/>
        <v/>
      </c>
      <c r="L658" t="b">
        <f t="shared" si="39"/>
        <v>1</v>
      </c>
    </row>
    <row r="659" spans="1:12" ht="16" x14ac:dyDescent="0.2">
      <c r="A659" t="s">
        <v>4957</v>
      </c>
      <c r="B659" t="s">
        <v>73</v>
      </c>
      <c r="C659" t="s">
        <v>3263</v>
      </c>
      <c r="D659" s="2" t="s">
        <v>136</v>
      </c>
      <c r="E659">
        <v>2025</v>
      </c>
      <c r="F659">
        <v>2026</v>
      </c>
      <c r="G659" s="10">
        <v>8785000</v>
      </c>
      <c r="H659" t="str">
        <f t="shared" si="40"/>
        <v/>
      </c>
      <c r="I659" t="str">
        <f t="shared" si="41"/>
        <v/>
      </c>
      <c r="J659" t="str">
        <f t="shared" si="42"/>
        <v/>
      </c>
      <c r="K659">
        <v>6443560.8300000001</v>
      </c>
      <c r="L659" t="b">
        <f t="shared" si="39"/>
        <v>0</v>
      </c>
    </row>
    <row r="660" spans="1:12" ht="16" x14ac:dyDescent="0.2">
      <c r="A660" t="s">
        <v>4958</v>
      </c>
      <c r="B660" t="s">
        <v>73</v>
      </c>
      <c r="C660" t="s">
        <v>3264</v>
      </c>
      <c r="D660" s="2" t="s">
        <v>136</v>
      </c>
      <c r="E660">
        <v>2025</v>
      </c>
      <c r="F660">
        <v>2026</v>
      </c>
      <c r="G660" s="10">
        <v>2545000</v>
      </c>
      <c r="H660" t="str">
        <f t="shared" si="40"/>
        <v/>
      </c>
      <c r="I660" t="str">
        <f t="shared" si="41"/>
        <v/>
      </c>
      <c r="J660" t="str">
        <f t="shared" si="42"/>
        <v/>
      </c>
      <c r="K660">
        <v>1393310.59</v>
      </c>
      <c r="L660" t="b">
        <f t="shared" si="39"/>
        <v>0</v>
      </c>
    </row>
    <row r="661" spans="1:12" ht="16" x14ac:dyDescent="0.2">
      <c r="A661" t="s">
        <v>4959</v>
      </c>
      <c r="B661" t="s">
        <v>73</v>
      </c>
      <c r="C661" t="s">
        <v>3265</v>
      </c>
      <c r="D661" s="2" t="s">
        <v>136</v>
      </c>
      <c r="E661">
        <v>2025</v>
      </c>
      <c r="F661">
        <v>2026</v>
      </c>
      <c r="G661" s="10">
        <v>4125000</v>
      </c>
      <c r="H661" t="str">
        <f t="shared" si="40"/>
        <v/>
      </c>
      <c r="I661" t="str">
        <f t="shared" si="41"/>
        <v/>
      </c>
      <c r="J661" t="str">
        <f t="shared" si="42"/>
        <v/>
      </c>
      <c r="K661">
        <v>1751805.14</v>
      </c>
      <c r="L661" t="b">
        <f t="shared" si="39"/>
        <v>0</v>
      </c>
    </row>
    <row r="662" spans="1:12" ht="16" x14ac:dyDescent="0.2">
      <c r="A662" t="s">
        <v>4960</v>
      </c>
      <c r="B662" t="s">
        <v>73</v>
      </c>
      <c r="C662" t="s">
        <v>3266</v>
      </c>
      <c r="D662" s="2" t="s">
        <v>136</v>
      </c>
      <c r="E662">
        <v>2025</v>
      </c>
      <c r="F662">
        <v>2026</v>
      </c>
      <c r="G662" s="10">
        <v>8359999.9999999991</v>
      </c>
      <c r="H662" t="str">
        <f t="shared" si="40"/>
        <v/>
      </c>
      <c r="I662" t="str">
        <f t="shared" si="41"/>
        <v/>
      </c>
      <c r="J662" t="str">
        <f t="shared" si="42"/>
        <v/>
      </c>
      <c r="K662">
        <v>4812000.51</v>
      </c>
      <c r="L662" t="b">
        <f t="shared" si="39"/>
        <v>0</v>
      </c>
    </row>
    <row r="663" spans="1:12" ht="16" x14ac:dyDescent="0.2">
      <c r="A663" t="s">
        <v>4961</v>
      </c>
      <c r="B663" t="s">
        <v>73</v>
      </c>
      <c r="C663" t="s">
        <v>3267</v>
      </c>
      <c r="D663" s="2" t="s">
        <v>136</v>
      </c>
      <c r="E663">
        <v>2025</v>
      </c>
      <c r="F663">
        <v>2026</v>
      </c>
      <c r="G663" s="10">
        <v>5990000</v>
      </c>
      <c r="H663" t="str">
        <f t="shared" si="40"/>
        <v/>
      </c>
      <c r="I663" t="str">
        <f t="shared" si="41"/>
        <v/>
      </c>
      <c r="J663" t="str">
        <f t="shared" si="42"/>
        <v/>
      </c>
      <c r="K663">
        <v>2271152.4</v>
      </c>
      <c r="L663" t="b">
        <f t="shared" si="39"/>
        <v>0</v>
      </c>
    </row>
    <row r="664" spans="1:12" ht="16" x14ac:dyDescent="0.2">
      <c r="A664" t="s">
        <v>4962</v>
      </c>
      <c r="B664" t="s">
        <v>73</v>
      </c>
      <c r="C664" t="s">
        <v>3268</v>
      </c>
      <c r="D664" s="2" t="s">
        <v>136</v>
      </c>
      <c r="G664" s="10" t="s">
        <v>2892</v>
      </c>
      <c r="H664" t="str">
        <f t="shared" si="40"/>
        <v/>
      </c>
      <c r="I664" t="str">
        <f t="shared" si="41"/>
        <v/>
      </c>
      <c r="J664" t="str">
        <f t="shared" si="42"/>
        <v/>
      </c>
      <c r="L664" t="b">
        <f t="shared" si="39"/>
        <v>1</v>
      </c>
    </row>
    <row r="665" spans="1:12" ht="16" x14ac:dyDescent="0.2">
      <c r="A665" t="s">
        <v>4963</v>
      </c>
      <c r="B665" t="s">
        <v>73</v>
      </c>
      <c r="C665" t="s">
        <v>3269</v>
      </c>
      <c r="D665" s="2" t="s">
        <v>136</v>
      </c>
      <c r="G665" s="10" t="s">
        <v>2892</v>
      </c>
      <c r="H665" t="str">
        <f t="shared" si="40"/>
        <v/>
      </c>
      <c r="I665" t="str">
        <f t="shared" si="41"/>
        <v/>
      </c>
      <c r="J665" t="str">
        <f t="shared" si="42"/>
        <v/>
      </c>
      <c r="L665" t="b">
        <f t="shared" si="39"/>
        <v>1</v>
      </c>
    </row>
    <row r="666" spans="1:12" ht="16" x14ac:dyDescent="0.2">
      <c r="A666" t="s">
        <v>4964</v>
      </c>
      <c r="B666" t="s">
        <v>73</v>
      </c>
      <c r="C666" t="s">
        <v>3270</v>
      </c>
      <c r="D666" s="2" t="s">
        <v>136</v>
      </c>
      <c r="G666" s="10" t="s">
        <v>2892</v>
      </c>
      <c r="H666" t="str">
        <f t="shared" si="40"/>
        <v/>
      </c>
      <c r="I666" t="str">
        <f t="shared" si="41"/>
        <v/>
      </c>
      <c r="J666" t="str">
        <f t="shared" si="42"/>
        <v/>
      </c>
      <c r="L666" t="b">
        <f t="shared" si="39"/>
        <v>1</v>
      </c>
    </row>
    <row r="667" spans="1:12" ht="16" x14ac:dyDescent="0.2">
      <c r="A667" t="s">
        <v>4965</v>
      </c>
      <c r="B667" t="s">
        <v>73</v>
      </c>
      <c r="C667" t="s">
        <v>3271</v>
      </c>
      <c r="D667" s="2" t="s">
        <v>136</v>
      </c>
      <c r="G667" s="10" t="s">
        <v>2892</v>
      </c>
      <c r="H667" t="str">
        <f t="shared" si="40"/>
        <v/>
      </c>
      <c r="I667" t="str">
        <f t="shared" si="41"/>
        <v/>
      </c>
      <c r="J667" t="str">
        <f t="shared" si="42"/>
        <v/>
      </c>
      <c r="L667" t="b">
        <f t="shared" si="39"/>
        <v>1</v>
      </c>
    </row>
    <row r="668" spans="1:12" ht="16" x14ac:dyDescent="0.2">
      <c r="A668" t="s">
        <v>4966</v>
      </c>
      <c r="B668" t="s">
        <v>73</v>
      </c>
      <c r="C668" t="s">
        <v>3272</v>
      </c>
      <c r="D668" s="2" t="s">
        <v>136</v>
      </c>
      <c r="E668">
        <v>2025</v>
      </c>
      <c r="F668">
        <v>2026</v>
      </c>
      <c r="G668" s="10">
        <v>3705000</v>
      </c>
      <c r="H668" t="str">
        <f t="shared" si="40"/>
        <v/>
      </c>
      <c r="I668" t="str">
        <f t="shared" si="41"/>
        <v/>
      </c>
      <c r="J668" t="str">
        <f t="shared" si="42"/>
        <v/>
      </c>
      <c r="K668">
        <v>900421.4</v>
      </c>
      <c r="L668" t="b">
        <f t="shared" si="39"/>
        <v>0</v>
      </c>
    </row>
    <row r="669" spans="1:12" ht="16" x14ac:dyDescent="0.2">
      <c r="A669" t="s">
        <v>4967</v>
      </c>
      <c r="B669" t="s">
        <v>73</v>
      </c>
      <c r="C669" t="s">
        <v>3273</v>
      </c>
      <c r="D669" s="2" t="s">
        <v>136</v>
      </c>
      <c r="E669">
        <v>2025</v>
      </c>
      <c r="F669">
        <v>2027</v>
      </c>
      <c r="G669" s="10">
        <v>5320000</v>
      </c>
      <c r="H669">
        <f t="shared" si="40"/>
        <v>5320000</v>
      </c>
      <c r="I669" t="str">
        <f t="shared" si="41"/>
        <v/>
      </c>
      <c r="J669" t="str">
        <f t="shared" si="42"/>
        <v/>
      </c>
      <c r="K669">
        <v>1925921.12</v>
      </c>
      <c r="L669" t="b">
        <f t="shared" si="39"/>
        <v>0</v>
      </c>
    </row>
    <row r="670" spans="1:12" ht="16" x14ac:dyDescent="0.2">
      <c r="A670" t="s">
        <v>4968</v>
      </c>
      <c r="B670" t="s">
        <v>73</v>
      </c>
      <c r="C670" t="s">
        <v>3274</v>
      </c>
      <c r="D670" s="2" t="s">
        <v>136</v>
      </c>
      <c r="G670" s="10" t="s">
        <v>2892</v>
      </c>
      <c r="H670" t="str">
        <f t="shared" si="40"/>
        <v/>
      </c>
      <c r="I670" t="str">
        <f t="shared" si="41"/>
        <v/>
      </c>
      <c r="J670" t="str">
        <f t="shared" si="42"/>
        <v/>
      </c>
      <c r="L670" t="b">
        <f t="shared" si="39"/>
        <v>1</v>
      </c>
    </row>
    <row r="671" spans="1:12" ht="16" x14ac:dyDescent="0.2">
      <c r="A671" t="s">
        <v>4969</v>
      </c>
      <c r="B671" t="s">
        <v>73</v>
      </c>
      <c r="C671" t="s">
        <v>3275</v>
      </c>
      <c r="D671" s="2" t="s">
        <v>136</v>
      </c>
      <c r="G671" s="10" t="s">
        <v>2892</v>
      </c>
      <c r="H671" t="str">
        <f t="shared" si="40"/>
        <v/>
      </c>
      <c r="I671" t="str">
        <f t="shared" si="41"/>
        <v/>
      </c>
      <c r="J671" t="str">
        <f t="shared" si="42"/>
        <v/>
      </c>
      <c r="L671" t="b">
        <f t="shared" si="39"/>
        <v>1</v>
      </c>
    </row>
    <row r="672" spans="1:12" ht="16" x14ac:dyDescent="0.2">
      <c r="A672" t="s">
        <v>4970</v>
      </c>
      <c r="B672" t="s">
        <v>73</v>
      </c>
      <c r="C672" t="s">
        <v>3276</v>
      </c>
      <c r="D672" s="2" t="s">
        <v>136</v>
      </c>
      <c r="G672" s="10" t="s">
        <v>2892</v>
      </c>
      <c r="H672" t="str">
        <f t="shared" si="40"/>
        <v/>
      </c>
      <c r="I672" t="str">
        <f t="shared" si="41"/>
        <v/>
      </c>
      <c r="J672" t="str">
        <f t="shared" si="42"/>
        <v/>
      </c>
      <c r="L672" t="b">
        <f t="shared" si="39"/>
        <v>1</v>
      </c>
    </row>
    <row r="673" spans="1:12" ht="16" x14ac:dyDescent="0.2">
      <c r="A673" t="s">
        <v>4971</v>
      </c>
      <c r="B673" t="s">
        <v>73</v>
      </c>
      <c r="C673" t="s">
        <v>3277</v>
      </c>
      <c r="D673" s="2" t="s">
        <v>136</v>
      </c>
      <c r="E673">
        <v>2025</v>
      </c>
      <c r="F673">
        <v>2027</v>
      </c>
      <c r="G673" s="10">
        <v>6130000</v>
      </c>
      <c r="H673">
        <f t="shared" si="40"/>
        <v>6130000</v>
      </c>
      <c r="I673" t="str">
        <f t="shared" si="41"/>
        <v/>
      </c>
      <c r="J673" t="str">
        <f t="shared" si="42"/>
        <v/>
      </c>
      <c r="K673">
        <v>2407436.66</v>
      </c>
      <c r="L673" t="b">
        <f t="shared" si="39"/>
        <v>0</v>
      </c>
    </row>
    <row r="674" spans="1:12" ht="16" x14ac:dyDescent="0.2">
      <c r="A674" t="s">
        <v>4972</v>
      </c>
      <c r="B674" t="s">
        <v>73</v>
      </c>
      <c r="C674" t="s">
        <v>3278</v>
      </c>
      <c r="D674" s="2" t="s">
        <v>136</v>
      </c>
      <c r="E674">
        <v>2025</v>
      </c>
      <c r="F674">
        <v>2026</v>
      </c>
      <c r="G674" s="10">
        <v>4440000</v>
      </c>
      <c r="H674" t="str">
        <f t="shared" si="40"/>
        <v/>
      </c>
      <c r="I674" t="str">
        <f t="shared" si="41"/>
        <v/>
      </c>
      <c r="J674" t="str">
        <f t="shared" si="42"/>
        <v/>
      </c>
      <c r="K674">
        <v>1221144.9099999999</v>
      </c>
      <c r="L674" t="b">
        <f t="shared" si="39"/>
        <v>0</v>
      </c>
    </row>
    <row r="675" spans="1:12" ht="16" x14ac:dyDescent="0.2">
      <c r="A675" t="s">
        <v>4973</v>
      </c>
      <c r="B675" t="s">
        <v>73</v>
      </c>
      <c r="C675" t="s">
        <v>3279</v>
      </c>
      <c r="D675" s="2" t="s">
        <v>136</v>
      </c>
      <c r="E675">
        <v>2025</v>
      </c>
      <c r="F675">
        <v>2026</v>
      </c>
      <c r="G675" s="10">
        <v>4275000</v>
      </c>
      <c r="H675" t="str">
        <f t="shared" si="40"/>
        <v/>
      </c>
      <c r="I675" t="str">
        <f t="shared" si="41"/>
        <v/>
      </c>
      <c r="J675" t="str">
        <f t="shared" si="42"/>
        <v/>
      </c>
      <c r="K675">
        <v>882444.46</v>
      </c>
      <c r="L675" t="b">
        <f t="shared" ref="L675:L738" si="43">IF(F675="",TRUE,FALSE)</f>
        <v>0</v>
      </c>
    </row>
    <row r="676" spans="1:12" ht="16" x14ac:dyDescent="0.2">
      <c r="A676" t="s">
        <v>4974</v>
      </c>
      <c r="B676" t="s">
        <v>73</v>
      </c>
      <c r="C676" t="s">
        <v>3280</v>
      </c>
      <c r="D676" s="2" t="s">
        <v>136</v>
      </c>
      <c r="G676" s="10" t="s">
        <v>2892</v>
      </c>
      <c r="H676" t="str">
        <f t="shared" si="40"/>
        <v/>
      </c>
      <c r="I676" t="str">
        <f t="shared" si="41"/>
        <v/>
      </c>
      <c r="J676" t="str">
        <f t="shared" si="42"/>
        <v/>
      </c>
      <c r="L676" t="b">
        <f t="shared" si="43"/>
        <v>1</v>
      </c>
    </row>
    <row r="677" spans="1:12" ht="16" x14ac:dyDescent="0.2">
      <c r="A677" t="s">
        <v>4975</v>
      </c>
      <c r="B677" t="s">
        <v>73</v>
      </c>
      <c r="C677" t="s">
        <v>3281</v>
      </c>
      <c r="D677" s="2" t="s">
        <v>136</v>
      </c>
      <c r="E677">
        <v>2025</v>
      </c>
      <c r="F677">
        <v>2028</v>
      </c>
      <c r="G677" s="10">
        <v>8982500</v>
      </c>
      <c r="H677">
        <f t="shared" si="40"/>
        <v>8982500</v>
      </c>
      <c r="I677">
        <f t="shared" si="41"/>
        <v>8982500</v>
      </c>
      <c r="J677" t="str">
        <f t="shared" si="42"/>
        <v/>
      </c>
      <c r="K677">
        <v>15867658.880000001</v>
      </c>
      <c r="L677" t="b">
        <f t="shared" si="43"/>
        <v>0</v>
      </c>
    </row>
    <row r="678" spans="1:12" ht="16" x14ac:dyDescent="0.2">
      <c r="A678" t="s">
        <v>4976</v>
      </c>
      <c r="B678" t="s">
        <v>73</v>
      </c>
      <c r="C678" t="s">
        <v>3282</v>
      </c>
      <c r="D678" s="2" t="s">
        <v>136</v>
      </c>
      <c r="E678">
        <v>2025</v>
      </c>
      <c r="F678">
        <v>2026</v>
      </c>
      <c r="G678" s="10">
        <v>4850000</v>
      </c>
      <c r="H678" t="str">
        <f t="shared" si="40"/>
        <v/>
      </c>
      <c r="I678" t="str">
        <f t="shared" si="41"/>
        <v/>
      </c>
      <c r="J678" t="str">
        <f t="shared" si="42"/>
        <v/>
      </c>
      <c r="K678">
        <v>2872386.35</v>
      </c>
      <c r="L678" t="b">
        <f t="shared" si="43"/>
        <v>0</v>
      </c>
    </row>
    <row r="679" spans="1:12" ht="16" x14ac:dyDescent="0.2">
      <c r="A679" t="s">
        <v>4977</v>
      </c>
      <c r="B679" t="s">
        <v>73</v>
      </c>
      <c r="C679" t="s">
        <v>3283</v>
      </c>
      <c r="D679" s="2" t="s">
        <v>136</v>
      </c>
      <c r="E679">
        <v>2025</v>
      </c>
      <c r="F679">
        <v>2027</v>
      </c>
      <c r="G679" s="10">
        <v>1783333.3333333333</v>
      </c>
      <c r="H679">
        <f t="shared" si="40"/>
        <v>1783333.3333333333</v>
      </c>
      <c r="I679" t="str">
        <f t="shared" si="41"/>
        <v/>
      </c>
      <c r="J679" t="str">
        <f t="shared" si="42"/>
        <v/>
      </c>
      <c r="K679">
        <v>510106.32</v>
      </c>
      <c r="L679" t="b">
        <f t="shared" si="43"/>
        <v>0</v>
      </c>
    </row>
    <row r="680" spans="1:12" ht="16" x14ac:dyDescent="0.2">
      <c r="A680" t="s">
        <v>4978</v>
      </c>
      <c r="B680" t="s">
        <v>73</v>
      </c>
      <c r="C680" t="s">
        <v>3284</v>
      </c>
      <c r="D680" s="2" t="s">
        <v>136</v>
      </c>
      <c r="E680">
        <v>2025</v>
      </c>
      <c r="F680">
        <v>2028</v>
      </c>
      <c r="G680" s="10">
        <v>11037500</v>
      </c>
      <c r="H680">
        <f t="shared" si="40"/>
        <v>11037500</v>
      </c>
      <c r="I680">
        <f t="shared" si="41"/>
        <v>11037500</v>
      </c>
      <c r="J680" t="str">
        <f t="shared" si="42"/>
        <v/>
      </c>
      <c r="K680">
        <v>14330921.130000001</v>
      </c>
      <c r="L680" t="b">
        <f t="shared" si="43"/>
        <v>0</v>
      </c>
    </row>
    <row r="681" spans="1:12" ht="16" x14ac:dyDescent="0.2">
      <c r="A681" t="s">
        <v>4979</v>
      </c>
      <c r="B681" t="s">
        <v>73</v>
      </c>
      <c r="C681" t="s">
        <v>3285</v>
      </c>
      <c r="D681" s="2" t="s">
        <v>136</v>
      </c>
      <c r="G681" s="10" t="s">
        <v>2892</v>
      </c>
      <c r="H681" t="str">
        <f t="shared" si="40"/>
        <v/>
      </c>
      <c r="I681" t="str">
        <f t="shared" si="41"/>
        <v/>
      </c>
      <c r="J681" t="str">
        <f t="shared" si="42"/>
        <v/>
      </c>
      <c r="L681" t="b">
        <f t="shared" si="43"/>
        <v>1</v>
      </c>
    </row>
    <row r="682" spans="1:12" ht="16" x14ac:dyDescent="0.2">
      <c r="A682" t="s">
        <v>4980</v>
      </c>
      <c r="B682" t="s">
        <v>73</v>
      </c>
      <c r="C682" t="s">
        <v>3286</v>
      </c>
      <c r="D682" s="2" t="s">
        <v>136</v>
      </c>
      <c r="E682">
        <v>2025</v>
      </c>
      <c r="F682">
        <v>2026</v>
      </c>
      <c r="G682" s="10">
        <v>5375000</v>
      </c>
      <c r="H682" t="str">
        <f t="shared" si="40"/>
        <v/>
      </c>
      <c r="I682" t="str">
        <f t="shared" si="41"/>
        <v/>
      </c>
      <c r="J682" t="str">
        <f t="shared" si="42"/>
        <v/>
      </c>
      <c r="K682">
        <v>3051826.52</v>
      </c>
      <c r="L682" t="b">
        <f t="shared" si="43"/>
        <v>0</v>
      </c>
    </row>
    <row r="683" spans="1:12" ht="16" x14ac:dyDescent="0.2">
      <c r="A683" t="s">
        <v>4981</v>
      </c>
      <c r="B683" t="s">
        <v>73</v>
      </c>
      <c r="C683" t="s">
        <v>3287</v>
      </c>
      <c r="D683" s="2" t="s">
        <v>136</v>
      </c>
      <c r="G683" s="10" t="s">
        <v>2892</v>
      </c>
      <c r="H683" t="str">
        <f t="shared" si="40"/>
        <v/>
      </c>
      <c r="I683" t="str">
        <f t="shared" si="41"/>
        <v/>
      </c>
      <c r="J683" t="str">
        <f t="shared" si="42"/>
        <v/>
      </c>
      <c r="L683" t="b">
        <f t="shared" si="43"/>
        <v>1</v>
      </c>
    </row>
    <row r="684" spans="1:12" ht="16" x14ac:dyDescent="0.2">
      <c r="A684" t="s">
        <v>4982</v>
      </c>
      <c r="B684" t="s">
        <v>73</v>
      </c>
      <c r="C684" t="s">
        <v>3288</v>
      </c>
      <c r="D684" s="2" t="s">
        <v>136</v>
      </c>
      <c r="E684">
        <v>2025</v>
      </c>
      <c r="F684">
        <v>2027</v>
      </c>
      <c r="G684" s="10">
        <v>10266666.666666668</v>
      </c>
      <c r="H684">
        <f t="shared" si="40"/>
        <v>10266666.666666668</v>
      </c>
      <c r="I684" t="str">
        <f t="shared" si="41"/>
        <v/>
      </c>
      <c r="J684" t="str">
        <f t="shared" si="42"/>
        <v/>
      </c>
      <c r="K684">
        <v>13720715.07</v>
      </c>
      <c r="L684" t="b">
        <f t="shared" si="43"/>
        <v>0</v>
      </c>
    </row>
    <row r="685" spans="1:12" ht="16" x14ac:dyDescent="0.2">
      <c r="A685" t="s">
        <v>4983</v>
      </c>
      <c r="B685" t="s">
        <v>73</v>
      </c>
      <c r="C685" t="s">
        <v>3289</v>
      </c>
      <c r="D685" s="2" t="s">
        <v>136</v>
      </c>
      <c r="E685">
        <v>2025</v>
      </c>
      <c r="F685">
        <v>2028</v>
      </c>
      <c r="G685" s="10">
        <v>9972500</v>
      </c>
      <c r="H685">
        <f t="shared" si="40"/>
        <v>9972500</v>
      </c>
      <c r="I685">
        <f t="shared" si="41"/>
        <v>9972500</v>
      </c>
      <c r="J685" t="str">
        <f t="shared" si="42"/>
        <v/>
      </c>
      <c r="K685">
        <v>16126282.5</v>
      </c>
      <c r="L685" t="b">
        <f t="shared" si="43"/>
        <v>0</v>
      </c>
    </row>
    <row r="686" spans="1:12" ht="16" x14ac:dyDescent="0.2">
      <c r="A686" t="s">
        <v>4984</v>
      </c>
      <c r="B686" t="s">
        <v>73</v>
      </c>
      <c r="C686" t="s">
        <v>3290</v>
      </c>
      <c r="D686" s="2" t="s">
        <v>136</v>
      </c>
      <c r="G686" s="10" t="s">
        <v>2892</v>
      </c>
      <c r="H686" t="str">
        <f t="shared" si="40"/>
        <v/>
      </c>
      <c r="I686" t="str">
        <f t="shared" si="41"/>
        <v/>
      </c>
      <c r="J686" t="str">
        <f t="shared" si="42"/>
        <v/>
      </c>
      <c r="L686" t="b">
        <f t="shared" si="43"/>
        <v>1</v>
      </c>
    </row>
    <row r="687" spans="1:12" ht="16" x14ac:dyDescent="0.2">
      <c r="A687" t="s">
        <v>4985</v>
      </c>
      <c r="B687" t="s">
        <v>73</v>
      </c>
      <c r="C687" t="s">
        <v>3291</v>
      </c>
      <c r="D687" s="2" t="s">
        <v>136</v>
      </c>
      <c r="E687">
        <v>2025</v>
      </c>
      <c r="F687">
        <v>2026</v>
      </c>
      <c r="G687" s="10">
        <v>8710000</v>
      </c>
      <c r="H687" t="str">
        <f t="shared" si="40"/>
        <v/>
      </c>
      <c r="I687" t="str">
        <f t="shared" si="41"/>
        <v/>
      </c>
      <c r="J687" t="str">
        <f t="shared" si="42"/>
        <v/>
      </c>
      <c r="K687">
        <v>5809909.8899999997</v>
      </c>
      <c r="L687" t="b">
        <f t="shared" si="43"/>
        <v>0</v>
      </c>
    </row>
    <row r="688" spans="1:12" ht="16" x14ac:dyDescent="0.2">
      <c r="A688" t="s">
        <v>4986</v>
      </c>
      <c r="B688" t="s">
        <v>73</v>
      </c>
      <c r="C688" t="s">
        <v>3292</v>
      </c>
      <c r="D688" s="2" t="s">
        <v>136</v>
      </c>
      <c r="E688">
        <v>2025</v>
      </c>
      <c r="F688">
        <v>2026</v>
      </c>
      <c r="G688" s="10">
        <v>4685000</v>
      </c>
      <c r="H688" t="str">
        <f t="shared" si="40"/>
        <v/>
      </c>
      <c r="I688" t="str">
        <f t="shared" si="41"/>
        <v/>
      </c>
      <c r="J688" t="str">
        <f t="shared" si="42"/>
        <v/>
      </c>
      <c r="K688">
        <v>1885336.81</v>
      </c>
      <c r="L688" t="b">
        <f t="shared" si="43"/>
        <v>0</v>
      </c>
    </row>
    <row r="689" spans="1:12" ht="16" x14ac:dyDescent="0.2">
      <c r="A689" t="s">
        <v>4987</v>
      </c>
      <c r="B689" t="s">
        <v>73</v>
      </c>
      <c r="C689" t="s">
        <v>3293</v>
      </c>
      <c r="D689" s="2" t="s">
        <v>136</v>
      </c>
      <c r="E689">
        <v>2025</v>
      </c>
      <c r="F689">
        <v>2026</v>
      </c>
      <c r="G689" s="10">
        <v>4144999.9999999995</v>
      </c>
      <c r="H689" t="str">
        <f t="shared" si="40"/>
        <v/>
      </c>
      <c r="I689" t="str">
        <f t="shared" si="41"/>
        <v/>
      </c>
      <c r="J689" t="str">
        <f t="shared" si="42"/>
        <v/>
      </c>
      <c r="K689">
        <v>2283319.2400000002</v>
      </c>
      <c r="L689" t="b">
        <f t="shared" si="43"/>
        <v>0</v>
      </c>
    </row>
    <row r="690" spans="1:12" ht="16" x14ac:dyDescent="0.2">
      <c r="A690" t="s">
        <v>4988</v>
      </c>
      <c r="B690" t="s">
        <v>73</v>
      </c>
      <c r="C690" t="s">
        <v>3294</v>
      </c>
      <c r="D690" s="2" t="s">
        <v>136</v>
      </c>
      <c r="E690">
        <v>2025</v>
      </c>
      <c r="F690">
        <v>2027</v>
      </c>
      <c r="G690" s="10">
        <v>6609999.9999999991</v>
      </c>
      <c r="H690">
        <f t="shared" si="40"/>
        <v>6609999.9999999991</v>
      </c>
      <c r="I690" t="str">
        <f t="shared" si="41"/>
        <v/>
      </c>
      <c r="J690" t="str">
        <f t="shared" si="42"/>
        <v/>
      </c>
      <c r="K690">
        <v>5435549.1699999999</v>
      </c>
      <c r="L690" t="b">
        <f t="shared" si="43"/>
        <v>0</v>
      </c>
    </row>
    <row r="691" spans="1:12" ht="16" x14ac:dyDescent="0.2">
      <c r="A691" t="s">
        <v>4989</v>
      </c>
      <c r="B691" t="s">
        <v>73</v>
      </c>
      <c r="C691" t="s">
        <v>3295</v>
      </c>
      <c r="D691" s="2" t="s">
        <v>136</v>
      </c>
      <c r="E691">
        <v>2025</v>
      </c>
      <c r="F691">
        <v>2027</v>
      </c>
      <c r="G691" s="10">
        <v>5440000</v>
      </c>
      <c r="H691">
        <f t="shared" si="40"/>
        <v>5440000</v>
      </c>
      <c r="I691" t="str">
        <f t="shared" si="41"/>
        <v/>
      </c>
      <c r="J691" t="str">
        <f t="shared" si="42"/>
        <v/>
      </c>
      <c r="K691">
        <v>2193416.61</v>
      </c>
      <c r="L691" t="b">
        <f t="shared" si="43"/>
        <v>0</v>
      </c>
    </row>
    <row r="692" spans="1:12" ht="16" x14ac:dyDescent="0.2">
      <c r="A692" t="s">
        <v>4990</v>
      </c>
      <c r="B692" t="s">
        <v>73</v>
      </c>
      <c r="C692" t="s">
        <v>3296</v>
      </c>
      <c r="D692" s="2" t="s">
        <v>136</v>
      </c>
      <c r="E692">
        <v>2025</v>
      </c>
      <c r="F692">
        <v>2026</v>
      </c>
      <c r="G692" s="10">
        <v>2310000</v>
      </c>
      <c r="H692" t="str">
        <f t="shared" si="40"/>
        <v/>
      </c>
      <c r="I692" t="str">
        <f t="shared" si="41"/>
        <v/>
      </c>
      <c r="J692" t="str">
        <f t="shared" si="42"/>
        <v/>
      </c>
      <c r="K692">
        <v>433597.6</v>
      </c>
      <c r="L692" t="b">
        <f t="shared" si="43"/>
        <v>0</v>
      </c>
    </row>
    <row r="693" spans="1:12" ht="16" x14ac:dyDescent="0.2">
      <c r="A693" t="s">
        <v>4991</v>
      </c>
      <c r="B693" t="s">
        <v>73</v>
      </c>
      <c r="C693" t="s">
        <v>3297</v>
      </c>
      <c r="D693" s="2" t="s">
        <v>136</v>
      </c>
      <c r="E693">
        <v>2025</v>
      </c>
      <c r="F693">
        <v>2026</v>
      </c>
      <c r="G693" s="10">
        <v>4405000</v>
      </c>
      <c r="H693" t="str">
        <f t="shared" si="40"/>
        <v/>
      </c>
      <c r="I693" t="str">
        <f t="shared" si="41"/>
        <v/>
      </c>
      <c r="J693" t="str">
        <f t="shared" si="42"/>
        <v/>
      </c>
      <c r="K693">
        <v>1739344.68</v>
      </c>
      <c r="L693" t="b">
        <f t="shared" si="43"/>
        <v>0</v>
      </c>
    </row>
    <row r="694" spans="1:12" ht="16" x14ac:dyDescent="0.2">
      <c r="A694" t="s">
        <v>4992</v>
      </c>
      <c r="B694" t="s">
        <v>73</v>
      </c>
      <c r="C694" t="s">
        <v>3298</v>
      </c>
      <c r="D694" s="2" t="s">
        <v>136</v>
      </c>
      <c r="E694">
        <v>2025</v>
      </c>
      <c r="F694">
        <v>2026</v>
      </c>
      <c r="G694" s="10">
        <v>2665000</v>
      </c>
      <c r="H694" t="str">
        <f t="shared" si="40"/>
        <v/>
      </c>
      <c r="I694" t="str">
        <f t="shared" si="41"/>
        <v/>
      </c>
      <c r="J694" t="str">
        <f t="shared" si="42"/>
        <v/>
      </c>
      <c r="K694">
        <v>705472.9</v>
      </c>
      <c r="L694" t="b">
        <f t="shared" si="43"/>
        <v>0</v>
      </c>
    </row>
    <row r="695" spans="1:12" ht="16" x14ac:dyDescent="0.2">
      <c r="A695" t="s">
        <v>4993</v>
      </c>
      <c r="B695" t="s">
        <v>73</v>
      </c>
      <c r="C695" t="s">
        <v>3299</v>
      </c>
      <c r="D695" s="2" t="s">
        <v>136</v>
      </c>
      <c r="E695">
        <v>2025</v>
      </c>
      <c r="F695">
        <v>2026</v>
      </c>
      <c r="G695" s="10">
        <v>4175000</v>
      </c>
      <c r="H695" t="str">
        <f t="shared" si="40"/>
        <v/>
      </c>
      <c r="I695" t="str">
        <f t="shared" si="41"/>
        <v/>
      </c>
      <c r="J695" t="str">
        <f t="shared" si="42"/>
        <v/>
      </c>
      <c r="K695">
        <v>843124.09</v>
      </c>
      <c r="L695" t="b">
        <f t="shared" si="43"/>
        <v>0</v>
      </c>
    </row>
    <row r="696" spans="1:12" ht="16" x14ac:dyDescent="0.2">
      <c r="A696" t="s">
        <v>4994</v>
      </c>
      <c r="B696" t="s">
        <v>73</v>
      </c>
      <c r="C696" t="s">
        <v>3300</v>
      </c>
      <c r="D696" s="2" t="s">
        <v>136</v>
      </c>
      <c r="E696">
        <v>2025</v>
      </c>
      <c r="F696">
        <v>2026</v>
      </c>
      <c r="G696" s="10">
        <v>2680000</v>
      </c>
      <c r="H696" t="str">
        <f t="shared" si="40"/>
        <v/>
      </c>
      <c r="I696" t="str">
        <f t="shared" si="41"/>
        <v/>
      </c>
      <c r="J696" t="str">
        <f t="shared" si="42"/>
        <v/>
      </c>
      <c r="K696">
        <v>672177.78</v>
      </c>
      <c r="L696" t="b">
        <f t="shared" si="43"/>
        <v>0</v>
      </c>
    </row>
    <row r="697" spans="1:12" ht="16" x14ac:dyDescent="0.2">
      <c r="A697" t="s">
        <v>4995</v>
      </c>
      <c r="B697" t="s">
        <v>73</v>
      </c>
      <c r="C697" t="s">
        <v>3301</v>
      </c>
      <c r="D697" s="2" t="s">
        <v>136</v>
      </c>
      <c r="E697">
        <v>2025</v>
      </c>
      <c r="F697">
        <v>2026</v>
      </c>
      <c r="G697" s="10">
        <v>2140000</v>
      </c>
      <c r="H697" t="str">
        <f t="shared" si="40"/>
        <v/>
      </c>
      <c r="I697" t="str">
        <f t="shared" si="41"/>
        <v/>
      </c>
      <c r="J697" t="str">
        <f t="shared" si="42"/>
        <v/>
      </c>
      <c r="K697">
        <v>546411.80000000005</v>
      </c>
      <c r="L697" t="b">
        <f t="shared" si="43"/>
        <v>0</v>
      </c>
    </row>
    <row r="698" spans="1:12" ht="16" x14ac:dyDescent="0.2">
      <c r="A698" t="s">
        <v>4996</v>
      </c>
      <c r="B698" t="s">
        <v>73</v>
      </c>
      <c r="C698" t="s">
        <v>3302</v>
      </c>
      <c r="D698" s="2" t="s">
        <v>136</v>
      </c>
      <c r="G698" s="10" t="s">
        <v>2892</v>
      </c>
      <c r="H698" t="str">
        <f t="shared" si="40"/>
        <v/>
      </c>
      <c r="I698" t="str">
        <f t="shared" si="41"/>
        <v/>
      </c>
      <c r="J698" t="str">
        <f t="shared" si="42"/>
        <v/>
      </c>
      <c r="L698" t="b">
        <f t="shared" si="43"/>
        <v>1</v>
      </c>
    </row>
    <row r="699" spans="1:12" ht="16" x14ac:dyDescent="0.2">
      <c r="A699" t="s">
        <v>4997</v>
      </c>
      <c r="B699" t="s">
        <v>73</v>
      </c>
      <c r="C699" t="s">
        <v>3303</v>
      </c>
      <c r="D699" s="2" t="s">
        <v>136</v>
      </c>
      <c r="G699" s="10" t="s">
        <v>2892</v>
      </c>
      <c r="H699" t="str">
        <f t="shared" si="40"/>
        <v/>
      </c>
      <c r="I699" t="str">
        <f t="shared" si="41"/>
        <v/>
      </c>
      <c r="J699" t="str">
        <f t="shared" si="42"/>
        <v/>
      </c>
      <c r="L699" t="b">
        <f t="shared" si="43"/>
        <v>1</v>
      </c>
    </row>
    <row r="700" spans="1:12" ht="16" x14ac:dyDescent="0.2">
      <c r="A700" t="s">
        <v>4998</v>
      </c>
      <c r="B700" t="s">
        <v>73</v>
      </c>
      <c r="C700" t="s">
        <v>3304</v>
      </c>
      <c r="D700" s="2" t="s">
        <v>136</v>
      </c>
      <c r="G700" s="10" t="s">
        <v>2892</v>
      </c>
      <c r="H700" t="str">
        <f t="shared" si="40"/>
        <v/>
      </c>
      <c r="I700" t="str">
        <f t="shared" si="41"/>
        <v/>
      </c>
      <c r="J700" t="str">
        <f t="shared" si="42"/>
        <v/>
      </c>
      <c r="L700" t="b">
        <f t="shared" si="43"/>
        <v>1</v>
      </c>
    </row>
    <row r="701" spans="1:12" ht="16" x14ac:dyDescent="0.2">
      <c r="A701" t="s">
        <v>4999</v>
      </c>
      <c r="B701" t="s">
        <v>73</v>
      </c>
      <c r="C701" t="s">
        <v>3305</v>
      </c>
      <c r="D701" s="2" t="s">
        <v>136</v>
      </c>
      <c r="E701">
        <v>2025</v>
      </c>
      <c r="F701">
        <v>2026</v>
      </c>
      <c r="G701" s="10">
        <v>4565000</v>
      </c>
      <c r="H701" t="str">
        <f t="shared" si="40"/>
        <v/>
      </c>
      <c r="I701" t="str">
        <f t="shared" si="41"/>
        <v/>
      </c>
      <c r="J701" t="str">
        <f t="shared" si="42"/>
        <v/>
      </c>
      <c r="K701">
        <v>2644324.48</v>
      </c>
      <c r="L701" t="b">
        <f t="shared" si="43"/>
        <v>0</v>
      </c>
    </row>
    <row r="702" spans="1:12" ht="16" x14ac:dyDescent="0.2">
      <c r="A702" t="s">
        <v>5000</v>
      </c>
      <c r="B702" t="s">
        <v>73</v>
      </c>
      <c r="C702" t="s">
        <v>3306</v>
      </c>
      <c r="D702" s="2" t="s">
        <v>136</v>
      </c>
      <c r="E702">
        <v>2025</v>
      </c>
      <c r="F702">
        <v>2026</v>
      </c>
      <c r="G702" s="10">
        <v>3615000</v>
      </c>
      <c r="H702" t="str">
        <f t="shared" si="40"/>
        <v/>
      </c>
      <c r="I702" t="str">
        <f t="shared" si="41"/>
        <v/>
      </c>
      <c r="J702" t="str">
        <f t="shared" si="42"/>
        <v/>
      </c>
      <c r="K702">
        <v>829335.05</v>
      </c>
      <c r="L702" t="b">
        <f t="shared" si="43"/>
        <v>0</v>
      </c>
    </row>
    <row r="703" spans="1:12" ht="16" x14ac:dyDescent="0.2">
      <c r="A703" t="s">
        <v>5001</v>
      </c>
      <c r="B703" t="s">
        <v>73</v>
      </c>
      <c r="C703" t="s">
        <v>3307</v>
      </c>
      <c r="D703" s="2" t="s">
        <v>136</v>
      </c>
      <c r="G703" s="10" t="s">
        <v>2892</v>
      </c>
      <c r="H703" t="str">
        <f t="shared" si="40"/>
        <v/>
      </c>
      <c r="I703" t="str">
        <f t="shared" si="41"/>
        <v/>
      </c>
      <c r="J703" t="str">
        <f t="shared" si="42"/>
        <v/>
      </c>
      <c r="L703" t="b">
        <f t="shared" si="43"/>
        <v>1</v>
      </c>
    </row>
    <row r="704" spans="1:12" ht="16" x14ac:dyDescent="0.2">
      <c r="A704" t="s">
        <v>5002</v>
      </c>
      <c r="B704" t="s">
        <v>73</v>
      </c>
      <c r="C704" t="s">
        <v>3308</v>
      </c>
      <c r="D704" s="2" t="s">
        <v>137</v>
      </c>
      <c r="E704">
        <v>2025</v>
      </c>
      <c r="F704">
        <v>2029</v>
      </c>
      <c r="G704" s="10">
        <v>12264000</v>
      </c>
      <c r="H704">
        <f t="shared" si="40"/>
        <v>12264000</v>
      </c>
      <c r="I704">
        <f t="shared" si="41"/>
        <v>12264000</v>
      </c>
      <c r="J704">
        <f t="shared" si="42"/>
        <v>12264000</v>
      </c>
      <c r="K704">
        <v>19806407.23</v>
      </c>
      <c r="L704" t="b">
        <f t="shared" si="43"/>
        <v>0</v>
      </c>
    </row>
    <row r="705" spans="1:12" ht="16" x14ac:dyDescent="0.2">
      <c r="A705" t="s">
        <v>5003</v>
      </c>
      <c r="B705" t="s">
        <v>73</v>
      </c>
      <c r="C705" t="s">
        <v>3309</v>
      </c>
      <c r="D705" s="2" t="s">
        <v>137</v>
      </c>
      <c r="E705">
        <v>2025</v>
      </c>
      <c r="F705">
        <v>2026</v>
      </c>
      <c r="G705" s="10">
        <v>5645000</v>
      </c>
      <c r="H705" t="str">
        <f t="shared" si="40"/>
        <v/>
      </c>
      <c r="I705" t="str">
        <f t="shared" si="41"/>
        <v/>
      </c>
      <c r="J705" t="str">
        <f t="shared" si="42"/>
        <v/>
      </c>
      <c r="K705">
        <v>1501423.92</v>
      </c>
      <c r="L705" t="b">
        <f t="shared" si="43"/>
        <v>0</v>
      </c>
    </row>
    <row r="706" spans="1:12" ht="16" x14ac:dyDescent="0.2">
      <c r="A706" t="s">
        <v>5004</v>
      </c>
      <c r="B706" t="s">
        <v>73</v>
      </c>
      <c r="C706" t="s">
        <v>3310</v>
      </c>
      <c r="D706" s="2" t="s">
        <v>137</v>
      </c>
      <c r="E706">
        <v>2025</v>
      </c>
      <c r="F706">
        <v>2026</v>
      </c>
      <c r="G706" s="10">
        <v>6520000</v>
      </c>
      <c r="H706" t="str">
        <f t="shared" si="40"/>
        <v/>
      </c>
      <c r="I706" t="str">
        <f t="shared" si="41"/>
        <v/>
      </c>
      <c r="J706" t="str">
        <f t="shared" si="42"/>
        <v/>
      </c>
      <c r="K706">
        <v>3685466.99</v>
      </c>
      <c r="L706" t="b">
        <f t="shared" si="43"/>
        <v>0</v>
      </c>
    </row>
    <row r="707" spans="1:12" ht="16" x14ac:dyDescent="0.2">
      <c r="A707" t="s">
        <v>5005</v>
      </c>
      <c r="B707" t="s">
        <v>73</v>
      </c>
      <c r="C707" t="s">
        <v>3311</v>
      </c>
      <c r="D707" s="2" t="s">
        <v>137</v>
      </c>
      <c r="E707">
        <v>2025</v>
      </c>
      <c r="F707">
        <v>2027</v>
      </c>
      <c r="G707" s="10">
        <v>3533333.333333333</v>
      </c>
      <c r="H707">
        <f t="shared" si="40"/>
        <v>3533333.333333333</v>
      </c>
      <c r="I707" t="str">
        <f t="shared" si="41"/>
        <v/>
      </c>
      <c r="J707" t="str">
        <f t="shared" si="42"/>
        <v/>
      </c>
      <c r="K707">
        <v>2050669.82</v>
      </c>
      <c r="L707" t="b">
        <f t="shared" si="43"/>
        <v>0</v>
      </c>
    </row>
    <row r="708" spans="1:12" ht="16" x14ac:dyDescent="0.2">
      <c r="A708" t="s">
        <v>5006</v>
      </c>
      <c r="B708" t="s">
        <v>73</v>
      </c>
      <c r="C708" t="s">
        <v>3312</v>
      </c>
      <c r="D708" s="2" t="s">
        <v>137</v>
      </c>
      <c r="G708" s="10" t="s">
        <v>2892</v>
      </c>
      <c r="H708" t="str">
        <f t="shared" ref="H708:H771" si="44">IF(F708&gt;=2027,G708,"")</f>
        <v/>
      </c>
      <c r="I708" t="str">
        <f t="shared" ref="I708:I771" si="45">IF(F708&gt;=2028,G708,"")</f>
        <v/>
      </c>
      <c r="J708" t="str">
        <f t="shared" ref="J708:J771" si="46">IF(F708&gt;=2029,G708,"")</f>
        <v/>
      </c>
      <c r="L708" t="b">
        <f t="shared" si="43"/>
        <v>1</v>
      </c>
    </row>
    <row r="709" spans="1:12" ht="16" x14ac:dyDescent="0.2">
      <c r="A709" t="s">
        <v>5007</v>
      </c>
      <c r="B709" t="s">
        <v>73</v>
      </c>
      <c r="C709" t="s">
        <v>3313</v>
      </c>
      <c r="D709" s="2" t="s">
        <v>137</v>
      </c>
      <c r="G709" s="10" t="s">
        <v>2892</v>
      </c>
      <c r="H709" t="str">
        <f t="shared" si="44"/>
        <v/>
      </c>
      <c r="I709" t="str">
        <f t="shared" si="45"/>
        <v/>
      </c>
      <c r="J709" t="str">
        <f t="shared" si="46"/>
        <v/>
      </c>
      <c r="L709" t="b">
        <f t="shared" si="43"/>
        <v>1</v>
      </c>
    </row>
    <row r="710" spans="1:12" ht="16" x14ac:dyDescent="0.2">
      <c r="A710" t="s">
        <v>5008</v>
      </c>
      <c r="B710" t="s">
        <v>73</v>
      </c>
      <c r="C710" t="s">
        <v>3314</v>
      </c>
      <c r="D710" s="2" t="s">
        <v>137</v>
      </c>
      <c r="E710">
        <v>2025</v>
      </c>
      <c r="F710">
        <v>2027</v>
      </c>
      <c r="G710" s="10">
        <v>1483333.3333333335</v>
      </c>
      <c r="H710">
        <f t="shared" si="44"/>
        <v>1483333.3333333335</v>
      </c>
      <c r="I710" t="str">
        <f t="shared" si="45"/>
        <v/>
      </c>
      <c r="J710" t="str">
        <f t="shared" si="46"/>
        <v/>
      </c>
      <c r="K710">
        <v>579784.16</v>
      </c>
      <c r="L710" t="b">
        <f t="shared" si="43"/>
        <v>0</v>
      </c>
    </row>
    <row r="711" spans="1:12" ht="16" x14ac:dyDescent="0.2">
      <c r="A711" t="s">
        <v>5009</v>
      </c>
      <c r="B711" t="s">
        <v>73</v>
      </c>
      <c r="C711" t="s">
        <v>3315</v>
      </c>
      <c r="D711" s="2" t="s">
        <v>137</v>
      </c>
      <c r="E711">
        <v>2025</v>
      </c>
      <c r="F711">
        <v>2026</v>
      </c>
      <c r="G711" s="10">
        <v>8975000</v>
      </c>
      <c r="H711" t="str">
        <f t="shared" si="44"/>
        <v/>
      </c>
      <c r="I711" t="str">
        <f t="shared" si="45"/>
        <v/>
      </c>
      <c r="J711" t="str">
        <f t="shared" si="46"/>
        <v/>
      </c>
      <c r="K711">
        <v>7968832.6900000004</v>
      </c>
      <c r="L711" t="b">
        <f t="shared" si="43"/>
        <v>0</v>
      </c>
    </row>
    <row r="712" spans="1:12" ht="16" x14ac:dyDescent="0.2">
      <c r="A712" t="s">
        <v>5010</v>
      </c>
      <c r="B712" t="s">
        <v>73</v>
      </c>
      <c r="C712" t="s">
        <v>3316</v>
      </c>
      <c r="D712" s="2" t="s">
        <v>137</v>
      </c>
      <c r="G712" s="10" t="s">
        <v>2892</v>
      </c>
      <c r="H712" t="str">
        <f t="shared" si="44"/>
        <v/>
      </c>
      <c r="I712" t="str">
        <f t="shared" si="45"/>
        <v/>
      </c>
      <c r="J712" t="str">
        <f t="shared" si="46"/>
        <v/>
      </c>
      <c r="L712" t="b">
        <f t="shared" si="43"/>
        <v>1</v>
      </c>
    </row>
    <row r="713" spans="1:12" ht="16" x14ac:dyDescent="0.2">
      <c r="A713" t="s">
        <v>5011</v>
      </c>
      <c r="B713" t="s">
        <v>73</v>
      </c>
      <c r="C713" t="s">
        <v>3317</v>
      </c>
      <c r="D713" s="2" t="s">
        <v>137</v>
      </c>
      <c r="E713">
        <v>2026</v>
      </c>
      <c r="F713">
        <v>2030</v>
      </c>
      <c r="G713" s="10">
        <v>6462500</v>
      </c>
      <c r="H713">
        <f t="shared" si="44"/>
        <v>6462500</v>
      </c>
      <c r="I713">
        <f t="shared" si="45"/>
        <v>6462500</v>
      </c>
      <c r="J713">
        <f t="shared" si="46"/>
        <v>6462500</v>
      </c>
      <c r="K713">
        <v>2847311.41</v>
      </c>
      <c r="L713" t="b">
        <f t="shared" si="43"/>
        <v>0</v>
      </c>
    </row>
    <row r="714" spans="1:12" ht="16" x14ac:dyDescent="0.2">
      <c r="A714" t="s">
        <v>5012</v>
      </c>
      <c r="B714" t="s">
        <v>73</v>
      </c>
      <c r="C714" t="s">
        <v>3318</v>
      </c>
      <c r="D714" s="2" t="s">
        <v>137</v>
      </c>
      <c r="E714">
        <v>2025</v>
      </c>
      <c r="F714">
        <v>2026</v>
      </c>
      <c r="G714" s="10">
        <v>4455000</v>
      </c>
      <c r="H714" t="str">
        <f t="shared" si="44"/>
        <v/>
      </c>
      <c r="I714" t="str">
        <f t="shared" si="45"/>
        <v/>
      </c>
      <c r="J714" t="str">
        <f t="shared" si="46"/>
        <v/>
      </c>
      <c r="K714">
        <v>1724936.85</v>
      </c>
      <c r="L714" t="b">
        <f t="shared" si="43"/>
        <v>0</v>
      </c>
    </row>
    <row r="715" spans="1:12" ht="16" x14ac:dyDescent="0.2">
      <c r="A715" t="s">
        <v>5013</v>
      </c>
      <c r="B715" t="s">
        <v>73</v>
      </c>
      <c r="C715" t="s">
        <v>3319</v>
      </c>
      <c r="D715" s="2" t="s">
        <v>137</v>
      </c>
      <c r="G715" s="10" t="s">
        <v>2892</v>
      </c>
      <c r="H715" t="str">
        <f t="shared" si="44"/>
        <v/>
      </c>
      <c r="I715" t="str">
        <f t="shared" si="45"/>
        <v/>
      </c>
      <c r="J715" t="str">
        <f t="shared" si="46"/>
        <v/>
      </c>
      <c r="L715" t="b">
        <f t="shared" si="43"/>
        <v>1</v>
      </c>
    </row>
    <row r="716" spans="1:12" ht="16" x14ac:dyDescent="0.2">
      <c r="A716" t="s">
        <v>5014</v>
      </c>
      <c r="B716" t="s">
        <v>73</v>
      </c>
      <c r="C716" t="s">
        <v>3320</v>
      </c>
      <c r="D716" s="2" t="s">
        <v>137</v>
      </c>
      <c r="G716" s="10" t="s">
        <v>2892</v>
      </c>
      <c r="H716" t="str">
        <f t="shared" si="44"/>
        <v/>
      </c>
      <c r="I716" t="str">
        <f t="shared" si="45"/>
        <v/>
      </c>
      <c r="J716" t="str">
        <f t="shared" si="46"/>
        <v/>
      </c>
      <c r="L716" t="b">
        <f t="shared" si="43"/>
        <v>1</v>
      </c>
    </row>
    <row r="717" spans="1:12" ht="16" x14ac:dyDescent="0.2">
      <c r="A717" t="s">
        <v>5015</v>
      </c>
      <c r="B717" t="s">
        <v>73</v>
      </c>
      <c r="C717" t="s">
        <v>3321</v>
      </c>
      <c r="D717" s="2" t="s">
        <v>137</v>
      </c>
      <c r="G717" s="10" t="s">
        <v>2892</v>
      </c>
      <c r="H717" t="str">
        <f t="shared" si="44"/>
        <v/>
      </c>
      <c r="I717" t="str">
        <f t="shared" si="45"/>
        <v/>
      </c>
      <c r="J717" t="str">
        <f t="shared" si="46"/>
        <v/>
      </c>
      <c r="L717" t="b">
        <f t="shared" si="43"/>
        <v>1</v>
      </c>
    </row>
    <row r="718" spans="1:12" ht="16" x14ac:dyDescent="0.2">
      <c r="A718" t="s">
        <v>5016</v>
      </c>
      <c r="B718" t="s">
        <v>73</v>
      </c>
      <c r="C718" t="s">
        <v>3322</v>
      </c>
      <c r="D718" s="2" t="s">
        <v>137</v>
      </c>
      <c r="E718">
        <v>2025</v>
      </c>
      <c r="F718">
        <v>2026</v>
      </c>
      <c r="G718" s="10">
        <v>4014999.9999999995</v>
      </c>
      <c r="H718" t="str">
        <f t="shared" si="44"/>
        <v/>
      </c>
      <c r="I718" t="str">
        <f t="shared" si="45"/>
        <v/>
      </c>
      <c r="J718" t="str">
        <f t="shared" si="46"/>
        <v/>
      </c>
      <c r="K718">
        <v>1005450.96</v>
      </c>
      <c r="L718" t="b">
        <f t="shared" si="43"/>
        <v>0</v>
      </c>
    </row>
    <row r="719" spans="1:12" ht="16" x14ac:dyDescent="0.2">
      <c r="A719" t="s">
        <v>5017</v>
      </c>
      <c r="B719" t="s">
        <v>73</v>
      </c>
      <c r="C719" t="s">
        <v>3323</v>
      </c>
      <c r="D719" s="2" t="s">
        <v>137</v>
      </c>
      <c r="E719">
        <v>2025</v>
      </c>
      <c r="F719">
        <v>2027</v>
      </c>
      <c r="G719" s="10">
        <v>1460000</v>
      </c>
      <c r="H719">
        <f t="shared" si="44"/>
        <v>1460000</v>
      </c>
      <c r="I719" t="str">
        <f t="shared" si="45"/>
        <v/>
      </c>
      <c r="J719" t="str">
        <f t="shared" si="46"/>
        <v/>
      </c>
      <c r="K719">
        <v>644532.19999999995</v>
      </c>
      <c r="L719" t="b">
        <f t="shared" si="43"/>
        <v>0</v>
      </c>
    </row>
    <row r="720" spans="1:12" ht="16" x14ac:dyDescent="0.2">
      <c r="A720" t="s">
        <v>5018</v>
      </c>
      <c r="B720" t="s">
        <v>73</v>
      </c>
      <c r="C720" t="s">
        <v>3324</v>
      </c>
      <c r="D720" s="2" t="s">
        <v>137</v>
      </c>
      <c r="G720" s="10" t="s">
        <v>2892</v>
      </c>
      <c r="H720" t="str">
        <f t="shared" si="44"/>
        <v/>
      </c>
      <c r="I720" t="str">
        <f t="shared" si="45"/>
        <v/>
      </c>
      <c r="J720" t="str">
        <f t="shared" si="46"/>
        <v/>
      </c>
      <c r="L720" t="b">
        <f t="shared" si="43"/>
        <v>1</v>
      </c>
    </row>
    <row r="721" spans="1:12" ht="16" x14ac:dyDescent="0.2">
      <c r="A721" t="s">
        <v>5019</v>
      </c>
      <c r="B721" t="s">
        <v>73</v>
      </c>
      <c r="C721" t="s">
        <v>3325</v>
      </c>
      <c r="D721" s="2" t="s">
        <v>137</v>
      </c>
      <c r="G721" s="10" t="s">
        <v>2892</v>
      </c>
      <c r="H721" t="str">
        <f t="shared" si="44"/>
        <v/>
      </c>
      <c r="I721" t="str">
        <f t="shared" si="45"/>
        <v/>
      </c>
      <c r="J721" t="str">
        <f t="shared" si="46"/>
        <v/>
      </c>
      <c r="L721" t="b">
        <f t="shared" si="43"/>
        <v>1</v>
      </c>
    </row>
    <row r="722" spans="1:12" ht="16" x14ac:dyDescent="0.2">
      <c r="A722" t="s">
        <v>5020</v>
      </c>
      <c r="B722" t="s">
        <v>73</v>
      </c>
      <c r="C722" t="s">
        <v>3326</v>
      </c>
      <c r="D722" s="2" t="s">
        <v>137</v>
      </c>
      <c r="E722">
        <v>2025</v>
      </c>
      <c r="F722">
        <v>2027</v>
      </c>
      <c r="G722" s="10">
        <v>12946666.666666668</v>
      </c>
      <c r="H722">
        <f t="shared" si="44"/>
        <v>12946666.666666668</v>
      </c>
      <c r="I722" t="str">
        <f t="shared" si="45"/>
        <v/>
      </c>
      <c r="J722" t="str">
        <f t="shared" si="46"/>
        <v/>
      </c>
      <c r="K722">
        <v>10215862.82</v>
      </c>
      <c r="L722" t="b">
        <f t="shared" si="43"/>
        <v>0</v>
      </c>
    </row>
    <row r="723" spans="1:12" ht="16" x14ac:dyDescent="0.2">
      <c r="A723" t="s">
        <v>5021</v>
      </c>
      <c r="B723" t="s">
        <v>73</v>
      </c>
      <c r="C723" t="s">
        <v>3327</v>
      </c>
      <c r="D723" s="2" t="s">
        <v>137</v>
      </c>
      <c r="G723" s="10" t="s">
        <v>2892</v>
      </c>
      <c r="H723" t="str">
        <f t="shared" si="44"/>
        <v/>
      </c>
      <c r="I723" t="str">
        <f t="shared" si="45"/>
        <v/>
      </c>
      <c r="J723" t="str">
        <f t="shared" si="46"/>
        <v/>
      </c>
      <c r="L723" t="b">
        <f t="shared" si="43"/>
        <v>1</v>
      </c>
    </row>
    <row r="724" spans="1:12" ht="16" x14ac:dyDescent="0.2">
      <c r="A724" t="s">
        <v>5022</v>
      </c>
      <c r="B724" t="s">
        <v>73</v>
      </c>
      <c r="C724" t="s">
        <v>3328</v>
      </c>
      <c r="D724" s="2" t="s">
        <v>137</v>
      </c>
      <c r="E724">
        <v>2025</v>
      </c>
      <c r="F724">
        <v>2026</v>
      </c>
      <c r="G724" s="10">
        <v>9725000</v>
      </c>
      <c r="H724" t="str">
        <f t="shared" si="44"/>
        <v/>
      </c>
      <c r="I724" t="str">
        <f t="shared" si="45"/>
        <v/>
      </c>
      <c r="J724" t="str">
        <f t="shared" si="46"/>
        <v/>
      </c>
      <c r="K724">
        <v>8682435.3699999992</v>
      </c>
      <c r="L724" t="b">
        <f t="shared" si="43"/>
        <v>0</v>
      </c>
    </row>
    <row r="725" spans="1:12" ht="16" x14ac:dyDescent="0.2">
      <c r="A725" t="s">
        <v>5023</v>
      </c>
      <c r="B725" t="s">
        <v>73</v>
      </c>
      <c r="C725" t="s">
        <v>3329</v>
      </c>
      <c r="D725" s="2" t="s">
        <v>137</v>
      </c>
      <c r="E725">
        <v>2025</v>
      </c>
      <c r="F725">
        <v>2029</v>
      </c>
      <c r="G725" s="10">
        <v>9934000.0000000019</v>
      </c>
      <c r="H725">
        <f t="shared" si="44"/>
        <v>9934000.0000000019</v>
      </c>
      <c r="I725">
        <f t="shared" si="45"/>
        <v>9934000.0000000019</v>
      </c>
      <c r="J725">
        <f t="shared" si="46"/>
        <v>9934000.0000000019</v>
      </c>
      <c r="K725">
        <v>17134311.350000001</v>
      </c>
      <c r="L725" t="b">
        <f t="shared" si="43"/>
        <v>0</v>
      </c>
    </row>
    <row r="726" spans="1:12" ht="16" x14ac:dyDescent="0.2">
      <c r="A726" t="s">
        <v>5024</v>
      </c>
      <c r="B726" t="s">
        <v>73</v>
      </c>
      <c r="C726" t="s">
        <v>3330</v>
      </c>
      <c r="D726" s="2" t="s">
        <v>137</v>
      </c>
      <c r="E726">
        <v>2025</v>
      </c>
      <c r="F726">
        <v>2026</v>
      </c>
      <c r="G726" s="10">
        <v>5560000</v>
      </c>
      <c r="H726" t="str">
        <f t="shared" si="44"/>
        <v/>
      </c>
      <c r="I726" t="str">
        <f t="shared" si="45"/>
        <v/>
      </c>
      <c r="J726" t="str">
        <f t="shared" si="46"/>
        <v/>
      </c>
      <c r="K726">
        <v>3068308.68</v>
      </c>
      <c r="L726" t="b">
        <f t="shared" si="43"/>
        <v>0</v>
      </c>
    </row>
    <row r="727" spans="1:12" ht="16" x14ac:dyDescent="0.2">
      <c r="A727" t="s">
        <v>5025</v>
      </c>
      <c r="B727" t="s">
        <v>73</v>
      </c>
      <c r="C727" t="s">
        <v>3331</v>
      </c>
      <c r="D727" s="2" t="s">
        <v>137</v>
      </c>
      <c r="E727">
        <v>2025</v>
      </c>
      <c r="F727">
        <v>2026</v>
      </c>
      <c r="G727" s="10">
        <v>5320000</v>
      </c>
      <c r="H727" t="str">
        <f t="shared" si="44"/>
        <v/>
      </c>
      <c r="I727" t="str">
        <f t="shared" si="45"/>
        <v/>
      </c>
      <c r="J727" t="str">
        <f t="shared" si="46"/>
        <v/>
      </c>
      <c r="K727">
        <v>1403168.42</v>
      </c>
      <c r="L727" t="b">
        <f t="shared" si="43"/>
        <v>0</v>
      </c>
    </row>
    <row r="728" spans="1:12" ht="16" x14ac:dyDescent="0.2">
      <c r="A728" t="s">
        <v>5026</v>
      </c>
      <c r="B728" t="s">
        <v>73</v>
      </c>
      <c r="C728" t="s">
        <v>3332</v>
      </c>
      <c r="D728" s="2" t="s">
        <v>137</v>
      </c>
      <c r="E728">
        <v>2025</v>
      </c>
      <c r="F728">
        <v>2026</v>
      </c>
      <c r="G728" s="10">
        <v>5160000</v>
      </c>
      <c r="H728" t="str">
        <f t="shared" si="44"/>
        <v/>
      </c>
      <c r="I728" t="str">
        <f t="shared" si="45"/>
        <v/>
      </c>
      <c r="J728" t="str">
        <f t="shared" si="46"/>
        <v/>
      </c>
      <c r="K728">
        <v>1059891.27</v>
      </c>
      <c r="L728" t="b">
        <f t="shared" si="43"/>
        <v>0</v>
      </c>
    </row>
    <row r="729" spans="1:12" ht="16" x14ac:dyDescent="0.2">
      <c r="A729" t="s">
        <v>5027</v>
      </c>
      <c r="B729" t="s">
        <v>73</v>
      </c>
      <c r="C729" t="s">
        <v>3333</v>
      </c>
      <c r="D729" s="2" t="s">
        <v>137</v>
      </c>
      <c r="E729">
        <v>2025</v>
      </c>
      <c r="F729">
        <v>2027</v>
      </c>
      <c r="G729" s="10">
        <v>4740000</v>
      </c>
      <c r="H729">
        <f t="shared" si="44"/>
        <v>4740000</v>
      </c>
      <c r="I729" t="str">
        <f t="shared" si="45"/>
        <v/>
      </c>
      <c r="J729" t="str">
        <f t="shared" si="46"/>
        <v/>
      </c>
      <c r="K729">
        <v>3091342.24</v>
      </c>
      <c r="L729" t="b">
        <f t="shared" si="43"/>
        <v>0</v>
      </c>
    </row>
    <row r="730" spans="1:12" ht="16" x14ac:dyDescent="0.2">
      <c r="A730" t="s">
        <v>5028</v>
      </c>
      <c r="B730" t="s">
        <v>73</v>
      </c>
      <c r="C730" t="s">
        <v>3334</v>
      </c>
      <c r="D730" s="2" t="s">
        <v>137</v>
      </c>
      <c r="G730" s="10" t="s">
        <v>2892</v>
      </c>
      <c r="H730" t="str">
        <f t="shared" si="44"/>
        <v/>
      </c>
      <c r="I730" t="str">
        <f t="shared" si="45"/>
        <v/>
      </c>
      <c r="J730" t="str">
        <f t="shared" si="46"/>
        <v/>
      </c>
      <c r="L730" t="b">
        <f t="shared" si="43"/>
        <v>1</v>
      </c>
    </row>
    <row r="731" spans="1:12" ht="16" x14ac:dyDescent="0.2">
      <c r="A731" t="s">
        <v>5029</v>
      </c>
      <c r="B731" t="s">
        <v>73</v>
      </c>
      <c r="C731" t="s">
        <v>3335</v>
      </c>
      <c r="D731" s="2" t="s">
        <v>137</v>
      </c>
      <c r="G731" s="10" t="s">
        <v>2892</v>
      </c>
      <c r="H731" t="str">
        <f t="shared" si="44"/>
        <v/>
      </c>
      <c r="I731" t="str">
        <f t="shared" si="45"/>
        <v/>
      </c>
      <c r="J731" t="str">
        <f t="shared" si="46"/>
        <v/>
      </c>
      <c r="L731" t="b">
        <f t="shared" si="43"/>
        <v>1</v>
      </c>
    </row>
    <row r="732" spans="1:12" ht="16" x14ac:dyDescent="0.2">
      <c r="A732" t="s">
        <v>5030</v>
      </c>
      <c r="B732" t="s">
        <v>73</v>
      </c>
      <c r="C732" t="s">
        <v>3336</v>
      </c>
      <c r="D732" s="2" t="s">
        <v>137</v>
      </c>
      <c r="G732" s="10" t="s">
        <v>2892</v>
      </c>
      <c r="H732" t="str">
        <f t="shared" si="44"/>
        <v/>
      </c>
      <c r="I732" t="str">
        <f t="shared" si="45"/>
        <v/>
      </c>
      <c r="J732" t="str">
        <f t="shared" si="46"/>
        <v/>
      </c>
      <c r="L732" t="b">
        <f t="shared" si="43"/>
        <v>1</v>
      </c>
    </row>
    <row r="733" spans="1:12" ht="16" x14ac:dyDescent="0.2">
      <c r="A733" t="s">
        <v>5031</v>
      </c>
      <c r="B733" t="s">
        <v>73</v>
      </c>
      <c r="C733" t="s">
        <v>3337</v>
      </c>
      <c r="D733" s="2" t="s">
        <v>137</v>
      </c>
      <c r="E733">
        <v>2025</v>
      </c>
      <c r="F733">
        <v>2027</v>
      </c>
      <c r="G733" s="10">
        <v>4786666.666666666</v>
      </c>
      <c r="H733">
        <f t="shared" si="44"/>
        <v>4786666.666666666</v>
      </c>
      <c r="I733" t="str">
        <f t="shared" si="45"/>
        <v/>
      </c>
      <c r="J733" t="str">
        <f t="shared" si="46"/>
        <v/>
      </c>
      <c r="K733">
        <v>4026153.78</v>
      </c>
      <c r="L733" t="b">
        <f t="shared" si="43"/>
        <v>0</v>
      </c>
    </row>
    <row r="734" spans="1:12" ht="16" x14ac:dyDescent="0.2">
      <c r="A734" t="s">
        <v>5032</v>
      </c>
      <c r="B734" t="s">
        <v>73</v>
      </c>
      <c r="C734" t="s">
        <v>3338</v>
      </c>
      <c r="D734" s="2" t="s">
        <v>137</v>
      </c>
      <c r="G734" s="10" t="s">
        <v>2892</v>
      </c>
      <c r="H734" t="str">
        <f t="shared" si="44"/>
        <v/>
      </c>
      <c r="I734" t="str">
        <f t="shared" si="45"/>
        <v/>
      </c>
      <c r="J734" t="str">
        <f t="shared" si="46"/>
        <v/>
      </c>
      <c r="L734" t="b">
        <f t="shared" si="43"/>
        <v>1</v>
      </c>
    </row>
    <row r="735" spans="1:12" ht="16" x14ac:dyDescent="0.2">
      <c r="A735" t="s">
        <v>5033</v>
      </c>
      <c r="B735" t="s">
        <v>73</v>
      </c>
      <c r="C735" t="s">
        <v>3339</v>
      </c>
      <c r="D735" s="2" t="s">
        <v>137</v>
      </c>
      <c r="E735">
        <v>2025</v>
      </c>
      <c r="F735">
        <v>2026</v>
      </c>
      <c r="G735" s="10">
        <v>2110000</v>
      </c>
      <c r="H735" t="str">
        <f t="shared" si="44"/>
        <v/>
      </c>
      <c r="I735" t="str">
        <f t="shared" si="45"/>
        <v/>
      </c>
      <c r="J735" t="str">
        <f t="shared" si="46"/>
        <v/>
      </c>
      <c r="K735">
        <v>302005.36</v>
      </c>
      <c r="L735" t="b">
        <f t="shared" si="43"/>
        <v>0</v>
      </c>
    </row>
    <row r="736" spans="1:12" ht="16" x14ac:dyDescent="0.2">
      <c r="A736" t="s">
        <v>5034</v>
      </c>
      <c r="B736" t="s">
        <v>73</v>
      </c>
      <c r="C736" t="s">
        <v>3340</v>
      </c>
      <c r="D736" s="2" t="s">
        <v>137</v>
      </c>
      <c r="E736">
        <v>2025</v>
      </c>
      <c r="F736">
        <v>2026</v>
      </c>
      <c r="G736" s="10">
        <v>3650000</v>
      </c>
      <c r="H736" t="str">
        <f t="shared" si="44"/>
        <v/>
      </c>
      <c r="I736" t="str">
        <f t="shared" si="45"/>
        <v/>
      </c>
      <c r="J736" t="str">
        <f t="shared" si="46"/>
        <v/>
      </c>
      <c r="K736">
        <v>1952589.9</v>
      </c>
      <c r="L736" t="b">
        <f t="shared" si="43"/>
        <v>0</v>
      </c>
    </row>
    <row r="737" spans="1:12" ht="16" x14ac:dyDescent="0.2">
      <c r="A737" t="s">
        <v>5035</v>
      </c>
      <c r="B737" t="s">
        <v>73</v>
      </c>
      <c r="C737" t="s">
        <v>3341</v>
      </c>
      <c r="D737" s="2" t="s">
        <v>137</v>
      </c>
      <c r="E737">
        <v>2025</v>
      </c>
      <c r="F737">
        <v>2026</v>
      </c>
      <c r="G737" s="10">
        <v>4505000</v>
      </c>
      <c r="H737" t="str">
        <f t="shared" si="44"/>
        <v/>
      </c>
      <c r="I737" t="str">
        <f t="shared" si="45"/>
        <v/>
      </c>
      <c r="J737" t="str">
        <f t="shared" si="46"/>
        <v/>
      </c>
      <c r="K737">
        <v>945434.32</v>
      </c>
      <c r="L737" t="b">
        <f t="shared" si="43"/>
        <v>0</v>
      </c>
    </row>
    <row r="738" spans="1:12" ht="16" x14ac:dyDescent="0.2">
      <c r="A738" t="s">
        <v>5036</v>
      </c>
      <c r="B738" t="s">
        <v>73</v>
      </c>
      <c r="C738" t="s">
        <v>3342</v>
      </c>
      <c r="D738" s="2" t="s">
        <v>137</v>
      </c>
      <c r="G738" s="10" t="s">
        <v>2892</v>
      </c>
      <c r="H738" t="str">
        <f t="shared" si="44"/>
        <v/>
      </c>
      <c r="I738" t="str">
        <f t="shared" si="45"/>
        <v/>
      </c>
      <c r="J738" t="str">
        <f t="shared" si="46"/>
        <v/>
      </c>
      <c r="L738" t="b">
        <f t="shared" si="43"/>
        <v>1</v>
      </c>
    </row>
    <row r="739" spans="1:12" ht="16" x14ac:dyDescent="0.2">
      <c r="A739" t="s">
        <v>5037</v>
      </c>
      <c r="B739" t="s">
        <v>73</v>
      </c>
      <c r="C739" t="s">
        <v>3343</v>
      </c>
      <c r="D739" s="2" t="s">
        <v>137</v>
      </c>
      <c r="E739">
        <v>2025</v>
      </c>
      <c r="F739">
        <v>2027</v>
      </c>
      <c r="G739" s="10">
        <v>4156666.666666667</v>
      </c>
      <c r="H739">
        <f t="shared" si="44"/>
        <v>4156666.666666667</v>
      </c>
      <c r="I739" t="str">
        <f t="shared" si="45"/>
        <v/>
      </c>
      <c r="J739" t="str">
        <f t="shared" si="46"/>
        <v/>
      </c>
      <c r="K739">
        <v>1999861.23</v>
      </c>
      <c r="L739" t="b">
        <f t="shared" ref="L739:L802" si="47">IF(F739="",TRUE,FALSE)</f>
        <v>0</v>
      </c>
    </row>
    <row r="740" spans="1:12" ht="16" x14ac:dyDescent="0.2">
      <c r="A740" t="s">
        <v>5038</v>
      </c>
      <c r="B740" t="s">
        <v>73</v>
      </c>
      <c r="C740" t="s">
        <v>3344</v>
      </c>
      <c r="D740" s="2" t="s">
        <v>137</v>
      </c>
      <c r="G740" s="10" t="s">
        <v>2892</v>
      </c>
      <c r="H740" t="str">
        <f t="shared" si="44"/>
        <v/>
      </c>
      <c r="I740" t="str">
        <f t="shared" si="45"/>
        <v/>
      </c>
      <c r="J740" t="str">
        <f t="shared" si="46"/>
        <v/>
      </c>
      <c r="L740" t="b">
        <f t="shared" si="47"/>
        <v>1</v>
      </c>
    </row>
    <row r="741" spans="1:12" ht="16" x14ac:dyDescent="0.2">
      <c r="A741" t="s">
        <v>5039</v>
      </c>
      <c r="B741" t="s">
        <v>73</v>
      </c>
      <c r="C741" t="s">
        <v>3345</v>
      </c>
      <c r="D741" s="2" t="s">
        <v>137</v>
      </c>
      <c r="E741">
        <v>2025</v>
      </c>
      <c r="F741">
        <v>2028</v>
      </c>
      <c r="G741" s="10">
        <v>6265000</v>
      </c>
      <c r="H741">
        <f t="shared" si="44"/>
        <v>6265000</v>
      </c>
      <c r="I741">
        <f t="shared" si="45"/>
        <v>6265000</v>
      </c>
      <c r="J741" t="str">
        <f t="shared" si="46"/>
        <v/>
      </c>
      <c r="K741">
        <v>4724364.2</v>
      </c>
      <c r="L741" t="b">
        <f t="shared" si="47"/>
        <v>0</v>
      </c>
    </row>
    <row r="742" spans="1:12" ht="16" x14ac:dyDescent="0.2">
      <c r="A742" t="s">
        <v>5040</v>
      </c>
      <c r="B742" t="s">
        <v>73</v>
      </c>
      <c r="C742" t="s">
        <v>3346</v>
      </c>
      <c r="D742" s="2" t="s">
        <v>137</v>
      </c>
      <c r="E742">
        <v>2026</v>
      </c>
      <c r="F742">
        <v>2029</v>
      </c>
      <c r="G742" s="10">
        <v>4440000</v>
      </c>
      <c r="H742">
        <f t="shared" si="44"/>
        <v>4440000</v>
      </c>
      <c r="I742">
        <f t="shared" si="45"/>
        <v>4440000</v>
      </c>
      <c r="J742">
        <f t="shared" si="46"/>
        <v>4440000</v>
      </c>
      <c r="K742">
        <v>3350339.94</v>
      </c>
      <c r="L742" t="b">
        <f t="shared" si="47"/>
        <v>0</v>
      </c>
    </row>
    <row r="743" spans="1:12" ht="16" x14ac:dyDescent="0.2">
      <c r="A743" t="s">
        <v>5041</v>
      </c>
      <c r="B743" t="s">
        <v>73</v>
      </c>
      <c r="C743" t="s">
        <v>3347</v>
      </c>
      <c r="D743" s="2" t="s">
        <v>137</v>
      </c>
      <c r="E743">
        <v>2025</v>
      </c>
      <c r="F743">
        <v>2027</v>
      </c>
      <c r="G743" s="10">
        <v>6033333.333333334</v>
      </c>
      <c r="H743">
        <f t="shared" si="44"/>
        <v>6033333.333333334</v>
      </c>
      <c r="I743" t="str">
        <f t="shared" si="45"/>
        <v/>
      </c>
      <c r="J743" t="str">
        <f t="shared" si="46"/>
        <v/>
      </c>
      <c r="K743">
        <v>3751156.12</v>
      </c>
      <c r="L743" t="b">
        <f t="shared" si="47"/>
        <v>0</v>
      </c>
    </row>
    <row r="744" spans="1:12" ht="16" x14ac:dyDescent="0.2">
      <c r="A744" t="s">
        <v>5042</v>
      </c>
      <c r="B744" t="s">
        <v>73</v>
      </c>
      <c r="C744" t="s">
        <v>3348</v>
      </c>
      <c r="D744" s="2" t="s">
        <v>137</v>
      </c>
      <c r="E744">
        <v>2025</v>
      </c>
      <c r="F744">
        <v>2027</v>
      </c>
      <c r="G744" s="10">
        <v>2813333.333333333</v>
      </c>
      <c r="H744">
        <f t="shared" si="44"/>
        <v>2813333.333333333</v>
      </c>
      <c r="I744" t="str">
        <f t="shared" si="45"/>
        <v/>
      </c>
      <c r="J744" t="str">
        <f t="shared" si="46"/>
        <v/>
      </c>
      <c r="K744">
        <v>1254633.78</v>
      </c>
      <c r="L744" t="b">
        <f t="shared" si="47"/>
        <v>0</v>
      </c>
    </row>
    <row r="745" spans="1:12" ht="16" x14ac:dyDescent="0.2">
      <c r="A745" t="s">
        <v>5043</v>
      </c>
      <c r="B745" t="s">
        <v>73</v>
      </c>
      <c r="C745" t="s">
        <v>3349</v>
      </c>
      <c r="D745" s="2" t="s">
        <v>137</v>
      </c>
      <c r="E745">
        <v>2025</v>
      </c>
      <c r="F745">
        <v>2026</v>
      </c>
      <c r="G745" s="10">
        <v>2100000</v>
      </c>
      <c r="H745" t="str">
        <f t="shared" si="44"/>
        <v/>
      </c>
      <c r="I745" t="str">
        <f t="shared" si="45"/>
        <v/>
      </c>
      <c r="J745" t="str">
        <f t="shared" si="46"/>
        <v/>
      </c>
      <c r="K745">
        <v>146757.88</v>
      </c>
      <c r="L745" t="b">
        <f t="shared" si="47"/>
        <v>0</v>
      </c>
    </row>
    <row r="746" spans="1:12" ht="16" x14ac:dyDescent="0.2">
      <c r="A746" t="s">
        <v>5044</v>
      </c>
      <c r="B746" t="s">
        <v>73</v>
      </c>
      <c r="C746" t="s">
        <v>3350</v>
      </c>
      <c r="D746" s="2" t="s">
        <v>137</v>
      </c>
      <c r="G746" s="10" t="s">
        <v>2892</v>
      </c>
      <c r="H746" t="str">
        <f t="shared" si="44"/>
        <v/>
      </c>
      <c r="I746" t="str">
        <f t="shared" si="45"/>
        <v/>
      </c>
      <c r="J746" t="str">
        <f t="shared" si="46"/>
        <v/>
      </c>
      <c r="L746" t="b">
        <f t="shared" si="47"/>
        <v>1</v>
      </c>
    </row>
    <row r="747" spans="1:12" ht="16" x14ac:dyDescent="0.2">
      <c r="A747" t="s">
        <v>5045</v>
      </c>
      <c r="B747" t="s">
        <v>73</v>
      </c>
      <c r="C747" t="s">
        <v>3351</v>
      </c>
      <c r="D747" s="2" t="s">
        <v>137</v>
      </c>
      <c r="G747" s="10" t="s">
        <v>2892</v>
      </c>
      <c r="H747" t="str">
        <f t="shared" si="44"/>
        <v/>
      </c>
      <c r="I747" t="str">
        <f t="shared" si="45"/>
        <v/>
      </c>
      <c r="J747" t="str">
        <f t="shared" si="46"/>
        <v/>
      </c>
      <c r="L747" t="b">
        <f t="shared" si="47"/>
        <v>1</v>
      </c>
    </row>
    <row r="748" spans="1:12" ht="16" x14ac:dyDescent="0.2">
      <c r="A748" t="s">
        <v>5046</v>
      </c>
      <c r="B748" t="s">
        <v>73</v>
      </c>
      <c r="C748" t="s">
        <v>3352</v>
      </c>
      <c r="D748" s="2" t="s">
        <v>137</v>
      </c>
      <c r="E748">
        <v>2025</v>
      </c>
      <c r="F748">
        <v>2026</v>
      </c>
      <c r="G748" s="10">
        <v>1790000</v>
      </c>
      <c r="H748" t="str">
        <f t="shared" si="44"/>
        <v/>
      </c>
      <c r="I748" t="str">
        <f t="shared" si="45"/>
        <v/>
      </c>
      <c r="J748" t="str">
        <f t="shared" si="46"/>
        <v/>
      </c>
      <c r="K748">
        <v>288042.36</v>
      </c>
      <c r="L748" t="b">
        <f t="shared" si="47"/>
        <v>0</v>
      </c>
    </row>
    <row r="749" spans="1:12" ht="16" x14ac:dyDescent="0.2">
      <c r="A749" t="s">
        <v>5047</v>
      </c>
      <c r="B749" t="s">
        <v>73</v>
      </c>
      <c r="C749" t="s">
        <v>3353</v>
      </c>
      <c r="D749" s="2" t="s">
        <v>137</v>
      </c>
      <c r="G749" s="10" t="s">
        <v>2892</v>
      </c>
      <c r="H749" t="str">
        <f t="shared" si="44"/>
        <v/>
      </c>
      <c r="I749" t="str">
        <f t="shared" si="45"/>
        <v/>
      </c>
      <c r="J749" t="str">
        <f t="shared" si="46"/>
        <v/>
      </c>
      <c r="L749" t="b">
        <f t="shared" si="47"/>
        <v>1</v>
      </c>
    </row>
    <row r="750" spans="1:12" ht="16" x14ac:dyDescent="0.2">
      <c r="A750" t="s">
        <v>5048</v>
      </c>
      <c r="B750" t="s">
        <v>73</v>
      </c>
      <c r="C750" t="s">
        <v>3354</v>
      </c>
      <c r="D750" s="2" t="s">
        <v>137</v>
      </c>
      <c r="E750">
        <v>2025</v>
      </c>
      <c r="F750">
        <v>2026</v>
      </c>
      <c r="G750" s="10">
        <v>2880000</v>
      </c>
      <c r="H750" t="str">
        <f t="shared" si="44"/>
        <v/>
      </c>
      <c r="I750" t="str">
        <f t="shared" si="45"/>
        <v/>
      </c>
      <c r="J750" t="str">
        <f t="shared" si="46"/>
        <v/>
      </c>
      <c r="K750">
        <v>987399.54</v>
      </c>
      <c r="L750" t="b">
        <f t="shared" si="47"/>
        <v>0</v>
      </c>
    </row>
    <row r="751" spans="1:12" ht="16" x14ac:dyDescent="0.2">
      <c r="A751" t="s">
        <v>5049</v>
      </c>
      <c r="B751" t="s">
        <v>73</v>
      </c>
      <c r="C751" t="s">
        <v>3355</v>
      </c>
      <c r="D751" s="2" t="s">
        <v>137</v>
      </c>
      <c r="E751">
        <v>2025</v>
      </c>
      <c r="F751">
        <v>2026</v>
      </c>
      <c r="G751" s="10">
        <v>2275000</v>
      </c>
      <c r="H751" t="str">
        <f t="shared" si="44"/>
        <v/>
      </c>
      <c r="I751" t="str">
        <f t="shared" si="45"/>
        <v/>
      </c>
      <c r="J751" t="str">
        <f t="shared" si="46"/>
        <v/>
      </c>
      <c r="K751">
        <v>589524.09</v>
      </c>
      <c r="L751" t="b">
        <f t="shared" si="47"/>
        <v>0</v>
      </c>
    </row>
    <row r="752" spans="1:12" ht="16" x14ac:dyDescent="0.2">
      <c r="A752" t="s">
        <v>5050</v>
      </c>
      <c r="B752" t="s">
        <v>73</v>
      </c>
      <c r="C752" t="s">
        <v>3356</v>
      </c>
      <c r="D752" s="2" t="s">
        <v>137</v>
      </c>
      <c r="E752">
        <v>2025</v>
      </c>
      <c r="F752">
        <v>2026</v>
      </c>
      <c r="G752" s="10">
        <v>5355000</v>
      </c>
      <c r="H752" t="str">
        <f t="shared" si="44"/>
        <v/>
      </c>
      <c r="I752" t="str">
        <f t="shared" si="45"/>
        <v/>
      </c>
      <c r="J752" t="str">
        <f t="shared" si="46"/>
        <v/>
      </c>
      <c r="K752">
        <v>2818031.54</v>
      </c>
      <c r="L752" t="b">
        <f t="shared" si="47"/>
        <v>0</v>
      </c>
    </row>
    <row r="753" spans="1:12" ht="16" x14ac:dyDescent="0.2">
      <c r="A753" t="s">
        <v>5051</v>
      </c>
      <c r="B753" t="s">
        <v>73</v>
      </c>
      <c r="C753" t="s">
        <v>3357</v>
      </c>
      <c r="D753" s="2" t="s">
        <v>137</v>
      </c>
      <c r="E753">
        <v>2025</v>
      </c>
      <c r="F753">
        <v>2026</v>
      </c>
      <c r="G753" s="10">
        <v>4035000</v>
      </c>
      <c r="H753" t="str">
        <f t="shared" si="44"/>
        <v/>
      </c>
      <c r="I753" t="str">
        <f t="shared" si="45"/>
        <v/>
      </c>
      <c r="J753" t="str">
        <f t="shared" si="46"/>
        <v/>
      </c>
      <c r="K753">
        <v>1523931.13</v>
      </c>
      <c r="L753" t="b">
        <f t="shared" si="47"/>
        <v>0</v>
      </c>
    </row>
    <row r="754" spans="1:12" ht="16" x14ac:dyDescent="0.2">
      <c r="A754" t="s">
        <v>5052</v>
      </c>
      <c r="B754" t="s">
        <v>73</v>
      </c>
      <c r="C754" t="s">
        <v>3358</v>
      </c>
      <c r="D754" s="2" t="s">
        <v>137</v>
      </c>
      <c r="E754">
        <v>2025</v>
      </c>
      <c r="F754">
        <v>2026</v>
      </c>
      <c r="G754" s="10">
        <v>2570000</v>
      </c>
      <c r="H754" t="str">
        <f t="shared" si="44"/>
        <v/>
      </c>
      <c r="I754" t="str">
        <f t="shared" si="45"/>
        <v/>
      </c>
      <c r="J754" t="str">
        <f t="shared" si="46"/>
        <v/>
      </c>
      <c r="K754">
        <v>733234.86</v>
      </c>
      <c r="L754" t="b">
        <f t="shared" si="47"/>
        <v>0</v>
      </c>
    </row>
    <row r="755" spans="1:12" ht="16" x14ac:dyDescent="0.2">
      <c r="A755" t="s">
        <v>5053</v>
      </c>
      <c r="B755" t="s">
        <v>73</v>
      </c>
      <c r="C755" t="s">
        <v>3359</v>
      </c>
      <c r="D755" s="2" t="s">
        <v>137</v>
      </c>
      <c r="E755">
        <v>2025</v>
      </c>
      <c r="F755">
        <v>2027</v>
      </c>
      <c r="G755" s="10">
        <v>3440000</v>
      </c>
      <c r="H755">
        <f t="shared" si="44"/>
        <v>3440000</v>
      </c>
      <c r="I755" t="str">
        <f t="shared" si="45"/>
        <v/>
      </c>
      <c r="J755" t="str">
        <f t="shared" si="46"/>
        <v/>
      </c>
      <c r="K755">
        <v>1438325.41</v>
      </c>
      <c r="L755" t="b">
        <f t="shared" si="47"/>
        <v>0</v>
      </c>
    </row>
    <row r="756" spans="1:12" ht="16" x14ac:dyDescent="0.2">
      <c r="A756" t="s">
        <v>5054</v>
      </c>
      <c r="B756" t="s">
        <v>73</v>
      </c>
      <c r="C756" t="s">
        <v>3360</v>
      </c>
      <c r="D756" s="2" t="s">
        <v>138</v>
      </c>
      <c r="E756">
        <v>2025</v>
      </c>
      <c r="F756">
        <v>2026</v>
      </c>
      <c r="G756" s="10">
        <v>4305000</v>
      </c>
      <c r="H756" t="str">
        <f t="shared" si="44"/>
        <v/>
      </c>
      <c r="I756" t="str">
        <f t="shared" si="45"/>
        <v/>
      </c>
      <c r="J756" t="str">
        <f t="shared" si="46"/>
        <v/>
      </c>
      <c r="K756">
        <v>948931.52</v>
      </c>
      <c r="L756" t="b">
        <f t="shared" si="47"/>
        <v>0</v>
      </c>
    </row>
    <row r="757" spans="1:12" ht="16" x14ac:dyDescent="0.2">
      <c r="A757" t="s">
        <v>5055</v>
      </c>
      <c r="B757" t="s">
        <v>73</v>
      </c>
      <c r="C757" t="s">
        <v>3361</v>
      </c>
      <c r="D757" s="2" t="s">
        <v>138</v>
      </c>
      <c r="G757" s="10" t="s">
        <v>2892</v>
      </c>
      <c r="H757" t="str">
        <f t="shared" si="44"/>
        <v/>
      </c>
      <c r="I757" t="str">
        <f t="shared" si="45"/>
        <v/>
      </c>
      <c r="J757" t="str">
        <f t="shared" si="46"/>
        <v/>
      </c>
      <c r="L757" t="b">
        <f t="shared" si="47"/>
        <v>1</v>
      </c>
    </row>
    <row r="758" spans="1:12" ht="16" x14ac:dyDescent="0.2">
      <c r="A758" t="s">
        <v>5056</v>
      </c>
      <c r="B758" t="s">
        <v>73</v>
      </c>
      <c r="C758" t="s">
        <v>3362</v>
      </c>
      <c r="D758" s="2" t="s">
        <v>138</v>
      </c>
      <c r="E758">
        <v>2025</v>
      </c>
      <c r="F758">
        <v>2026</v>
      </c>
      <c r="G758" s="10">
        <v>5515000</v>
      </c>
      <c r="H758" t="str">
        <f t="shared" si="44"/>
        <v/>
      </c>
      <c r="I758" t="str">
        <f t="shared" si="45"/>
        <v/>
      </c>
      <c r="J758" t="str">
        <f t="shared" si="46"/>
        <v/>
      </c>
      <c r="K758">
        <v>2147088.7200000002</v>
      </c>
      <c r="L758" t="b">
        <f t="shared" si="47"/>
        <v>0</v>
      </c>
    </row>
    <row r="759" spans="1:12" ht="16" x14ac:dyDescent="0.2">
      <c r="A759" t="s">
        <v>5057</v>
      </c>
      <c r="B759" t="s">
        <v>73</v>
      </c>
      <c r="C759" t="s">
        <v>3363</v>
      </c>
      <c r="D759" s="2" t="s">
        <v>138</v>
      </c>
      <c r="E759">
        <v>2025</v>
      </c>
      <c r="F759">
        <v>2026</v>
      </c>
      <c r="G759" s="10">
        <v>14855000</v>
      </c>
      <c r="H759" t="str">
        <f t="shared" si="44"/>
        <v/>
      </c>
      <c r="I759" t="str">
        <f t="shared" si="45"/>
        <v/>
      </c>
      <c r="J759" t="str">
        <f t="shared" si="46"/>
        <v/>
      </c>
      <c r="K759">
        <v>16125890.33</v>
      </c>
      <c r="L759" t="b">
        <f t="shared" si="47"/>
        <v>0</v>
      </c>
    </row>
    <row r="760" spans="1:12" ht="16" x14ac:dyDescent="0.2">
      <c r="A760" t="s">
        <v>5058</v>
      </c>
      <c r="B760" t="s">
        <v>73</v>
      </c>
      <c r="C760" t="s">
        <v>3364</v>
      </c>
      <c r="D760" s="2" t="s">
        <v>138</v>
      </c>
      <c r="E760">
        <v>2025</v>
      </c>
      <c r="F760">
        <v>2026</v>
      </c>
      <c r="G760" s="10">
        <v>4375000</v>
      </c>
      <c r="H760" t="str">
        <f t="shared" si="44"/>
        <v/>
      </c>
      <c r="I760" t="str">
        <f t="shared" si="45"/>
        <v/>
      </c>
      <c r="J760" t="str">
        <f t="shared" si="46"/>
        <v/>
      </c>
      <c r="K760">
        <v>1778723.44</v>
      </c>
      <c r="L760" t="b">
        <f t="shared" si="47"/>
        <v>0</v>
      </c>
    </row>
    <row r="761" spans="1:12" ht="16" x14ac:dyDescent="0.2">
      <c r="A761" t="s">
        <v>5059</v>
      </c>
      <c r="B761" t="s">
        <v>73</v>
      </c>
      <c r="C761" t="s">
        <v>3365</v>
      </c>
      <c r="D761" s="2" t="s">
        <v>138</v>
      </c>
      <c r="G761" s="10" t="s">
        <v>2892</v>
      </c>
      <c r="H761" t="str">
        <f t="shared" si="44"/>
        <v/>
      </c>
      <c r="I761" t="str">
        <f t="shared" si="45"/>
        <v/>
      </c>
      <c r="J761" t="str">
        <f t="shared" si="46"/>
        <v/>
      </c>
      <c r="L761" t="b">
        <f t="shared" si="47"/>
        <v>1</v>
      </c>
    </row>
    <row r="762" spans="1:12" ht="16" x14ac:dyDescent="0.2">
      <c r="A762" t="s">
        <v>5060</v>
      </c>
      <c r="B762" t="s">
        <v>73</v>
      </c>
      <c r="C762" t="s">
        <v>3366</v>
      </c>
      <c r="D762" s="2" t="s">
        <v>138</v>
      </c>
      <c r="E762">
        <v>2025</v>
      </c>
      <c r="F762">
        <v>2028</v>
      </c>
      <c r="G762" s="10">
        <v>19220000</v>
      </c>
      <c r="H762">
        <f t="shared" si="44"/>
        <v>19220000</v>
      </c>
      <c r="I762">
        <f t="shared" si="45"/>
        <v>19220000</v>
      </c>
      <c r="J762" t="str">
        <f t="shared" si="46"/>
        <v/>
      </c>
      <c r="K762">
        <v>45351055.109999999</v>
      </c>
      <c r="L762" t="b">
        <f t="shared" si="47"/>
        <v>0</v>
      </c>
    </row>
    <row r="763" spans="1:12" ht="16" x14ac:dyDescent="0.2">
      <c r="A763" t="s">
        <v>5061</v>
      </c>
      <c r="B763" t="s">
        <v>73</v>
      </c>
      <c r="C763" t="s">
        <v>3367</v>
      </c>
      <c r="D763" s="2" t="s">
        <v>138</v>
      </c>
      <c r="E763">
        <v>2025</v>
      </c>
      <c r="F763">
        <v>2027</v>
      </c>
      <c r="G763" s="10">
        <v>9696666.6666666679</v>
      </c>
      <c r="H763">
        <f t="shared" si="44"/>
        <v>9696666.6666666679</v>
      </c>
      <c r="I763" t="str">
        <f t="shared" si="45"/>
        <v/>
      </c>
      <c r="J763" t="str">
        <f t="shared" si="46"/>
        <v/>
      </c>
      <c r="K763">
        <v>9686015.0700000003</v>
      </c>
      <c r="L763" t="b">
        <f t="shared" si="47"/>
        <v>0</v>
      </c>
    </row>
    <row r="764" spans="1:12" ht="16" x14ac:dyDescent="0.2">
      <c r="A764" t="s">
        <v>5062</v>
      </c>
      <c r="B764" t="s">
        <v>73</v>
      </c>
      <c r="C764" t="s">
        <v>3368</v>
      </c>
      <c r="D764" s="2" t="s">
        <v>138</v>
      </c>
      <c r="E764">
        <v>2025</v>
      </c>
      <c r="F764">
        <v>2027</v>
      </c>
      <c r="G764" s="10">
        <v>5640000.0000000009</v>
      </c>
      <c r="H764">
        <f t="shared" si="44"/>
        <v>5640000.0000000009</v>
      </c>
      <c r="I764" t="str">
        <f t="shared" si="45"/>
        <v/>
      </c>
      <c r="J764" t="str">
        <f t="shared" si="46"/>
        <v/>
      </c>
      <c r="K764">
        <v>3660473.5</v>
      </c>
      <c r="L764" t="b">
        <f t="shared" si="47"/>
        <v>0</v>
      </c>
    </row>
    <row r="765" spans="1:12" ht="16" x14ac:dyDescent="0.2">
      <c r="A765" t="s">
        <v>5063</v>
      </c>
      <c r="B765" t="s">
        <v>73</v>
      </c>
      <c r="C765" t="s">
        <v>3369</v>
      </c>
      <c r="D765" s="2" t="s">
        <v>138</v>
      </c>
      <c r="E765">
        <v>2025</v>
      </c>
      <c r="F765">
        <v>2026</v>
      </c>
      <c r="G765" s="10">
        <v>6110000</v>
      </c>
      <c r="H765" t="str">
        <f t="shared" si="44"/>
        <v/>
      </c>
      <c r="I765" t="str">
        <f t="shared" si="45"/>
        <v/>
      </c>
      <c r="J765" t="str">
        <f t="shared" si="46"/>
        <v/>
      </c>
      <c r="K765">
        <v>1225229.56</v>
      </c>
      <c r="L765" t="b">
        <f t="shared" si="47"/>
        <v>0</v>
      </c>
    </row>
    <row r="766" spans="1:12" ht="16" x14ac:dyDescent="0.2">
      <c r="A766" t="s">
        <v>5064</v>
      </c>
      <c r="B766" t="s">
        <v>73</v>
      </c>
      <c r="C766" t="s">
        <v>3370</v>
      </c>
      <c r="D766" s="2" t="s">
        <v>138</v>
      </c>
      <c r="E766">
        <v>2025</v>
      </c>
      <c r="F766">
        <v>2027</v>
      </c>
      <c r="G766" s="10">
        <v>4903333.333333333</v>
      </c>
      <c r="H766">
        <f t="shared" si="44"/>
        <v>4903333.333333333</v>
      </c>
      <c r="I766" t="str">
        <f t="shared" si="45"/>
        <v/>
      </c>
      <c r="J766" t="str">
        <f t="shared" si="46"/>
        <v/>
      </c>
      <c r="K766">
        <v>3104336.01</v>
      </c>
      <c r="L766" t="b">
        <f t="shared" si="47"/>
        <v>0</v>
      </c>
    </row>
    <row r="767" spans="1:12" ht="16" x14ac:dyDescent="0.2">
      <c r="A767" t="s">
        <v>5065</v>
      </c>
      <c r="B767" t="s">
        <v>73</v>
      </c>
      <c r="C767" t="s">
        <v>3371</v>
      </c>
      <c r="D767" s="2" t="s">
        <v>138</v>
      </c>
      <c r="E767">
        <v>2025</v>
      </c>
      <c r="F767">
        <v>2026</v>
      </c>
      <c r="G767" s="10">
        <v>7850000</v>
      </c>
      <c r="H767" t="str">
        <f t="shared" si="44"/>
        <v/>
      </c>
      <c r="I767" t="str">
        <f t="shared" si="45"/>
        <v/>
      </c>
      <c r="J767" t="str">
        <f t="shared" si="46"/>
        <v/>
      </c>
      <c r="K767">
        <v>4427973.71</v>
      </c>
      <c r="L767" t="b">
        <f t="shared" si="47"/>
        <v>0</v>
      </c>
    </row>
    <row r="768" spans="1:12" ht="16" x14ac:dyDescent="0.2">
      <c r="A768" t="s">
        <v>5066</v>
      </c>
      <c r="B768" t="s">
        <v>73</v>
      </c>
      <c r="C768" t="s">
        <v>3372</v>
      </c>
      <c r="D768" s="2" t="s">
        <v>138</v>
      </c>
      <c r="E768">
        <v>2025</v>
      </c>
      <c r="F768">
        <v>2027</v>
      </c>
      <c r="G768" s="10">
        <v>8456666.6666666679</v>
      </c>
      <c r="H768">
        <f t="shared" si="44"/>
        <v>8456666.6666666679</v>
      </c>
      <c r="I768" t="str">
        <f t="shared" si="45"/>
        <v/>
      </c>
      <c r="J768" t="str">
        <f t="shared" si="46"/>
        <v/>
      </c>
      <c r="K768">
        <v>9094432.0299999993</v>
      </c>
      <c r="L768" t="b">
        <f t="shared" si="47"/>
        <v>0</v>
      </c>
    </row>
    <row r="769" spans="1:12" ht="16" x14ac:dyDescent="0.2">
      <c r="A769" t="s">
        <v>5067</v>
      </c>
      <c r="B769" t="s">
        <v>73</v>
      </c>
      <c r="C769" t="s">
        <v>3373</v>
      </c>
      <c r="D769" s="2" t="s">
        <v>138</v>
      </c>
      <c r="G769" s="10" t="s">
        <v>2892</v>
      </c>
      <c r="H769" t="str">
        <f t="shared" si="44"/>
        <v/>
      </c>
      <c r="I769" t="str">
        <f t="shared" si="45"/>
        <v/>
      </c>
      <c r="J769" t="str">
        <f t="shared" si="46"/>
        <v/>
      </c>
      <c r="L769" t="b">
        <f t="shared" si="47"/>
        <v>1</v>
      </c>
    </row>
    <row r="770" spans="1:12" ht="16" x14ac:dyDescent="0.2">
      <c r="A770" t="s">
        <v>5068</v>
      </c>
      <c r="B770" t="s">
        <v>73</v>
      </c>
      <c r="C770" t="s">
        <v>3374</v>
      </c>
      <c r="D770" s="2" t="s">
        <v>138</v>
      </c>
      <c r="E770">
        <v>2025</v>
      </c>
      <c r="F770">
        <v>2026</v>
      </c>
      <c r="G770" s="10">
        <v>2490000</v>
      </c>
      <c r="H770" t="str">
        <f t="shared" si="44"/>
        <v/>
      </c>
      <c r="I770" t="str">
        <f t="shared" si="45"/>
        <v/>
      </c>
      <c r="J770" t="str">
        <f t="shared" si="46"/>
        <v/>
      </c>
      <c r="K770">
        <v>472708.18</v>
      </c>
      <c r="L770" t="b">
        <f t="shared" si="47"/>
        <v>0</v>
      </c>
    </row>
    <row r="771" spans="1:12" ht="16" x14ac:dyDescent="0.2">
      <c r="A771" t="s">
        <v>5069</v>
      </c>
      <c r="B771" t="s">
        <v>73</v>
      </c>
      <c r="C771" t="s">
        <v>3375</v>
      </c>
      <c r="D771" s="2" t="s">
        <v>138</v>
      </c>
      <c r="G771" s="10" t="s">
        <v>2892</v>
      </c>
      <c r="H771" t="str">
        <f t="shared" si="44"/>
        <v/>
      </c>
      <c r="I771" t="str">
        <f t="shared" si="45"/>
        <v/>
      </c>
      <c r="J771" t="str">
        <f t="shared" si="46"/>
        <v/>
      </c>
      <c r="L771" t="b">
        <f t="shared" si="47"/>
        <v>1</v>
      </c>
    </row>
    <row r="772" spans="1:12" ht="16" x14ac:dyDescent="0.2">
      <c r="A772" t="s">
        <v>5070</v>
      </c>
      <c r="B772" t="s">
        <v>73</v>
      </c>
      <c r="C772" t="s">
        <v>3376</v>
      </c>
      <c r="D772" s="2" t="s">
        <v>138</v>
      </c>
      <c r="G772" s="10" t="s">
        <v>2892</v>
      </c>
      <c r="H772" t="str">
        <f t="shared" ref="H772:H835" si="48">IF(F772&gt;=2027,G772,"")</f>
        <v/>
      </c>
      <c r="I772" t="str">
        <f t="shared" ref="I772:I835" si="49">IF(F772&gt;=2028,G772,"")</f>
        <v/>
      </c>
      <c r="J772" t="str">
        <f t="shared" ref="J772:J835" si="50">IF(F772&gt;=2029,G772,"")</f>
        <v/>
      </c>
      <c r="L772" t="b">
        <f t="shared" si="47"/>
        <v>1</v>
      </c>
    </row>
    <row r="773" spans="1:12" ht="16" x14ac:dyDescent="0.2">
      <c r="A773" t="s">
        <v>5071</v>
      </c>
      <c r="B773" t="s">
        <v>73</v>
      </c>
      <c r="C773" t="s">
        <v>3377</v>
      </c>
      <c r="D773" s="2" t="s">
        <v>138</v>
      </c>
      <c r="E773">
        <v>2025</v>
      </c>
      <c r="F773">
        <v>2026</v>
      </c>
      <c r="G773" s="10">
        <v>4900000</v>
      </c>
      <c r="H773" t="str">
        <f t="shared" si="48"/>
        <v/>
      </c>
      <c r="I773" t="str">
        <f t="shared" si="49"/>
        <v/>
      </c>
      <c r="J773" t="str">
        <f t="shared" si="50"/>
        <v/>
      </c>
      <c r="K773">
        <v>1674730.77</v>
      </c>
      <c r="L773" t="b">
        <f t="shared" si="47"/>
        <v>0</v>
      </c>
    </row>
    <row r="774" spans="1:12" ht="16" x14ac:dyDescent="0.2">
      <c r="A774" t="s">
        <v>5072</v>
      </c>
      <c r="B774" t="s">
        <v>73</v>
      </c>
      <c r="C774" t="s">
        <v>3378</v>
      </c>
      <c r="D774" s="2" t="s">
        <v>138</v>
      </c>
      <c r="E774">
        <v>2026</v>
      </c>
      <c r="F774">
        <v>2029</v>
      </c>
      <c r="G774" s="10">
        <v>15756666.666666668</v>
      </c>
      <c r="H774">
        <f t="shared" si="48"/>
        <v>15756666.666666668</v>
      </c>
      <c r="I774">
        <f t="shared" si="49"/>
        <v>15756666.666666668</v>
      </c>
      <c r="J774">
        <f t="shared" si="50"/>
        <v>15756666.666666668</v>
      </c>
      <c r="K774">
        <v>23804159.289999999</v>
      </c>
      <c r="L774" t="b">
        <f t="shared" si="47"/>
        <v>0</v>
      </c>
    </row>
    <row r="775" spans="1:12" ht="16" x14ac:dyDescent="0.2">
      <c r="A775" t="s">
        <v>5073</v>
      </c>
      <c r="B775" t="s">
        <v>73</v>
      </c>
      <c r="C775" t="s">
        <v>3379</v>
      </c>
      <c r="D775" s="2" t="s">
        <v>138</v>
      </c>
      <c r="G775" s="10" t="s">
        <v>2892</v>
      </c>
      <c r="H775" t="str">
        <f t="shared" si="48"/>
        <v/>
      </c>
      <c r="I775" t="str">
        <f t="shared" si="49"/>
        <v/>
      </c>
      <c r="J775" t="str">
        <f t="shared" si="50"/>
        <v/>
      </c>
      <c r="L775" t="b">
        <f t="shared" si="47"/>
        <v>1</v>
      </c>
    </row>
    <row r="776" spans="1:12" ht="16" x14ac:dyDescent="0.2">
      <c r="A776" t="s">
        <v>5074</v>
      </c>
      <c r="B776" t="s">
        <v>73</v>
      </c>
      <c r="C776" t="s">
        <v>3380</v>
      </c>
      <c r="D776" s="2" t="s">
        <v>138</v>
      </c>
      <c r="E776">
        <v>2025</v>
      </c>
      <c r="F776">
        <v>2026</v>
      </c>
      <c r="G776" s="10">
        <v>2270000</v>
      </c>
      <c r="H776" t="str">
        <f t="shared" si="48"/>
        <v/>
      </c>
      <c r="I776" t="str">
        <f t="shared" si="49"/>
        <v/>
      </c>
      <c r="J776" t="str">
        <f t="shared" si="50"/>
        <v/>
      </c>
      <c r="K776">
        <v>372654.89</v>
      </c>
      <c r="L776" t="b">
        <f t="shared" si="47"/>
        <v>0</v>
      </c>
    </row>
    <row r="777" spans="1:12" ht="16" x14ac:dyDescent="0.2">
      <c r="A777" t="s">
        <v>5075</v>
      </c>
      <c r="B777" t="s">
        <v>73</v>
      </c>
      <c r="C777" t="s">
        <v>3381</v>
      </c>
      <c r="D777" s="2" t="s">
        <v>138</v>
      </c>
      <c r="E777">
        <v>2025</v>
      </c>
      <c r="F777">
        <v>2026</v>
      </c>
      <c r="G777" s="10">
        <v>2180000</v>
      </c>
      <c r="H777" t="str">
        <f t="shared" si="48"/>
        <v/>
      </c>
      <c r="I777" t="str">
        <f t="shared" si="49"/>
        <v/>
      </c>
      <c r="J777" t="str">
        <f t="shared" si="50"/>
        <v/>
      </c>
      <c r="K777">
        <v>833784.77</v>
      </c>
      <c r="L777" t="b">
        <f t="shared" si="47"/>
        <v>0</v>
      </c>
    </row>
    <row r="778" spans="1:12" ht="16" x14ac:dyDescent="0.2">
      <c r="A778" t="s">
        <v>5076</v>
      </c>
      <c r="B778" t="s">
        <v>73</v>
      </c>
      <c r="C778" t="s">
        <v>3382</v>
      </c>
      <c r="D778" s="2" t="s">
        <v>138</v>
      </c>
      <c r="E778">
        <v>2025</v>
      </c>
      <c r="F778">
        <v>2027</v>
      </c>
      <c r="G778" s="10">
        <v>3903333.333333334</v>
      </c>
      <c r="H778">
        <f t="shared" si="48"/>
        <v>3903333.333333334</v>
      </c>
      <c r="I778" t="str">
        <f t="shared" si="49"/>
        <v/>
      </c>
      <c r="J778" t="str">
        <f t="shared" si="50"/>
        <v/>
      </c>
      <c r="K778">
        <v>3449745.94</v>
      </c>
      <c r="L778" t="b">
        <f t="shared" si="47"/>
        <v>0</v>
      </c>
    </row>
    <row r="779" spans="1:12" ht="16" x14ac:dyDescent="0.2">
      <c r="A779" t="s">
        <v>5077</v>
      </c>
      <c r="B779" t="s">
        <v>73</v>
      </c>
      <c r="C779" t="s">
        <v>3383</v>
      </c>
      <c r="D779" s="2" t="s">
        <v>138</v>
      </c>
      <c r="E779">
        <v>2025</v>
      </c>
      <c r="F779">
        <v>2029</v>
      </c>
      <c r="G779" s="10">
        <v>3897999.9999999995</v>
      </c>
      <c r="H779">
        <f t="shared" si="48"/>
        <v>3897999.9999999995</v>
      </c>
      <c r="I779">
        <f t="shared" si="49"/>
        <v>3897999.9999999995</v>
      </c>
      <c r="J779">
        <f t="shared" si="50"/>
        <v>3897999.9999999995</v>
      </c>
      <c r="K779">
        <v>4203144</v>
      </c>
      <c r="L779" t="b">
        <f t="shared" si="47"/>
        <v>0</v>
      </c>
    </row>
    <row r="780" spans="1:12" ht="16" x14ac:dyDescent="0.2">
      <c r="A780" t="s">
        <v>5078</v>
      </c>
      <c r="B780" t="s">
        <v>73</v>
      </c>
      <c r="C780" t="s">
        <v>3384</v>
      </c>
      <c r="D780" s="2" t="s">
        <v>138</v>
      </c>
      <c r="E780">
        <v>2025</v>
      </c>
      <c r="F780">
        <v>2027</v>
      </c>
      <c r="G780" s="10">
        <v>24080000</v>
      </c>
      <c r="H780">
        <f t="shared" si="48"/>
        <v>24080000</v>
      </c>
      <c r="I780" t="str">
        <f t="shared" si="49"/>
        <v/>
      </c>
      <c r="J780" t="str">
        <f t="shared" si="50"/>
        <v/>
      </c>
      <c r="K780">
        <v>35417917.159999996</v>
      </c>
      <c r="L780" t="b">
        <f t="shared" si="47"/>
        <v>0</v>
      </c>
    </row>
    <row r="781" spans="1:12" ht="16" x14ac:dyDescent="0.2">
      <c r="A781" t="s">
        <v>5079</v>
      </c>
      <c r="B781" t="s">
        <v>73</v>
      </c>
      <c r="C781" t="s">
        <v>3385</v>
      </c>
      <c r="D781" s="2" t="s">
        <v>138</v>
      </c>
      <c r="E781">
        <v>2025</v>
      </c>
      <c r="F781">
        <v>2027</v>
      </c>
      <c r="G781" s="10">
        <v>12853333.333333334</v>
      </c>
      <c r="H781">
        <f t="shared" si="48"/>
        <v>12853333.333333334</v>
      </c>
      <c r="I781" t="str">
        <f t="shared" si="49"/>
        <v/>
      </c>
      <c r="J781" t="str">
        <f t="shared" si="50"/>
        <v/>
      </c>
      <c r="K781">
        <v>13901897.85</v>
      </c>
      <c r="L781" t="b">
        <f t="shared" si="47"/>
        <v>0</v>
      </c>
    </row>
    <row r="782" spans="1:12" ht="16" x14ac:dyDescent="0.2">
      <c r="A782" t="s">
        <v>5080</v>
      </c>
      <c r="B782" t="s">
        <v>73</v>
      </c>
      <c r="C782" t="s">
        <v>3386</v>
      </c>
      <c r="D782" s="2" t="s">
        <v>138</v>
      </c>
      <c r="E782">
        <v>2026</v>
      </c>
      <c r="F782">
        <v>2029</v>
      </c>
      <c r="G782" s="10">
        <v>5130000</v>
      </c>
      <c r="H782">
        <f t="shared" si="48"/>
        <v>5130000</v>
      </c>
      <c r="I782">
        <f t="shared" si="49"/>
        <v>5130000</v>
      </c>
      <c r="J782">
        <f t="shared" si="50"/>
        <v>5130000</v>
      </c>
      <c r="K782">
        <v>2066134.19</v>
      </c>
      <c r="L782" t="b">
        <f t="shared" si="47"/>
        <v>0</v>
      </c>
    </row>
    <row r="783" spans="1:12" ht="16" x14ac:dyDescent="0.2">
      <c r="A783" t="s">
        <v>5081</v>
      </c>
      <c r="B783" t="s">
        <v>73</v>
      </c>
      <c r="C783" t="s">
        <v>3387</v>
      </c>
      <c r="D783" s="2" t="s">
        <v>138</v>
      </c>
      <c r="E783">
        <v>2025</v>
      </c>
      <c r="F783">
        <v>2026</v>
      </c>
      <c r="G783" s="10">
        <v>4370000</v>
      </c>
      <c r="H783" t="str">
        <f t="shared" si="48"/>
        <v/>
      </c>
      <c r="I783" t="str">
        <f t="shared" si="49"/>
        <v/>
      </c>
      <c r="J783" t="str">
        <f t="shared" si="50"/>
        <v/>
      </c>
      <c r="K783">
        <v>1423136.56</v>
      </c>
      <c r="L783" t="b">
        <f t="shared" si="47"/>
        <v>0</v>
      </c>
    </row>
    <row r="784" spans="1:12" ht="16" x14ac:dyDescent="0.2">
      <c r="A784" t="s">
        <v>5082</v>
      </c>
      <c r="B784" t="s">
        <v>73</v>
      </c>
      <c r="C784" t="s">
        <v>3388</v>
      </c>
      <c r="D784" s="2" t="s">
        <v>138</v>
      </c>
      <c r="G784" s="10" t="s">
        <v>2892</v>
      </c>
      <c r="H784" t="str">
        <f t="shared" si="48"/>
        <v/>
      </c>
      <c r="I784" t="str">
        <f t="shared" si="49"/>
        <v/>
      </c>
      <c r="J784" t="str">
        <f t="shared" si="50"/>
        <v/>
      </c>
      <c r="L784" t="b">
        <f t="shared" si="47"/>
        <v>1</v>
      </c>
    </row>
    <row r="785" spans="1:12" ht="16" x14ac:dyDescent="0.2">
      <c r="A785" t="s">
        <v>5083</v>
      </c>
      <c r="B785" t="s">
        <v>73</v>
      </c>
      <c r="C785" t="s">
        <v>3389</v>
      </c>
      <c r="D785" s="2" t="s">
        <v>138</v>
      </c>
      <c r="E785">
        <v>2025</v>
      </c>
      <c r="F785">
        <v>2026</v>
      </c>
      <c r="G785" s="10">
        <v>11070000</v>
      </c>
      <c r="H785" t="str">
        <f t="shared" si="48"/>
        <v/>
      </c>
      <c r="I785" t="str">
        <f t="shared" si="49"/>
        <v/>
      </c>
      <c r="J785" t="str">
        <f t="shared" si="50"/>
        <v/>
      </c>
      <c r="K785">
        <v>7750200.8799999999</v>
      </c>
      <c r="L785" t="b">
        <f t="shared" si="47"/>
        <v>0</v>
      </c>
    </row>
    <row r="786" spans="1:12" ht="16" x14ac:dyDescent="0.2">
      <c r="A786" t="s">
        <v>5084</v>
      </c>
      <c r="B786" t="s">
        <v>73</v>
      </c>
      <c r="C786" t="s">
        <v>3390</v>
      </c>
      <c r="D786" s="2" t="s">
        <v>138</v>
      </c>
      <c r="E786">
        <v>2025</v>
      </c>
      <c r="F786">
        <v>2027</v>
      </c>
      <c r="G786" s="10">
        <v>10603333.333333334</v>
      </c>
      <c r="H786">
        <f t="shared" si="48"/>
        <v>10603333.333333334</v>
      </c>
      <c r="I786" t="str">
        <f t="shared" si="49"/>
        <v/>
      </c>
      <c r="J786" t="str">
        <f t="shared" si="50"/>
        <v/>
      </c>
      <c r="K786">
        <v>12875836.91</v>
      </c>
      <c r="L786" t="b">
        <f t="shared" si="47"/>
        <v>0</v>
      </c>
    </row>
    <row r="787" spans="1:12" ht="16" x14ac:dyDescent="0.2">
      <c r="A787" t="s">
        <v>5085</v>
      </c>
      <c r="B787" t="s">
        <v>73</v>
      </c>
      <c r="C787" t="s">
        <v>3391</v>
      </c>
      <c r="D787" s="2" t="s">
        <v>138</v>
      </c>
      <c r="G787" s="10" t="s">
        <v>2892</v>
      </c>
      <c r="H787" t="str">
        <f t="shared" si="48"/>
        <v/>
      </c>
      <c r="I787" t="str">
        <f t="shared" si="49"/>
        <v/>
      </c>
      <c r="J787" t="str">
        <f t="shared" si="50"/>
        <v/>
      </c>
      <c r="L787" t="b">
        <f t="shared" si="47"/>
        <v>1</v>
      </c>
    </row>
    <row r="788" spans="1:12" ht="16" x14ac:dyDescent="0.2">
      <c r="A788" t="s">
        <v>5086</v>
      </c>
      <c r="B788" t="s">
        <v>73</v>
      </c>
      <c r="C788" t="s">
        <v>3392</v>
      </c>
      <c r="D788" s="2" t="s">
        <v>138</v>
      </c>
      <c r="E788">
        <v>2025</v>
      </c>
      <c r="F788">
        <v>2026</v>
      </c>
      <c r="G788" s="10">
        <v>1620000</v>
      </c>
      <c r="H788" t="str">
        <f t="shared" si="48"/>
        <v/>
      </c>
      <c r="I788" t="str">
        <f t="shared" si="49"/>
        <v/>
      </c>
      <c r="J788" t="str">
        <f t="shared" si="50"/>
        <v/>
      </c>
      <c r="K788">
        <v>105862.51</v>
      </c>
      <c r="L788" t="b">
        <f t="shared" si="47"/>
        <v>0</v>
      </c>
    </row>
    <row r="789" spans="1:12" ht="16" x14ac:dyDescent="0.2">
      <c r="A789" t="s">
        <v>5087</v>
      </c>
      <c r="B789" t="s">
        <v>73</v>
      </c>
      <c r="C789" t="s">
        <v>3393</v>
      </c>
      <c r="D789" s="2" t="s">
        <v>138</v>
      </c>
      <c r="E789">
        <v>2025</v>
      </c>
      <c r="F789">
        <v>2028</v>
      </c>
      <c r="G789" s="10">
        <v>8785000</v>
      </c>
      <c r="H789">
        <f t="shared" si="48"/>
        <v>8785000</v>
      </c>
      <c r="I789">
        <f t="shared" si="49"/>
        <v>8785000</v>
      </c>
      <c r="J789" t="str">
        <f t="shared" si="50"/>
        <v/>
      </c>
      <c r="K789">
        <v>9019210.1400000006</v>
      </c>
      <c r="L789" t="b">
        <f t="shared" si="47"/>
        <v>0</v>
      </c>
    </row>
    <row r="790" spans="1:12" ht="16" x14ac:dyDescent="0.2">
      <c r="A790" t="s">
        <v>5088</v>
      </c>
      <c r="B790" t="s">
        <v>73</v>
      </c>
      <c r="C790" t="s">
        <v>3394</v>
      </c>
      <c r="D790" s="2" t="s">
        <v>138</v>
      </c>
      <c r="E790">
        <v>2025</v>
      </c>
      <c r="F790">
        <v>2027</v>
      </c>
      <c r="G790" s="10">
        <v>11586666.666666666</v>
      </c>
      <c r="H790">
        <f t="shared" si="48"/>
        <v>11586666.666666666</v>
      </c>
      <c r="I790" t="str">
        <f t="shared" si="49"/>
        <v/>
      </c>
      <c r="J790" t="str">
        <f t="shared" si="50"/>
        <v/>
      </c>
      <c r="K790">
        <v>12588655.609999999</v>
      </c>
      <c r="L790" t="b">
        <f t="shared" si="47"/>
        <v>0</v>
      </c>
    </row>
    <row r="791" spans="1:12" ht="16" x14ac:dyDescent="0.2">
      <c r="A791" t="s">
        <v>5089</v>
      </c>
      <c r="B791" t="s">
        <v>73</v>
      </c>
      <c r="C791" t="s">
        <v>3395</v>
      </c>
      <c r="D791" s="2" t="s">
        <v>138</v>
      </c>
      <c r="E791">
        <v>2025</v>
      </c>
      <c r="F791">
        <v>2026</v>
      </c>
      <c r="G791" s="10">
        <v>5910000</v>
      </c>
      <c r="H791" t="str">
        <f t="shared" si="48"/>
        <v/>
      </c>
      <c r="I791" t="str">
        <f t="shared" si="49"/>
        <v/>
      </c>
      <c r="J791" t="str">
        <f t="shared" si="50"/>
        <v/>
      </c>
      <c r="K791">
        <v>1780971.34</v>
      </c>
      <c r="L791" t="b">
        <f t="shared" si="47"/>
        <v>0</v>
      </c>
    </row>
    <row r="792" spans="1:12" ht="16" x14ac:dyDescent="0.2">
      <c r="A792" t="s">
        <v>5090</v>
      </c>
      <c r="B792" t="s">
        <v>73</v>
      </c>
      <c r="C792" t="s">
        <v>3396</v>
      </c>
      <c r="D792" s="2" t="s">
        <v>138</v>
      </c>
      <c r="G792" s="10" t="s">
        <v>2892</v>
      </c>
      <c r="H792" t="str">
        <f t="shared" si="48"/>
        <v/>
      </c>
      <c r="I792" t="str">
        <f t="shared" si="49"/>
        <v/>
      </c>
      <c r="J792" t="str">
        <f t="shared" si="50"/>
        <v/>
      </c>
      <c r="L792" t="b">
        <f t="shared" si="47"/>
        <v>1</v>
      </c>
    </row>
    <row r="793" spans="1:12" ht="16" x14ac:dyDescent="0.2">
      <c r="A793" t="s">
        <v>5091</v>
      </c>
      <c r="B793" t="s">
        <v>73</v>
      </c>
      <c r="C793" t="s">
        <v>3397</v>
      </c>
      <c r="D793" s="2" t="s">
        <v>138</v>
      </c>
      <c r="E793">
        <v>2025</v>
      </c>
      <c r="F793">
        <v>2027</v>
      </c>
      <c r="G793" s="10">
        <v>5096666.666666667</v>
      </c>
      <c r="H793">
        <f t="shared" si="48"/>
        <v>5096666.666666667</v>
      </c>
      <c r="I793" t="str">
        <f t="shared" si="49"/>
        <v/>
      </c>
      <c r="J793" t="str">
        <f t="shared" si="50"/>
        <v/>
      </c>
      <c r="K793">
        <v>3375466.72</v>
      </c>
      <c r="L793" t="b">
        <f t="shared" si="47"/>
        <v>0</v>
      </c>
    </row>
    <row r="794" spans="1:12" ht="16" x14ac:dyDescent="0.2">
      <c r="A794" t="s">
        <v>5092</v>
      </c>
      <c r="B794" t="s">
        <v>73</v>
      </c>
      <c r="C794" t="s">
        <v>3398</v>
      </c>
      <c r="D794" s="2" t="s">
        <v>138</v>
      </c>
      <c r="G794" s="10" t="s">
        <v>2892</v>
      </c>
      <c r="H794" t="str">
        <f t="shared" si="48"/>
        <v/>
      </c>
      <c r="I794" t="str">
        <f t="shared" si="49"/>
        <v/>
      </c>
      <c r="J794" t="str">
        <f t="shared" si="50"/>
        <v/>
      </c>
      <c r="L794" t="b">
        <f t="shared" si="47"/>
        <v>1</v>
      </c>
    </row>
    <row r="795" spans="1:12" ht="16" x14ac:dyDescent="0.2">
      <c r="A795" t="s">
        <v>5093</v>
      </c>
      <c r="B795" t="s">
        <v>73</v>
      </c>
      <c r="C795" t="s">
        <v>3399</v>
      </c>
      <c r="D795" s="2" t="s">
        <v>138</v>
      </c>
      <c r="E795">
        <v>2025</v>
      </c>
      <c r="F795">
        <v>2027</v>
      </c>
      <c r="G795" s="10">
        <v>1660000.0000000002</v>
      </c>
      <c r="H795">
        <f t="shared" si="48"/>
        <v>1660000.0000000002</v>
      </c>
      <c r="I795" t="str">
        <f t="shared" si="49"/>
        <v/>
      </c>
      <c r="J795" t="str">
        <f t="shared" si="50"/>
        <v/>
      </c>
      <c r="K795">
        <v>662029.77</v>
      </c>
      <c r="L795" t="b">
        <f t="shared" si="47"/>
        <v>0</v>
      </c>
    </row>
    <row r="796" spans="1:12" ht="16" x14ac:dyDescent="0.2">
      <c r="A796" t="s">
        <v>5094</v>
      </c>
      <c r="B796" t="s">
        <v>73</v>
      </c>
      <c r="C796" t="s">
        <v>3400</v>
      </c>
      <c r="D796" s="2" t="s">
        <v>138</v>
      </c>
      <c r="E796">
        <v>2025</v>
      </c>
      <c r="F796">
        <v>2026</v>
      </c>
      <c r="G796" s="10">
        <v>4950000</v>
      </c>
      <c r="H796" t="str">
        <f t="shared" si="48"/>
        <v/>
      </c>
      <c r="I796" t="str">
        <f t="shared" si="49"/>
        <v/>
      </c>
      <c r="J796" t="str">
        <f t="shared" si="50"/>
        <v/>
      </c>
      <c r="K796">
        <v>2342141.2000000002</v>
      </c>
      <c r="L796" t="b">
        <f t="shared" si="47"/>
        <v>0</v>
      </c>
    </row>
    <row r="797" spans="1:12" ht="16" x14ac:dyDescent="0.2">
      <c r="A797" t="s">
        <v>5095</v>
      </c>
      <c r="B797" t="s">
        <v>73</v>
      </c>
      <c r="C797" t="s">
        <v>3401</v>
      </c>
      <c r="D797" s="2" t="s">
        <v>138</v>
      </c>
      <c r="E797">
        <v>2025</v>
      </c>
      <c r="F797">
        <v>2026</v>
      </c>
      <c r="G797" s="10">
        <v>4225000</v>
      </c>
      <c r="H797" t="str">
        <f t="shared" si="48"/>
        <v/>
      </c>
      <c r="I797" t="str">
        <f t="shared" si="49"/>
        <v/>
      </c>
      <c r="J797" t="str">
        <f t="shared" si="50"/>
        <v/>
      </c>
      <c r="K797">
        <v>3764307.83</v>
      </c>
      <c r="L797" t="b">
        <f t="shared" si="47"/>
        <v>0</v>
      </c>
    </row>
    <row r="798" spans="1:12" ht="16" x14ac:dyDescent="0.2">
      <c r="A798" t="s">
        <v>5096</v>
      </c>
      <c r="B798" t="s">
        <v>73</v>
      </c>
      <c r="C798" t="s">
        <v>3402</v>
      </c>
      <c r="D798" s="2" t="s">
        <v>138</v>
      </c>
      <c r="E798">
        <v>2025</v>
      </c>
      <c r="F798">
        <v>2027</v>
      </c>
      <c r="G798" s="10">
        <v>5513333.333333333</v>
      </c>
      <c r="H798">
        <f t="shared" si="48"/>
        <v>5513333.333333333</v>
      </c>
      <c r="I798" t="str">
        <f t="shared" si="49"/>
        <v/>
      </c>
      <c r="J798" t="str">
        <f t="shared" si="50"/>
        <v/>
      </c>
      <c r="K798">
        <v>4908953.84</v>
      </c>
      <c r="L798" t="b">
        <f t="shared" si="47"/>
        <v>0</v>
      </c>
    </row>
    <row r="799" spans="1:12" ht="16" x14ac:dyDescent="0.2">
      <c r="A799" t="s">
        <v>5097</v>
      </c>
      <c r="B799" t="s">
        <v>73</v>
      </c>
      <c r="C799" t="s">
        <v>3403</v>
      </c>
      <c r="D799" s="2" t="s">
        <v>138</v>
      </c>
      <c r="E799">
        <v>2025</v>
      </c>
      <c r="F799">
        <v>2026</v>
      </c>
      <c r="G799" s="10">
        <v>4085000</v>
      </c>
      <c r="H799" t="str">
        <f t="shared" si="48"/>
        <v/>
      </c>
      <c r="I799" t="str">
        <f t="shared" si="49"/>
        <v/>
      </c>
      <c r="J799" t="str">
        <f t="shared" si="50"/>
        <v/>
      </c>
      <c r="K799">
        <v>2942133.57</v>
      </c>
      <c r="L799" t="b">
        <f t="shared" si="47"/>
        <v>0</v>
      </c>
    </row>
    <row r="800" spans="1:12" ht="16" x14ac:dyDescent="0.2">
      <c r="A800" t="s">
        <v>5098</v>
      </c>
      <c r="B800" t="s">
        <v>73</v>
      </c>
      <c r="C800" t="s">
        <v>3404</v>
      </c>
      <c r="D800" s="2" t="s">
        <v>138</v>
      </c>
      <c r="G800" s="10" t="s">
        <v>2892</v>
      </c>
      <c r="H800" t="str">
        <f t="shared" si="48"/>
        <v/>
      </c>
      <c r="I800" t="str">
        <f t="shared" si="49"/>
        <v/>
      </c>
      <c r="J800" t="str">
        <f t="shared" si="50"/>
        <v/>
      </c>
      <c r="L800" t="b">
        <f t="shared" si="47"/>
        <v>1</v>
      </c>
    </row>
    <row r="801" spans="1:12" ht="16" x14ac:dyDescent="0.2">
      <c r="A801" t="s">
        <v>5099</v>
      </c>
      <c r="B801" t="s">
        <v>73</v>
      </c>
      <c r="C801" t="s">
        <v>3405</v>
      </c>
      <c r="D801" s="2" t="s">
        <v>138</v>
      </c>
      <c r="E801">
        <v>2025</v>
      </c>
      <c r="F801">
        <v>2027</v>
      </c>
      <c r="G801" s="10">
        <v>9536666.6666666679</v>
      </c>
      <c r="H801">
        <f t="shared" si="48"/>
        <v>9536666.6666666679</v>
      </c>
      <c r="I801" t="str">
        <f t="shared" si="49"/>
        <v/>
      </c>
      <c r="J801" t="str">
        <f t="shared" si="50"/>
        <v/>
      </c>
      <c r="K801">
        <v>9819211.7400000002</v>
      </c>
      <c r="L801" t="b">
        <f t="shared" si="47"/>
        <v>0</v>
      </c>
    </row>
    <row r="802" spans="1:12" ht="16" x14ac:dyDescent="0.2">
      <c r="A802" t="s">
        <v>5100</v>
      </c>
      <c r="B802" t="s">
        <v>73</v>
      </c>
      <c r="C802" t="s">
        <v>3406</v>
      </c>
      <c r="D802" s="2" t="s">
        <v>138</v>
      </c>
      <c r="G802" s="10" t="s">
        <v>2892</v>
      </c>
      <c r="H802" t="str">
        <f t="shared" si="48"/>
        <v/>
      </c>
      <c r="I802" t="str">
        <f t="shared" si="49"/>
        <v/>
      </c>
      <c r="J802" t="str">
        <f t="shared" si="50"/>
        <v/>
      </c>
      <c r="L802" t="b">
        <f t="shared" si="47"/>
        <v>1</v>
      </c>
    </row>
    <row r="803" spans="1:12" ht="16" x14ac:dyDescent="0.2">
      <c r="A803" t="s">
        <v>5101</v>
      </c>
      <c r="B803" t="s">
        <v>73</v>
      </c>
      <c r="C803" t="s">
        <v>3407</v>
      </c>
      <c r="D803" s="2" t="s">
        <v>138</v>
      </c>
      <c r="G803" s="10" t="s">
        <v>2892</v>
      </c>
      <c r="H803" t="str">
        <f t="shared" si="48"/>
        <v/>
      </c>
      <c r="I803" t="str">
        <f t="shared" si="49"/>
        <v/>
      </c>
      <c r="J803" t="str">
        <f t="shared" si="50"/>
        <v/>
      </c>
      <c r="L803" t="b">
        <f t="shared" ref="L803:L866" si="51">IF(F803="",TRUE,FALSE)</f>
        <v>1</v>
      </c>
    </row>
    <row r="804" spans="1:12" ht="16" x14ac:dyDescent="0.2">
      <c r="A804" t="s">
        <v>5102</v>
      </c>
      <c r="B804" t="s">
        <v>73</v>
      </c>
      <c r="C804" t="s">
        <v>3408</v>
      </c>
      <c r="D804" s="2" t="s">
        <v>138</v>
      </c>
      <c r="G804" s="10" t="s">
        <v>2892</v>
      </c>
      <c r="H804" t="str">
        <f t="shared" si="48"/>
        <v/>
      </c>
      <c r="I804" t="str">
        <f t="shared" si="49"/>
        <v/>
      </c>
      <c r="J804" t="str">
        <f t="shared" si="50"/>
        <v/>
      </c>
      <c r="L804" t="b">
        <f t="shared" si="51"/>
        <v>1</v>
      </c>
    </row>
    <row r="805" spans="1:12" ht="16" x14ac:dyDescent="0.2">
      <c r="A805" t="s">
        <v>5103</v>
      </c>
      <c r="B805" t="s">
        <v>73</v>
      </c>
      <c r="C805" t="s">
        <v>3409</v>
      </c>
      <c r="D805" s="2" t="s">
        <v>138</v>
      </c>
      <c r="G805" s="10" t="s">
        <v>2892</v>
      </c>
      <c r="H805" t="str">
        <f t="shared" si="48"/>
        <v/>
      </c>
      <c r="I805" t="str">
        <f t="shared" si="49"/>
        <v/>
      </c>
      <c r="J805" t="str">
        <f t="shared" si="50"/>
        <v/>
      </c>
      <c r="L805" t="b">
        <f t="shared" si="51"/>
        <v>1</v>
      </c>
    </row>
    <row r="806" spans="1:12" ht="16" x14ac:dyDescent="0.2">
      <c r="A806" t="s">
        <v>5104</v>
      </c>
      <c r="B806" t="s">
        <v>73</v>
      </c>
      <c r="C806" t="s">
        <v>3410</v>
      </c>
      <c r="D806" s="2" t="s">
        <v>138</v>
      </c>
      <c r="E806">
        <v>2025</v>
      </c>
      <c r="F806">
        <v>2027</v>
      </c>
      <c r="G806" s="10">
        <v>1856666.6666666667</v>
      </c>
      <c r="H806">
        <f t="shared" si="48"/>
        <v>1856666.6666666667</v>
      </c>
      <c r="I806" t="str">
        <f t="shared" si="49"/>
        <v/>
      </c>
      <c r="J806" t="str">
        <f t="shared" si="50"/>
        <v/>
      </c>
      <c r="K806">
        <v>286708.83</v>
      </c>
      <c r="L806" t="b">
        <f t="shared" si="51"/>
        <v>0</v>
      </c>
    </row>
    <row r="807" spans="1:12" ht="16" x14ac:dyDescent="0.2">
      <c r="A807" t="s">
        <v>5105</v>
      </c>
      <c r="B807" t="s">
        <v>73</v>
      </c>
      <c r="C807" t="s">
        <v>3411</v>
      </c>
      <c r="D807" s="2" t="s">
        <v>138</v>
      </c>
      <c r="E807">
        <v>2025</v>
      </c>
      <c r="F807">
        <v>2026</v>
      </c>
      <c r="G807" s="10">
        <v>4475000</v>
      </c>
      <c r="H807" t="str">
        <f t="shared" si="48"/>
        <v/>
      </c>
      <c r="I807" t="str">
        <f t="shared" si="49"/>
        <v/>
      </c>
      <c r="J807" t="str">
        <f t="shared" si="50"/>
        <v/>
      </c>
      <c r="K807">
        <v>2377803.58</v>
      </c>
      <c r="L807" t="b">
        <f t="shared" si="51"/>
        <v>0</v>
      </c>
    </row>
    <row r="808" spans="1:12" ht="16" x14ac:dyDescent="0.2">
      <c r="A808" t="s">
        <v>5106</v>
      </c>
      <c r="B808" t="s">
        <v>73</v>
      </c>
      <c r="C808" t="s">
        <v>3412</v>
      </c>
      <c r="D808" s="2" t="s">
        <v>138</v>
      </c>
      <c r="G808" s="10" t="s">
        <v>2892</v>
      </c>
      <c r="H808" t="str">
        <f t="shared" si="48"/>
        <v/>
      </c>
      <c r="I808" t="str">
        <f t="shared" si="49"/>
        <v/>
      </c>
      <c r="J808" t="str">
        <f t="shared" si="50"/>
        <v/>
      </c>
      <c r="L808" t="b">
        <f t="shared" si="51"/>
        <v>1</v>
      </c>
    </row>
    <row r="809" spans="1:12" ht="16" x14ac:dyDescent="0.2">
      <c r="A809" t="s">
        <v>5107</v>
      </c>
      <c r="B809" t="s">
        <v>73</v>
      </c>
      <c r="C809" t="s">
        <v>3413</v>
      </c>
      <c r="D809" s="2" t="s">
        <v>138</v>
      </c>
      <c r="E809">
        <v>2025</v>
      </c>
      <c r="F809">
        <v>2027</v>
      </c>
      <c r="G809" s="10">
        <v>3493333.3333333335</v>
      </c>
      <c r="H809">
        <f t="shared" si="48"/>
        <v>3493333.3333333335</v>
      </c>
      <c r="I809" t="str">
        <f t="shared" si="49"/>
        <v/>
      </c>
      <c r="J809" t="str">
        <f t="shared" si="50"/>
        <v/>
      </c>
      <c r="K809">
        <v>2601657.2799999998</v>
      </c>
      <c r="L809" t="b">
        <f t="shared" si="51"/>
        <v>0</v>
      </c>
    </row>
    <row r="810" spans="1:12" ht="16" x14ac:dyDescent="0.2">
      <c r="A810" t="s">
        <v>5108</v>
      </c>
      <c r="B810" t="s">
        <v>73</v>
      </c>
      <c r="C810" t="s">
        <v>3414</v>
      </c>
      <c r="D810" s="2" t="s">
        <v>139</v>
      </c>
      <c r="E810">
        <v>2025</v>
      </c>
      <c r="F810">
        <v>2029</v>
      </c>
      <c r="G810" s="10">
        <v>11248000.000000002</v>
      </c>
      <c r="H810">
        <f t="shared" si="48"/>
        <v>11248000.000000002</v>
      </c>
      <c r="I810">
        <f t="shared" si="49"/>
        <v>11248000.000000002</v>
      </c>
      <c r="J810">
        <f t="shared" si="50"/>
        <v>11248000.000000002</v>
      </c>
      <c r="K810">
        <v>19268734.539999999</v>
      </c>
      <c r="L810" t="b">
        <f t="shared" si="51"/>
        <v>0</v>
      </c>
    </row>
    <row r="811" spans="1:12" ht="16" x14ac:dyDescent="0.2">
      <c r="A811" t="s">
        <v>5109</v>
      </c>
      <c r="B811" t="s">
        <v>73</v>
      </c>
      <c r="C811" t="s">
        <v>3415</v>
      </c>
      <c r="D811" s="2" t="s">
        <v>139</v>
      </c>
      <c r="E811">
        <v>2025</v>
      </c>
      <c r="F811">
        <v>2026</v>
      </c>
      <c r="G811" s="10">
        <v>6425000</v>
      </c>
      <c r="H811" t="str">
        <f t="shared" si="48"/>
        <v/>
      </c>
      <c r="I811" t="str">
        <f t="shared" si="49"/>
        <v/>
      </c>
      <c r="J811" t="str">
        <f t="shared" si="50"/>
        <v/>
      </c>
      <c r="K811">
        <v>3470999.37</v>
      </c>
      <c r="L811" t="b">
        <f t="shared" si="51"/>
        <v>0</v>
      </c>
    </row>
    <row r="812" spans="1:12" ht="16" x14ac:dyDescent="0.2">
      <c r="A812" t="s">
        <v>5110</v>
      </c>
      <c r="B812" t="s">
        <v>73</v>
      </c>
      <c r="C812" t="s">
        <v>3416</v>
      </c>
      <c r="D812" s="2" t="s">
        <v>139</v>
      </c>
      <c r="G812" s="10" t="s">
        <v>2892</v>
      </c>
      <c r="H812" t="str">
        <f t="shared" si="48"/>
        <v/>
      </c>
      <c r="I812" t="str">
        <f t="shared" si="49"/>
        <v/>
      </c>
      <c r="J812" t="str">
        <f t="shared" si="50"/>
        <v/>
      </c>
      <c r="L812" t="b">
        <f t="shared" si="51"/>
        <v>1</v>
      </c>
    </row>
    <row r="813" spans="1:12" ht="16" x14ac:dyDescent="0.2">
      <c r="A813" t="s">
        <v>5111</v>
      </c>
      <c r="B813" t="s">
        <v>73</v>
      </c>
      <c r="C813" t="s">
        <v>3417</v>
      </c>
      <c r="D813" s="2" t="s">
        <v>139</v>
      </c>
      <c r="E813">
        <v>2025</v>
      </c>
      <c r="F813">
        <v>2026</v>
      </c>
      <c r="G813" s="10">
        <v>5935000</v>
      </c>
      <c r="H813" t="str">
        <f t="shared" si="48"/>
        <v/>
      </c>
      <c r="I813" t="str">
        <f t="shared" si="49"/>
        <v/>
      </c>
      <c r="J813" t="str">
        <f t="shared" si="50"/>
        <v/>
      </c>
      <c r="K813">
        <v>1285031.3700000001</v>
      </c>
      <c r="L813" t="b">
        <f t="shared" si="51"/>
        <v>0</v>
      </c>
    </row>
    <row r="814" spans="1:12" ht="16" x14ac:dyDescent="0.2">
      <c r="A814" t="s">
        <v>5112</v>
      </c>
      <c r="B814" t="s">
        <v>73</v>
      </c>
      <c r="C814" t="s">
        <v>3418</v>
      </c>
      <c r="D814" s="2" t="s">
        <v>139</v>
      </c>
      <c r="E814">
        <v>2025</v>
      </c>
      <c r="F814">
        <v>2026</v>
      </c>
      <c r="G814" s="10">
        <v>7490000</v>
      </c>
      <c r="H814" t="str">
        <f t="shared" si="48"/>
        <v/>
      </c>
      <c r="I814" t="str">
        <f t="shared" si="49"/>
        <v/>
      </c>
      <c r="J814" t="str">
        <f t="shared" si="50"/>
        <v/>
      </c>
      <c r="K814">
        <v>6218817.29</v>
      </c>
      <c r="L814" t="b">
        <f t="shared" si="51"/>
        <v>0</v>
      </c>
    </row>
    <row r="815" spans="1:12" ht="16" x14ac:dyDescent="0.2">
      <c r="A815" t="s">
        <v>5113</v>
      </c>
      <c r="B815" t="s">
        <v>73</v>
      </c>
      <c r="C815" t="s">
        <v>3419</v>
      </c>
      <c r="D815" s="2" t="s">
        <v>139</v>
      </c>
      <c r="G815" s="10" t="s">
        <v>2892</v>
      </c>
      <c r="H815" t="str">
        <f t="shared" si="48"/>
        <v/>
      </c>
      <c r="I815" t="str">
        <f t="shared" si="49"/>
        <v/>
      </c>
      <c r="J815" t="str">
        <f t="shared" si="50"/>
        <v/>
      </c>
      <c r="L815" t="b">
        <f t="shared" si="51"/>
        <v>1</v>
      </c>
    </row>
    <row r="816" spans="1:12" ht="16" x14ac:dyDescent="0.2">
      <c r="A816" t="s">
        <v>5114</v>
      </c>
      <c r="B816" t="s">
        <v>73</v>
      </c>
      <c r="C816" t="s">
        <v>3420</v>
      </c>
      <c r="D816" s="2" t="s">
        <v>139</v>
      </c>
      <c r="E816">
        <v>2025</v>
      </c>
      <c r="F816">
        <v>2026</v>
      </c>
      <c r="G816" s="10">
        <v>3270000</v>
      </c>
      <c r="H816" t="str">
        <f t="shared" si="48"/>
        <v/>
      </c>
      <c r="I816" t="str">
        <f t="shared" si="49"/>
        <v/>
      </c>
      <c r="J816" t="str">
        <f t="shared" si="50"/>
        <v/>
      </c>
      <c r="K816">
        <v>1350231.21</v>
      </c>
      <c r="L816" t="b">
        <f t="shared" si="51"/>
        <v>0</v>
      </c>
    </row>
    <row r="817" spans="1:12" ht="16" x14ac:dyDescent="0.2">
      <c r="A817" t="s">
        <v>5115</v>
      </c>
      <c r="B817" t="s">
        <v>73</v>
      </c>
      <c r="C817" t="s">
        <v>3421</v>
      </c>
      <c r="D817" s="2" t="s">
        <v>139</v>
      </c>
      <c r="E817">
        <v>2025</v>
      </c>
      <c r="F817">
        <v>2027</v>
      </c>
      <c r="G817" s="10">
        <v>1680000</v>
      </c>
      <c r="H817">
        <f t="shared" si="48"/>
        <v>1680000</v>
      </c>
      <c r="I817" t="str">
        <f t="shared" si="49"/>
        <v/>
      </c>
      <c r="J817" t="str">
        <f t="shared" si="50"/>
        <v/>
      </c>
      <c r="K817">
        <v>618888.30000000005</v>
      </c>
      <c r="L817" t="b">
        <f t="shared" si="51"/>
        <v>0</v>
      </c>
    </row>
    <row r="818" spans="1:12" ht="16" x14ac:dyDescent="0.2">
      <c r="A818" t="s">
        <v>5116</v>
      </c>
      <c r="B818" t="s">
        <v>73</v>
      </c>
      <c r="C818" t="s">
        <v>3422</v>
      </c>
      <c r="D818" s="2" t="s">
        <v>139</v>
      </c>
      <c r="E818">
        <v>2025</v>
      </c>
      <c r="F818">
        <v>2028</v>
      </c>
      <c r="G818" s="10">
        <v>8480000</v>
      </c>
      <c r="H818">
        <f t="shared" si="48"/>
        <v>8480000</v>
      </c>
      <c r="I818">
        <f t="shared" si="49"/>
        <v>8480000</v>
      </c>
      <c r="J818" t="str">
        <f t="shared" si="50"/>
        <v/>
      </c>
      <c r="K818">
        <v>8575164.5700000003</v>
      </c>
      <c r="L818" t="b">
        <f t="shared" si="51"/>
        <v>0</v>
      </c>
    </row>
    <row r="819" spans="1:12" ht="16" x14ac:dyDescent="0.2">
      <c r="A819" t="s">
        <v>5117</v>
      </c>
      <c r="B819" t="s">
        <v>73</v>
      </c>
      <c r="C819" t="s">
        <v>3423</v>
      </c>
      <c r="D819" s="2" t="s">
        <v>139</v>
      </c>
      <c r="E819">
        <v>2025</v>
      </c>
      <c r="F819">
        <v>2027</v>
      </c>
      <c r="G819" s="10">
        <v>5283333.333333333</v>
      </c>
      <c r="H819">
        <f t="shared" si="48"/>
        <v>5283333.333333333</v>
      </c>
      <c r="I819" t="str">
        <f t="shared" si="49"/>
        <v/>
      </c>
      <c r="J819" t="str">
        <f t="shared" si="50"/>
        <v/>
      </c>
      <c r="K819">
        <v>3836661.5</v>
      </c>
      <c r="L819" t="b">
        <f t="shared" si="51"/>
        <v>0</v>
      </c>
    </row>
    <row r="820" spans="1:12" ht="16" x14ac:dyDescent="0.2">
      <c r="A820" t="s">
        <v>5118</v>
      </c>
      <c r="B820" t="s">
        <v>73</v>
      </c>
      <c r="C820" t="s">
        <v>3424</v>
      </c>
      <c r="D820" s="2" t="s">
        <v>139</v>
      </c>
      <c r="E820">
        <v>2025</v>
      </c>
      <c r="F820">
        <v>2026</v>
      </c>
      <c r="G820" s="10">
        <v>5770000</v>
      </c>
      <c r="H820" t="str">
        <f t="shared" si="48"/>
        <v/>
      </c>
      <c r="I820" t="str">
        <f t="shared" si="49"/>
        <v/>
      </c>
      <c r="J820" t="str">
        <f t="shared" si="50"/>
        <v/>
      </c>
      <c r="K820">
        <v>1658649.18</v>
      </c>
      <c r="L820" t="b">
        <f t="shared" si="51"/>
        <v>0</v>
      </c>
    </row>
    <row r="821" spans="1:12" ht="16" x14ac:dyDescent="0.2">
      <c r="A821" t="s">
        <v>5119</v>
      </c>
      <c r="B821" t="s">
        <v>73</v>
      </c>
      <c r="C821" t="s">
        <v>3425</v>
      </c>
      <c r="D821" s="2" t="s">
        <v>139</v>
      </c>
      <c r="E821">
        <v>2025</v>
      </c>
      <c r="F821">
        <v>2026</v>
      </c>
      <c r="G821" s="10">
        <v>2675000</v>
      </c>
      <c r="H821" t="str">
        <f t="shared" si="48"/>
        <v/>
      </c>
      <c r="I821" t="str">
        <f t="shared" si="49"/>
        <v/>
      </c>
      <c r="J821" t="str">
        <f t="shared" si="50"/>
        <v/>
      </c>
      <c r="K821">
        <v>1050747.82</v>
      </c>
      <c r="L821" t="b">
        <f t="shared" si="51"/>
        <v>0</v>
      </c>
    </row>
    <row r="822" spans="1:12" ht="16" x14ac:dyDescent="0.2">
      <c r="A822" t="s">
        <v>5120</v>
      </c>
      <c r="B822" t="s">
        <v>73</v>
      </c>
      <c r="C822" t="s">
        <v>3426</v>
      </c>
      <c r="D822" s="2" t="s">
        <v>139</v>
      </c>
      <c r="G822" s="10" t="s">
        <v>2892</v>
      </c>
      <c r="H822" t="str">
        <f t="shared" si="48"/>
        <v/>
      </c>
      <c r="I822" t="str">
        <f t="shared" si="49"/>
        <v/>
      </c>
      <c r="J822" t="str">
        <f t="shared" si="50"/>
        <v/>
      </c>
      <c r="L822" t="b">
        <f t="shared" si="51"/>
        <v>1</v>
      </c>
    </row>
    <row r="823" spans="1:12" ht="16" x14ac:dyDescent="0.2">
      <c r="A823" t="s">
        <v>5121</v>
      </c>
      <c r="B823" t="s">
        <v>73</v>
      </c>
      <c r="C823" t="s">
        <v>3427</v>
      </c>
      <c r="D823" s="2" t="s">
        <v>139</v>
      </c>
      <c r="G823" s="10" t="s">
        <v>2892</v>
      </c>
      <c r="H823" t="str">
        <f t="shared" si="48"/>
        <v/>
      </c>
      <c r="I823" t="str">
        <f t="shared" si="49"/>
        <v/>
      </c>
      <c r="J823" t="str">
        <f t="shared" si="50"/>
        <v/>
      </c>
      <c r="L823" t="b">
        <f t="shared" si="51"/>
        <v>1</v>
      </c>
    </row>
    <row r="824" spans="1:12" ht="16" x14ac:dyDescent="0.2">
      <c r="A824" t="s">
        <v>5122</v>
      </c>
      <c r="B824" t="s">
        <v>73</v>
      </c>
      <c r="C824" t="s">
        <v>3428</v>
      </c>
      <c r="D824" s="2" t="s">
        <v>139</v>
      </c>
      <c r="E824">
        <v>2026</v>
      </c>
      <c r="F824">
        <v>2029</v>
      </c>
      <c r="G824" s="10">
        <v>18636666.666666668</v>
      </c>
      <c r="H824">
        <f t="shared" si="48"/>
        <v>18636666.666666668</v>
      </c>
      <c r="I824">
        <f t="shared" si="49"/>
        <v>18636666.666666668</v>
      </c>
      <c r="J824">
        <f t="shared" si="50"/>
        <v>18636666.666666668</v>
      </c>
      <c r="K824">
        <v>27158753.510000002</v>
      </c>
      <c r="L824" t="b">
        <f t="shared" si="51"/>
        <v>0</v>
      </c>
    </row>
    <row r="825" spans="1:12" ht="16" x14ac:dyDescent="0.2">
      <c r="A825" t="s">
        <v>5123</v>
      </c>
      <c r="B825" t="s">
        <v>73</v>
      </c>
      <c r="C825" t="s">
        <v>3429</v>
      </c>
      <c r="D825" s="2" t="s">
        <v>139</v>
      </c>
      <c r="E825">
        <v>2025</v>
      </c>
      <c r="F825">
        <v>2026</v>
      </c>
      <c r="G825" s="10">
        <v>4305000</v>
      </c>
      <c r="H825" t="str">
        <f t="shared" si="48"/>
        <v/>
      </c>
      <c r="I825" t="str">
        <f t="shared" si="49"/>
        <v/>
      </c>
      <c r="J825" t="str">
        <f t="shared" si="50"/>
        <v/>
      </c>
      <c r="K825">
        <v>1913302.25</v>
      </c>
      <c r="L825" t="b">
        <f t="shared" si="51"/>
        <v>0</v>
      </c>
    </row>
    <row r="826" spans="1:12" ht="16" x14ac:dyDescent="0.2">
      <c r="A826" t="s">
        <v>5124</v>
      </c>
      <c r="B826" t="s">
        <v>73</v>
      </c>
      <c r="C826" t="s">
        <v>3430</v>
      </c>
      <c r="D826" s="2" t="s">
        <v>139</v>
      </c>
      <c r="G826" s="10" t="s">
        <v>2892</v>
      </c>
      <c r="H826" t="str">
        <f t="shared" si="48"/>
        <v/>
      </c>
      <c r="I826" t="str">
        <f t="shared" si="49"/>
        <v/>
      </c>
      <c r="J826" t="str">
        <f t="shared" si="50"/>
        <v/>
      </c>
      <c r="L826" t="b">
        <f t="shared" si="51"/>
        <v>1</v>
      </c>
    </row>
    <row r="827" spans="1:12" ht="16" x14ac:dyDescent="0.2">
      <c r="A827" t="s">
        <v>5125</v>
      </c>
      <c r="B827" t="s">
        <v>73</v>
      </c>
      <c r="C827" t="s">
        <v>3431</v>
      </c>
      <c r="D827" s="2" t="s">
        <v>139</v>
      </c>
      <c r="G827" s="10" t="s">
        <v>2892</v>
      </c>
      <c r="H827" t="str">
        <f t="shared" si="48"/>
        <v/>
      </c>
      <c r="I827" t="str">
        <f t="shared" si="49"/>
        <v/>
      </c>
      <c r="J827" t="str">
        <f t="shared" si="50"/>
        <v/>
      </c>
      <c r="L827" t="b">
        <f t="shared" si="51"/>
        <v>1</v>
      </c>
    </row>
    <row r="828" spans="1:12" ht="16" x14ac:dyDescent="0.2">
      <c r="A828" t="s">
        <v>5126</v>
      </c>
      <c r="B828" t="s">
        <v>73</v>
      </c>
      <c r="C828" t="s">
        <v>3432</v>
      </c>
      <c r="D828" s="2" t="s">
        <v>139</v>
      </c>
      <c r="G828" s="10" t="s">
        <v>2892</v>
      </c>
      <c r="H828" t="str">
        <f t="shared" si="48"/>
        <v/>
      </c>
      <c r="I828" t="str">
        <f t="shared" si="49"/>
        <v/>
      </c>
      <c r="J828" t="str">
        <f t="shared" si="50"/>
        <v/>
      </c>
      <c r="L828" t="b">
        <f t="shared" si="51"/>
        <v>1</v>
      </c>
    </row>
    <row r="829" spans="1:12" ht="16" x14ac:dyDescent="0.2">
      <c r="A829" t="s">
        <v>5127</v>
      </c>
      <c r="B829" t="s">
        <v>73</v>
      </c>
      <c r="C829" t="s">
        <v>3433</v>
      </c>
      <c r="D829" s="2" t="s">
        <v>139</v>
      </c>
      <c r="G829" s="10" t="s">
        <v>2892</v>
      </c>
      <c r="H829" t="str">
        <f t="shared" si="48"/>
        <v/>
      </c>
      <c r="I829" t="str">
        <f t="shared" si="49"/>
        <v/>
      </c>
      <c r="J829" t="str">
        <f t="shared" si="50"/>
        <v/>
      </c>
      <c r="L829" t="b">
        <f t="shared" si="51"/>
        <v>1</v>
      </c>
    </row>
    <row r="830" spans="1:12" ht="16" x14ac:dyDescent="0.2">
      <c r="A830" t="s">
        <v>5128</v>
      </c>
      <c r="B830" t="s">
        <v>73</v>
      </c>
      <c r="C830" t="s">
        <v>3434</v>
      </c>
      <c r="D830" s="2" t="s">
        <v>139</v>
      </c>
      <c r="E830">
        <v>2025</v>
      </c>
      <c r="F830">
        <v>2026</v>
      </c>
      <c r="G830" s="10">
        <v>2650000</v>
      </c>
      <c r="H830" t="str">
        <f t="shared" si="48"/>
        <v/>
      </c>
      <c r="I830" t="str">
        <f t="shared" si="49"/>
        <v/>
      </c>
      <c r="J830" t="str">
        <f t="shared" si="50"/>
        <v/>
      </c>
      <c r="K830">
        <v>923121.79</v>
      </c>
      <c r="L830" t="b">
        <f t="shared" si="51"/>
        <v>0</v>
      </c>
    </row>
    <row r="831" spans="1:12" ht="16" x14ac:dyDescent="0.2">
      <c r="A831" t="s">
        <v>5129</v>
      </c>
      <c r="B831" t="s">
        <v>73</v>
      </c>
      <c r="C831" t="s">
        <v>3435</v>
      </c>
      <c r="D831" s="2" t="s">
        <v>139</v>
      </c>
      <c r="G831" s="10" t="s">
        <v>2892</v>
      </c>
      <c r="H831" t="str">
        <f t="shared" si="48"/>
        <v/>
      </c>
      <c r="I831" t="str">
        <f t="shared" si="49"/>
        <v/>
      </c>
      <c r="J831" t="str">
        <f t="shared" si="50"/>
        <v/>
      </c>
      <c r="L831" t="b">
        <f t="shared" si="51"/>
        <v>1</v>
      </c>
    </row>
    <row r="832" spans="1:12" ht="16" x14ac:dyDescent="0.2">
      <c r="A832" t="s">
        <v>5130</v>
      </c>
      <c r="B832" t="s">
        <v>73</v>
      </c>
      <c r="C832" t="s">
        <v>3436</v>
      </c>
      <c r="D832" s="2" t="s">
        <v>139</v>
      </c>
      <c r="G832" s="10" t="s">
        <v>2892</v>
      </c>
      <c r="H832" t="str">
        <f t="shared" si="48"/>
        <v/>
      </c>
      <c r="I832" t="str">
        <f t="shared" si="49"/>
        <v/>
      </c>
      <c r="J832" t="str">
        <f t="shared" si="50"/>
        <v/>
      </c>
      <c r="L832" t="b">
        <f t="shared" si="51"/>
        <v>1</v>
      </c>
    </row>
    <row r="833" spans="1:12" ht="16" x14ac:dyDescent="0.2">
      <c r="A833" t="s">
        <v>5131</v>
      </c>
      <c r="B833" t="s">
        <v>73</v>
      </c>
      <c r="C833" t="s">
        <v>3437</v>
      </c>
      <c r="D833" s="2" t="s">
        <v>139</v>
      </c>
      <c r="E833">
        <v>2025</v>
      </c>
      <c r="F833">
        <v>2026</v>
      </c>
      <c r="G833" s="10">
        <v>2245000</v>
      </c>
      <c r="H833" t="str">
        <f t="shared" si="48"/>
        <v/>
      </c>
      <c r="I833" t="str">
        <f t="shared" si="49"/>
        <v/>
      </c>
      <c r="J833" t="str">
        <f t="shared" si="50"/>
        <v/>
      </c>
      <c r="K833">
        <v>375864.44</v>
      </c>
      <c r="L833" t="b">
        <f t="shared" si="51"/>
        <v>0</v>
      </c>
    </row>
    <row r="834" spans="1:12" ht="16" x14ac:dyDescent="0.2">
      <c r="A834" t="s">
        <v>5132</v>
      </c>
      <c r="B834" t="s">
        <v>73</v>
      </c>
      <c r="C834" t="s">
        <v>3438</v>
      </c>
      <c r="D834" s="2" t="s">
        <v>139</v>
      </c>
      <c r="E834">
        <v>2025</v>
      </c>
      <c r="F834">
        <v>2026</v>
      </c>
      <c r="G834" s="10">
        <v>8600000</v>
      </c>
      <c r="H834" t="str">
        <f t="shared" si="48"/>
        <v/>
      </c>
      <c r="I834" t="str">
        <f t="shared" si="49"/>
        <v/>
      </c>
      <c r="J834" t="str">
        <f t="shared" si="50"/>
        <v/>
      </c>
      <c r="K834">
        <v>6812214.1699999999</v>
      </c>
      <c r="L834" t="b">
        <f t="shared" si="51"/>
        <v>0</v>
      </c>
    </row>
    <row r="835" spans="1:12" ht="16" x14ac:dyDescent="0.2">
      <c r="A835" t="s">
        <v>5133</v>
      </c>
      <c r="B835" t="s">
        <v>73</v>
      </c>
      <c r="C835" t="s">
        <v>3439</v>
      </c>
      <c r="D835" s="2" t="s">
        <v>139</v>
      </c>
      <c r="G835" s="10" t="s">
        <v>2892</v>
      </c>
      <c r="H835" t="str">
        <f t="shared" si="48"/>
        <v/>
      </c>
      <c r="I835" t="str">
        <f t="shared" si="49"/>
        <v/>
      </c>
      <c r="J835" t="str">
        <f t="shared" si="50"/>
        <v/>
      </c>
      <c r="L835" t="b">
        <f t="shared" si="51"/>
        <v>1</v>
      </c>
    </row>
    <row r="836" spans="1:12" ht="16" x14ac:dyDescent="0.2">
      <c r="A836" t="s">
        <v>5134</v>
      </c>
      <c r="B836" t="s">
        <v>73</v>
      </c>
      <c r="C836" t="s">
        <v>3440</v>
      </c>
      <c r="D836" s="2" t="s">
        <v>139</v>
      </c>
      <c r="E836">
        <v>2025</v>
      </c>
      <c r="F836">
        <v>2026</v>
      </c>
      <c r="G836" s="10">
        <v>9910000</v>
      </c>
      <c r="H836" t="str">
        <f t="shared" ref="H836:H899" si="52">IF(F836&gt;=2027,G836,"")</f>
        <v/>
      </c>
      <c r="I836" t="str">
        <f t="shared" ref="I836:I899" si="53">IF(F836&gt;=2028,G836,"")</f>
        <v/>
      </c>
      <c r="J836" t="str">
        <f t="shared" ref="J836:J899" si="54">IF(F836&gt;=2029,G836,"")</f>
        <v/>
      </c>
      <c r="K836">
        <v>5402776.8099999996</v>
      </c>
      <c r="L836" t="b">
        <f t="shared" si="51"/>
        <v>0</v>
      </c>
    </row>
    <row r="837" spans="1:12" ht="16" x14ac:dyDescent="0.2">
      <c r="A837" t="s">
        <v>5135</v>
      </c>
      <c r="B837" t="s">
        <v>73</v>
      </c>
      <c r="C837" t="s">
        <v>3441</v>
      </c>
      <c r="D837" s="2" t="s">
        <v>139</v>
      </c>
      <c r="E837">
        <v>2025</v>
      </c>
      <c r="F837">
        <v>2028</v>
      </c>
      <c r="G837" s="10">
        <v>5952500</v>
      </c>
      <c r="H837">
        <f t="shared" si="52"/>
        <v>5952500</v>
      </c>
      <c r="I837">
        <f t="shared" si="53"/>
        <v>5952500</v>
      </c>
      <c r="J837" t="str">
        <f t="shared" si="54"/>
        <v/>
      </c>
      <c r="K837">
        <v>5030501.25</v>
      </c>
      <c r="L837" t="b">
        <f t="shared" si="51"/>
        <v>0</v>
      </c>
    </row>
    <row r="838" spans="1:12" ht="16" x14ac:dyDescent="0.2">
      <c r="A838" t="s">
        <v>5136</v>
      </c>
      <c r="B838" t="s">
        <v>73</v>
      </c>
      <c r="C838" t="s">
        <v>3442</v>
      </c>
      <c r="D838" s="2" t="s">
        <v>139</v>
      </c>
      <c r="G838" s="10" t="s">
        <v>2892</v>
      </c>
      <c r="H838" t="str">
        <f t="shared" si="52"/>
        <v/>
      </c>
      <c r="I838" t="str">
        <f t="shared" si="53"/>
        <v/>
      </c>
      <c r="J838" t="str">
        <f t="shared" si="54"/>
        <v/>
      </c>
      <c r="L838" t="b">
        <f t="shared" si="51"/>
        <v>1</v>
      </c>
    </row>
    <row r="839" spans="1:12" ht="16" x14ac:dyDescent="0.2">
      <c r="A839" t="s">
        <v>5137</v>
      </c>
      <c r="B839" t="s">
        <v>73</v>
      </c>
      <c r="C839" t="s">
        <v>3443</v>
      </c>
      <c r="D839" s="2" t="s">
        <v>139</v>
      </c>
      <c r="E839">
        <v>2025</v>
      </c>
      <c r="F839">
        <v>2027</v>
      </c>
      <c r="G839" s="10">
        <v>12073333.333333332</v>
      </c>
      <c r="H839">
        <f t="shared" si="52"/>
        <v>12073333.333333332</v>
      </c>
      <c r="I839" t="str">
        <f t="shared" si="53"/>
        <v/>
      </c>
      <c r="J839" t="str">
        <f t="shared" si="54"/>
        <v/>
      </c>
      <c r="K839">
        <v>15627133.359999999</v>
      </c>
      <c r="L839" t="b">
        <f t="shared" si="51"/>
        <v>0</v>
      </c>
    </row>
    <row r="840" spans="1:12" ht="16" x14ac:dyDescent="0.2">
      <c r="A840" t="s">
        <v>5138</v>
      </c>
      <c r="B840" t="s">
        <v>73</v>
      </c>
      <c r="C840" t="s">
        <v>3444</v>
      </c>
      <c r="D840" s="2" t="s">
        <v>139</v>
      </c>
      <c r="E840">
        <v>2025</v>
      </c>
      <c r="F840">
        <v>2027</v>
      </c>
      <c r="G840" s="10">
        <v>11046666.666666666</v>
      </c>
      <c r="H840">
        <f t="shared" si="52"/>
        <v>11046666.666666666</v>
      </c>
      <c r="I840" t="str">
        <f t="shared" si="53"/>
        <v/>
      </c>
      <c r="J840" t="str">
        <f t="shared" si="54"/>
        <v/>
      </c>
      <c r="K840">
        <v>10825053.84</v>
      </c>
      <c r="L840" t="b">
        <f t="shared" si="51"/>
        <v>0</v>
      </c>
    </row>
    <row r="841" spans="1:12" ht="16" x14ac:dyDescent="0.2">
      <c r="A841" t="s">
        <v>5139</v>
      </c>
      <c r="B841" t="s">
        <v>73</v>
      </c>
      <c r="C841" t="s">
        <v>3445</v>
      </c>
      <c r="D841" s="2" t="s">
        <v>139</v>
      </c>
      <c r="G841" s="10" t="s">
        <v>2892</v>
      </c>
      <c r="H841" t="str">
        <f t="shared" si="52"/>
        <v/>
      </c>
      <c r="I841" t="str">
        <f t="shared" si="53"/>
        <v/>
      </c>
      <c r="J841" t="str">
        <f t="shared" si="54"/>
        <v/>
      </c>
      <c r="L841" t="b">
        <f t="shared" si="51"/>
        <v>1</v>
      </c>
    </row>
    <row r="842" spans="1:12" ht="16" x14ac:dyDescent="0.2">
      <c r="A842" t="s">
        <v>5140</v>
      </c>
      <c r="B842" t="s">
        <v>73</v>
      </c>
      <c r="C842" t="s">
        <v>3446</v>
      </c>
      <c r="D842" s="2" t="s">
        <v>139</v>
      </c>
      <c r="E842">
        <v>2025</v>
      </c>
      <c r="F842">
        <v>2027</v>
      </c>
      <c r="G842" s="10">
        <v>4903333.333333333</v>
      </c>
      <c r="H842">
        <f t="shared" si="52"/>
        <v>4903333.333333333</v>
      </c>
      <c r="I842" t="str">
        <f t="shared" si="53"/>
        <v/>
      </c>
      <c r="J842" t="str">
        <f t="shared" si="54"/>
        <v/>
      </c>
      <c r="K842">
        <v>1747600.83</v>
      </c>
      <c r="L842" t="b">
        <f t="shared" si="51"/>
        <v>0</v>
      </c>
    </row>
    <row r="843" spans="1:12" ht="16" x14ac:dyDescent="0.2">
      <c r="A843" t="s">
        <v>5141</v>
      </c>
      <c r="B843" t="s">
        <v>73</v>
      </c>
      <c r="C843" t="s">
        <v>3447</v>
      </c>
      <c r="D843" s="2" t="s">
        <v>139</v>
      </c>
      <c r="E843">
        <v>2025</v>
      </c>
      <c r="F843">
        <v>2026</v>
      </c>
      <c r="G843" s="10">
        <v>2925000</v>
      </c>
      <c r="H843" t="str">
        <f t="shared" si="52"/>
        <v/>
      </c>
      <c r="I843" t="str">
        <f t="shared" si="53"/>
        <v/>
      </c>
      <c r="J843" t="str">
        <f t="shared" si="54"/>
        <v/>
      </c>
      <c r="K843">
        <v>242391.43</v>
      </c>
      <c r="L843" t="b">
        <f t="shared" si="51"/>
        <v>0</v>
      </c>
    </row>
    <row r="844" spans="1:12" ht="16" x14ac:dyDescent="0.2">
      <c r="A844" t="s">
        <v>5142</v>
      </c>
      <c r="B844" t="s">
        <v>73</v>
      </c>
      <c r="C844" t="s">
        <v>3448</v>
      </c>
      <c r="D844" s="2" t="s">
        <v>139</v>
      </c>
      <c r="E844">
        <v>2025</v>
      </c>
      <c r="F844">
        <v>2028</v>
      </c>
      <c r="G844" s="10">
        <v>10347500</v>
      </c>
      <c r="H844">
        <f t="shared" si="52"/>
        <v>10347500</v>
      </c>
      <c r="I844">
        <f t="shared" si="53"/>
        <v>10347500</v>
      </c>
      <c r="J844" t="str">
        <f t="shared" si="54"/>
        <v/>
      </c>
      <c r="K844">
        <v>15672521.4</v>
      </c>
      <c r="L844" t="b">
        <f t="shared" si="51"/>
        <v>0</v>
      </c>
    </row>
    <row r="845" spans="1:12" ht="16" x14ac:dyDescent="0.2">
      <c r="A845" t="s">
        <v>5143</v>
      </c>
      <c r="B845" t="s">
        <v>73</v>
      </c>
      <c r="C845" t="s">
        <v>3449</v>
      </c>
      <c r="D845" s="2" t="s">
        <v>139</v>
      </c>
      <c r="G845" s="10" t="s">
        <v>2892</v>
      </c>
      <c r="H845" t="str">
        <f t="shared" si="52"/>
        <v/>
      </c>
      <c r="I845" t="str">
        <f t="shared" si="53"/>
        <v/>
      </c>
      <c r="J845" t="str">
        <f t="shared" si="54"/>
        <v/>
      </c>
      <c r="L845" t="b">
        <f t="shared" si="51"/>
        <v>1</v>
      </c>
    </row>
    <row r="846" spans="1:12" ht="16" x14ac:dyDescent="0.2">
      <c r="A846" t="s">
        <v>5144</v>
      </c>
      <c r="B846" t="s">
        <v>73</v>
      </c>
      <c r="C846" t="s">
        <v>3450</v>
      </c>
      <c r="D846" s="2" t="s">
        <v>139</v>
      </c>
      <c r="E846">
        <v>2025</v>
      </c>
      <c r="F846">
        <v>2027</v>
      </c>
      <c r="G846" s="10">
        <v>4556666.666666667</v>
      </c>
      <c r="H846">
        <f t="shared" si="52"/>
        <v>4556666.666666667</v>
      </c>
      <c r="I846" t="str">
        <f t="shared" si="53"/>
        <v/>
      </c>
      <c r="J846" t="str">
        <f t="shared" si="54"/>
        <v/>
      </c>
      <c r="K846">
        <v>1688030.92</v>
      </c>
      <c r="L846" t="b">
        <f t="shared" si="51"/>
        <v>0</v>
      </c>
    </row>
    <row r="847" spans="1:12" ht="16" x14ac:dyDescent="0.2">
      <c r="A847" t="s">
        <v>5145</v>
      </c>
      <c r="B847" t="s">
        <v>73</v>
      </c>
      <c r="C847" t="s">
        <v>3451</v>
      </c>
      <c r="D847" s="2" t="s">
        <v>139</v>
      </c>
      <c r="G847" s="10" t="s">
        <v>2892</v>
      </c>
      <c r="H847" t="str">
        <f t="shared" si="52"/>
        <v/>
      </c>
      <c r="I847" t="str">
        <f t="shared" si="53"/>
        <v/>
      </c>
      <c r="J847" t="str">
        <f t="shared" si="54"/>
        <v/>
      </c>
      <c r="L847" t="b">
        <f t="shared" si="51"/>
        <v>1</v>
      </c>
    </row>
    <row r="848" spans="1:12" ht="16" x14ac:dyDescent="0.2">
      <c r="A848" t="s">
        <v>5146</v>
      </c>
      <c r="B848" t="s">
        <v>73</v>
      </c>
      <c r="C848" t="s">
        <v>3452</v>
      </c>
      <c r="D848" s="2" t="s">
        <v>139</v>
      </c>
      <c r="E848">
        <v>2025</v>
      </c>
      <c r="F848">
        <v>2026</v>
      </c>
      <c r="G848" s="10">
        <v>2260000</v>
      </c>
      <c r="H848" t="str">
        <f t="shared" si="52"/>
        <v/>
      </c>
      <c r="I848" t="str">
        <f t="shared" si="53"/>
        <v/>
      </c>
      <c r="J848" t="str">
        <f t="shared" si="54"/>
        <v/>
      </c>
      <c r="K848">
        <v>292645.15999999997</v>
      </c>
      <c r="L848" t="b">
        <f t="shared" si="51"/>
        <v>0</v>
      </c>
    </row>
    <row r="849" spans="1:12" ht="16" x14ac:dyDescent="0.2">
      <c r="A849" t="s">
        <v>5147</v>
      </c>
      <c r="B849" t="s">
        <v>73</v>
      </c>
      <c r="C849" t="s">
        <v>3453</v>
      </c>
      <c r="D849" s="2" t="s">
        <v>139</v>
      </c>
      <c r="E849">
        <v>2025</v>
      </c>
      <c r="F849">
        <v>2027</v>
      </c>
      <c r="G849" s="10">
        <v>2666666.6666666665</v>
      </c>
      <c r="H849">
        <f t="shared" si="52"/>
        <v>2666666.6666666665</v>
      </c>
      <c r="I849" t="str">
        <f t="shared" si="53"/>
        <v/>
      </c>
      <c r="J849" t="str">
        <f t="shared" si="54"/>
        <v/>
      </c>
      <c r="K849">
        <v>1402930.88</v>
      </c>
      <c r="L849" t="b">
        <f t="shared" si="51"/>
        <v>0</v>
      </c>
    </row>
    <row r="850" spans="1:12" ht="16" x14ac:dyDescent="0.2">
      <c r="A850" t="s">
        <v>5148</v>
      </c>
      <c r="B850" t="s">
        <v>73</v>
      </c>
      <c r="C850" t="s">
        <v>3454</v>
      </c>
      <c r="D850" s="2" t="s">
        <v>139</v>
      </c>
      <c r="E850">
        <v>2025</v>
      </c>
      <c r="F850">
        <v>2027</v>
      </c>
      <c r="G850" s="10">
        <v>1410000.0000000002</v>
      </c>
      <c r="H850">
        <f t="shared" si="52"/>
        <v>1410000.0000000002</v>
      </c>
      <c r="I850" t="str">
        <f t="shared" si="53"/>
        <v/>
      </c>
      <c r="J850" t="str">
        <f t="shared" si="54"/>
        <v/>
      </c>
      <c r="K850">
        <v>519006.61</v>
      </c>
      <c r="L850" t="b">
        <f t="shared" si="51"/>
        <v>0</v>
      </c>
    </row>
    <row r="851" spans="1:12" ht="16" x14ac:dyDescent="0.2">
      <c r="A851" t="s">
        <v>5149</v>
      </c>
      <c r="B851" t="s">
        <v>73</v>
      </c>
      <c r="C851" t="s">
        <v>3455</v>
      </c>
      <c r="D851" s="2" t="s">
        <v>139</v>
      </c>
      <c r="E851">
        <v>2025</v>
      </c>
      <c r="F851">
        <v>2026</v>
      </c>
      <c r="G851" s="10">
        <v>4260000</v>
      </c>
      <c r="H851" t="str">
        <f t="shared" si="52"/>
        <v/>
      </c>
      <c r="I851" t="str">
        <f t="shared" si="53"/>
        <v/>
      </c>
      <c r="J851" t="str">
        <f t="shared" si="54"/>
        <v/>
      </c>
      <c r="K851">
        <v>981169.22</v>
      </c>
      <c r="L851" t="b">
        <f t="shared" si="51"/>
        <v>0</v>
      </c>
    </row>
    <row r="852" spans="1:12" ht="16" x14ac:dyDescent="0.2">
      <c r="A852" t="s">
        <v>5150</v>
      </c>
      <c r="B852" t="s">
        <v>73</v>
      </c>
      <c r="C852" t="s">
        <v>3456</v>
      </c>
      <c r="D852" s="2" t="s">
        <v>139</v>
      </c>
      <c r="E852">
        <v>2025</v>
      </c>
      <c r="F852">
        <v>2028</v>
      </c>
      <c r="G852" s="10">
        <v>6420000</v>
      </c>
      <c r="H852">
        <f t="shared" si="52"/>
        <v>6420000</v>
      </c>
      <c r="I852">
        <f t="shared" si="53"/>
        <v>6420000</v>
      </c>
      <c r="J852" t="str">
        <f t="shared" si="54"/>
        <v/>
      </c>
      <c r="K852">
        <v>7538943.2999999998</v>
      </c>
      <c r="L852" t="b">
        <f t="shared" si="51"/>
        <v>0</v>
      </c>
    </row>
    <row r="853" spans="1:12" ht="16" x14ac:dyDescent="0.2">
      <c r="A853" t="s">
        <v>5151</v>
      </c>
      <c r="B853" t="s">
        <v>73</v>
      </c>
      <c r="C853" t="s">
        <v>3457</v>
      </c>
      <c r="D853" s="2" t="s">
        <v>139</v>
      </c>
      <c r="E853">
        <v>2025</v>
      </c>
      <c r="F853">
        <v>2026</v>
      </c>
      <c r="G853" s="10">
        <v>4715000</v>
      </c>
      <c r="H853" t="str">
        <f t="shared" si="52"/>
        <v/>
      </c>
      <c r="I853" t="str">
        <f t="shared" si="53"/>
        <v/>
      </c>
      <c r="J853" t="str">
        <f t="shared" si="54"/>
        <v/>
      </c>
      <c r="K853">
        <v>2810491.9</v>
      </c>
      <c r="L853" t="b">
        <f t="shared" si="51"/>
        <v>0</v>
      </c>
    </row>
    <row r="854" spans="1:12" ht="16" x14ac:dyDescent="0.2">
      <c r="A854" t="s">
        <v>5152</v>
      </c>
      <c r="B854" t="s">
        <v>73</v>
      </c>
      <c r="C854" t="s">
        <v>3458</v>
      </c>
      <c r="D854" s="2" t="s">
        <v>139</v>
      </c>
      <c r="E854">
        <v>2025</v>
      </c>
      <c r="F854">
        <v>2027</v>
      </c>
      <c r="G854" s="10">
        <v>5616666.666666667</v>
      </c>
      <c r="H854">
        <f t="shared" si="52"/>
        <v>5616666.666666667</v>
      </c>
      <c r="I854" t="str">
        <f t="shared" si="53"/>
        <v/>
      </c>
      <c r="J854" t="str">
        <f t="shared" si="54"/>
        <v/>
      </c>
      <c r="K854">
        <v>3065380.22</v>
      </c>
      <c r="L854" t="b">
        <f t="shared" si="51"/>
        <v>0</v>
      </c>
    </row>
    <row r="855" spans="1:12" ht="16" x14ac:dyDescent="0.2">
      <c r="A855" t="s">
        <v>5153</v>
      </c>
      <c r="B855" t="s">
        <v>73</v>
      </c>
      <c r="C855" t="s">
        <v>3459</v>
      </c>
      <c r="D855" s="2" t="s">
        <v>139</v>
      </c>
      <c r="G855" s="10" t="s">
        <v>2892</v>
      </c>
      <c r="H855" t="str">
        <f t="shared" si="52"/>
        <v/>
      </c>
      <c r="I855" t="str">
        <f t="shared" si="53"/>
        <v/>
      </c>
      <c r="J855" t="str">
        <f t="shared" si="54"/>
        <v/>
      </c>
      <c r="L855" t="b">
        <f t="shared" si="51"/>
        <v>1</v>
      </c>
    </row>
    <row r="856" spans="1:12" ht="16" x14ac:dyDescent="0.2">
      <c r="A856" t="s">
        <v>5154</v>
      </c>
      <c r="B856" t="s">
        <v>73</v>
      </c>
      <c r="C856" t="s">
        <v>3460</v>
      </c>
      <c r="D856" s="2" t="s">
        <v>139</v>
      </c>
      <c r="E856">
        <v>2025</v>
      </c>
      <c r="F856">
        <v>2026</v>
      </c>
      <c r="G856" s="10">
        <v>4860000</v>
      </c>
      <c r="H856" t="str">
        <f t="shared" si="52"/>
        <v/>
      </c>
      <c r="I856" t="str">
        <f t="shared" si="53"/>
        <v/>
      </c>
      <c r="J856" t="str">
        <f t="shared" si="54"/>
        <v/>
      </c>
      <c r="K856">
        <v>1139119.23</v>
      </c>
      <c r="L856" t="b">
        <f t="shared" si="51"/>
        <v>0</v>
      </c>
    </row>
    <row r="857" spans="1:12" ht="16" x14ac:dyDescent="0.2">
      <c r="A857" t="s">
        <v>5155</v>
      </c>
      <c r="B857" t="s">
        <v>73</v>
      </c>
      <c r="C857" t="s">
        <v>3461</v>
      </c>
      <c r="D857" s="2" t="s">
        <v>139</v>
      </c>
      <c r="E857">
        <v>2025</v>
      </c>
      <c r="F857">
        <v>2026</v>
      </c>
      <c r="G857" s="10">
        <v>4115000</v>
      </c>
      <c r="H857" t="str">
        <f t="shared" si="52"/>
        <v/>
      </c>
      <c r="I857" t="str">
        <f t="shared" si="53"/>
        <v/>
      </c>
      <c r="J857" t="str">
        <f t="shared" si="54"/>
        <v/>
      </c>
      <c r="K857">
        <v>1593558.4</v>
      </c>
      <c r="L857" t="b">
        <f t="shared" si="51"/>
        <v>0</v>
      </c>
    </row>
    <row r="858" spans="1:12" ht="16" x14ac:dyDescent="0.2">
      <c r="A858" t="s">
        <v>5156</v>
      </c>
      <c r="B858" t="s">
        <v>73</v>
      </c>
      <c r="C858" t="s">
        <v>3462</v>
      </c>
      <c r="D858" s="2" t="s">
        <v>139</v>
      </c>
      <c r="E858">
        <v>2025</v>
      </c>
      <c r="F858">
        <v>2026</v>
      </c>
      <c r="G858" s="10">
        <v>7570000</v>
      </c>
      <c r="H858" t="str">
        <f t="shared" si="52"/>
        <v/>
      </c>
      <c r="I858" t="str">
        <f t="shared" si="53"/>
        <v/>
      </c>
      <c r="J858" t="str">
        <f t="shared" si="54"/>
        <v/>
      </c>
      <c r="K858">
        <v>6155102.4100000001</v>
      </c>
      <c r="L858" t="b">
        <f t="shared" si="51"/>
        <v>0</v>
      </c>
    </row>
    <row r="859" spans="1:12" ht="16" x14ac:dyDescent="0.2">
      <c r="A859" t="s">
        <v>5157</v>
      </c>
      <c r="B859" t="s">
        <v>73</v>
      </c>
      <c r="C859" t="s">
        <v>3463</v>
      </c>
      <c r="D859" s="2" t="s">
        <v>139</v>
      </c>
      <c r="E859">
        <v>2025</v>
      </c>
      <c r="F859">
        <v>2027</v>
      </c>
      <c r="G859" s="10">
        <v>4733333.333333333</v>
      </c>
      <c r="H859">
        <f t="shared" si="52"/>
        <v>4733333.333333333</v>
      </c>
      <c r="I859" t="str">
        <f t="shared" si="53"/>
        <v/>
      </c>
      <c r="J859" t="str">
        <f t="shared" si="54"/>
        <v/>
      </c>
      <c r="K859">
        <v>4007919.38</v>
      </c>
      <c r="L859" t="b">
        <f t="shared" si="51"/>
        <v>0</v>
      </c>
    </row>
    <row r="860" spans="1:12" ht="16" x14ac:dyDescent="0.2">
      <c r="A860" t="s">
        <v>5158</v>
      </c>
      <c r="B860" t="s">
        <v>73</v>
      </c>
      <c r="C860" t="s">
        <v>3464</v>
      </c>
      <c r="D860" s="2" t="s">
        <v>139</v>
      </c>
      <c r="G860" s="10" t="s">
        <v>2892</v>
      </c>
      <c r="H860" t="str">
        <f t="shared" si="52"/>
        <v/>
      </c>
      <c r="I860" t="str">
        <f t="shared" si="53"/>
        <v/>
      </c>
      <c r="J860" t="str">
        <f t="shared" si="54"/>
        <v/>
      </c>
      <c r="L860" t="b">
        <f t="shared" si="51"/>
        <v>1</v>
      </c>
    </row>
    <row r="861" spans="1:12" ht="16" x14ac:dyDescent="0.2">
      <c r="A861" t="s">
        <v>5159</v>
      </c>
      <c r="B861" t="s">
        <v>73</v>
      </c>
      <c r="C861" t="s">
        <v>3465</v>
      </c>
      <c r="D861" s="2" t="s">
        <v>139</v>
      </c>
      <c r="E861">
        <v>2025</v>
      </c>
      <c r="F861">
        <v>2027</v>
      </c>
      <c r="G861" s="10">
        <v>1033333.3333333335</v>
      </c>
      <c r="H861">
        <f t="shared" si="52"/>
        <v>1033333.3333333335</v>
      </c>
      <c r="I861" t="str">
        <f t="shared" si="53"/>
        <v/>
      </c>
      <c r="J861" t="str">
        <f t="shared" si="54"/>
        <v/>
      </c>
      <c r="K861">
        <v>409846.85</v>
      </c>
      <c r="L861" t="b">
        <f t="shared" si="51"/>
        <v>0</v>
      </c>
    </row>
    <row r="862" spans="1:12" ht="16" x14ac:dyDescent="0.2">
      <c r="A862" t="s">
        <v>5160</v>
      </c>
      <c r="B862" t="s">
        <v>73</v>
      </c>
      <c r="C862" t="s">
        <v>3466</v>
      </c>
      <c r="D862" s="2" t="s">
        <v>139</v>
      </c>
      <c r="E862">
        <v>2025</v>
      </c>
      <c r="F862">
        <v>2027</v>
      </c>
      <c r="G862" s="10">
        <v>5226666.666666667</v>
      </c>
      <c r="H862">
        <f t="shared" si="52"/>
        <v>5226666.666666667</v>
      </c>
      <c r="I862" t="str">
        <f t="shared" si="53"/>
        <v/>
      </c>
      <c r="J862" t="str">
        <f t="shared" si="54"/>
        <v/>
      </c>
      <c r="K862">
        <v>3961171.65</v>
      </c>
      <c r="L862" t="b">
        <f t="shared" si="51"/>
        <v>0</v>
      </c>
    </row>
    <row r="863" spans="1:12" ht="16" x14ac:dyDescent="0.2">
      <c r="A863" t="s">
        <v>5161</v>
      </c>
      <c r="B863" t="s">
        <v>73</v>
      </c>
      <c r="C863" t="s">
        <v>3467</v>
      </c>
      <c r="D863" s="2" t="s">
        <v>139</v>
      </c>
      <c r="G863" s="10" t="s">
        <v>2892</v>
      </c>
      <c r="H863" t="str">
        <f t="shared" si="52"/>
        <v/>
      </c>
      <c r="I863" t="str">
        <f t="shared" si="53"/>
        <v/>
      </c>
      <c r="J863" t="str">
        <f t="shared" si="54"/>
        <v/>
      </c>
      <c r="L863" t="b">
        <f t="shared" si="51"/>
        <v>1</v>
      </c>
    </row>
    <row r="864" spans="1:12" ht="16" x14ac:dyDescent="0.2">
      <c r="A864" t="s">
        <v>5162</v>
      </c>
      <c r="B864" t="s">
        <v>73</v>
      </c>
      <c r="C864" t="s">
        <v>3468</v>
      </c>
      <c r="D864" s="2" t="s">
        <v>139</v>
      </c>
      <c r="E864">
        <v>2025</v>
      </c>
      <c r="F864">
        <v>2026</v>
      </c>
      <c r="G864" s="10">
        <v>970000</v>
      </c>
      <c r="H864" t="str">
        <f t="shared" si="52"/>
        <v/>
      </c>
      <c r="I864" t="str">
        <f t="shared" si="53"/>
        <v/>
      </c>
      <c r="J864" t="str">
        <f t="shared" si="54"/>
        <v/>
      </c>
      <c r="K864">
        <v>283595.36</v>
      </c>
      <c r="L864" t="b">
        <f t="shared" si="51"/>
        <v>0</v>
      </c>
    </row>
    <row r="865" spans="1:12" ht="16" x14ac:dyDescent="0.2">
      <c r="A865" t="s">
        <v>5163</v>
      </c>
      <c r="B865" t="s">
        <v>73</v>
      </c>
      <c r="C865" t="s">
        <v>3469</v>
      </c>
      <c r="D865" s="2" t="s">
        <v>139</v>
      </c>
      <c r="E865">
        <v>2025</v>
      </c>
      <c r="F865">
        <v>2027</v>
      </c>
      <c r="G865" s="10">
        <v>9136666.666666666</v>
      </c>
      <c r="H865">
        <f t="shared" si="52"/>
        <v>9136666.666666666</v>
      </c>
      <c r="I865" t="str">
        <f t="shared" si="53"/>
        <v/>
      </c>
      <c r="J865" t="str">
        <f t="shared" si="54"/>
        <v/>
      </c>
      <c r="K865">
        <v>6878438.3399999999</v>
      </c>
      <c r="L865" t="b">
        <f t="shared" si="51"/>
        <v>0</v>
      </c>
    </row>
    <row r="866" spans="1:12" ht="16" x14ac:dyDescent="0.2">
      <c r="A866" t="s">
        <v>5164</v>
      </c>
      <c r="B866" t="s">
        <v>73</v>
      </c>
      <c r="C866" t="s">
        <v>3470</v>
      </c>
      <c r="D866" s="2" t="s">
        <v>139</v>
      </c>
      <c r="E866">
        <v>2025</v>
      </c>
      <c r="F866">
        <v>2026</v>
      </c>
      <c r="G866" s="10">
        <v>1210000</v>
      </c>
      <c r="H866" t="str">
        <f t="shared" si="52"/>
        <v/>
      </c>
      <c r="I866" t="str">
        <f t="shared" si="53"/>
        <v/>
      </c>
      <c r="J866" t="str">
        <f t="shared" si="54"/>
        <v/>
      </c>
      <c r="K866">
        <v>395713.39</v>
      </c>
      <c r="L866" t="b">
        <f t="shared" si="51"/>
        <v>0</v>
      </c>
    </row>
    <row r="867" spans="1:12" ht="16" x14ac:dyDescent="0.2">
      <c r="A867" t="s">
        <v>5165</v>
      </c>
      <c r="B867" t="s">
        <v>73</v>
      </c>
      <c r="C867" t="s">
        <v>3471</v>
      </c>
      <c r="D867" s="2" t="s">
        <v>140</v>
      </c>
      <c r="E867">
        <v>2025</v>
      </c>
      <c r="F867">
        <v>2027</v>
      </c>
      <c r="G867" s="10">
        <v>11400000</v>
      </c>
      <c r="H867">
        <f t="shared" si="52"/>
        <v>11400000</v>
      </c>
      <c r="I867" t="str">
        <f t="shared" si="53"/>
        <v/>
      </c>
      <c r="J867" t="str">
        <f t="shared" si="54"/>
        <v/>
      </c>
      <c r="K867">
        <v>13883767.5</v>
      </c>
      <c r="L867" t="b">
        <f t="shared" ref="L867:L930" si="55">IF(F867="",TRUE,FALSE)</f>
        <v>0</v>
      </c>
    </row>
    <row r="868" spans="1:12" ht="16" x14ac:dyDescent="0.2">
      <c r="A868" t="s">
        <v>5166</v>
      </c>
      <c r="B868" t="s">
        <v>73</v>
      </c>
      <c r="C868" t="s">
        <v>3472</v>
      </c>
      <c r="D868" s="2" t="s">
        <v>140</v>
      </c>
      <c r="E868">
        <v>2025</v>
      </c>
      <c r="F868">
        <v>2026</v>
      </c>
      <c r="G868" s="10">
        <v>7190000</v>
      </c>
      <c r="H868" t="str">
        <f t="shared" si="52"/>
        <v/>
      </c>
      <c r="I868" t="str">
        <f t="shared" si="53"/>
        <v/>
      </c>
      <c r="J868" t="str">
        <f t="shared" si="54"/>
        <v/>
      </c>
      <c r="K868">
        <v>3791682.54</v>
      </c>
      <c r="L868" t="b">
        <f t="shared" si="55"/>
        <v>0</v>
      </c>
    </row>
    <row r="869" spans="1:12" ht="16" x14ac:dyDescent="0.2">
      <c r="A869" t="s">
        <v>5167</v>
      </c>
      <c r="B869" t="s">
        <v>73</v>
      </c>
      <c r="C869" t="s">
        <v>3473</v>
      </c>
      <c r="D869" s="2" t="s">
        <v>140</v>
      </c>
      <c r="G869" s="10" t="s">
        <v>2892</v>
      </c>
      <c r="H869" t="str">
        <f t="shared" si="52"/>
        <v/>
      </c>
      <c r="I869" t="str">
        <f t="shared" si="53"/>
        <v/>
      </c>
      <c r="J869" t="str">
        <f t="shared" si="54"/>
        <v/>
      </c>
      <c r="L869" t="b">
        <f t="shared" si="55"/>
        <v>1</v>
      </c>
    </row>
    <row r="870" spans="1:12" ht="16" x14ac:dyDescent="0.2">
      <c r="A870" t="s">
        <v>5168</v>
      </c>
      <c r="B870" t="s">
        <v>73</v>
      </c>
      <c r="C870" t="s">
        <v>3474</v>
      </c>
      <c r="D870" s="2" t="s">
        <v>140</v>
      </c>
      <c r="E870">
        <v>2025</v>
      </c>
      <c r="F870">
        <v>2026</v>
      </c>
      <c r="G870" s="10">
        <v>4220000</v>
      </c>
      <c r="H870" t="str">
        <f t="shared" si="52"/>
        <v/>
      </c>
      <c r="I870" t="str">
        <f t="shared" si="53"/>
        <v/>
      </c>
      <c r="J870" t="str">
        <f t="shared" si="54"/>
        <v/>
      </c>
      <c r="K870">
        <v>1284658.3500000001</v>
      </c>
      <c r="L870" t="b">
        <f t="shared" si="55"/>
        <v>0</v>
      </c>
    </row>
    <row r="871" spans="1:12" ht="16" x14ac:dyDescent="0.2">
      <c r="A871" t="s">
        <v>5169</v>
      </c>
      <c r="B871" t="s">
        <v>73</v>
      </c>
      <c r="C871" t="s">
        <v>3475</v>
      </c>
      <c r="D871" s="2" t="s">
        <v>140</v>
      </c>
      <c r="G871" s="10" t="s">
        <v>2892</v>
      </c>
      <c r="H871" t="str">
        <f t="shared" si="52"/>
        <v/>
      </c>
      <c r="I871" t="str">
        <f t="shared" si="53"/>
        <v/>
      </c>
      <c r="J871" t="str">
        <f t="shared" si="54"/>
        <v/>
      </c>
      <c r="L871" t="b">
        <f t="shared" si="55"/>
        <v>1</v>
      </c>
    </row>
    <row r="872" spans="1:12" ht="16" x14ac:dyDescent="0.2">
      <c r="A872" t="s">
        <v>5170</v>
      </c>
      <c r="B872" t="s">
        <v>73</v>
      </c>
      <c r="C872" t="s">
        <v>3476</v>
      </c>
      <c r="D872" s="2" t="s">
        <v>140</v>
      </c>
      <c r="G872" s="10" t="s">
        <v>2892</v>
      </c>
      <c r="H872" t="str">
        <f t="shared" si="52"/>
        <v/>
      </c>
      <c r="I872" t="str">
        <f t="shared" si="53"/>
        <v/>
      </c>
      <c r="J872" t="str">
        <f t="shared" si="54"/>
        <v/>
      </c>
      <c r="L872" t="b">
        <f t="shared" si="55"/>
        <v>1</v>
      </c>
    </row>
    <row r="873" spans="1:12" ht="16" x14ac:dyDescent="0.2">
      <c r="A873" t="s">
        <v>5171</v>
      </c>
      <c r="B873" t="s">
        <v>73</v>
      </c>
      <c r="C873" t="s">
        <v>3477</v>
      </c>
      <c r="D873" s="2" t="s">
        <v>140</v>
      </c>
      <c r="E873">
        <v>2025</v>
      </c>
      <c r="F873">
        <v>2026</v>
      </c>
      <c r="G873" s="10">
        <v>2200000</v>
      </c>
      <c r="H873" t="str">
        <f t="shared" si="52"/>
        <v/>
      </c>
      <c r="I873" t="str">
        <f t="shared" si="53"/>
        <v/>
      </c>
      <c r="J873" t="str">
        <f t="shared" si="54"/>
        <v/>
      </c>
      <c r="K873">
        <v>680374.3</v>
      </c>
      <c r="L873" t="b">
        <f t="shared" si="55"/>
        <v>0</v>
      </c>
    </row>
    <row r="874" spans="1:12" ht="16" x14ac:dyDescent="0.2">
      <c r="A874" t="s">
        <v>5172</v>
      </c>
      <c r="B874" t="s">
        <v>73</v>
      </c>
      <c r="C874" t="s">
        <v>3478</v>
      </c>
      <c r="D874" s="2" t="s">
        <v>140</v>
      </c>
      <c r="G874" s="10" t="s">
        <v>2892</v>
      </c>
      <c r="H874" t="str">
        <f t="shared" si="52"/>
        <v/>
      </c>
      <c r="I874" t="str">
        <f t="shared" si="53"/>
        <v/>
      </c>
      <c r="J874" t="str">
        <f t="shared" si="54"/>
        <v/>
      </c>
      <c r="L874" t="b">
        <f t="shared" si="55"/>
        <v>1</v>
      </c>
    </row>
    <row r="875" spans="1:12" ht="16" x14ac:dyDescent="0.2">
      <c r="A875" t="s">
        <v>5173</v>
      </c>
      <c r="B875" t="s">
        <v>73</v>
      </c>
      <c r="C875" t="s">
        <v>3479</v>
      </c>
      <c r="D875" s="2" t="s">
        <v>140</v>
      </c>
      <c r="E875">
        <v>2025</v>
      </c>
      <c r="F875">
        <v>2028</v>
      </c>
      <c r="G875" s="10">
        <v>9855000</v>
      </c>
      <c r="H875">
        <f t="shared" si="52"/>
        <v>9855000</v>
      </c>
      <c r="I875">
        <f t="shared" si="53"/>
        <v>9855000</v>
      </c>
      <c r="J875" t="str">
        <f t="shared" si="54"/>
        <v/>
      </c>
      <c r="K875">
        <v>11946701.560000001</v>
      </c>
      <c r="L875" t="b">
        <f t="shared" si="55"/>
        <v>0</v>
      </c>
    </row>
    <row r="876" spans="1:12" ht="16" x14ac:dyDescent="0.2">
      <c r="A876" t="s">
        <v>5174</v>
      </c>
      <c r="B876" t="s">
        <v>73</v>
      </c>
      <c r="C876" t="s">
        <v>3480</v>
      </c>
      <c r="D876" s="2" t="s">
        <v>140</v>
      </c>
      <c r="E876">
        <v>2025</v>
      </c>
      <c r="F876">
        <v>2026</v>
      </c>
      <c r="G876" s="10">
        <v>5500000</v>
      </c>
      <c r="H876" t="str">
        <f t="shared" si="52"/>
        <v/>
      </c>
      <c r="I876" t="str">
        <f t="shared" si="53"/>
        <v/>
      </c>
      <c r="J876" t="str">
        <f t="shared" si="54"/>
        <v/>
      </c>
      <c r="K876">
        <v>1820176.61</v>
      </c>
      <c r="L876" t="b">
        <f t="shared" si="55"/>
        <v>0</v>
      </c>
    </row>
    <row r="877" spans="1:12" ht="16" x14ac:dyDescent="0.2">
      <c r="A877" t="s">
        <v>5175</v>
      </c>
      <c r="B877" t="s">
        <v>73</v>
      </c>
      <c r="C877" t="s">
        <v>3481</v>
      </c>
      <c r="D877" s="2" t="s">
        <v>140</v>
      </c>
      <c r="E877">
        <v>2025</v>
      </c>
      <c r="F877">
        <v>2026</v>
      </c>
      <c r="G877" s="10">
        <v>2495000</v>
      </c>
      <c r="H877" t="str">
        <f t="shared" si="52"/>
        <v/>
      </c>
      <c r="I877" t="str">
        <f t="shared" si="53"/>
        <v/>
      </c>
      <c r="J877" t="str">
        <f t="shared" si="54"/>
        <v/>
      </c>
      <c r="K877">
        <v>757541.8</v>
      </c>
      <c r="L877" t="b">
        <f t="shared" si="55"/>
        <v>0</v>
      </c>
    </row>
    <row r="878" spans="1:12" ht="16" x14ac:dyDescent="0.2">
      <c r="A878" t="s">
        <v>5176</v>
      </c>
      <c r="B878" t="s">
        <v>73</v>
      </c>
      <c r="C878" t="s">
        <v>3482</v>
      </c>
      <c r="D878" s="2" t="s">
        <v>140</v>
      </c>
      <c r="G878" s="10" t="s">
        <v>2892</v>
      </c>
      <c r="H878" t="str">
        <f t="shared" si="52"/>
        <v/>
      </c>
      <c r="I878" t="str">
        <f t="shared" si="53"/>
        <v/>
      </c>
      <c r="J878" t="str">
        <f t="shared" si="54"/>
        <v/>
      </c>
      <c r="L878" t="b">
        <f t="shared" si="55"/>
        <v>1</v>
      </c>
    </row>
    <row r="879" spans="1:12" ht="16" x14ac:dyDescent="0.2">
      <c r="A879" t="s">
        <v>5177</v>
      </c>
      <c r="B879" t="s">
        <v>73</v>
      </c>
      <c r="C879" t="s">
        <v>3483</v>
      </c>
      <c r="D879" s="2" t="s">
        <v>140</v>
      </c>
      <c r="E879">
        <v>2025</v>
      </c>
      <c r="F879">
        <v>2026</v>
      </c>
      <c r="G879" s="10">
        <v>16395000</v>
      </c>
      <c r="H879" t="str">
        <f t="shared" si="52"/>
        <v/>
      </c>
      <c r="I879" t="str">
        <f t="shared" si="53"/>
        <v/>
      </c>
      <c r="J879" t="str">
        <f t="shared" si="54"/>
        <v/>
      </c>
      <c r="K879">
        <v>18473608.359999999</v>
      </c>
      <c r="L879" t="b">
        <f t="shared" si="55"/>
        <v>0</v>
      </c>
    </row>
    <row r="880" spans="1:12" ht="16" x14ac:dyDescent="0.2">
      <c r="A880" t="s">
        <v>5178</v>
      </c>
      <c r="B880" t="s">
        <v>73</v>
      </c>
      <c r="C880" t="s">
        <v>3484</v>
      </c>
      <c r="D880" s="2" t="s">
        <v>140</v>
      </c>
      <c r="E880">
        <v>2025</v>
      </c>
      <c r="F880">
        <v>2026</v>
      </c>
      <c r="G880" s="10">
        <v>2005000</v>
      </c>
      <c r="H880" t="str">
        <f t="shared" si="52"/>
        <v/>
      </c>
      <c r="I880" t="str">
        <f t="shared" si="53"/>
        <v/>
      </c>
      <c r="J880" t="str">
        <f t="shared" si="54"/>
        <v/>
      </c>
      <c r="K880">
        <v>418199.32</v>
      </c>
      <c r="L880" t="b">
        <f t="shared" si="55"/>
        <v>0</v>
      </c>
    </row>
    <row r="881" spans="1:12" ht="16" x14ac:dyDescent="0.2">
      <c r="A881" t="s">
        <v>5179</v>
      </c>
      <c r="B881" t="s">
        <v>73</v>
      </c>
      <c r="C881" t="s">
        <v>3485</v>
      </c>
      <c r="D881" s="2" t="s">
        <v>140</v>
      </c>
      <c r="G881" s="10" t="s">
        <v>2892</v>
      </c>
      <c r="H881" t="str">
        <f t="shared" si="52"/>
        <v/>
      </c>
      <c r="I881" t="str">
        <f t="shared" si="53"/>
        <v/>
      </c>
      <c r="J881" t="str">
        <f t="shared" si="54"/>
        <v/>
      </c>
      <c r="L881" t="b">
        <f t="shared" si="55"/>
        <v>1</v>
      </c>
    </row>
    <row r="882" spans="1:12" ht="16" x14ac:dyDescent="0.2">
      <c r="A882" t="s">
        <v>5180</v>
      </c>
      <c r="B882" t="s">
        <v>73</v>
      </c>
      <c r="C882" t="s">
        <v>3486</v>
      </c>
      <c r="D882" s="2" t="s">
        <v>140</v>
      </c>
      <c r="E882">
        <v>2025</v>
      </c>
      <c r="F882">
        <v>2026</v>
      </c>
      <c r="G882" s="10">
        <v>4970000</v>
      </c>
      <c r="H882" t="str">
        <f t="shared" si="52"/>
        <v/>
      </c>
      <c r="I882" t="str">
        <f t="shared" si="53"/>
        <v/>
      </c>
      <c r="J882" t="str">
        <f t="shared" si="54"/>
        <v/>
      </c>
      <c r="K882">
        <v>2507060.83</v>
      </c>
      <c r="L882" t="b">
        <f t="shared" si="55"/>
        <v>0</v>
      </c>
    </row>
    <row r="883" spans="1:12" ht="16" x14ac:dyDescent="0.2">
      <c r="A883" t="s">
        <v>5181</v>
      </c>
      <c r="B883" t="s">
        <v>73</v>
      </c>
      <c r="C883" t="s">
        <v>3487</v>
      </c>
      <c r="D883" s="2" t="s">
        <v>140</v>
      </c>
      <c r="G883" s="10" t="s">
        <v>2892</v>
      </c>
      <c r="H883" t="str">
        <f t="shared" si="52"/>
        <v/>
      </c>
      <c r="I883" t="str">
        <f t="shared" si="53"/>
        <v/>
      </c>
      <c r="J883" t="str">
        <f t="shared" si="54"/>
        <v/>
      </c>
      <c r="L883" t="b">
        <f t="shared" si="55"/>
        <v>1</v>
      </c>
    </row>
    <row r="884" spans="1:12" ht="16" x14ac:dyDescent="0.2">
      <c r="A884" t="s">
        <v>5182</v>
      </c>
      <c r="B884" t="s">
        <v>73</v>
      </c>
      <c r="C884" t="s">
        <v>3488</v>
      </c>
      <c r="D884" s="2" t="s">
        <v>140</v>
      </c>
      <c r="E884">
        <v>2025</v>
      </c>
      <c r="F884">
        <v>2026</v>
      </c>
      <c r="G884" s="10">
        <v>2150000</v>
      </c>
      <c r="H884" t="str">
        <f t="shared" si="52"/>
        <v/>
      </c>
      <c r="I884" t="str">
        <f t="shared" si="53"/>
        <v/>
      </c>
      <c r="J884" t="str">
        <f t="shared" si="54"/>
        <v/>
      </c>
      <c r="K884">
        <v>35363.26</v>
      </c>
      <c r="L884" t="b">
        <f t="shared" si="55"/>
        <v>0</v>
      </c>
    </row>
    <row r="885" spans="1:12" ht="16" x14ac:dyDescent="0.2">
      <c r="A885" t="s">
        <v>5183</v>
      </c>
      <c r="B885" t="s">
        <v>73</v>
      </c>
      <c r="C885" t="s">
        <v>3489</v>
      </c>
      <c r="D885" s="2" t="s">
        <v>140</v>
      </c>
      <c r="E885">
        <v>2025</v>
      </c>
      <c r="F885">
        <v>2028</v>
      </c>
      <c r="G885" s="10">
        <v>6682500</v>
      </c>
      <c r="H885">
        <f t="shared" si="52"/>
        <v>6682500</v>
      </c>
      <c r="I885">
        <f t="shared" si="53"/>
        <v>6682500</v>
      </c>
      <c r="J885" t="str">
        <f t="shared" si="54"/>
        <v/>
      </c>
      <c r="K885">
        <v>4754240.5199999996</v>
      </c>
      <c r="L885" t="b">
        <f t="shared" si="55"/>
        <v>0</v>
      </c>
    </row>
    <row r="886" spans="1:12" ht="16" x14ac:dyDescent="0.2">
      <c r="A886" t="s">
        <v>5184</v>
      </c>
      <c r="B886" t="s">
        <v>73</v>
      </c>
      <c r="C886" t="s">
        <v>3490</v>
      </c>
      <c r="D886" s="2" t="s">
        <v>140</v>
      </c>
      <c r="E886">
        <v>2025</v>
      </c>
      <c r="F886">
        <v>2028</v>
      </c>
      <c r="G886" s="10">
        <v>10752500</v>
      </c>
      <c r="H886">
        <f t="shared" si="52"/>
        <v>10752500</v>
      </c>
      <c r="I886">
        <f t="shared" si="53"/>
        <v>10752500</v>
      </c>
      <c r="J886" t="str">
        <f t="shared" si="54"/>
        <v/>
      </c>
      <c r="K886">
        <v>18558236.120000001</v>
      </c>
      <c r="L886" t="b">
        <f t="shared" si="55"/>
        <v>0</v>
      </c>
    </row>
    <row r="887" spans="1:12" ht="16" x14ac:dyDescent="0.2">
      <c r="A887" t="s">
        <v>5185</v>
      </c>
      <c r="B887" t="s">
        <v>73</v>
      </c>
      <c r="C887" t="s">
        <v>3491</v>
      </c>
      <c r="D887" s="2" t="s">
        <v>140</v>
      </c>
      <c r="G887" s="10" t="s">
        <v>2892</v>
      </c>
      <c r="H887" t="str">
        <f t="shared" si="52"/>
        <v/>
      </c>
      <c r="I887" t="str">
        <f t="shared" si="53"/>
        <v/>
      </c>
      <c r="J887" t="str">
        <f t="shared" si="54"/>
        <v/>
      </c>
      <c r="L887" t="b">
        <f t="shared" si="55"/>
        <v>1</v>
      </c>
    </row>
    <row r="888" spans="1:12" ht="16" x14ac:dyDescent="0.2">
      <c r="A888" t="s">
        <v>5186</v>
      </c>
      <c r="B888" t="s">
        <v>73</v>
      </c>
      <c r="C888" t="s">
        <v>3492</v>
      </c>
      <c r="D888" s="2" t="s">
        <v>140</v>
      </c>
      <c r="E888">
        <v>2025</v>
      </c>
      <c r="F888">
        <v>2026</v>
      </c>
      <c r="G888" s="10">
        <v>18995000</v>
      </c>
      <c r="H888" t="str">
        <f t="shared" si="52"/>
        <v/>
      </c>
      <c r="I888" t="str">
        <f t="shared" si="53"/>
        <v/>
      </c>
      <c r="J888" t="str">
        <f t="shared" si="54"/>
        <v/>
      </c>
      <c r="K888">
        <v>19101555.890000001</v>
      </c>
      <c r="L888" t="b">
        <f t="shared" si="55"/>
        <v>0</v>
      </c>
    </row>
    <row r="889" spans="1:12" ht="16" x14ac:dyDescent="0.2">
      <c r="A889" t="s">
        <v>5187</v>
      </c>
      <c r="B889" t="s">
        <v>73</v>
      </c>
      <c r="C889" t="s">
        <v>3493</v>
      </c>
      <c r="D889" s="2" t="s">
        <v>140</v>
      </c>
      <c r="E889">
        <v>2025</v>
      </c>
      <c r="F889">
        <v>2026</v>
      </c>
      <c r="G889" s="10">
        <v>4160000</v>
      </c>
      <c r="H889" t="str">
        <f t="shared" si="52"/>
        <v/>
      </c>
      <c r="I889" t="str">
        <f t="shared" si="53"/>
        <v/>
      </c>
      <c r="J889" t="str">
        <f t="shared" si="54"/>
        <v/>
      </c>
      <c r="K889">
        <v>1723933.26</v>
      </c>
      <c r="L889" t="b">
        <f t="shared" si="55"/>
        <v>0</v>
      </c>
    </row>
    <row r="890" spans="1:12" ht="16" x14ac:dyDescent="0.2">
      <c r="A890" t="s">
        <v>5188</v>
      </c>
      <c r="B890" t="s">
        <v>73</v>
      </c>
      <c r="C890" t="s">
        <v>3494</v>
      </c>
      <c r="D890" s="2" t="s">
        <v>140</v>
      </c>
      <c r="E890">
        <v>2025</v>
      </c>
      <c r="F890">
        <v>2027</v>
      </c>
      <c r="G890" s="10">
        <v>5196666.666666666</v>
      </c>
      <c r="H890">
        <f t="shared" si="52"/>
        <v>5196666.666666666</v>
      </c>
      <c r="I890" t="str">
        <f t="shared" si="53"/>
        <v/>
      </c>
      <c r="J890" t="str">
        <f t="shared" si="54"/>
        <v/>
      </c>
      <c r="K890">
        <v>2769466.37</v>
      </c>
      <c r="L890" t="b">
        <f t="shared" si="55"/>
        <v>0</v>
      </c>
    </row>
    <row r="891" spans="1:12" ht="16" x14ac:dyDescent="0.2">
      <c r="A891" t="s">
        <v>5189</v>
      </c>
      <c r="B891" t="s">
        <v>73</v>
      </c>
      <c r="C891" t="s">
        <v>3495</v>
      </c>
      <c r="D891" s="2" t="s">
        <v>140</v>
      </c>
      <c r="E891">
        <v>2025</v>
      </c>
      <c r="F891">
        <v>2026</v>
      </c>
      <c r="G891" s="10">
        <v>10945000</v>
      </c>
      <c r="H891" t="str">
        <f t="shared" si="52"/>
        <v/>
      </c>
      <c r="I891" t="str">
        <f t="shared" si="53"/>
        <v/>
      </c>
      <c r="J891" t="str">
        <f t="shared" si="54"/>
        <v/>
      </c>
      <c r="K891">
        <v>8294114.2999999998</v>
      </c>
      <c r="L891" t="b">
        <f t="shared" si="55"/>
        <v>0</v>
      </c>
    </row>
    <row r="892" spans="1:12" ht="16" x14ac:dyDescent="0.2">
      <c r="A892" t="s">
        <v>5190</v>
      </c>
      <c r="B892" t="s">
        <v>73</v>
      </c>
      <c r="C892" t="s">
        <v>3496</v>
      </c>
      <c r="D892" s="2" t="s">
        <v>140</v>
      </c>
      <c r="G892" s="10" t="s">
        <v>2892</v>
      </c>
      <c r="H892" t="str">
        <f t="shared" si="52"/>
        <v/>
      </c>
      <c r="I892" t="str">
        <f t="shared" si="53"/>
        <v/>
      </c>
      <c r="J892" t="str">
        <f t="shared" si="54"/>
        <v/>
      </c>
      <c r="L892" t="b">
        <f t="shared" si="55"/>
        <v>1</v>
      </c>
    </row>
    <row r="893" spans="1:12" ht="16" x14ac:dyDescent="0.2">
      <c r="A893" t="s">
        <v>5191</v>
      </c>
      <c r="B893" t="s">
        <v>73</v>
      </c>
      <c r="C893" t="s">
        <v>3497</v>
      </c>
      <c r="D893" s="2" t="s">
        <v>140</v>
      </c>
      <c r="E893">
        <v>2025</v>
      </c>
      <c r="F893">
        <v>2028</v>
      </c>
      <c r="G893" s="10">
        <v>7297500</v>
      </c>
      <c r="H893">
        <f t="shared" si="52"/>
        <v>7297500</v>
      </c>
      <c r="I893">
        <f t="shared" si="53"/>
        <v>7297500</v>
      </c>
      <c r="J893" t="str">
        <f t="shared" si="54"/>
        <v/>
      </c>
      <c r="K893">
        <v>5843577.9500000002</v>
      </c>
      <c r="L893" t="b">
        <f t="shared" si="55"/>
        <v>0</v>
      </c>
    </row>
    <row r="894" spans="1:12" ht="16" x14ac:dyDescent="0.2">
      <c r="A894" t="s">
        <v>5192</v>
      </c>
      <c r="B894" t="s">
        <v>73</v>
      </c>
      <c r="C894" t="s">
        <v>3498</v>
      </c>
      <c r="D894" s="2" t="s">
        <v>140</v>
      </c>
      <c r="E894">
        <v>2025</v>
      </c>
      <c r="F894">
        <v>2026</v>
      </c>
      <c r="G894" s="10">
        <v>4710000</v>
      </c>
      <c r="H894" t="str">
        <f t="shared" si="52"/>
        <v/>
      </c>
      <c r="I894" t="str">
        <f t="shared" si="53"/>
        <v/>
      </c>
      <c r="J894" t="str">
        <f t="shared" si="54"/>
        <v/>
      </c>
      <c r="K894">
        <v>1569743.39</v>
      </c>
      <c r="L894" t="b">
        <f t="shared" si="55"/>
        <v>0</v>
      </c>
    </row>
    <row r="895" spans="1:12" ht="16" x14ac:dyDescent="0.2">
      <c r="A895" t="s">
        <v>5193</v>
      </c>
      <c r="B895" t="s">
        <v>73</v>
      </c>
      <c r="C895" t="s">
        <v>3499</v>
      </c>
      <c r="D895" s="2" t="s">
        <v>140</v>
      </c>
      <c r="G895" s="10" t="s">
        <v>2892</v>
      </c>
      <c r="H895" t="str">
        <f t="shared" si="52"/>
        <v/>
      </c>
      <c r="I895" t="str">
        <f t="shared" si="53"/>
        <v/>
      </c>
      <c r="J895" t="str">
        <f t="shared" si="54"/>
        <v/>
      </c>
      <c r="L895" t="b">
        <f t="shared" si="55"/>
        <v>1</v>
      </c>
    </row>
    <row r="896" spans="1:12" ht="16" x14ac:dyDescent="0.2">
      <c r="A896" t="s">
        <v>5194</v>
      </c>
      <c r="B896" t="s">
        <v>73</v>
      </c>
      <c r="C896" t="s">
        <v>3500</v>
      </c>
      <c r="D896" s="2" t="s">
        <v>140</v>
      </c>
      <c r="G896" s="10" t="s">
        <v>2892</v>
      </c>
      <c r="H896" t="str">
        <f t="shared" si="52"/>
        <v/>
      </c>
      <c r="I896" t="str">
        <f t="shared" si="53"/>
        <v/>
      </c>
      <c r="J896" t="str">
        <f t="shared" si="54"/>
        <v/>
      </c>
      <c r="L896" t="b">
        <f t="shared" si="55"/>
        <v>1</v>
      </c>
    </row>
    <row r="897" spans="1:12" ht="16" x14ac:dyDescent="0.2">
      <c r="A897" t="s">
        <v>5195</v>
      </c>
      <c r="B897" t="s">
        <v>73</v>
      </c>
      <c r="C897" t="s">
        <v>3501</v>
      </c>
      <c r="D897" s="2" t="s">
        <v>140</v>
      </c>
      <c r="E897">
        <v>2025</v>
      </c>
      <c r="F897">
        <v>2027</v>
      </c>
      <c r="G897" s="10">
        <v>12356666.666666668</v>
      </c>
      <c r="H897">
        <f t="shared" si="52"/>
        <v>12356666.666666668</v>
      </c>
      <c r="I897" t="str">
        <f t="shared" si="53"/>
        <v/>
      </c>
      <c r="J897" t="str">
        <f t="shared" si="54"/>
        <v/>
      </c>
      <c r="K897">
        <v>14269515.220000001</v>
      </c>
      <c r="L897" t="b">
        <f t="shared" si="55"/>
        <v>0</v>
      </c>
    </row>
    <row r="898" spans="1:12" ht="16" x14ac:dyDescent="0.2">
      <c r="A898" t="s">
        <v>5196</v>
      </c>
      <c r="B898" t="s">
        <v>73</v>
      </c>
      <c r="C898" t="s">
        <v>3502</v>
      </c>
      <c r="D898" s="2" t="s">
        <v>140</v>
      </c>
      <c r="E898">
        <v>2025</v>
      </c>
      <c r="F898">
        <v>2026</v>
      </c>
      <c r="G898" s="10">
        <v>5080000</v>
      </c>
      <c r="H898" t="str">
        <f t="shared" si="52"/>
        <v/>
      </c>
      <c r="I898" t="str">
        <f t="shared" si="53"/>
        <v/>
      </c>
      <c r="J898" t="str">
        <f t="shared" si="54"/>
        <v/>
      </c>
      <c r="K898">
        <v>1648845.06</v>
      </c>
      <c r="L898" t="b">
        <f t="shared" si="55"/>
        <v>0</v>
      </c>
    </row>
    <row r="899" spans="1:12" ht="16" x14ac:dyDescent="0.2">
      <c r="A899" t="s">
        <v>5197</v>
      </c>
      <c r="B899" t="s">
        <v>73</v>
      </c>
      <c r="C899" t="s">
        <v>3503</v>
      </c>
      <c r="D899" s="2" t="s">
        <v>140</v>
      </c>
      <c r="G899" s="10" t="s">
        <v>2892</v>
      </c>
      <c r="H899" t="str">
        <f t="shared" si="52"/>
        <v/>
      </c>
      <c r="I899" t="str">
        <f t="shared" si="53"/>
        <v/>
      </c>
      <c r="J899" t="str">
        <f t="shared" si="54"/>
        <v/>
      </c>
      <c r="L899" t="b">
        <f t="shared" si="55"/>
        <v>1</v>
      </c>
    </row>
    <row r="900" spans="1:12" ht="16" x14ac:dyDescent="0.2">
      <c r="A900" t="s">
        <v>5198</v>
      </c>
      <c r="B900" t="s">
        <v>73</v>
      </c>
      <c r="C900" t="s">
        <v>3504</v>
      </c>
      <c r="D900" s="2" t="s">
        <v>140</v>
      </c>
      <c r="E900">
        <v>2025</v>
      </c>
      <c r="F900">
        <v>2027</v>
      </c>
      <c r="G900" s="10">
        <v>4520000</v>
      </c>
      <c r="H900">
        <f t="shared" ref="H900:H963" si="56">IF(F900&gt;=2027,G900,"")</f>
        <v>4520000</v>
      </c>
      <c r="I900" t="str">
        <f t="shared" ref="I900:I963" si="57">IF(F900&gt;=2028,G900,"")</f>
        <v/>
      </c>
      <c r="J900" t="str">
        <f t="shared" ref="J900:J963" si="58">IF(F900&gt;=2029,G900,"")</f>
        <v/>
      </c>
      <c r="K900">
        <v>3932062.68</v>
      </c>
      <c r="L900" t="b">
        <f t="shared" si="55"/>
        <v>0</v>
      </c>
    </row>
    <row r="901" spans="1:12" ht="16" x14ac:dyDescent="0.2">
      <c r="A901" t="s">
        <v>5199</v>
      </c>
      <c r="B901" t="s">
        <v>73</v>
      </c>
      <c r="C901" t="s">
        <v>3505</v>
      </c>
      <c r="D901" s="2" t="s">
        <v>140</v>
      </c>
      <c r="E901">
        <v>2025</v>
      </c>
      <c r="F901">
        <v>2026</v>
      </c>
      <c r="G901" s="10">
        <v>5090000</v>
      </c>
      <c r="H901" t="str">
        <f t="shared" si="56"/>
        <v/>
      </c>
      <c r="I901" t="str">
        <f t="shared" si="57"/>
        <v/>
      </c>
      <c r="J901" t="str">
        <f t="shared" si="58"/>
        <v/>
      </c>
      <c r="K901">
        <v>2536877.77</v>
      </c>
      <c r="L901" t="b">
        <f t="shared" si="55"/>
        <v>0</v>
      </c>
    </row>
    <row r="902" spans="1:12" ht="16" x14ac:dyDescent="0.2">
      <c r="A902" t="s">
        <v>5200</v>
      </c>
      <c r="B902" t="s">
        <v>73</v>
      </c>
      <c r="C902" t="s">
        <v>3506</v>
      </c>
      <c r="D902" s="2" t="s">
        <v>140</v>
      </c>
      <c r="E902">
        <v>2026</v>
      </c>
      <c r="F902">
        <v>2028</v>
      </c>
      <c r="G902" s="10">
        <v>20795000</v>
      </c>
      <c r="H902">
        <f t="shared" si="56"/>
        <v>20795000</v>
      </c>
      <c r="I902">
        <f t="shared" si="57"/>
        <v>20795000</v>
      </c>
      <c r="J902" t="str">
        <f t="shared" si="58"/>
        <v/>
      </c>
      <c r="K902">
        <v>22092244.48</v>
      </c>
      <c r="L902" t="b">
        <f t="shared" si="55"/>
        <v>0</v>
      </c>
    </row>
    <row r="903" spans="1:12" ht="16" x14ac:dyDescent="0.2">
      <c r="A903" t="s">
        <v>5201</v>
      </c>
      <c r="B903" t="s">
        <v>73</v>
      </c>
      <c r="C903" t="s">
        <v>3507</v>
      </c>
      <c r="D903" s="2" t="s">
        <v>140</v>
      </c>
      <c r="E903">
        <v>2025</v>
      </c>
      <c r="F903">
        <v>2027</v>
      </c>
      <c r="G903" s="10">
        <v>4786666.666666666</v>
      </c>
      <c r="H903">
        <f t="shared" si="56"/>
        <v>4786666.666666666</v>
      </c>
      <c r="I903" t="str">
        <f t="shared" si="57"/>
        <v/>
      </c>
      <c r="J903" t="str">
        <f t="shared" si="58"/>
        <v/>
      </c>
      <c r="K903">
        <v>3885975.07</v>
      </c>
      <c r="L903" t="b">
        <f t="shared" si="55"/>
        <v>0</v>
      </c>
    </row>
    <row r="904" spans="1:12" ht="16" x14ac:dyDescent="0.2">
      <c r="A904" t="s">
        <v>5202</v>
      </c>
      <c r="B904" t="s">
        <v>73</v>
      </c>
      <c r="C904" t="s">
        <v>3508</v>
      </c>
      <c r="D904" s="2" t="s">
        <v>140</v>
      </c>
      <c r="E904">
        <v>2025</v>
      </c>
      <c r="F904">
        <v>2026</v>
      </c>
      <c r="G904" s="10">
        <v>5595000</v>
      </c>
      <c r="H904" t="str">
        <f t="shared" si="56"/>
        <v/>
      </c>
      <c r="I904" t="str">
        <f t="shared" si="57"/>
        <v/>
      </c>
      <c r="J904" t="str">
        <f t="shared" si="58"/>
        <v/>
      </c>
      <c r="K904">
        <v>1514909.6</v>
      </c>
      <c r="L904" t="b">
        <f t="shared" si="55"/>
        <v>0</v>
      </c>
    </row>
    <row r="905" spans="1:12" ht="16" x14ac:dyDescent="0.2">
      <c r="A905" t="s">
        <v>5203</v>
      </c>
      <c r="B905" t="s">
        <v>73</v>
      </c>
      <c r="C905" t="s">
        <v>3509</v>
      </c>
      <c r="D905" s="2" t="s">
        <v>140</v>
      </c>
      <c r="G905" s="10" t="s">
        <v>2892</v>
      </c>
      <c r="H905" t="str">
        <f t="shared" si="56"/>
        <v/>
      </c>
      <c r="I905" t="str">
        <f t="shared" si="57"/>
        <v/>
      </c>
      <c r="J905" t="str">
        <f t="shared" si="58"/>
        <v/>
      </c>
      <c r="L905" t="b">
        <f t="shared" si="55"/>
        <v>1</v>
      </c>
    </row>
    <row r="906" spans="1:12" ht="16" x14ac:dyDescent="0.2">
      <c r="A906" t="s">
        <v>5204</v>
      </c>
      <c r="B906" t="s">
        <v>73</v>
      </c>
      <c r="C906" t="s">
        <v>3510</v>
      </c>
      <c r="D906" s="2" t="s">
        <v>140</v>
      </c>
      <c r="E906">
        <v>2025</v>
      </c>
      <c r="F906">
        <v>2026</v>
      </c>
      <c r="G906" s="10">
        <v>5345000</v>
      </c>
      <c r="H906" t="str">
        <f t="shared" si="56"/>
        <v/>
      </c>
      <c r="I906" t="str">
        <f t="shared" si="57"/>
        <v/>
      </c>
      <c r="J906" t="str">
        <f t="shared" si="58"/>
        <v/>
      </c>
      <c r="K906">
        <v>1741429.98</v>
      </c>
      <c r="L906" t="b">
        <f t="shared" si="55"/>
        <v>0</v>
      </c>
    </row>
    <row r="907" spans="1:12" ht="16" x14ac:dyDescent="0.2">
      <c r="A907" t="s">
        <v>5205</v>
      </c>
      <c r="B907" t="s">
        <v>73</v>
      </c>
      <c r="C907" t="s">
        <v>3511</v>
      </c>
      <c r="D907" s="2" t="s">
        <v>140</v>
      </c>
      <c r="E907">
        <v>2025</v>
      </c>
      <c r="F907">
        <v>2026</v>
      </c>
      <c r="G907" s="10">
        <v>5105000</v>
      </c>
      <c r="H907" t="str">
        <f t="shared" si="56"/>
        <v/>
      </c>
      <c r="I907" t="str">
        <f t="shared" si="57"/>
        <v/>
      </c>
      <c r="J907" t="str">
        <f t="shared" si="58"/>
        <v/>
      </c>
      <c r="K907">
        <v>2408871.75</v>
      </c>
      <c r="L907" t="b">
        <f t="shared" si="55"/>
        <v>0</v>
      </c>
    </row>
    <row r="908" spans="1:12" ht="16" x14ac:dyDescent="0.2">
      <c r="A908" t="s">
        <v>5206</v>
      </c>
      <c r="B908" t="s">
        <v>73</v>
      </c>
      <c r="C908" t="s">
        <v>3512</v>
      </c>
      <c r="D908" s="2" t="s">
        <v>140</v>
      </c>
      <c r="G908" s="10" t="s">
        <v>2892</v>
      </c>
      <c r="H908" t="str">
        <f t="shared" si="56"/>
        <v/>
      </c>
      <c r="I908" t="str">
        <f t="shared" si="57"/>
        <v/>
      </c>
      <c r="J908" t="str">
        <f t="shared" si="58"/>
        <v/>
      </c>
      <c r="L908" t="b">
        <f t="shared" si="55"/>
        <v>1</v>
      </c>
    </row>
    <row r="909" spans="1:12" ht="16" x14ac:dyDescent="0.2">
      <c r="A909" t="s">
        <v>5207</v>
      </c>
      <c r="B909" t="s">
        <v>73</v>
      </c>
      <c r="C909" t="s">
        <v>3513</v>
      </c>
      <c r="D909" s="2" t="s">
        <v>140</v>
      </c>
      <c r="G909" s="10" t="s">
        <v>2892</v>
      </c>
      <c r="H909" t="str">
        <f t="shared" si="56"/>
        <v/>
      </c>
      <c r="I909" t="str">
        <f t="shared" si="57"/>
        <v/>
      </c>
      <c r="J909" t="str">
        <f t="shared" si="58"/>
        <v/>
      </c>
      <c r="L909" t="b">
        <f t="shared" si="55"/>
        <v>1</v>
      </c>
    </row>
    <row r="910" spans="1:12" ht="16" x14ac:dyDescent="0.2">
      <c r="A910" t="s">
        <v>5208</v>
      </c>
      <c r="B910" t="s">
        <v>73</v>
      </c>
      <c r="C910" t="s">
        <v>3514</v>
      </c>
      <c r="D910" s="2" t="s">
        <v>140</v>
      </c>
      <c r="G910" s="10" t="s">
        <v>2892</v>
      </c>
      <c r="H910" t="str">
        <f t="shared" si="56"/>
        <v/>
      </c>
      <c r="I910" t="str">
        <f t="shared" si="57"/>
        <v/>
      </c>
      <c r="J910" t="str">
        <f t="shared" si="58"/>
        <v/>
      </c>
      <c r="L910" t="b">
        <f t="shared" si="55"/>
        <v>1</v>
      </c>
    </row>
    <row r="911" spans="1:12" ht="16" x14ac:dyDescent="0.2">
      <c r="A911" t="s">
        <v>5209</v>
      </c>
      <c r="B911" t="s">
        <v>73</v>
      </c>
      <c r="C911" t="s">
        <v>3515</v>
      </c>
      <c r="D911" s="2" t="s">
        <v>140</v>
      </c>
      <c r="E911">
        <v>2025</v>
      </c>
      <c r="F911">
        <v>2028</v>
      </c>
      <c r="G911" s="10">
        <v>9205000</v>
      </c>
      <c r="H911">
        <f t="shared" si="56"/>
        <v>9205000</v>
      </c>
      <c r="I911">
        <f t="shared" si="57"/>
        <v>9205000</v>
      </c>
      <c r="J911" t="str">
        <f t="shared" si="58"/>
        <v/>
      </c>
      <c r="K911">
        <v>15197969.49</v>
      </c>
      <c r="L911" t="b">
        <f t="shared" si="55"/>
        <v>0</v>
      </c>
    </row>
    <row r="912" spans="1:12" ht="16" x14ac:dyDescent="0.2">
      <c r="A912" t="s">
        <v>5210</v>
      </c>
      <c r="B912" t="s">
        <v>73</v>
      </c>
      <c r="C912" t="s">
        <v>3516</v>
      </c>
      <c r="D912" s="2" t="s">
        <v>140</v>
      </c>
      <c r="E912">
        <v>2025</v>
      </c>
      <c r="F912">
        <v>2027</v>
      </c>
      <c r="G912" s="10">
        <v>4346666.666666667</v>
      </c>
      <c r="H912">
        <f t="shared" si="56"/>
        <v>4346666.666666667</v>
      </c>
      <c r="I912" t="str">
        <f t="shared" si="57"/>
        <v/>
      </c>
      <c r="J912" t="str">
        <f t="shared" si="58"/>
        <v/>
      </c>
      <c r="K912">
        <v>4417191.78</v>
      </c>
      <c r="L912" t="b">
        <f t="shared" si="55"/>
        <v>0</v>
      </c>
    </row>
    <row r="913" spans="1:12" ht="16" x14ac:dyDescent="0.2">
      <c r="A913" t="s">
        <v>5211</v>
      </c>
      <c r="B913" t="s">
        <v>73</v>
      </c>
      <c r="C913" t="s">
        <v>3517</v>
      </c>
      <c r="D913" s="2" t="s">
        <v>140</v>
      </c>
      <c r="E913">
        <v>2025</v>
      </c>
      <c r="F913">
        <v>2026</v>
      </c>
      <c r="G913" s="10">
        <v>2005000</v>
      </c>
      <c r="H913" t="str">
        <f t="shared" si="56"/>
        <v/>
      </c>
      <c r="I913" t="str">
        <f t="shared" si="57"/>
        <v/>
      </c>
      <c r="J913" t="str">
        <f t="shared" si="58"/>
        <v/>
      </c>
      <c r="K913">
        <v>829871.97</v>
      </c>
      <c r="L913" t="b">
        <f t="shared" si="55"/>
        <v>0</v>
      </c>
    </row>
    <row r="914" spans="1:12" ht="16" x14ac:dyDescent="0.2">
      <c r="A914" t="s">
        <v>5212</v>
      </c>
      <c r="B914" t="s">
        <v>73</v>
      </c>
      <c r="C914" t="s">
        <v>3518</v>
      </c>
      <c r="D914" s="2" t="s">
        <v>140</v>
      </c>
      <c r="G914" s="10" t="s">
        <v>2892</v>
      </c>
      <c r="H914" t="str">
        <f t="shared" si="56"/>
        <v/>
      </c>
      <c r="I914" t="str">
        <f t="shared" si="57"/>
        <v/>
      </c>
      <c r="J914" t="str">
        <f t="shared" si="58"/>
        <v/>
      </c>
      <c r="L914" t="b">
        <f t="shared" si="55"/>
        <v>1</v>
      </c>
    </row>
    <row r="915" spans="1:12" ht="16" x14ac:dyDescent="0.2">
      <c r="A915" t="s">
        <v>5213</v>
      </c>
      <c r="B915" t="s">
        <v>73</v>
      </c>
      <c r="C915" t="s">
        <v>3519</v>
      </c>
      <c r="D915" s="2" t="s">
        <v>140</v>
      </c>
      <c r="E915">
        <v>2025</v>
      </c>
      <c r="F915">
        <v>2026</v>
      </c>
      <c r="G915" s="10">
        <v>14215000</v>
      </c>
      <c r="H915" t="str">
        <f t="shared" si="56"/>
        <v/>
      </c>
      <c r="I915" t="str">
        <f t="shared" si="57"/>
        <v/>
      </c>
      <c r="J915" t="str">
        <f t="shared" si="58"/>
        <v/>
      </c>
      <c r="K915">
        <v>16915410.809999999</v>
      </c>
      <c r="L915" t="b">
        <f t="shared" si="55"/>
        <v>0</v>
      </c>
    </row>
    <row r="916" spans="1:12" ht="16" x14ac:dyDescent="0.2">
      <c r="A916" t="s">
        <v>5214</v>
      </c>
      <c r="B916" t="s">
        <v>73</v>
      </c>
      <c r="C916" t="s">
        <v>3520</v>
      </c>
      <c r="D916" s="2" t="s">
        <v>140</v>
      </c>
      <c r="G916" s="10" t="s">
        <v>2892</v>
      </c>
      <c r="H916" t="str">
        <f t="shared" si="56"/>
        <v/>
      </c>
      <c r="I916" t="str">
        <f t="shared" si="57"/>
        <v/>
      </c>
      <c r="J916" t="str">
        <f t="shared" si="58"/>
        <v/>
      </c>
      <c r="L916" t="b">
        <f t="shared" si="55"/>
        <v>1</v>
      </c>
    </row>
    <row r="917" spans="1:12" ht="16" x14ac:dyDescent="0.2">
      <c r="A917" t="s">
        <v>5215</v>
      </c>
      <c r="B917" t="s">
        <v>73</v>
      </c>
      <c r="C917" t="s">
        <v>3521</v>
      </c>
      <c r="D917" s="2" t="s">
        <v>140</v>
      </c>
      <c r="E917">
        <v>2025</v>
      </c>
      <c r="F917">
        <v>2026</v>
      </c>
      <c r="G917" s="10">
        <v>1550000</v>
      </c>
      <c r="H917" t="str">
        <f t="shared" si="56"/>
        <v/>
      </c>
      <c r="I917" t="str">
        <f t="shared" si="57"/>
        <v/>
      </c>
      <c r="J917" t="str">
        <f t="shared" si="58"/>
        <v/>
      </c>
      <c r="K917">
        <v>27833.48</v>
      </c>
      <c r="L917" t="b">
        <f t="shared" si="55"/>
        <v>0</v>
      </c>
    </row>
    <row r="918" spans="1:12" ht="16" x14ac:dyDescent="0.2">
      <c r="A918" t="s">
        <v>5216</v>
      </c>
      <c r="B918" t="s">
        <v>73</v>
      </c>
      <c r="C918" t="s">
        <v>3522</v>
      </c>
      <c r="D918" s="2" t="s">
        <v>141</v>
      </c>
      <c r="E918">
        <v>2025</v>
      </c>
      <c r="F918">
        <v>2027</v>
      </c>
      <c r="G918" s="10">
        <v>6073333.333333333</v>
      </c>
      <c r="H918">
        <f t="shared" si="56"/>
        <v>6073333.333333333</v>
      </c>
      <c r="I918" t="str">
        <f t="shared" si="57"/>
        <v/>
      </c>
      <c r="J918" t="str">
        <f t="shared" si="58"/>
        <v/>
      </c>
      <c r="K918">
        <v>4830318.79</v>
      </c>
      <c r="L918" t="b">
        <f t="shared" si="55"/>
        <v>0</v>
      </c>
    </row>
    <row r="919" spans="1:12" ht="16" x14ac:dyDescent="0.2">
      <c r="A919" t="s">
        <v>5217</v>
      </c>
      <c r="B919" t="s">
        <v>73</v>
      </c>
      <c r="C919" t="s">
        <v>3523</v>
      </c>
      <c r="D919" s="2" t="s">
        <v>141</v>
      </c>
      <c r="G919" s="10" t="s">
        <v>2892</v>
      </c>
      <c r="H919" t="str">
        <f t="shared" si="56"/>
        <v/>
      </c>
      <c r="I919" t="str">
        <f t="shared" si="57"/>
        <v/>
      </c>
      <c r="J919" t="str">
        <f t="shared" si="58"/>
        <v/>
      </c>
      <c r="L919" t="b">
        <f t="shared" si="55"/>
        <v>1</v>
      </c>
    </row>
    <row r="920" spans="1:12" ht="16" x14ac:dyDescent="0.2">
      <c r="A920" t="s">
        <v>5218</v>
      </c>
      <c r="B920" t="s">
        <v>73</v>
      </c>
      <c r="C920" t="s">
        <v>3524</v>
      </c>
      <c r="D920" s="2" t="s">
        <v>141</v>
      </c>
      <c r="G920" s="10" t="s">
        <v>2892</v>
      </c>
      <c r="H920" t="str">
        <f t="shared" si="56"/>
        <v/>
      </c>
      <c r="I920" t="str">
        <f t="shared" si="57"/>
        <v/>
      </c>
      <c r="J920" t="str">
        <f t="shared" si="58"/>
        <v/>
      </c>
      <c r="L920" t="b">
        <f t="shared" si="55"/>
        <v>1</v>
      </c>
    </row>
    <row r="921" spans="1:12" ht="16" x14ac:dyDescent="0.2">
      <c r="A921" t="s">
        <v>5219</v>
      </c>
      <c r="B921" t="s">
        <v>73</v>
      </c>
      <c r="C921" t="s">
        <v>3525</v>
      </c>
      <c r="D921" s="2" t="s">
        <v>141</v>
      </c>
      <c r="E921">
        <v>2025</v>
      </c>
      <c r="F921">
        <v>2026</v>
      </c>
      <c r="G921" s="10">
        <v>6930000</v>
      </c>
      <c r="H921" t="str">
        <f t="shared" si="56"/>
        <v/>
      </c>
      <c r="I921" t="str">
        <f t="shared" si="57"/>
        <v/>
      </c>
      <c r="J921" t="str">
        <f t="shared" si="58"/>
        <v/>
      </c>
      <c r="K921">
        <v>4549469.0199999996</v>
      </c>
      <c r="L921" t="b">
        <f t="shared" si="55"/>
        <v>0</v>
      </c>
    </row>
    <row r="922" spans="1:12" ht="16" x14ac:dyDescent="0.2">
      <c r="A922" t="s">
        <v>5220</v>
      </c>
      <c r="B922" t="s">
        <v>73</v>
      </c>
      <c r="C922" t="s">
        <v>3526</v>
      </c>
      <c r="D922" s="2" t="s">
        <v>141</v>
      </c>
      <c r="G922" s="10" t="s">
        <v>2892</v>
      </c>
      <c r="H922" t="str">
        <f t="shared" si="56"/>
        <v/>
      </c>
      <c r="I922" t="str">
        <f t="shared" si="57"/>
        <v/>
      </c>
      <c r="J922" t="str">
        <f t="shared" si="58"/>
        <v/>
      </c>
      <c r="L922" t="b">
        <f t="shared" si="55"/>
        <v>1</v>
      </c>
    </row>
    <row r="923" spans="1:12" ht="16" x14ac:dyDescent="0.2">
      <c r="A923" t="s">
        <v>5221</v>
      </c>
      <c r="B923" t="s">
        <v>73</v>
      </c>
      <c r="C923" t="s">
        <v>3527</v>
      </c>
      <c r="D923" s="2" t="s">
        <v>141</v>
      </c>
      <c r="G923" s="10" t="s">
        <v>2892</v>
      </c>
      <c r="H923" t="str">
        <f t="shared" si="56"/>
        <v/>
      </c>
      <c r="I923" t="str">
        <f t="shared" si="57"/>
        <v/>
      </c>
      <c r="J923" t="str">
        <f t="shared" si="58"/>
        <v/>
      </c>
      <c r="L923" t="b">
        <f t="shared" si="55"/>
        <v>1</v>
      </c>
    </row>
    <row r="924" spans="1:12" ht="16" x14ac:dyDescent="0.2">
      <c r="A924" t="s">
        <v>5222</v>
      </c>
      <c r="B924" t="s">
        <v>73</v>
      </c>
      <c r="C924" t="s">
        <v>3528</v>
      </c>
      <c r="D924" s="2" t="s">
        <v>141</v>
      </c>
      <c r="E924">
        <v>2025</v>
      </c>
      <c r="F924">
        <v>2026</v>
      </c>
      <c r="G924" s="10">
        <v>3965000</v>
      </c>
      <c r="H924" t="str">
        <f t="shared" si="56"/>
        <v/>
      </c>
      <c r="I924" t="str">
        <f t="shared" si="57"/>
        <v/>
      </c>
      <c r="J924" t="str">
        <f t="shared" si="58"/>
        <v/>
      </c>
      <c r="K924">
        <v>1174097.48</v>
      </c>
      <c r="L924" t="b">
        <f t="shared" si="55"/>
        <v>0</v>
      </c>
    </row>
    <row r="925" spans="1:12" ht="16" x14ac:dyDescent="0.2">
      <c r="A925" t="s">
        <v>5223</v>
      </c>
      <c r="B925" t="s">
        <v>73</v>
      </c>
      <c r="C925" t="s">
        <v>3529</v>
      </c>
      <c r="D925" s="2" t="s">
        <v>141</v>
      </c>
      <c r="E925">
        <v>2025</v>
      </c>
      <c r="F925">
        <v>2027</v>
      </c>
      <c r="G925" s="10">
        <v>3813333.333333333</v>
      </c>
      <c r="H925">
        <f t="shared" si="56"/>
        <v>3813333.333333333</v>
      </c>
      <c r="I925" t="str">
        <f t="shared" si="57"/>
        <v/>
      </c>
      <c r="J925" t="str">
        <f t="shared" si="58"/>
        <v/>
      </c>
      <c r="K925">
        <v>1553836.48</v>
      </c>
      <c r="L925" t="b">
        <f t="shared" si="55"/>
        <v>0</v>
      </c>
    </row>
    <row r="926" spans="1:12" ht="16" x14ac:dyDescent="0.2">
      <c r="A926" t="s">
        <v>5224</v>
      </c>
      <c r="B926" t="s">
        <v>73</v>
      </c>
      <c r="C926" t="s">
        <v>3530</v>
      </c>
      <c r="D926" s="2" t="s">
        <v>141</v>
      </c>
      <c r="E926">
        <v>2025</v>
      </c>
      <c r="F926">
        <v>2027</v>
      </c>
      <c r="G926" s="10">
        <v>2373333.3333333335</v>
      </c>
      <c r="H926">
        <f t="shared" si="56"/>
        <v>2373333.3333333335</v>
      </c>
      <c r="I926" t="str">
        <f t="shared" si="57"/>
        <v/>
      </c>
      <c r="J926" t="str">
        <f t="shared" si="58"/>
        <v/>
      </c>
      <c r="K926">
        <v>1335250.6000000001</v>
      </c>
      <c r="L926" t="b">
        <f t="shared" si="55"/>
        <v>0</v>
      </c>
    </row>
    <row r="927" spans="1:12" ht="16" x14ac:dyDescent="0.2">
      <c r="A927" t="s">
        <v>5225</v>
      </c>
      <c r="B927" t="s">
        <v>73</v>
      </c>
      <c r="C927" t="s">
        <v>3531</v>
      </c>
      <c r="D927" s="2" t="s">
        <v>141</v>
      </c>
      <c r="E927">
        <v>2025</v>
      </c>
      <c r="F927">
        <v>2026</v>
      </c>
      <c r="G927" s="10">
        <v>11790000</v>
      </c>
      <c r="H927" t="str">
        <f t="shared" si="56"/>
        <v/>
      </c>
      <c r="I927" t="str">
        <f t="shared" si="57"/>
        <v/>
      </c>
      <c r="J927" t="str">
        <f t="shared" si="58"/>
        <v/>
      </c>
      <c r="K927">
        <v>8397223.6099999994</v>
      </c>
      <c r="L927" t="b">
        <f t="shared" si="55"/>
        <v>0</v>
      </c>
    </row>
    <row r="928" spans="1:12" ht="16" x14ac:dyDescent="0.2">
      <c r="A928" t="s">
        <v>5226</v>
      </c>
      <c r="B928" t="s">
        <v>73</v>
      </c>
      <c r="C928" t="s">
        <v>3532</v>
      </c>
      <c r="D928" s="2" t="s">
        <v>141</v>
      </c>
      <c r="E928">
        <v>2025</v>
      </c>
      <c r="F928">
        <v>2027</v>
      </c>
      <c r="G928" s="10">
        <v>8433333.333333334</v>
      </c>
      <c r="H928">
        <f t="shared" si="56"/>
        <v>8433333.333333334</v>
      </c>
      <c r="I928" t="str">
        <f t="shared" si="57"/>
        <v/>
      </c>
      <c r="J928" t="str">
        <f t="shared" si="58"/>
        <v/>
      </c>
      <c r="K928">
        <v>6505398.6100000003</v>
      </c>
      <c r="L928" t="b">
        <f t="shared" si="55"/>
        <v>0</v>
      </c>
    </row>
    <row r="929" spans="1:12" ht="16" x14ac:dyDescent="0.2">
      <c r="A929" t="s">
        <v>5227</v>
      </c>
      <c r="B929" t="s">
        <v>73</v>
      </c>
      <c r="C929" t="s">
        <v>3533</v>
      </c>
      <c r="D929" s="2" t="s">
        <v>141</v>
      </c>
      <c r="G929" s="10" t="s">
        <v>2892</v>
      </c>
      <c r="H929" t="str">
        <f t="shared" si="56"/>
        <v/>
      </c>
      <c r="I929" t="str">
        <f t="shared" si="57"/>
        <v/>
      </c>
      <c r="J929" t="str">
        <f t="shared" si="58"/>
        <v/>
      </c>
      <c r="L929" t="b">
        <f t="shared" si="55"/>
        <v>1</v>
      </c>
    </row>
    <row r="930" spans="1:12" ht="16" x14ac:dyDescent="0.2">
      <c r="A930" t="s">
        <v>5228</v>
      </c>
      <c r="B930" t="s">
        <v>73</v>
      </c>
      <c r="C930" t="s">
        <v>3534</v>
      </c>
      <c r="D930" s="2" t="s">
        <v>141</v>
      </c>
      <c r="G930" s="10" t="s">
        <v>2892</v>
      </c>
      <c r="H930" t="str">
        <f t="shared" si="56"/>
        <v/>
      </c>
      <c r="I930" t="str">
        <f t="shared" si="57"/>
        <v/>
      </c>
      <c r="J930" t="str">
        <f t="shared" si="58"/>
        <v/>
      </c>
      <c r="L930" t="b">
        <f t="shared" si="55"/>
        <v>1</v>
      </c>
    </row>
    <row r="931" spans="1:12" ht="16" x14ac:dyDescent="0.2">
      <c r="A931" t="s">
        <v>5229</v>
      </c>
      <c r="B931" t="s">
        <v>73</v>
      </c>
      <c r="C931" t="s">
        <v>3535</v>
      </c>
      <c r="D931" s="2" t="s">
        <v>141</v>
      </c>
      <c r="E931">
        <v>2025</v>
      </c>
      <c r="F931">
        <v>2026</v>
      </c>
      <c r="G931" s="10">
        <v>4770000</v>
      </c>
      <c r="H931" t="str">
        <f t="shared" si="56"/>
        <v/>
      </c>
      <c r="I931" t="str">
        <f t="shared" si="57"/>
        <v/>
      </c>
      <c r="J931" t="str">
        <f t="shared" si="58"/>
        <v/>
      </c>
      <c r="K931">
        <v>1744435.21</v>
      </c>
      <c r="L931" t="b">
        <f t="shared" ref="L931:L994" si="59">IF(F931="",TRUE,FALSE)</f>
        <v>0</v>
      </c>
    </row>
    <row r="932" spans="1:12" ht="16" x14ac:dyDescent="0.2">
      <c r="A932" t="s">
        <v>5230</v>
      </c>
      <c r="B932" t="s">
        <v>73</v>
      </c>
      <c r="C932" t="s">
        <v>3536</v>
      </c>
      <c r="D932" s="2" t="s">
        <v>141</v>
      </c>
      <c r="E932">
        <v>2025</v>
      </c>
      <c r="F932">
        <v>2026</v>
      </c>
      <c r="G932" s="10">
        <v>5495000</v>
      </c>
      <c r="H932" t="str">
        <f t="shared" si="56"/>
        <v/>
      </c>
      <c r="I932" t="str">
        <f t="shared" si="57"/>
        <v/>
      </c>
      <c r="J932" t="str">
        <f t="shared" si="58"/>
        <v/>
      </c>
      <c r="K932">
        <v>2688877.72</v>
      </c>
      <c r="L932" t="b">
        <f t="shared" si="59"/>
        <v>0</v>
      </c>
    </row>
    <row r="933" spans="1:12" ht="16" x14ac:dyDescent="0.2">
      <c r="A933" t="s">
        <v>5231</v>
      </c>
      <c r="B933" t="s">
        <v>73</v>
      </c>
      <c r="C933" t="s">
        <v>3537</v>
      </c>
      <c r="D933" s="2" t="s">
        <v>141</v>
      </c>
      <c r="G933" s="10" t="s">
        <v>2892</v>
      </c>
      <c r="H933" t="str">
        <f t="shared" si="56"/>
        <v/>
      </c>
      <c r="I933" t="str">
        <f t="shared" si="57"/>
        <v/>
      </c>
      <c r="J933" t="str">
        <f t="shared" si="58"/>
        <v/>
      </c>
      <c r="L933" t="b">
        <f t="shared" si="59"/>
        <v>1</v>
      </c>
    </row>
    <row r="934" spans="1:12" ht="16" x14ac:dyDescent="0.2">
      <c r="A934" t="s">
        <v>5232</v>
      </c>
      <c r="B934" t="s">
        <v>73</v>
      </c>
      <c r="C934" t="s">
        <v>3538</v>
      </c>
      <c r="D934" s="2" t="s">
        <v>141</v>
      </c>
      <c r="E934">
        <v>2025</v>
      </c>
      <c r="F934">
        <v>2027</v>
      </c>
      <c r="G934" s="10">
        <v>2420000</v>
      </c>
      <c r="H934">
        <f t="shared" si="56"/>
        <v>2420000</v>
      </c>
      <c r="I934" t="str">
        <f t="shared" si="57"/>
        <v/>
      </c>
      <c r="J934" t="str">
        <f t="shared" si="58"/>
        <v/>
      </c>
      <c r="K934">
        <v>92682.71</v>
      </c>
      <c r="L934" t="b">
        <f t="shared" si="59"/>
        <v>0</v>
      </c>
    </row>
    <row r="935" spans="1:12" ht="16" x14ac:dyDescent="0.2">
      <c r="A935" t="s">
        <v>5233</v>
      </c>
      <c r="B935" t="s">
        <v>73</v>
      </c>
      <c r="C935" t="s">
        <v>3539</v>
      </c>
      <c r="D935" s="2" t="s">
        <v>141</v>
      </c>
      <c r="E935">
        <v>2025</v>
      </c>
      <c r="F935">
        <v>2027</v>
      </c>
      <c r="G935" s="10">
        <v>3726666.6666666665</v>
      </c>
      <c r="H935">
        <f t="shared" si="56"/>
        <v>3726666.6666666665</v>
      </c>
      <c r="I935" t="str">
        <f t="shared" si="57"/>
        <v/>
      </c>
      <c r="J935" t="str">
        <f t="shared" si="58"/>
        <v/>
      </c>
      <c r="K935">
        <v>617521.30000000005</v>
      </c>
      <c r="L935" t="b">
        <f t="shared" si="59"/>
        <v>0</v>
      </c>
    </row>
    <row r="936" spans="1:12" ht="16" x14ac:dyDescent="0.2">
      <c r="A936" t="s">
        <v>5234</v>
      </c>
      <c r="B936" t="s">
        <v>73</v>
      </c>
      <c r="C936" t="s">
        <v>3540</v>
      </c>
      <c r="D936" s="2" t="s">
        <v>141</v>
      </c>
      <c r="G936" s="10" t="s">
        <v>2892</v>
      </c>
      <c r="H936" t="str">
        <f t="shared" si="56"/>
        <v/>
      </c>
      <c r="I936" t="str">
        <f t="shared" si="57"/>
        <v/>
      </c>
      <c r="J936" t="str">
        <f t="shared" si="58"/>
        <v/>
      </c>
      <c r="L936" t="b">
        <f t="shared" si="59"/>
        <v>1</v>
      </c>
    </row>
    <row r="937" spans="1:12" ht="16" x14ac:dyDescent="0.2">
      <c r="A937" t="s">
        <v>5235</v>
      </c>
      <c r="B937" t="s">
        <v>73</v>
      </c>
      <c r="C937" t="s">
        <v>3541</v>
      </c>
      <c r="D937" s="2" t="s">
        <v>141</v>
      </c>
      <c r="E937">
        <v>2025</v>
      </c>
      <c r="F937">
        <v>2026</v>
      </c>
      <c r="G937" s="10">
        <v>8880000</v>
      </c>
      <c r="H937" t="str">
        <f t="shared" si="56"/>
        <v/>
      </c>
      <c r="I937" t="str">
        <f t="shared" si="57"/>
        <v/>
      </c>
      <c r="J937" t="str">
        <f t="shared" si="58"/>
        <v/>
      </c>
      <c r="K937">
        <v>6534479.8200000003</v>
      </c>
      <c r="L937" t="b">
        <f t="shared" si="59"/>
        <v>0</v>
      </c>
    </row>
    <row r="938" spans="1:12" ht="16" x14ac:dyDescent="0.2">
      <c r="A938" t="s">
        <v>5236</v>
      </c>
      <c r="B938" t="s">
        <v>73</v>
      </c>
      <c r="C938" t="s">
        <v>3542</v>
      </c>
      <c r="D938" s="2" t="s">
        <v>141</v>
      </c>
      <c r="E938">
        <v>2025</v>
      </c>
      <c r="F938">
        <v>2026</v>
      </c>
      <c r="G938" s="10">
        <v>2340000</v>
      </c>
      <c r="H938" t="str">
        <f t="shared" si="56"/>
        <v/>
      </c>
      <c r="I938" t="str">
        <f t="shared" si="57"/>
        <v/>
      </c>
      <c r="J938" t="str">
        <f t="shared" si="58"/>
        <v/>
      </c>
      <c r="K938">
        <v>428291.3</v>
      </c>
      <c r="L938" t="b">
        <f t="shared" si="59"/>
        <v>0</v>
      </c>
    </row>
    <row r="939" spans="1:12" ht="16" x14ac:dyDescent="0.2">
      <c r="A939" t="s">
        <v>5237</v>
      </c>
      <c r="B939" t="s">
        <v>73</v>
      </c>
      <c r="C939" t="s">
        <v>3543</v>
      </c>
      <c r="D939" s="2" t="s">
        <v>141</v>
      </c>
      <c r="E939">
        <v>2025</v>
      </c>
      <c r="F939">
        <v>2027</v>
      </c>
      <c r="G939" s="10">
        <v>5250000</v>
      </c>
      <c r="H939">
        <f t="shared" si="56"/>
        <v>5250000</v>
      </c>
      <c r="I939" t="str">
        <f t="shared" si="57"/>
        <v/>
      </c>
      <c r="J939" t="str">
        <f t="shared" si="58"/>
        <v/>
      </c>
      <c r="K939">
        <v>2158161.9300000002</v>
      </c>
      <c r="L939" t="b">
        <f t="shared" si="59"/>
        <v>0</v>
      </c>
    </row>
    <row r="940" spans="1:12" ht="16" x14ac:dyDescent="0.2">
      <c r="A940" t="s">
        <v>5238</v>
      </c>
      <c r="B940" t="s">
        <v>73</v>
      </c>
      <c r="C940" t="s">
        <v>3544</v>
      </c>
      <c r="D940" s="2" t="s">
        <v>141</v>
      </c>
      <c r="E940">
        <v>2025</v>
      </c>
      <c r="F940">
        <v>2027</v>
      </c>
      <c r="G940" s="10">
        <v>5250000</v>
      </c>
      <c r="H940">
        <f t="shared" si="56"/>
        <v>5250000</v>
      </c>
      <c r="I940" t="str">
        <f t="shared" si="57"/>
        <v/>
      </c>
      <c r="J940" t="str">
        <f t="shared" si="58"/>
        <v/>
      </c>
      <c r="K940">
        <v>3163114.86</v>
      </c>
      <c r="L940" t="b">
        <f t="shared" si="59"/>
        <v>0</v>
      </c>
    </row>
    <row r="941" spans="1:12" ht="16" x14ac:dyDescent="0.2">
      <c r="A941" t="s">
        <v>5239</v>
      </c>
      <c r="B941" t="s">
        <v>73</v>
      </c>
      <c r="C941" t="s">
        <v>3545</v>
      </c>
      <c r="D941" s="2" t="s">
        <v>141</v>
      </c>
      <c r="G941" s="10" t="s">
        <v>2892</v>
      </c>
      <c r="H941" t="str">
        <f t="shared" si="56"/>
        <v/>
      </c>
      <c r="I941" t="str">
        <f t="shared" si="57"/>
        <v/>
      </c>
      <c r="J941" t="str">
        <f t="shared" si="58"/>
        <v/>
      </c>
      <c r="L941" t="b">
        <f t="shared" si="59"/>
        <v>1</v>
      </c>
    </row>
    <row r="942" spans="1:12" ht="16" x14ac:dyDescent="0.2">
      <c r="A942" t="s">
        <v>5240</v>
      </c>
      <c r="B942" t="s">
        <v>73</v>
      </c>
      <c r="C942" t="s">
        <v>3546</v>
      </c>
      <c r="D942" s="2" t="s">
        <v>141</v>
      </c>
      <c r="G942" s="10" t="s">
        <v>2892</v>
      </c>
      <c r="H942" t="str">
        <f t="shared" si="56"/>
        <v/>
      </c>
      <c r="I942" t="str">
        <f t="shared" si="57"/>
        <v/>
      </c>
      <c r="J942" t="str">
        <f t="shared" si="58"/>
        <v/>
      </c>
      <c r="L942" t="b">
        <f t="shared" si="59"/>
        <v>1</v>
      </c>
    </row>
    <row r="943" spans="1:12" ht="16" x14ac:dyDescent="0.2">
      <c r="A943" t="s">
        <v>5241</v>
      </c>
      <c r="B943" t="s">
        <v>73</v>
      </c>
      <c r="C943" t="s">
        <v>3547</v>
      </c>
      <c r="D943" s="2" t="s">
        <v>141</v>
      </c>
      <c r="E943">
        <v>2025</v>
      </c>
      <c r="F943">
        <v>2026</v>
      </c>
      <c r="G943" s="10">
        <v>2240000</v>
      </c>
      <c r="H943" t="str">
        <f t="shared" si="56"/>
        <v/>
      </c>
      <c r="I943" t="str">
        <f t="shared" si="57"/>
        <v/>
      </c>
      <c r="J943" t="str">
        <f t="shared" si="58"/>
        <v/>
      </c>
      <c r="K943">
        <v>583673.21</v>
      </c>
      <c r="L943" t="b">
        <f t="shared" si="59"/>
        <v>0</v>
      </c>
    </row>
    <row r="944" spans="1:12" ht="16" x14ac:dyDescent="0.2">
      <c r="A944" t="s">
        <v>5242</v>
      </c>
      <c r="B944" t="s">
        <v>73</v>
      </c>
      <c r="C944" t="s">
        <v>3548</v>
      </c>
      <c r="D944" s="2" t="s">
        <v>141</v>
      </c>
      <c r="E944">
        <v>2025</v>
      </c>
      <c r="F944">
        <v>2026</v>
      </c>
      <c r="G944" s="10">
        <v>8720000</v>
      </c>
      <c r="H944" t="str">
        <f t="shared" si="56"/>
        <v/>
      </c>
      <c r="I944" t="str">
        <f t="shared" si="57"/>
        <v/>
      </c>
      <c r="J944" t="str">
        <f t="shared" si="58"/>
        <v/>
      </c>
      <c r="K944">
        <v>6489539.4500000002</v>
      </c>
      <c r="L944" t="b">
        <f t="shared" si="59"/>
        <v>0</v>
      </c>
    </row>
    <row r="945" spans="1:12" ht="16" x14ac:dyDescent="0.2">
      <c r="A945" t="s">
        <v>5243</v>
      </c>
      <c r="B945" t="s">
        <v>73</v>
      </c>
      <c r="C945" t="s">
        <v>3549</v>
      </c>
      <c r="D945" s="2" t="s">
        <v>141</v>
      </c>
      <c r="E945">
        <v>2025</v>
      </c>
      <c r="F945">
        <v>2026</v>
      </c>
      <c r="G945" s="10">
        <v>4420000</v>
      </c>
      <c r="H945" t="str">
        <f t="shared" si="56"/>
        <v/>
      </c>
      <c r="I945" t="str">
        <f t="shared" si="57"/>
        <v/>
      </c>
      <c r="J945" t="str">
        <f t="shared" si="58"/>
        <v/>
      </c>
      <c r="K945">
        <v>986738.76</v>
      </c>
      <c r="L945" t="b">
        <f t="shared" si="59"/>
        <v>0</v>
      </c>
    </row>
    <row r="946" spans="1:12" ht="16" x14ac:dyDescent="0.2">
      <c r="A946" t="s">
        <v>5244</v>
      </c>
      <c r="B946" t="s">
        <v>73</v>
      </c>
      <c r="C946" t="s">
        <v>3550</v>
      </c>
      <c r="D946" s="2" t="s">
        <v>141</v>
      </c>
      <c r="E946">
        <v>2025</v>
      </c>
      <c r="F946">
        <v>2026</v>
      </c>
      <c r="G946" s="10">
        <v>3530000</v>
      </c>
      <c r="H946" t="str">
        <f t="shared" si="56"/>
        <v/>
      </c>
      <c r="I946" t="str">
        <f t="shared" si="57"/>
        <v/>
      </c>
      <c r="J946" t="str">
        <f t="shared" si="58"/>
        <v/>
      </c>
      <c r="K946">
        <v>1392070.11</v>
      </c>
      <c r="L946" t="b">
        <f t="shared" si="59"/>
        <v>0</v>
      </c>
    </row>
    <row r="947" spans="1:12" ht="16" x14ac:dyDescent="0.2">
      <c r="A947" t="s">
        <v>5245</v>
      </c>
      <c r="B947" t="s">
        <v>73</v>
      </c>
      <c r="C947" t="s">
        <v>3551</v>
      </c>
      <c r="D947" s="2" t="s">
        <v>141</v>
      </c>
      <c r="E947">
        <v>2025</v>
      </c>
      <c r="F947">
        <v>2028</v>
      </c>
      <c r="G947" s="10">
        <v>11507500</v>
      </c>
      <c r="H947">
        <f t="shared" si="56"/>
        <v>11507500</v>
      </c>
      <c r="I947">
        <f t="shared" si="57"/>
        <v>11507500</v>
      </c>
      <c r="J947" t="str">
        <f t="shared" si="58"/>
        <v/>
      </c>
      <c r="K947">
        <v>18047265</v>
      </c>
      <c r="L947" t="b">
        <f t="shared" si="59"/>
        <v>0</v>
      </c>
    </row>
    <row r="948" spans="1:12" ht="16" x14ac:dyDescent="0.2">
      <c r="A948" t="s">
        <v>5246</v>
      </c>
      <c r="B948" t="s">
        <v>73</v>
      </c>
      <c r="C948" t="s">
        <v>3552</v>
      </c>
      <c r="D948" s="2" t="s">
        <v>141</v>
      </c>
      <c r="E948">
        <v>2025</v>
      </c>
      <c r="F948">
        <v>2027</v>
      </c>
      <c r="G948" s="10">
        <v>6773333.333333333</v>
      </c>
      <c r="H948">
        <f t="shared" si="56"/>
        <v>6773333.333333333</v>
      </c>
      <c r="I948" t="str">
        <f t="shared" si="57"/>
        <v/>
      </c>
      <c r="J948" t="str">
        <f t="shared" si="58"/>
        <v/>
      </c>
      <c r="K948">
        <v>5902033.6799999997</v>
      </c>
      <c r="L948" t="b">
        <f t="shared" si="59"/>
        <v>0</v>
      </c>
    </row>
    <row r="949" spans="1:12" ht="16" x14ac:dyDescent="0.2">
      <c r="A949" t="s">
        <v>5247</v>
      </c>
      <c r="B949" t="s">
        <v>73</v>
      </c>
      <c r="C949" t="s">
        <v>3553</v>
      </c>
      <c r="D949" s="2" t="s">
        <v>141</v>
      </c>
      <c r="E949">
        <v>2025</v>
      </c>
      <c r="F949">
        <v>2028</v>
      </c>
      <c r="G949" s="10">
        <v>5907500</v>
      </c>
      <c r="H949">
        <f t="shared" si="56"/>
        <v>5907500</v>
      </c>
      <c r="I949">
        <f t="shared" si="57"/>
        <v>5907500</v>
      </c>
      <c r="J949" t="str">
        <f t="shared" si="58"/>
        <v/>
      </c>
      <c r="K949">
        <v>6154868.04</v>
      </c>
      <c r="L949" t="b">
        <f t="shared" si="59"/>
        <v>0</v>
      </c>
    </row>
    <row r="950" spans="1:12" ht="16" x14ac:dyDescent="0.2">
      <c r="A950" t="s">
        <v>5248</v>
      </c>
      <c r="B950" t="s">
        <v>73</v>
      </c>
      <c r="C950" t="s">
        <v>3554</v>
      </c>
      <c r="D950" s="2" t="s">
        <v>141</v>
      </c>
      <c r="E950">
        <v>2025</v>
      </c>
      <c r="F950">
        <v>2026</v>
      </c>
      <c r="G950" s="10">
        <v>4905000</v>
      </c>
      <c r="H950" t="str">
        <f t="shared" si="56"/>
        <v/>
      </c>
      <c r="I950" t="str">
        <f t="shared" si="57"/>
        <v/>
      </c>
      <c r="J950" t="str">
        <f t="shared" si="58"/>
        <v/>
      </c>
      <c r="K950">
        <v>1237801.1399999999</v>
      </c>
      <c r="L950" t="b">
        <f t="shared" si="59"/>
        <v>0</v>
      </c>
    </row>
    <row r="951" spans="1:12" ht="16" x14ac:dyDescent="0.2">
      <c r="A951" t="s">
        <v>5249</v>
      </c>
      <c r="B951" t="s">
        <v>73</v>
      </c>
      <c r="C951" t="s">
        <v>3555</v>
      </c>
      <c r="D951" s="2" t="s">
        <v>141</v>
      </c>
      <c r="E951">
        <v>2025</v>
      </c>
      <c r="F951">
        <v>2026</v>
      </c>
      <c r="G951" s="10">
        <v>3265000</v>
      </c>
      <c r="H951" t="str">
        <f t="shared" si="56"/>
        <v/>
      </c>
      <c r="I951" t="str">
        <f t="shared" si="57"/>
        <v/>
      </c>
      <c r="J951" t="str">
        <f t="shared" si="58"/>
        <v/>
      </c>
      <c r="K951">
        <v>1293586.8400000001</v>
      </c>
      <c r="L951" t="b">
        <f t="shared" si="59"/>
        <v>0</v>
      </c>
    </row>
    <row r="952" spans="1:12" ht="16" x14ac:dyDescent="0.2">
      <c r="A952" t="s">
        <v>5250</v>
      </c>
      <c r="B952" t="s">
        <v>73</v>
      </c>
      <c r="C952" t="s">
        <v>3556</v>
      </c>
      <c r="D952" s="2" t="s">
        <v>141</v>
      </c>
      <c r="G952" s="10" t="s">
        <v>2892</v>
      </c>
      <c r="H952" t="str">
        <f t="shared" si="56"/>
        <v/>
      </c>
      <c r="I952" t="str">
        <f t="shared" si="57"/>
        <v/>
      </c>
      <c r="J952" t="str">
        <f t="shared" si="58"/>
        <v/>
      </c>
      <c r="L952" t="b">
        <f t="shared" si="59"/>
        <v>1</v>
      </c>
    </row>
    <row r="953" spans="1:12" ht="16" x14ac:dyDescent="0.2">
      <c r="A953" t="s">
        <v>5251</v>
      </c>
      <c r="B953" t="s">
        <v>73</v>
      </c>
      <c r="C953" t="s">
        <v>3557</v>
      </c>
      <c r="D953" s="2" t="s">
        <v>141</v>
      </c>
      <c r="E953">
        <v>2025</v>
      </c>
      <c r="F953">
        <v>2026</v>
      </c>
      <c r="G953" s="10">
        <v>9625000</v>
      </c>
      <c r="H953" t="str">
        <f t="shared" si="56"/>
        <v/>
      </c>
      <c r="I953" t="str">
        <f t="shared" si="57"/>
        <v/>
      </c>
      <c r="J953" t="str">
        <f t="shared" si="58"/>
        <v/>
      </c>
      <c r="K953">
        <v>5081098.4400000004</v>
      </c>
      <c r="L953" t="b">
        <f t="shared" si="59"/>
        <v>0</v>
      </c>
    </row>
    <row r="954" spans="1:12" ht="16" x14ac:dyDescent="0.2">
      <c r="A954" t="s">
        <v>5252</v>
      </c>
      <c r="B954" t="s">
        <v>73</v>
      </c>
      <c r="C954" t="s">
        <v>3558</v>
      </c>
      <c r="D954" s="2" t="s">
        <v>141</v>
      </c>
      <c r="E954">
        <v>2025</v>
      </c>
      <c r="F954">
        <v>2027</v>
      </c>
      <c r="G954" s="10">
        <v>6140000.0000000009</v>
      </c>
      <c r="H954">
        <f t="shared" si="56"/>
        <v>6140000.0000000009</v>
      </c>
      <c r="I954" t="str">
        <f t="shared" si="57"/>
        <v/>
      </c>
      <c r="J954" t="str">
        <f t="shared" si="58"/>
        <v/>
      </c>
      <c r="K954">
        <v>4972846.1399999997</v>
      </c>
      <c r="L954" t="b">
        <f t="shared" si="59"/>
        <v>0</v>
      </c>
    </row>
    <row r="955" spans="1:12" ht="16" x14ac:dyDescent="0.2">
      <c r="A955" t="s">
        <v>5253</v>
      </c>
      <c r="B955" t="s">
        <v>73</v>
      </c>
      <c r="C955" t="s">
        <v>3559</v>
      </c>
      <c r="D955" s="2" t="s">
        <v>141</v>
      </c>
      <c r="E955">
        <v>2025</v>
      </c>
      <c r="F955">
        <v>2026</v>
      </c>
      <c r="G955" s="10">
        <v>6275000</v>
      </c>
      <c r="H955" t="str">
        <f t="shared" si="56"/>
        <v/>
      </c>
      <c r="I955" t="str">
        <f t="shared" si="57"/>
        <v/>
      </c>
      <c r="J955" t="str">
        <f t="shared" si="58"/>
        <v/>
      </c>
      <c r="K955">
        <v>3596566.2</v>
      </c>
      <c r="L955" t="b">
        <f t="shared" si="59"/>
        <v>0</v>
      </c>
    </row>
    <row r="956" spans="1:12" ht="16" x14ac:dyDescent="0.2">
      <c r="A956" t="s">
        <v>5254</v>
      </c>
      <c r="B956" t="s">
        <v>73</v>
      </c>
      <c r="C956" t="s">
        <v>3560</v>
      </c>
      <c r="D956" s="2" t="s">
        <v>141</v>
      </c>
      <c r="E956">
        <v>2025</v>
      </c>
      <c r="F956">
        <v>2026</v>
      </c>
      <c r="G956" s="10">
        <v>3660000</v>
      </c>
      <c r="H956" t="str">
        <f t="shared" si="56"/>
        <v/>
      </c>
      <c r="I956" t="str">
        <f t="shared" si="57"/>
        <v/>
      </c>
      <c r="J956" t="str">
        <f t="shared" si="58"/>
        <v/>
      </c>
      <c r="K956">
        <v>1243783.08</v>
      </c>
      <c r="L956" t="b">
        <f t="shared" si="59"/>
        <v>0</v>
      </c>
    </row>
    <row r="957" spans="1:12" ht="16" x14ac:dyDescent="0.2">
      <c r="A957" t="s">
        <v>5255</v>
      </c>
      <c r="B957" t="s">
        <v>73</v>
      </c>
      <c r="C957" t="s">
        <v>3561</v>
      </c>
      <c r="D957" s="2" t="s">
        <v>141</v>
      </c>
      <c r="E957">
        <v>2025</v>
      </c>
      <c r="F957">
        <v>2026</v>
      </c>
      <c r="G957" s="10">
        <v>5085000</v>
      </c>
      <c r="H957" t="str">
        <f t="shared" si="56"/>
        <v/>
      </c>
      <c r="I957" t="str">
        <f t="shared" si="57"/>
        <v/>
      </c>
      <c r="J957" t="str">
        <f t="shared" si="58"/>
        <v/>
      </c>
      <c r="K957">
        <v>2291242.83</v>
      </c>
      <c r="L957" t="b">
        <f t="shared" si="59"/>
        <v>0</v>
      </c>
    </row>
    <row r="958" spans="1:12" ht="16" x14ac:dyDescent="0.2">
      <c r="A958" t="s">
        <v>5256</v>
      </c>
      <c r="B958" t="s">
        <v>73</v>
      </c>
      <c r="C958" t="s">
        <v>3562</v>
      </c>
      <c r="D958" s="2" t="s">
        <v>141</v>
      </c>
      <c r="E958">
        <v>2025</v>
      </c>
      <c r="F958">
        <v>2026</v>
      </c>
      <c r="G958" s="10">
        <v>2120000</v>
      </c>
      <c r="H958" t="str">
        <f t="shared" si="56"/>
        <v/>
      </c>
      <c r="I958" t="str">
        <f t="shared" si="57"/>
        <v/>
      </c>
      <c r="J958" t="str">
        <f t="shared" si="58"/>
        <v/>
      </c>
      <c r="K958">
        <v>383671.34</v>
      </c>
      <c r="L958" t="b">
        <f t="shared" si="59"/>
        <v>0</v>
      </c>
    </row>
    <row r="959" spans="1:12" ht="16" x14ac:dyDescent="0.2">
      <c r="A959" t="s">
        <v>5257</v>
      </c>
      <c r="B959" t="s">
        <v>73</v>
      </c>
      <c r="C959" t="s">
        <v>3563</v>
      </c>
      <c r="D959" s="2" t="s">
        <v>141</v>
      </c>
      <c r="G959" s="10" t="s">
        <v>2892</v>
      </c>
      <c r="H959" t="str">
        <f t="shared" si="56"/>
        <v/>
      </c>
      <c r="I959" t="str">
        <f t="shared" si="57"/>
        <v/>
      </c>
      <c r="J959" t="str">
        <f t="shared" si="58"/>
        <v/>
      </c>
      <c r="L959" t="b">
        <f t="shared" si="59"/>
        <v>1</v>
      </c>
    </row>
    <row r="960" spans="1:12" ht="16" x14ac:dyDescent="0.2">
      <c r="A960" t="s">
        <v>5258</v>
      </c>
      <c r="B960" t="s">
        <v>73</v>
      </c>
      <c r="C960" t="s">
        <v>3564</v>
      </c>
      <c r="D960" s="2" t="s">
        <v>141</v>
      </c>
      <c r="E960">
        <v>2025</v>
      </c>
      <c r="F960">
        <v>2027</v>
      </c>
      <c r="G960" s="10">
        <v>3763333.333333333</v>
      </c>
      <c r="H960">
        <f t="shared" si="56"/>
        <v>3763333.333333333</v>
      </c>
      <c r="I960" t="str">
        <f t="shared" si="57"/>
        <v/>
      </c>
      <c r="J960" t="str">
        <f t="shared" si="58"/>
        <v/>
      </c>
      <c r="K960">
        <v>2093825.49</v>
      </c>
      <c r="L960" t="b">
        <f t="shared" si="59"/>
        <v>0</v>
      </c>
    </row>
    <row r="961" spans="1:12" ht="16" x14ac:dyDescent="0.2">
      <c r="A961" t="s">
        <v>5259</v>
      </c>
      <c r="B961" t="s">
        <v>73</v>
      </c>
      <c r="C961" t="s">
        <v>3565</v>
      </c>
      <c r="D961" s="2" t="s">
        <v>141</v>
      </c>
      <c r="E961">
        <v>2025</v>
      </c>
      <c r="F961">
        <v>2027</v>
      </c>
      <c r="G961" s="10">
        <v>5376666.666666666</v>
      </c>
      <c r="H961">
        <f t="shared" si="56"/>
        <v>5376666.666666666</v>
      </c>
      <c r="I961" t="str">
        <f t="shared" si="57"/>
        <v/>
      </c>
      <c r="J961" t="str">
        <f t="shared" si="58"/>
        <v/>
      </c>
      <c r="K961">
        <v>2867487.24</v>
      </c>
      <c r="L961" t="b">
        <f t="shared" si="59"/>
        <v>0</v>
      </c>
    </row>
    <row r="962" spans="1:12" ht="16" x14ac:dyDescent="0.2">
      <c r="A962" t="s">
        <v>5260</v>
      </c>
      <c r="B962" t="s">
        <v>73</v>
      </c>
      <c r="C962" t="s">
        <v>3566</v>
      </c>
      <c r="D962" s="2" t="s">
        <v>141</v>
      </c>
      <c r="E962">
        <v>2025</v>
      </c>
      <c r="F962">
        <v>2026</v>
      </c>
      <c r="G962" s="10">
        <v>5555000</v>
      </c>
      <c r="H962" t="str">
        <f t="shared" si="56"/>
        <v/>
      </c>
      <c r="I962" t="str">
        <f t="shared" si="57"/>
        <v/>
      </c>
      <c r="J962" t="str">
        <f t="shared" si="58"/>
        <v/>
      </c>
      <c r="K962">
        <v>2086652.82</v>
      </c>
      <c r="L962" t="b">
        <f t="shared" si="59"/>
        <v>0</v>
      </c>
    </row>
    <row r="963" spans="1:12" ht="16" x14ac:dyDescent="0.2">
      <c r="A963" t="s">
        <v>5261</v>
      </c>
      <c r="B963" t="s">
        <v>73</v>
      </c>
      <c r="C963" t="s">
        <v>3567</v>
      </c>
      <c r="D963" s="2" t="s">
        <v>141</v>
      </c>
      <c r="E963">
        <v>2025</v>
      </c>
      <c r="F963">
        <v>2026</v>
      </c>
      <c r="G963" s="10">
        <v>4960000</v>
      </c>
      <c r="H963" t="str">
        <f t="shared" si="56"/>
        <v/>
      </c>
      <c r="I963" t="str">
        <f t="shared" si="57"/>
        <v/>
      </c>
      <c r="J963" t="str">
        <f t="shared" si="58"/>
        <v/>
      </c>
      <c r="K963">
        <v>2636324.44</v>
      </c>
      <c r="L963" t="b">
        <f t="shared" si="59"/>
        <v>0</v>
      </c>
    </row>
    <row r="964" spans="1:12" ht="16" x14ac:dyDescent="0.2">
      <c r="A964" t="s">
        <v>5262</v>
      </c>
      <c r="B964" t="s">
        <v>73</v>
      </c>
      <c r="C964" t="s">
        <v>3568</v>
      </c>
      <c r="D964" s="2" t="s">
        <v>141</v>
      </c>
      <c r="E964">
        <v>2025</v>
      </c>
      <c r="F964">
        <v>2028</v>
      </c>
      <c r="G964" s="10">
        <v>8565000</v>
      </c>
      <c r="H964">
        <f t="shared" ref="H964:H1027" si="60">IF(F964&gt;=2027,G964,"")</f>
        <v>8565000</v>
      </c>
      <c r="I964">
        <f t="shared" ref="I964:I1027" si="61">IF(F964&gt;=2028,G964,"")</f>
        <v>8565000</v>
      </c>
      <c r="J964" t="str">
        <f t="shared" ref="J964:J1027" si="62">IF(F964&gt;=2029,G964,"")</f>
        <v/>
      </c>
      <c r="K964">
        <v>9551540.8599999994</v>
      </c>
      <c r="L964" t="b">
        <f t="shared" si="59"/>
        <v>0</v>
      </c>
    </row>
    <row r="965" spans="1:12" ht="16" x14ac:dyDescent="0.2">
      <c r="A965" t="s">
        <v>5263</v>
      </c>
      <c r="B965" t="s">
        <v>73</v>
      </c>
      <c r="C965" t="s">
        <v>3569</v>
      </c>
      <c r="D965" s="2" t="s">
        <v>141</v>
      </c>
      <c r="E965">
        <v>2025</v>
      </c>
      <c r="F965">
        <v>2026</v>
      </c>
      <c r="G965" s="10">
        <v>4420000</v>
      </c>
      <c r="H965" t="str">
        <f t="shared" si="60"/>
        <v/>
      </c>
      <c r="I965" t="str">
        <f t="shared" si="61"/>
        <v/>
      </c>
      <c r="J965" t="str">
        <f t="shared" si="62"/>
        <v/>
      </c>
      <c r="K965">
        <v>2461207.5</v>
      </c>
      <c r="L965" t="b">
        <f t="shared" si="59"/>
        <v>0</v>
      </c>
    </row>
    <row r="966" spans="1:12" ht="16" x14ac:dyDescent="0.2">
      <c r="A966" t="s">
        <v>5264</v>
      </c>
      <c r="B966" t="s">
        <v>73</v>
      </c>
      <c r="C966" t="s">
        <v>3570</v>
      </c>
      <c r="D966" s="2" t="s">
        <v>141</v>
      </c>
      <c r="E966">
        <v>2025</v>
      </c>
      <c r="F966">
        <v>2026</v>
      </c>
      <c r="G966" s="10">
        <v>2530000</v>
      </c>
      <c r="H966" t="str">
        <f t="shared" si="60"/>
        <v/>
      </c>
      <c r="I966" t="str">
        <f t="shared" si="61"/>
        <v/>
      </c>
      <c r="J966" t="str">
        <f t="shared" si="62"/>
        <v/>
      </c>
      <c r="K966">
        <v>827783.48</v>
      </c>
      <c r="L966" t="b">
        <f t="shared" si="59"/>
        <v>0</v>
      </c>
    </row>
    <row r="967" spans="1:12" ht="16" x14ac:dyDescent="0.2">
      <c r="A967" t="s">
        <v>5265</v>
      </c>
      <c r="B967" t="s">
        <v>73</v>
      </c>
      <c r="C967" t="s">
        <v>3571</v>
      </c>
      <c r="D967" s="2" t="s">
        <v>141</v>
      </c>
      <c r="G967" s="10" t="s">
        <v>2892</v>
      </c>
      <c r="H967" t="str">
        <f t="shared" si="60"/>
        <v/>
      </c>
      <c r="I967" t="str">
        <f t="shared" si="61"/>
        <v/>
      </c>
      <c r="J967" t="str">
        <f t="shared" si="62"/>
        <v/>
      </c>
      <c r="L967" t="b">
        <f t="shared" si="59"/>
        <v>1</v>
      </c>
    </row>
    <row r="968" spans="1:12" ht="16" x14ac:dyDescent="0.2">
      <c r="A968" t="s">
        <v>5266</v>
      </c>
      <c r="B968" t="s">
        <v>73</v>
      </c>
      <c r="C968" t="s">
        <v>3572</v>
      </c>
      <c r="D968" s="2" t="s">
        <v>141</v>
      </c>
      <c r="G968" s="10" t="s">
        <v>2892</v>
      </c>
      <c r="H968" t="str">
        <f t="shared" si="60"/>
        <v/>
      </c>
      <c r="I968" t="str">
        <f t="shared" si="61"/>
        <v/>
      </c>
      <c r="J968" t="str">
        <f t="shared" si="62"/>
        <v/>
      </c>
      <c r="L968" t="b">
        <f t="shared" si="59"/>
        <v>1</v>
      </c>
    </row>
    <row r="969" spans="1:12" ht="16" x14ac:dyDescent="0.2">
      <c r="A969" t="s">
        <v>5267</v>
      </c>
      <c r="B969" t="s">
        <v>73</v>
      </c>
      <c r="C969" t="s">
        <v>3573</v>
      </c>
      <c r="D969" s="2" t="s">
        <v>141</v>
      </c>
      <c r="E969">
        <v>2025</v>
      </c>
      <c r="F969">
        <v>2026</v>
      </c>
      <c r="G969" s="10">
        <v>2195000</v>
      </c>
      <c r="H969" t="str">
        <f t="shared" si="60"/>
        <v/>
      </c>
      <c r="I969" t="str">
        <f t="shared" si="61"/>
        <v/>
      </c>
      <c r="J969" t="str">
        <f t="shared" si="62"/>
        <v/>
      </c>
      <c r="K969">
        <v>495534.35</v>
      </c>
      <c r="L969" t="b">
        <f t="shared" si="59"/>
        <v>0</v>
      </c>
    </row>
    <row r="970" spans="1:12" ht="16" x14ac:dyDescent="0.2">
      <c r="A970" t="s">
        <v>5268</v>
      </c>
      <c r="B970" t="s">
        <v>73</v>
      </c>
      <c r="C970" t="s">
        <v>3574</v>
      </c>
      <c r="D970" s="2" t="s">
        <v>141</v>
      </c>
      <c r="E970">
        <v>2025</v>
      </c>
      <c r="F970">
        <v>2026</v>
      </c>
      <c r="G970" s="10">
        <v>7815000</v>
      </c>
      <c r="H970" t="str">
        <f t="shared" si="60"/>
        <v/>
      </c>
      <c r="I970" t="str">
        <f t="shared" si="61"/>
        <v/>
      </c>
      <c r="J970" t="str">
        <f t="shared" si="62"/>
        <v/>
      </c>
      <c r="K970">
        <v>3985857.55</v>
      </c>
      <c r="L970" t="b">
        <f t="shared" si="59"/>
        <v>0</v>
      </c>
    </row>
    <row r="971" spans="1:12" ht="16" x14ac:dyDescent="0.2">
      <c r="A971" t="s">
        <v>5269</v>
      </c>
      <c r="B971" t="s">
        <v>73</v>
      </c>
      <c r="C971" t="s">
        <v>3575</v>
      </c>
      <c r="D971" s="2" t="s">
        <v>141</v>
      </c>
      <c r="G971" s="10" t="s">
        <v>2892</v>
      </c>
      <c r="H971" t="str">
        <f t="shared" si="60"/>
        <v/>
      </c>
      <c r="I971" t="str">
        <f t="shared" si="61"/>
        <v/>
      </c>
      <c r="J971" t="str">
        <f t="shared" si="62"/>
        <v/>
      </c>
      <c r="L971" t="b">
        <f t="shared" si="59"/>
        <v>1</v>
      </c>
    </row>
    <row r="972" spans="1:12" ht="16" x14ac:dyDescent="0.2">
      <c r="A972" t="s">
        <v>5270</v>
      </c>
      <c r="B972" t="s">
        <v>73</v>
      </c>
      <c r="C972" t="s">
        <v>3576</v>
      </c>
      <c r="D972" s="2" t="s">
        <v>141</v>
      </c>
      <c r="G972" s="10" t="s">
        <v>2892</v>
      </c>
      <c r="H972" t="str">
        <f t="shared" si="60"/>
        <v/>
      </c>
      <c r="I972" t="str">
        <f t="shared" si="61"/>
        <v/>
      </c>
      <c r="J972" t="str">
        <f t="shared" si="62"/>
        <v/>
      </c>
      <c r="L972" t="b">
        <f t="shared" si="59"/>
        <v>1</v>
      </c>
    </row>
    <row r="973" spans="1:12" ht="16" x14ac:dyDescent="0.2">
      <c r="A973" t="s">
        <v>5271</v>
      </c>
      <c r="B973" t="s">
        <v>73</v>
      </c>
      <c r="C973" t="s">
        <v>3577</v>
      </c>
      <c r="D973" s="2" t="s">
        <v>141</v>
      </c>
      <c r="G973" s="10" t="s">
        <v>2892</v>
      </c>
      <c r="H973" t="str">
        <f t="shared" si="60"/>
        <v/>
      </c>
      <c r="I973" t="str">
        <f t="shared" si="61"/>
        <v/>
      </c>
      <c r="J973" t="str">
        <f t="shared" si="62"/>
        <v/>
      </c>
      <c r="L973" t="b">
        <f t="shared" si="59"/>
        <v>1</v>
      </c>
    </row>
    <row r="974" spans="1:12" ht="16" x14ac:dyDescent="0.2">
      <c r="A974" t="s">
        <v>5272</v>
      </c>
      <c r="B974" t="s">
        <v>73</v>
      </c>
      <c r="C974" t="s">
        <v>3578</v>
      </c>
      <c r="D974" s="2" t="s">
        <v>141</v>
      </c>
      <c r="E974">
        <v>2025</v>
      </c>
      <c r="F974">
        <v>2027</v>
      </c>
      <c r="G974" s="10">
        <v>8990000</v>
      </c>
      <c r="H974">
        <f t="shared" si="60"/>
        <v>8990000</v>
      </c>
      <c r="I974" t="str">
        <f t="shared" si="61"/>
        <v/>
      </c>
      <c r="J974" t="str">
        <f t="shared" si="62"/>
        <v/>
      </c>
      <c r="K974">
        <v>7797632.0700000003</v>
      </c>
      <c r="L974" t="b">
        <f t="shared" si="59"/>
        <v>0</v>
      </c>
    </row>
    <row r="975" spans="1:12" ht="16" x14ac:dyDescent="0.2">
      <c r="A975" t="s">
        <v>5273</v>
      </c>
      <c r="B975" t="s">
        <v>73</v>
      </c>
      <c r="C975" t="s">
        <v>3579</v>
      </c>
      <c r="D975" s="2" t="s">
        <v>141</v>
      </c>
      <c r="G975" s="10" t="s">
        <v>2892</v>
      </c>
      <c r="H975" t="str">
        <f t="shared" si="60"/>
        <v/>
      </c>
      <c r="I975" t="str">
        <f t="shared" si="61"/>
        <v/>
      </c>
      <c r="J975" t="str">
        <f t="shared" si="62"/>
        <v/>
      </c>
      <c r="L975" t="b">
        <f t="shared" si="59"/>
        <v>1</v>
      </c>
    </row>
    <row r="976" spans="1:12" ht="16" x14ac:dyDescent="0.2">
      <c r="A976" t="s">
        <v>5274</v>
      </c>
      <c r="B976" t="s">
        <v>73</v>
      </c>
      <c r="C976" t="s">
        <v>3580</v>
      </c>
      <c r="D976" s="2" t="s">
        <v>141</v>
      </c>
      <c r="E976">
        <v>2025</v>
      </c>
      <c r="F976">
        <v>2026</v>
      </c>
      <c r="G976" s="10">
        <v>3575000</v>
      </c>
      <c r="H976" t="str">
        <f t="shared" si="60"/>
        <v/>
      </c>
      <c r="I976" t="str">
        <f t="shared" si="61"/>
        <v/>
      </c>
      <c r="J976" t="str">
        <f t="shared" si="62"/>
        <v/>
      </c>
      <c r="K976">
        <v>2024730.39</v>
      </c>
      <c r="L976" t="b">
        <f t="shared" si="59"/>
        <v>0</v>
      </c>
    </row>
    <row r="977" spans="1:12" ht="16" x14ac:dyDescent="0.2">
      <c r="A977" t="s">
        <v>5275</v>
      </c>
      <c r="B977" t="s">
        <v>73</v>
      </c>
      <c r="C977" t="s">
        <v>3581</v>
      </c>
      <c r="D977" s="2" t="s">
        <v>142</v>
      </c>
      <c r="E977">
        <v>2025</v>
      </c>
      <c r="F977">
        <v>2026</v>
      </c>
      <c r="G977" s="10">
        <v>13765000</v>
      </c>
      <c r="H977" t="str">
        <f t="shared" si="60"/>
        <v/>
      </c>
      <c r="I977" t="str">
        <f t="shared" si="61"/>
        <v/>
      </c>
      <c r="J977" t="str">
        <f t="shared" si="62"/>
        <v/>
      </c>
      <c r="K977">
        <v>9496863.0399999991</v>
      </c>
      <c r="L977" t="b">
        <f t="shared" si="59"/>
        <v>0</v>
      </c>
    </row>
    <row r="978" spans="1:12" ht="16" x14ac:dyDescent="0.2">
      <c r="A978" t="s">
        <v>5276</v>
      </c>
      <c r="B978" t="s">
        <v>73</v>
      </c>
      <c r="C978" t="s">
        <v>3582</v>
      </c>
      <c r="D978" s="2" t="s">
        <v>142</v>
      </c>
      <c r="E978">
        <v>2025</v>
      </c>
      <c r="F978">
        <v>2026</v>
      </c>
      <c r="G978" s="10">
        <v>2390000</v>
      </c>
      <c r="H978" t="str">
        <f t="shared" si="60"/>
        <v/>
      </c>
      <c r="I978" t="str">
        <f t="shared" si="61"/>
        <v/>
      </c>
      <c r="J978" t="str">
        <f t="shared" si="62"/>
        <v/>
      </c>
      <c r="K978">
        <v>11457.19</v>
      </c>
      <c r="L978" t="b">
        <f t="shared" si="59"/>
        <v>0</v>
      </c>
    </row>
    <row r="979" spans="1:12" ht="16" x14ac:dyDescent="0.2">
      <c r="A979" t="s">
        <v>5277</v>
      </c>
      <c r="B979" t="s">
        <v>73</v>
      </c>
      <c r="C979" t="s">
        <v>3583</v>
      </c>
      <c r="D979" s="2" t="s">
        <v>142</v>
      </c>
      <c r="E979">
        <v>2025</v>
      </c>
      <c r="F979">
        <v>2027</v>
      </c>
      <c r="G979" s="10">
        <v>7410000</v>
      </c>
      <c r="H979">
        <f t="shared" si="60"/>
        <v>7410000</v>
      </c>
      <c r="I979" t="str">
        <f t="shared" si="61"/>
        <v/>
      </c>
      <c r="J979" t="str">
        <f t="shared" si="62"/>
        <v/>
      </c>
      <c r="K979">
        <v>6896810.3200000003</v>
      </c>
      <c r="L979" t="b">
        <f t="shared" si="59"/>
        <v>0</v>
      </c>
    </row>
    <row r="980" spans="1:12" ht="16" x14ac:dyDescent="0.2">
      <c r="A980" t="s">
        <v>5278</v>
      </c>
      <c r="B980" t="s">
        <v>73</v>
      </c>
      <c r="C980" t="s">
        <v>3584</v>
      </c>
      <c r="D980" s="2" t="s">
        <v>142</v>
      </c>
      <c r="G980" s="10" t="s">
        <v>2892</v>
      </c>
      <c r="H980" t="str">
        <f t="shared" si="60"/>
        <v/>
      </c>
      <c r="I980" t="str">
        <f t="shared" si="61"/>
        <v/>
      </c>
      <c r="J980" t="str">
        <f t="shared" si="62"/>
        <v/>
      </c>
      <c r="L980" t="b">
        <f t="shared" si="59"/>
        <v>1</v>
      </c>
    </row>
    <row r="981" spans="1:12" ht="16" x14ac:dyDescent="0.2">
      <c r="A981" t="s">
        <v>5279</v>
      </c>
      <c r="B981" t="s">
        <v>73</v>
      </c>
      <c r="C981" t="s">
        <v>3585</v>
      </c>
      <c r="D981" s="2" t="s">
        <v>142</v>
      </c>
      <c r="E981">
        <v>2025</v>
      </c>
      <c r="F981">
        <v>2026</v>
      </c>
      <c r="G981" s="10">
        <v>1595000</v>
      </c>
      <c r="H981" t="str">
        <f t="shared" si="60"/>
        <v/>
      </c>
      <c r="I981" t="str">
        <f t="shared" si="61"/>
        <v/>
      </c>
      <c r="J981" t="str">
        <f t="shared" si="62"/>
        <v/>
      </c>
      <c r="K981">
        <v>625024.98</v>
      </c>
      <c r="L981" t="b">
        <f t="shared" si="59"/>
        <v>0</v>
      </c>
    </row>
    <row r="982" spans="1:12" ht="16" x14ac:dyDescent="0.2">
      <c r="A982" t="s">
        <v>5280</v>
      </c>
      <c r="B982" t="s">
        <v>73</v>
      </c>
      <c r="C982" t="s">
        <v>3586</v>
      </c>
      <c r="D982" s="2" t="s">
        <v>142</v>
      </c>
      <c r="E982">
        <v>2025</v>
      </c>
      <c r="F982">
        <v>2026</v>
      </c>
      <c r="G982" s="10">
        <v>1610000</v>
      </c>
      <c r="H982" t="str">
        <f t="shared" si="60"/>
        <v/>
      </c>
      <c r="I982" t="str">
        <f t="shared" si="61"/>
        <v/>
      </c>
      <c r="J982" t="str">
        <f t="shared" si="62"/>
        <v/>
      </c>
      <c r="K982">
        <v>220840.16</v>
      </c>
      <c r="L982" t="b">
        <f t="shared" si="59"/>
        <v>0</v>
      </c>
    </row>
    <row r="983" spans="1:12" ht="16" x14ac:dyDescent="0.2">
      <c r="A983" t="s">
        <v>5281</v>
      </c>
      <c r="B983" t="s">
        <v>73</v>
      </c>
      <c r="C983" t="s">
        <v>3587</v>
      </c>
      <c r="D983" s="2" t="s">
        <v>142</v>
      </c>
      <c r="E983">
        <v>2025</v>
      </c>
      <c r="F983">
        <v>2028</v>
      </c>
      <c r="G983" s="10">
        <v>20252500</v>
      </c>
      <c r="H983">
        <f t="shared" si="60"/>
        <v>20252500</v>
      </c>
      <c r="I983">
        <f t="shared" si="61"/>
        <v>20252500</v>
      </c>
      <c r="J983" t="str">
        <f t="shared" si="62"/>
        <v/>
      </c>
      <c r="K983">
        <v>40287982.090000004</v>
      </c>
      <c r="L983" t="b">
        <f t="shared" si="59"/>
        <v>0</v>
      </c>
    </row>
    <row r="984" spans="1:12" ht="16" x14ac:dyDescent="0.2">
      <c r="A984" t="s">
        <v>5282</v>
      </c>
      <c r="B984" t="s">
        <v>73</v>
      </c>
      <c r="C984" t="s">
        <v>3588</v>
      </c>
      <c r="D984" s="2" t="s">
        <v>142</v>
      </c>
      <c r="E984">
        <v>2025</v>
      </c>
      <c r="F984">
        <v>2026</v>
      </c>
      <c r="G984" s="10">
        <v>11345000</v>
      </c>
      <c r="H984" t="str">
        <f t="shared" si="60"/>
        <v/>
      </c>
      <c r="I984" t="str">
        <f t="shared" si="61"/>
        <v/>
      </c>
      <c r="J984" t="str">
        <f t="shared" si="62"/>
        <v/>
      </c>
      <c r="K984">
        <v>9625535.0099999998</v>
      </c>
      <c r="L984" t="b">
        <f t="shared" si="59"/>
        <v>0</v>
      </c>
    </row>
    <row r="985" spans="1:12" ht="16" x14ac:dyDescent="0.2">
      <c r="A985" t="s">
        <v>5283</v>
      </c>
      <c r="B985" t="s">
        <v>73</v>
      </c>
      <c r="C985" t="s">
        <v>3589</v>
      </c>
      <c r="D985" s="2" t="s">
        <v>142</v>
      </c>
      <c r="E985">
        <v>2025</v>
      </c>
      <c r="F985">
        <v>2028</v>
      </c>
      <c r="G985" s="10">
        <v>6180000</v>
      </c>
      <c r="H985">
        <f t="shared" si="60"/>
        <v>6180000</v>
      </c>
      <c r="I985">
        <f t="shared" si="61"/>
        <v>6180000</v>
      </c>
      <c r="J985" t="str">
        <f t="shared" si="62"/>
        <v/>
      </c>
      <c r="K985">
        <v>5466720.7000000002</v>
      </c>
      <c r="L985" t="b">
        <f t="shared" si="59"/>
        <v>0</v>
      </c>
    </row>
    <row r="986" spans="1:12" ht="16" x14ac:dyDescent="0.2">
      <c r="A986" t="s">
        <v>5284</v>
      </c>
      <c r="B986" t="s">
        <v>73</v>
      </c>
      <c r="C986" t="s">
        <v>3590</v>
      </c>
      <c r="D986" s="2" t="s">
        <v>142</v>
      </c>
      <c r="E986">
        <v>2025</v>
      </c>
      <c r="F986">
        <v>2026</v>
      </c>
      <c r="G986" s="10">
        <v>4880000</v>
      </c>
      <c r="H986" t="str">
        <f t="shared" si="60"/>
        <v/>
      </c>
      <c r="I986" t="str">
        <f t="shared" si="61"/>
        <v/>
      </c>
      <c r="J986" t="str">
        <f t="shared" si="62"/>
        <v/>
      </c>
      <c r="K986">
        <v>2556000.7000000002</v>
      </c>
      <c r="L986" t="b">
        <f t="shared" si="59"/>
        <v>0</v>
      </c>
    </row>
    <row r="987" spans="1:12" ht="16" x14ac:dyDescent="0.2">
      <c r="A987" t="s">
        <v>5285</v>
      </c>
      <c r="B987" t="s">
        <v>73</v>
      </c>
      <c r="C987" t="s">
        <v>3591</v>
      </c>
      <c r="D987" s="2" t="s">
        <v>142</v>
      </c>
      <c r="G987" s="10" t="s">
        <v>2892</v>
      </c>
      <c r="H987" t="str">
        <f t="shared" si="60"/>
        <v/>
      </c>
      <c r="I987" t="str">
        <f t="shared" si="61"/>
        <v/>
      </c>
      <c r="J987" t="str">
        <f t="shared" si="62"/>
        <v/>
      </c>
      <c r="L987" t="b">
        <f t="shared" si="59"/>
        <v>1</v>
      </c>
    </row>
    <row r="988" spans="1:12" ht="16" x14ac:dyDescent="0.2">
      <c r="A988" t="s">
        <v>5286</v>
      </c>
      <c r="B988" t="s">
        <v>73</v>
      </c>
      <c r="C988" t="s">
        <v>3592</v>
      </c>
      <c r="D988" s="2" t="s">
        <v>142</v>
      </c>
      <c r="G988" s="10" t="s">
        <v>2892</v>
      </c>
      <c r="H988" t="str">
        <f t="shared" si="60"/>
        <v/>
      </c>
      <c r="I988" t="str">
        <f t="shared" si="61"/>
        <v/>
      </c>
      <c r="J988" t="str">
        <f t="shared" si="62"/>
        <v/>
      </c>
      <c r="L988" t="b">
        <f t="shared" si="59"/>
        <v>1</v>
      </c>
    </row>
    <row r="989" spans="1:12" ht="16" x14ac:dyDescent="0.2">
      <c r="A989" t="s">
        <v>5287</v>
      </c>
      <c r="B989" t="s">
        <v>73</v>
      </c>
      <c r="C989" t="s">
        <v>3593</v>
      </c>
      <c r="D989" s="2" t="s">
        <v>142</v>
      </c>
      <c r="E989">
        <v>2025</v>
      </c>
      <c r="F989">
        <v>2027</v>
      </c>
      <c r="G989" s="10">
        <v>8726666.666666666</v>
      </c>
      <c r="H989">
        <f t="shared" si="60"/>
        <v>8726666.666666666</v>
      </c>
      <c r="I989" t="str">
        <f t="shared" si="61"/>
        <v/>
      </c>
      <c r="J989" t="str">
        <f t="shared" si="62"/>
        <v/>
      </c>
      <c r="K989">
        <v>11376415</v>
      </c>
      <c r="L989" t="b">
        <f t="shared" si="59"/>
        <v>0</v>
      </c>
    </row>
    <row r="990" spans="1:12" ht="16" x14ac:dyDescent="0.2">
      <c r="A990" t="s">
        <v>5288</v>
      </c>
      <c r="B990" t="s">
        <v>73</v>
      </c>
      <c r="C990" t="s">
        <v>3594</v>
      </c>
      <c r="D990" s="2" t="s">
        <v>142</v>
      </c>
      <c r="G990" s="10" t="s">
        <v>2892</v>
      </c>
      <c r="H990" t="str">
        <f t="shared" si="60"/>
        <v/>
      </c>
      <c r="I990" t="str">
        <f t="shared" si="61"/>
        <v/>
      </c>
      <c r="J990" t="str">
        <f t="shared" si="62"/>
        <v/>
      </c>
      <c r="L990" t="b">
        <f t="shared" si="59"/>
        <v>1</v>
      </c>
    </row>
    <row r="991" spans="1:12" ht="16" x14ac:dyDescent="0.2">
      <c r="A991" t="s">
        <v>5289</v>
      </c>
      <c r="B991" t="s">
        <v>73</v>
      </c>
      <c r="C991" t="s">
        <v>3595</v>
      </c>
      <c r="D991" s="2" t="s">
        <v>142</v>
      </c>
      <c r="E991">
        <v>2025</v>
      </c>
      <c r="F991">
        <v>2029</v>
      </c>
      <c r="G991" s="10">
        <v>11992000</v>
      </c>
      <c r="H991">
        <f t="shared" si="60"/>
        <v>11992000</v>
      </c>
      <c r="I991">
        <f t="shared" si="61"/>
        <v>11992000</v>
      </c>
      <c r="J991">
        <f t="shared" si="62"/>
        <v>11992000</v>
      </c>
      <c r="K991">
        <v>21522805.539999999</v>
      </c>
      <c r="L991" t="b">
        <f t="shared" si="59"/>
        <v>0</v>
      </c>
    </row>
    <row r="992" spans="1:12" ht="16" x14ac:dyDescent="0.2">
      <c r="A992" t="s">
        <v>5290</v>
      </c>
      <c r="B992" t="s">
        <v>73</v>
      </c>
      <c r="C992" t="s">
        <v>3596</v>
      </c>
      <c r="D992" s="2" t="s">
        <v>142</v>
      </c>
      <c r="G992" s="10" t="s">
        <v>2892</v>
      </c>
      <c r="H992" t="str">
        <f t="shared" si="60"/>
        <v/>
      </c>
      <c r="I992" t="str">
        <f t="shared" si="61"/>
        <v/>
      </c>
      <c r="J992" t="str">
        <f t="shared" si="62"/>
        <v/>
      </c>
      <c r="L992" t="b">
        <f t="shared" si="59"/>
        <v>1</v>
      </c>
    </row>
    <row r="993" spans="1:12" ht="16" x14ac:dyDescent="0.2">
      <c r="A993" t="s">
        <v>5291</v>
      </c>
      <c r="B993" t="s">
        <v>73</v>
      </c>
      <c r="C993" t="s">
        <v>3597</v>
      </c>
      <c r="D993" s="2" t="s">
        <v>142</v>
      </c>
      <c r="G993" s="10" t="s">
        <v>2892</v>
      </c>
      <c r="H993" t="str">
        <f t="shared" si="60"/>
        <v/>
      </c>
      <c r="I993" t="str">
        <f t="shared" si="61"/>
        <v/>
      </c>
      <c r="J993" t="str">
        <f t="shared" si="62"/>
        <v/>
      </c>
      <c r="L993" t="b">
        <f t="shared" si="59"/>
        <v>1</v>
      </c>
    </row>
    <row r="994" spans="1:12" ht="16" x14ac:dyDescent="0.2">
      <c r="A994" t="s">
        <v>5292</v>
      </c>
      <c r="B994" t="s">
        <v>73</v>
      </c>
      <c r="C994" t="s">
        <v>3598</v>
      </c>
      <c r="D994" s="2" t="s">
        <v>142</v>
      </c>
      <c r="G994" s="10" t="s">
        <v>2892</v>
      </c>
      <c r="H994" t="str">
        <f t="shared" si="60"/>
        <v/>
      </c>
      <c r="I994" t="str">
        <f t="shared" si="61"/>
        <v/>
      </c>
      <c r="J994" t="str">
        <f t="shared" si="62"/>
        <v/>
      </c>
      <c r="L994" t="b">
        <f t="shared" si="59"/>
        <v>1</v>
      </c>
    </row>
    <row r="995" spans="1:12" ht="16" x14ac:dyDescent="0.2">
      <c r="A995" t="s">
        <v>5293</v>
      </c>
      <c r="B995" t="s">
        <v>73</v>
      </c>
      <c r="C995" t="s">
        <v>3599</v>
      </c>
      <c r="D995" s="2" t="s">
        <v>142</v>
      </c>
      <c r="E995">
        <v>2025</v>
      </c>
      <c r="F995">
        <v>2028</v>
      </c>
      <c r="G995" s="10">
        <v>17647500</v>
      </c>
      <c r="H995">
        <f t="shared" si="60"/>
        <v>17647500</v>
      </c>
      <c r="I995">
        <f t="shared" si="61"/>
        <v>17647500</v>
      </c>
      <c r="J995" t="str">
        <f t="shared" si="62"/>
        <v/>
      </c>
      <c r="K995">
        <v>39940753.079999998</v>
      </c>
      <c r="L995" t="b">
        <f t="shared" ref="L995:L1058" si="63">IF(F995="",TRUE,FALSE)</f>
        <v>0</v>
      </c>
    </row>
    <row r="996" spans="1:12" ht="16" x14ac:dyDescent="0.2">
      <c r="A996" t="s">
        <v>5294</v>
      </c>
      <c r="B996" t="s">
        <v>73</v>
      </c>
      <c r="C996" t="s">
        <v>3600</v>
      </c>
      <c r="D996" s="2" t="s">
        <v>142</v>
      </c>
      <c r="G996" s="10" t="s">
        <v>2892</v>
      </c>
      <c r="H996" t="str">
        <f t="shared" si="60"/>
        <v/>
      </c>
      <c r="I996" t="str">
        <f t="shared" si="61"/>
        <v/>
      </c>
      <c r="J996" t="str">
        <f t="shared" si="62"/>
        <v/>
      </c>
      <c r="L996" t="b">
        <f t="shared" si="63"/>
        <v>1</v>
      </c>
    </row>
    <row r="997" spans="1:12" ht="16" x14ac:dyDescent="0.2">
      <c r="A997" t="s">
        <v>5295</v>
      </c>
      <c r="B997" t="s">
        <v>73</v>
      </c>
      <c r="C997" t="s">
        <v>3601</v>
      </c>
      <c r="D997" s="2" t="s">
        <v>142</v>
      </c>
      <c r="E997">
        <v>2025</v>
      </c>
      <c r="F997">
        <v>2028</v>
      </c>
      <c r="G997" s="10">
        <v>5017500</v>
      </c>
      <c r="H997">
        <f t="shared" si="60"/>
        <v>5017500</v>
      </c>
      <c r="I997">
        <f t="shared" si="61"/>
        <v>5017500</v>
      </c>
      <c r="J997" t="str">
        <f t="shared" si="62"/>
        <v/>
      </c>
      <c r="K997">
        <v>2575907.83</v>
      </c>
      <c r="L997" t="b">
        <f t="shared" si="63"/>
        <v>0</v>
      </c>
    </row>
    <row r="998" spans="1:12" ht="16" x14ac:dyDescent="0.2">
      <c r="A998" t="s">
        <v>5296</v>
      </c>
      <c r="B998" t="s">
        <v>73</v>
      </c>
      <c r="C998" t="s">
        <v>3602</v>
      </c>
      <c r="D998" s="2" t="s">
        <v>142</v>
      </c>
      <c r="E998">
        <v>2025</v>
      </c>
      <c r="F998">
        <v>2026</v>
      </c>
      <c r="G998" s="10">
        <v>4795000</v>
      </c>
      <c r="H998" t="str">
        <f t="shared" si="60"/>
        <v/>
      </c>
      <c r="I998" t="str">
        <f t="shared" si="61"/>
        <v/>
      </c>
      <c r="J998" t="str">
        <f t="shared" si="62"/>
        <v/>
      </c>
      <c r="K998">
        <v>2632510.5</v>
      </c>
      <c r="L998" t="b">
        <f t="shared" si="63"/>
        <v>0</v>
      </c>
    </row>
    <row r="999" spans="1:12" ht="16" x14ac:dyDescent="0.2">
      <c r="A999" t="s">
        <v>5297</v>
      </c>
      <c r="B999" t="s">
        <v>73</v>
      </c>
      <c r="C999" t="s">
        <v>3603</v>
      </c>
      <c r="D999" s="2" t="s">
        <v>142</v>
      </c>
      <c r="E999">
        <v>2025</v>
      </c>
      <c r="F999">
        <v>2027</v>
      </c>
      <c r="G999" s="10">
        <v>4203333.333333333</v>
      </c>
      <c r="H999">
        <f t="shared" si="60"/>
        <v>4203333.333333333</v>
      </c>
      <c r="I999" t="str">
        <f t="shared" si="61"/>
        <v/>
      </c>
      <c r="J999" t="str">
        <f t="shared" si="62"/>
        <v/>
      </c>
      <c r="K999">
        <v>2287320.5099999998</v>
      </c>
      <c r="L999" t="b">
        <f t="shared" si="63"/>
        <v>0</v>
      </c>
    </row>
    <row r="1000" spans="1:12" ht="16" x14ac:dyDescent="0.2">
      <c r="A1000" t="s">
        <v>5298</v>
      </c>
      <c r="B1000" t="s">
        <v>73</v>
      </c>
      <c r="C1000" t="s">
        <v>3604</v>
      </c>
      <c r="D1000" s="2" t="s">
        <v>142</v>
      </c>
      <c r="E1000">
        <v>2025</v>
      </c>
      <c r="F1000">
        <v>2026</v>
      </c>
      <c r="G1000" s="10">
        <v>10250000</v>
      </c>
      <c r="H1000" t="str">
        <f t="shared" si="60"/>
        <v/>
      </c>
      <c r="I1000" t="str">
        <f t="shared" si="61"/>
        <v/>
      </c>
      <c r="J1000" t="str">
        <f t="shared" si="62"/>
        <v/>
      </c>
      <c r="K1000">
        <v>5576672.5</v>
      </c>
      <c r="L1000" t="b">
        <f t="shared" si="63"/>
        <v>0</v>
      </c>
    </row>
    <row r="1001" spans="1:12" ht="16" x14ac:dyDescent="0.2">
      <c r="A1001" t="s">
        <v>5299</v>
      </c>
      <c r="B1001" t="s">
        <v>73</v>
      </c>
      <c r="C1001" t="s">
        <v>3605</v>
      </c>
      <c r="D1001" s="2" t="s">
        <v>142</v>
      </c>
      <c r="E1001">
        <v>2025</v>
      </c>
      <c r="F1001">
        <v>2026</v>
      </c>
      <c r="G1001" s="10">
        <v>5225000</v>
      </c>
      <c r="H1001" t="str">
        <f t="shared" si="60"/>
        <v/>
      </c>
      <c r="I1001" t="str">
        <f t="shared" si="61"/>
        <v/>
      </c>
      <c r="J1001" t="str">
        <f t="shared" si="62"/>
        <v/>
      </c>
      <c r="K1001">
        <v>1247111.32</v>
      </c>
      <c r="L1001" t="b">
        <f t="shared" si="63"/>
        <v>0</v>
      </c>
    </row>
    <row r="1002" spans="1:12" ht="16" x14ac:dyDescent="0.2">
      <c r="A1002" t="s">
        <v>5300</v>
      </c>
      <c r="B1002" t="s">
        <v>73</v>
      </c>
      <c r="C1002" t="s">
        <v>3606</v>
      </c>
      <c r="D1002" s="2" t="s">
        <v>142</v>
      </c>
      <c r="E1002">
        <v>2025</v>
      </c>
      <c r="F1002">
        <v>2027</v>
      </c>
      <c r="G1002" s="10">
        <v>5466666.666666666</v>
      </c>
      <c r="H1002">
        <f t="shared" si="60"/>
        <v>5466666.666666666</v>
      </c>
      <c r="I1002" t="str">
        <f t="shared" si="61"/>
        <v/>
      </c>
      <c r="J1002" t="str">
        <f t="shared" si="62"/>
        <v/>
      </c>
      <c r="K1002">
        <v>3991404.52</v>
      </c>
      <c r="L1002" t="b">
        <f t="shared" si="63"/>
        <v>0</v>
      </c>
    </row>
    <row r="1003" spans="1:12" ht="16" x14ac:dyDescent="0.2">
      <c r="A1003" t="s">
        <v>5301</v>
      </c>
      <c r="B1003" t="s">
        <v>73</v>
      </c>
      <c r="C1003" t="s">
        <v>3607</v>
      </c>
      <c r="D1003" s="2" t="s">
        <v>142</v>
      </c>
      <c r="G1003" s="10" t="s">
        <v>2892</v>
      </c>
      <c r="H1003" t="str">
        <f t="shared" si="60"/>
        <v/>
      </c>
      <c r="I1003" t="str">
        <f t="shared" si="61"/>
        <v/>
      </c>
      <c r="J1003" t="str">
        <f t="shared" si="62"/>
        <v/>
      </c>
      <c r="L1003" t="b">
        <f t="shared" si="63"/>
        <v>1</v>
      </c>
    </row>
    <row r="1004" spans="1:12" ht="16" x14ac:dyDescent="0.2">
      <c r="A1004" t="s">
        <v>5302</v>
      </c>
      <c r="B1004" t="s">
        <v>73</v>
      </c>
      <c r="C1004" t="s">
        <v>3608</v>
      </c>
      <c r="D1004" s="2" t="s">
        <v>142</v>
      </c>
      <c r="E1004">
        <v>2025</v>
      </c>
      <c r="F1004">
        <v>2027</v>
      </c>
      <c r="G1004" s="10">
        <v>7793333.333333333</v>
      </c>
      <c r="H1004">
        <f t="shared" si="60"/>
        <v>7793333.333333333</v>
      </c>
      <c r="I1004" t="str">
        <f t="shared" si="61"/>
        <v/>
      </c>
      <c r="J1004" t="str">
        <f t="shared" si="62"/>
        <v/>
      </c>
      <c r="K1004">
        <v>7680495.3799999999</v>
      </c>
      <c r="L1004" t="b">
        <f t="shared" si="63"/>
        <v>0</v>
      </c>
    </row>
    <row r="1005" spans="1:12" ht="16" x14ac:dyDescent="0.2">
      <c r="A1005" t="s">
        <v>5303</v>
      </c>
      <c r="B1005" t="s">
        <v>73</v>
      </c>
      <c r="C1005" t="s">
        <v>3609</v>
      </c>
      <c r="D1005" s="2" t="s">
        <v>142</v>
      </c>
      <c r="E1005">
        <v>2025</v>
      </c>
      <c r="F1005">
        <v>2026</v>
      </c>
      <c r="G1005" s="10">
        <v>6725000</v>
      </c>
      <c r="H1005" t="str">
        <f t="shared" si="60"/>
        <v/>
      </c>
      <c r="I1005" t="str">
        <f t="shared" si="61"/>
        <v/>
      </c>
      <c r="J1005" t="str">
        <f t="shared" si="62"/>
        <v/>
      </c>
      <c r="K1005">
        <v>3753600.21</v>
      </c>
      <c r="L1005" t="b">
        <f t="shared" si="63"/>
        <v>0</v>
      </c>
    </row>
    <row r="1006" spans="1:12" ht="16" x14ac:dyDescent="0.2">
      <c r="A1006" t="s">
        <v>5304</v>
      </c>
      <c r="B1006" t="s">
        <v>73</v>
      </c>
      <c r="C1006" t="s">
        <v>3610</v>
      </c>
      <c r="D1006" s="2" t="s">
        <v>142</v>
      </c>
      <c r="E1006">
        <v>2025</v>
      </c>
      <c r="F1006">
        <v>2027</v>
      </c>
      <c r="G1006" s="10">
        <v>2253333.3333333335</v>
      </c>
      <c r="H1006">
        <f t="shared" si="60"/>
        <v>2253333.3333333335</v>
      </c>
      <c r="I1006" t="str">
        <f t="shared" si="61"/>
        <v/>
      </c>
      <c r="J1006" t="str">
        <f t="shared" si="62"/>
        <v/>
      </c>
      <c r="K1006">
        <v>1306110.6599999999</v>
      </c>
      <c r="L1006" t="b">
        <f t="shared" si="63"/>
        <v>0</v>
      </c>
    </row>
    <row r="1007" spans="1:12" ht="16" x14ac:dyDescent="0.2">
      <c r="A1007" t="s">
        <v>5305</v>
      </c>
      <c r="B1007" t="s">
        <v>73</v>
      </c>
      <c r="C1007" t="s">
        <v>3611</v>
      </c>
      <c r="D1007" s="2" t="s">
        <v>142</v>
      </c>
      <c r="E1007">
        <v>2025</v>
      </c>
      <c r="F1007">
        <v>2026</v>
      </c>
      <c r="G1007" s="10">
        <v>2770000</v>
      </c>
      <c r="H1007" t="str">
        <f t="shared" si="60"/>
        <v/>
      </c>
      <c r="I1007" t="str">
        <f t="shared" si="61"/>
        <v/>
      </c>
      <c r="J1007" t="str">
        <f t="shared" si="62"/>
        <v/>
      </c>
      <c r="K1007">
        <v>825407.84</v>
      </c>
      <c r="L1007" t="b">
        <f t="shared" si="63"/>
        <v>0</v>
      </c>
    </row>
    <row r="1008" spans="1:12" ht="16" x14ac:dyDescent="0.2">
      <c r="A1008" t="s">
        <v>5306</v>
      </c>
      <c r="B1008" t="s">
        <v>73</v>
      </c>
      <c r="C1008" t="s">
        <v>3612</v>
      </c>
      <c r="D1008" s="2" t="s">
        <v>142</v>
      </c>
      <c r="G1008" s="10" t="s">
        <v>2892</v>
      </c>
      <c r="H1008" t="str">
        <f t="shared" si="60"/>
        <v/>
      </c>
      <c r="I1008" t="str">
        <f t="shared" si="61"/>
        <v/>
      </c>
      <c r="J1008" t="str">
        <f t="shared" si="62"/>
        <v/>
      </c>
      <c r="L1008" t="b">
        <f t="shared" si="63"/>
        <v>1</v>
      </c>
    </row>
    <row r="1009" spans="1:12" ht="16" x14ac:dyDescent="0.2">
      <c r="A1009" t="s">
        <v>5307</v>
      </c>
      <c r="B1009" t="s">
        <v>73</v>
      </c>
      <c r="C1009" t="s">
        <v>3613</v>
      </c>
      <c r="D1009" s="2" t="s">
        <v>142</v>
      </c>
      <c r="E1009">
        <v>2025</v>
      </c>
      <c r="F1009">
        <v>2026</v>
      </c>
      <c r="G1009" s="10">
        <v>1840000</v>
      </c>
      <c r="H1009" t="str">
        <f t="shared" si="60"/>
        <v/>
      </c>
      <c r="I1009" t="str">
        <f t="shared" si="61"/>
        <v/>
      </c>
      <c r="J1009" t="str">
        <f t="shared" si="62"/>
        <v/>
      </c>
      <c r="K1009">
        <v>155670.54</v>
      </c>
      <c r="L1009" t="b">
        <f t="shared" si="63"/>
        <v>0</v>
      </c>
    </row>
    <row r="1010" spans="1:12" ht="16" x14ac:dyDescent="0.2">
      <c r="A1010" t="s">
        <v>5308</v>
      </c>
      <c r="B1010" t="s">
        <v>73</v>
      </c>
      <c r="C1010" t="s">
        <v>3614</v>
      </c>
      <c r="D1010" s="2" t="s">
        <v>142</v>
      </c>
      <c r="E1010">
        <v>2025</v>
      </c>
      <c r="F1010">
        <v>2027</v>
      </c>
      <c r="G1010" s="10">
        <v>11726666.666666666</v>
      </c>
      <c r="H1010">
        <f t="shared" si="60"/>
        <v>11726666.666666666</v>
      </c>
      <c r="I1010" t="str">
        <f t="shared" si="61"/>
        <v/>
      </c>
      <c r="J1010" t="str">
        <f t="shared" si="62"/>
        <v/>
      </c>
      <c r="K1010">
        <v>11996052.91</v>
      </c>
      <c r="L1010" t="b">
        <f t="shared" si="63"/>
        <v>0</v>
      </c>
    </row>
    <row r="1011" spans="1:12" ht="16" x14ac:dyDescent="0.2">
      <c r="A1011" t="s">
        <v>5309</v>
      </c>
      <c r="B1011" t="s">
        <v>73</v>
      </c>
      <c r="C1011" t="s">
        <v>3615</v>
      </c>
      <c r="D1011" s="2" t="s">
        <v>142</v>
      </c>
      <c r="E1011">
        <v>2025</v>
      </c>
      <c r="F1011">
        <v>2028</v>
      </c>
      <c r="G1011" s="10">
        <v>10045000</v>
      </c>
      <c r="H1011">
        <f t="shared" si="60"/>
        <v>10045000</v>
      </c>
      <c r="I1011">
        <f t="shared" si="61"/>
        <v>10045000</v>
      </c>
      <c r="J1011" t="str">
        <f t="shared" si="62"/>
        <v/>
      </c>
      <c r="K1011">
        <v>17329555.059999999</v>
      </c>
      <c r="L1011" t="b">
        <f t="shared" si="63"/>
        <v>0</v>
      </c>
    </row>
    <row r="1012" spans="1:12" ht="16" x14ac:dyDescent="0.2">
      <c r="A1012" t="s">
        <v>5310</v>
      </c>
      <c r="B1012" t="s">
        <v>73</v>
      </c>
      <c r="C1012" t="s">
        <v>3616</v>
      </c>
      <c r="D1012" s="2" t="s">
        <v>142</v>
      </c>
      <c r="E1012">
        <v>2025</v>
      </c>
      <c r="F1012">
        <v>2026</v>
      </c>
      <c r="G1012" s="10">
        <v>5545000</v>
      </c>
      <c r="H1012" t="str">
        <f t="shared" si="60"/>
        <v/>
      </c>
      <c r="I1012" t="str">
        <f t="shared" si="61"/>
        <v/>
      </c>
      <c r="J1012" t="str">
        <f t="shared" si="62"/>
        <v/>
      </c>
      <c r="K1012">
        <v>2372441.46</v>
      </c>
      <c r="L1012" t="b">
        <f t="shared" si="63"/>
        <v>0</v>
      </c>
    </row>
    <row r="1013" spans="1:12" ht="16" x14ac:dyDescent="0.2">
      <c r="A1013" t="s">
        <v>5311</v>
      </c>
      <c r="B1013" t="s">
        <v>73</v>
      </c>
      <c r="C1013" t="s">
        <v>3617</v>
      </c>
      <c r="D1013" s="2" t="s">
        <v>142</v>
      </c>
      <c r="G1013" s="10" t="s">
        <v>2892</v>
      </c>
      <c r="H1013" t="str">
        <f t="shared" si="60"/>
        <v/>
      </c>
      <c r="I1013" t="str">
        <f t="shared" si="61"/>
        <v/>
      </c>
      <c r="J1013" t="str">
        <f t="shared" si="62"/>
        <v/>
      </c>
      <c r="L1013" t="b">
        <f t="shared" si="63"/>
        <v>1</v>
      </c>
    </row>
    <row r="1014" spans="1:12" ht="16" x14ac:dyDescent="0.2">
      <c r="A1014" t="s">
        <v>5312</v>
      </c>
      <c r="B1014" t="s">
        <v>73</v>
      </c>
      <c r="C1014" t="s">
        <v>3618</v>
      </c>
      <c r="D1014" s="2" t="s">
        <v>142</v>
      </c>
      <c r="E1014">
        <v>2026</v>
      </c>
      <c r="F1014">
        <v>2028</v>
      </c>
      <c r="G1014" s="10">
        <v>8340000</v>
      </c>
      <c r="H1014">
        <f t="shared" si="60"/>
        <v>8340000</v>
      </c>
      <c r="I1014">
        <f t="shared" si="61"/>
        <v>8340000</v>
      </c>
      <c r="J1014" t="str">
        <f t="shared" si="62"/>
        <v/>
      </c>
      <c r="K1014">
        <v>4844796.09</v>
      </c>
      <c r="L1014" t="b">
        <f t="shared" si="63"/>
        <v>0</v>
      </c>
    </row>
    <row r="1015" spans="1:12" ht="16" x14ac:dyDescent="0.2">
      <c r="A1015" t="s">
        <v>5313</v>
      </c>
      <c r="B1015" t="s">
        <v>73</v>
      </c>
      <c r="C1015" t="s">
        <v>3619</v>
      </c>
      <c r="D1015" s="2" t="s">
        <v>142</v>
      </c>
      <c r="E1015">
        <v>2025</v>
      </c>
      <c r="F1015">
        <v>2026</v>
      </c>
      <c r="G1015" s="10">
        <v>3890000</v>
      </c>
      <c r="H1015" t="str">
        <f t="shared" si="60"/>
        <v/>
      </c>
      <c r="I1015" t="str">
        <f t="shared" si="61"/>
        <v/>
      </c>
      <c r="J1015" t="str">
        <f t="shared" si="62"/>
        <v/>
      </c>
      <c r="K1015">
        <v>2156706.3199999998</v>
      </c>
      <c r="L1015" t="b">
        <f t="shared" si="63"/>
        <v>0</v>
      </c>
    </row>
    <row r="1016" spans="1:12" ht="16" x14ac:dyDescent="0.2">
      <c r="A1016" t="s">
        <v>5314</v>
      </c>
      <c r="B1016" t="s">
        <v>73</v>
      </c>
      <c r="C1016" t="s">
        <v>3620</v>
      </c>
      <c r="D1016" s="2" t="s">
        <v>142</v>
      </c>
      <c r="E1016">
        <v>2025</v>
      </c>
      <c r="F1016">
        <v>2027</v>
      </c>
      <c r="G1016" s="10">
        <v>3636666.6666666665</v>
      </c>
      <c r="H1016">
        <f t="shared" si="60"/>
        <v>3636666.6666666665</v>
      </c>
      <c r="I1016" t="str">
        <f t="shared" si="61"/>
        <v/>
      </c>
      <c r="J1016" t="str">
        <f t="shared" si="62"/>
        <v/>
      </c>
      <c r="K1016">
        <v>2108303.98</v>
      </c>
      <c r="L1016" t="b">
        <f t="shared" si="63"/>
        <v>0</v>
      </c>
    </row>
    <row r="1017" spans="1:12" ht="16" x14ac:dyDescent="0.2">
      <c r="A1017" t="s">
        <v>5315</v>
      </c>
      <c r="B1017" t="s">
        <v>73</v>
      </c>
      <c r="C1017" t="s">
        <v>3621</v>
      </c>
      <c r="D1017" s="2" t="s">
        <v>142</v>
      </c>
      <c r="E1017">
        <v>2025</v>
      </c>
      <c r="F1017">
        <v>2026</v>
      </c>
      <c r="G1017" s="10">
        <v>5020000</v>
      </c>
      <c r="H1017" t="str">
        <f t="shared" si="60"/>
        <v/>
      </c>
      <c r="I1017" t="str">
        <f t="shared" si="61"/>
        <v/>
      </c>
      <c r="J1017" t="str">
        <f t="shared" si="62"/>
        <v/>
      </c>
      <c r="K1017">
        <v>1794575.73</v>
      </c>
      <c r="L1017" t="b">
        <f t="shared" si="63"/>
        <v>0</v>
      </c>
    </row>
    <row r="1018" spans="1:12" ht="16" x14ac:dyDescent="0.2">
      <c r="A1018" t="s">
        <v>5316</v>
      </c>
      <c r="B1018" t="s">
        <v>73</v>
      </c>
      <c r="C1018" t="s">
        <v>3622</v>
      </c>
      <c r="D1018" s="2" t="s">
        <v>142</v>
      </c>
      <c r="G1018" s="10" t="s">
        <v>2892</v>
      </c>
      <c r="H1018" t="str">
        <f t="shared" si="60"/>
        <v/>
      </c>
      <c r="I1018" t="str">
        <f t="shared" si="61"/>
        <v/>
      </c>
      <c r="J1018" t="str">
        <f t="shared" si="62"/>
        <v/>
      </c>
      <c r="L1018" t="b">
        <f t="shared" si="63"/>
        <v>1</v>
      </c>
    </row>
    <row r="1019" spans="1:12" ht="16" x14ac:dyDescent="0.2">
      <c r="A1019" t="s">
        <v>5317</v>
      </c>
      <c r="B1019" t="s">
        <v>73</v>
      </c>
      <c r="C1019" t="s">
        <v>3623</v>
      </c>
      <c r="D1019" s="2" t="s">
        <v>142</v>
      </c>
      <c r="G1019" s="10" t="s">
        <v>2892</v>
      </c>
      <c r="H1019" t="str">
        <f t="shared" si="60"/>
        <v/>
      </c>
      <c r="I1019" t="str">
        <f t="shared" si="61"/>
        <v/>
      </c>
      <c r="J1019" t="str">
        <f t="shared" si="62"/>
        <v/>
      </c>
      <c r="L1019" t="b">
        <f t="shared" si="63"/>
        <v>1</v>
      </c>
    </row>
    <row r="1020" spans="1:12" ht="16" x14ac:dyDescent="0.2">
      <c r="A1020" t="s">
        <v>5318</v>
      </c>
      <c r="B1020" t="s">
        <v>73</v>
      </c>
      <c r="C1020" t="s">
        <v>3624</v>
      </c>
      <c r="D1020" s="2" t="s">
        <v>142</v>
      </c>
      <c r="G1020" s="10" t="s">
        <v>2892</v>
      </c>
      <c r="H1020" t="str">
        <f t="shared" si="60"/>
        <v/>
      </c>
      <c r="I1020" t="str">
        <f t="shared" si="61"/>
        <v/>
      </c>
      <c r="J1020" t="str">
        <f t="shared" si="62"/>
        <v/>
      </c>
      <c r="L1020" t="b">
        <f t="shared" si="63"/>
        <v>1</v>
      </c>
    </row>
    <row r="1021" spans="1:12" ht="16" x14ac:dyDescent="0.2">
      <c r="A1021" t="s">
        <v>5319</v>
      </c>
      <c r="B1021" t="s">
        <v>73</v>
      </c>
      <c r="C1021" t="s">
        <v>3625</v>
      </c>
      <c r="D1021" s="2" t="s">
        <v>142</v>
      </c>
      <c r="G1021" s="10" t="s">
        <v>2892</v>
      </c>
      <c r="H1021" t="str">
        <f t="shared" si="60"/>
        <v/>
      </c>
      <c r="I1021" t="str">
        <f t="shared" si="61"/>
        <v/>
      </c>
      <c r="J1021" t="str">
        <f t="shared" si="62"/>
        <v/>
      </c>
      <c r="L1021" t="b">
        <f t="shared" si="63"/>
        <v>1</v>
      </c>
    </row>
    <row r="1022" spans="1:12" ht="16" x14ac:dyDescent="0.2">
      <c r="A1022" t="s">
        <v>5320</v>
      </c>
      <c r="B1022" t="s">
        <v>73</v>
      </c>
      <c r="C1022" t="s">
        <v>3626</v>
      </c>
      <c r="D1022" s="2" t="s">
        <v>142</v>
      </c>
      <c r="E1022">
        <v>2025</v>
      </c>
      <c r="F1022">
        <v>2026</v>
      </c>
      <c r="G1022" s="10">
        <v>5710000</v>
      </c>
      <c r="H1022" t="str">
        <f t="shared" si="60"/>
        <v/>
      </c>
      <c r="I1022" t="str">
        <f t="shared" si="61"/>
        <v/>
      </c>
      <c r="J1022" t="str">
        <f t="shared" si="62"/>
        <v/>
      </c>
      <c r="K1022">
        <v>4480400.49</v>
      </c>
      <c r="L1022" t="b">
        <f t="shared" si="63"/>
        <v>0</v>
      </c>
    </row>
    <row r="1023" spans="1:12" ht="16" x14ac:dyDescent="0.2">
      <c r="A1023" t="s">
        <v>5321</v>
      </c>
      <c r="B1023" t="s">
        <v>73</v>
      </c>
      <c r="C1023" t="s">
        <v>3627</v>
      </c>
      <c r="D1023" s="2" t="s">
        <v>142</v>
      </c>
      <c r="G1023" s="10" t="s">
        <v>2892</v>
      </c>
      <c r="H1023" t="str">
        <f t="shared" si="60"/>
        <v/>
      </c>
      <c r="I1023" t="str">
        <f t="shared" si="61"/>
        <v/>
      </c>
      <c r="J1023" t="str">
        <f t="shared" si="62"/>
        <v/>
      </c>
      <c r="L1023" t="b">
        <f t="shared" si="63"/>
        <v>1</v>
      </c>
    </row>
    <row r="1024" spans="1:12" ht="16" x14ac:dyDescent="0.2">
      <c r="A1024" t="s">
        <v>5322</v>
      </c>
      <c r="B1024" t="s">
        <v>73</v>
      </c>
      <c r="C1024" t="s">
        <v>3628</v>
      </c>
      <c r="D1024" s="2" t="s">
        <v>142</v>
      </c>
      <c r="G1024" s="10" t="s">
        <v>2892</v>
      </c>
      <c r="H1024" t="str">
        <f t="shared" si="60"/>
        <v/>
      </c>
      <c r="I1024" t="str">
        <f t="shared" si="61"/>
        <v/>
      </c>
      <c r="J1024" t="str">
        <f t="shared" si="62"/>
        <v/>
      </c>
      <c r="L1024" t="b">
        <f t="shared" si="63"/>
        <v>1</v>
      </c>
    </row>
    <row r="1025" spans="1:12" ht="16" x14ac:dyDescent="0.2">
      <c r="A1025" t="s">
        <v>5323</v>
      </c>
      <c r="B1025" t="s">
        <v>73</v>
      </c>
      <c r="C1025" t="s">
        <v>3629</v>
      </c>
      <c r="D1025" s="2" t="s">
        <v>142</v>
      </c>
      <c r="E1025">
        <v>2025</v>
      </c>
      <c r="F1025">
        <v>2027</v>
      </c>
      <c r="G1025" s="10">
        <v>1170000</v>
      </c>
      <c r="H1025">
        <f t="shared" si="60"/>
        <v>1170000</v>
      </c>
      <c r="I1025" t="str">
        <f t="shared" si="61"/>
        <v/>
      </c>
      <c r="J1025" t="str">
        <f t="shared" si="62"/>
        <v/>
      </c>
      <c r="K1025">
        <v>174.31</v>
      </c>
      <c r="L1025" t="b">
        <f t="shared" si="63"/>
        <v>0</v>
      </c>
    </row>
    <row r="1026" spans="1:12" ht="16" x14ac:dyDescent="0.2">
      <c r="A1026" t="s">
        <v>5324</v>
      </c>
      <c r="B1026" t="s">
        <v>73</v>
      </c>
      <c r="C1026" t="s">
        <v>3630</v>
      </c>
      <c r="D1026" s="2" t="s">
        <v>142</v>
      </c>
      <c r="E1026">
        <v>2025</v>
      </c>
      <c r="F1026">
        <v>2026</v>
      </c>
      <c r="G1026" s="10">
        <v>7765000</v>
      </c>
      <c r="H1026" t="str">
        <f t="shared" si="60"/>
        <v/>
      </c>
      <c r="I1026" t="str">
        <f t="shared" si="61"/>
        <v/>
      </c>
      <c r="J1026" t="str">
        <f t="shared" si="62"/>
        <v/>
      </c>
      <c r="K1026">
        <v>5224368.28</v>
      </c>
      <c r="L1026" t="b">
        <f t="shared" si="63"/>
        <v>0</v>
      </c>
    </row>
    <row r="1027" spans="1:12" ht="16" x14ac:dyDescent="0.2">
      <c r="A1027" t="s">
        <v>5325</v>
      </c>
      <c r="B1027" t="s">
        <v>73</v>
      </c>
      <c r="C1027" t="s">
        <v>3631</v>
      </c>
      <c r="D1027" s="2" t="s">
        <v>142</v>
      </c>
      <c r="G1027" s="10" t="s">
        <v>2892</v>
      </c>
      <c r="H1027" t="str">
        <f t="shared" si="60"/>
        <v/>
      </c>
      <c r="I1027" t="str">
        <f t="shared" si="61"/>
        <v/>
      </c>
      <c r="J1027" t="str">
        <f t="shared" si="62"/>
        <v/>
      </c>
      <c r="L1027" t="b">
        <f t="shared" si="63"/>
        <v>1</v>
      </c>
    </row>
    <row r="1028" spans="1:12" ht="16" x14ac:dyDescent="0.2">
      <c r="A1028" t="s">
        <v>5326</v>
      </c>
      <c r="B1028" t="s">
        <v>73</v>
      </c>
      <c r="C1028" t="s">
        <v>3632</v>
      </c>
      <c r="D1028" s="2" t="s">
        <v>142</v>
      </c>
      <c r="E1028">
        <v>2025</v>
      </c>
      <c r="F1028">
        <v>2027</v>
      </c>
      <c r="G1028" s="10">
        <v>9363333.333333334</v>
      </c>
      <c r="H1028">
        <f t="shared" ref="H1028:H1091" si="64">IF(F1028&gt;=2027,G1028,"")</f>
        <v>9363333.333333334</v>
      </c>
      <c r="I1028" t="str">
        <f t="shared" ref="I1028:I1091" si="65">IF(F1028&gt;=2028,G1028,"")</f>
        <v/>
      </c>
      <c r="J1028" t="str">
        <f t="shared" ref="J1028:J1091" si="66">IF(F1028&gt;=2029,G1028,"")</f>
        <v/>
      </c>
      <c r="K1028">
        <v>8770292.0700000003</v>
      </c>
      <c r="L1028" t="b">
        <f t="shared" si="63"/>
        <v>0</v>
      </c>
    </row>
    <row r="1029" spans="1:12" ht="16" x14ac:dyDescent="0.2">
      <c r="A1029" t="s">
        <v>5327</v>
      </c>
      <c r="B1029" t="s">
        <v>73</v>
      </c>
      <c r="C1029" t="s">
        <v>3633</v>
      </c>
      <c r="D1029" s="2" t="s">
        <v>142</v>
      </c>
      <c r="E1029">
        <v>2025</v>
      </c>
      <c r="F1029">
        <v>2027</v>
      </c>
      <c r="G1029" s="10">
        <v>8466666.666666666</v>
      </c>
      <c r="H1029">
        <f t="shared" si="64"/>
        <v>8466666.666666666</v>
      </c>
      <c r="I1029" t="str">
        <f t="shared" si="65"/>
        <v/>
      </c>
      <c r="J1029" t="str">
        <f t="shared" si="66"/>
        <v/>
      </c>
      <c r="K1029">
        <v>11096405.890000001</v>
      </c>
      <c r="L1029" t="b">
        <f t="shared" si="63"/>
        <v>0</v>
      </c>
    </row>
    <row r="1030" spans="1:12" ht="16" x14ac:dyDescent="0.2">
      <c r="A1030" t="s">
        <v>5328</v>
      </c>
      <c r="B1030" t="s">
        <v>73</v>
      </c>
      <c r="C1030" t="s">
        <v>3634</v>
      </c>
      <c r="D1030" s="2" t="s">
        <v>143</v>
      </c>
      <c r="E1030">
        <v>2025</v>
      </c>
      <c r="F1030">
        <v>2026</v>
      </c>
      <c r="G1030" s="10">
        <v>13460000</v>
      </c>
      <c r="H1030" t="str">
        <f t="shared" si="64"/>
        <v/>
      </c>
      <c r="I1030" t="str">
        <f t="shared" si="65"/>
        <v/>
      </c>
      <c r="J1030" t="str">
        <f t="shared" si="66"/>
        <v/>
      </c>
      <c r="K1030">
        <v>8211513.96</v>
      </c>
      <c r="L1030" t="b">
        <f t="shared" si="63"/>
        <v>0</v>
      </c>
    </row>
    <row r="1031" spans="1:12" ht="16" x14ac:dyDescent="0.2">
      <c r="A1031" t="s">
        <v>5329</v>
      </c>
      <c r="B1031" t="s">
        <v>73</v>
      </c>
      <c r="C1031" t="s">
        <v>3635</v>
      </c>
      <c r="D1031" s="2" t="s">
        <v>143</v>
      </c>
      <c r="E1031">
        <v>2025</v>
      </c>
      <c r="F1031">
        <v>2026</v>
      </c>
      <c r="G1031" s="10">
        <v>7575000</v>
      </c>
      <c r="H1031" t="str">
        <f t="shared" si="64"/>
        <v/>
      </c>
      <c r="I1031" t="str">
        <f t="shared" si="65"/>
        <v/>
      </c>
      <c r="J1031" t="str">
        <f t="shared" si="66"/>
        <v/>
      </c>
      <c r="K1031">
        <v>4156294.39</v>
      </c>
      <c r="L1031" t="b">
        <f t="shared" si="63"/>
        <v>0</v>
      </c>
    </row>
    <row r="1032" spans="1:12" ht="16" x14ac:dyDescent="0.2">
      <c r="A1032" t="s">
        <v>5330</v>
      </c>
      <c r="B1032" t="s">
        <v>73</v>
      </c>
      <c r="C1032" t="s">
        <v>3636</v>
      </c>
      <c r="D1032" s="2" t="s">
        <v>143</v>
      </c>
      <c r="E1032">
        <v>2025</v>
      </c>
      <c r="F1032">
        <v>2026</v>
      </c>
      <c r="G1032" s="10">
        <v>3280000</v>
      </c>
      <c r="H1032" t="str">
        <f t="shared" si="64"/>
        <v/>
      </c>
      <c r="I1032" t="str">
        <f t="shared" si="65"/>
        <v/>
      </c>
      <c r="J1032" t="str">
        <f t="shared" si="66"/>
        <v/>
      </c>
      <c r="K1032">
        <v>676834.78</v>
      </c>
      <c r="L1032" t="b">
        <f t="shared" si="63"/>
        <v>0</v>
      </c>
    </row>
    <row r="1033" spans="1:12" ht="16" x14ac:dyDescent="0.2">
      <c r="A1033" t="s">
        <v>5331</v>
      </c>
      <c r="B1033" t="s">
        <v>73</v>
      </c>
      <c r="C1033" t="s">
        <v>3637</v>
      </c>
      <c r="D1033" s="2" t="s">
        <v>143</v>
      </c>
      <c r="E1033">
        <v>2025</v>
      </c>
      <c r="F1033">
        <v>2026</v>
      </c>
      <c r="G1033" s="10">
        <v>1800000</v>
      </c>
      <c r="H1033" t="str">
        <f t="shared" si="64"/>
        <v/>
      </c>
      <c r="I1033" t="str">
        <f t="shared" si="65"/>
        <v/>
      </c>
      <c r="J1033" t="str">
        <f t="shared" si="66"/>
        <v/>
      </c>
      <c r="K1033">
        <v>1653.15</v>
      </c>
      <c r="L1033" t="b">
        <f t="shared" si="63"/>
        <v>0</v>
      </c>
    </row>
    <row r="1034" spans="1:12" ht="16" x14ac:dyDescent="0.2">
      <c r="A1034" t="s">
        <v>5332</v>
      </c>
      <c r="B1034" t="s">
        <v>73</v>
      </c>
      <c r="C1034" t="s">
        <v>3638</v>
      </c>
      <c r="D1034" s="2" t="s">
        <v>143</v>
      </c>
      <c r="E1034">
        <v>2025</v>
      </c>
      <c r="F1034">
        <v>2027</v>
      </c>
      <c r="G1034" s="10">
        <v>11923333.333333334</v>
      </c>
      <c r="H1034">
        <f t="shared" si="64"/>
        <v>11923333.333333334</v>
      </c>
      <c r="I1034" t="str">
        <f t="shared" si="65"/>
        <v/>
      </c>
      <c r="J1034" t="str">
        <f t="shared" si="66"/>
        <v/>
      </c>
      <c r="K1034">
        <v>11943117.359999999</v>
      </c>
      <c r="L1034" t="b">
        <f t="shared" si="63"/>
        <v>0</v>
      </c>
    </row>
    <row r="1035" spans="1:12" ht="16" x14ac:dyDescent="0.2">
      <c r="A1035" t="s">
        <v>5333</v>
      </c>
      <c r="B1035" t="s">
        <v>73</v>
      </c>
      <c r="C1035" t="s">
        <v>3639</v>
      </c>
      <c r="D1035" s="2" t="s">
        <v>143</v>
      </c>
      <c r="E1035">
        <v>2025</v>
      </c>
      <c r="F1035">
        <v>2027</v>
      </c>
      <c r="G1035" s="10">
        <v>6540000</v>
      </c>
      <c r="H1035">
        <f t="shared" si="64"/>
        <v>6540000</v>
      </c>
      <c r="I1035" t="str">
        <f t="shared" si="65"/>
        <v/>
      </c>
      <c r="J1035" t="str">
        <f t="shared" si="66"/>
        <v/>
      </c>
      <c r="K1035">
        <v>5692490.9400000004</v>
      </c>
      <c r="L1035" t="b">
        <f t="shared" si="63"/>
        <v>0</v>
      </c>
    </row>
    <row r="1036" spans="1:12" ht="16" x14ac:dyDescent="0.2">
      <c r="A1036" t="s">
        <v>5334</v>
      </c>
      <c r="B1036" t="s">
        <v>73</v>
      </c>
      <c r="C1036" t="s">
        <v>3640</v>
      </c>
      <c r="D1036" s="2" t="s">
        <v>143</v>
      </c>
      <c r="G1036" s="10" t="s">
        <v>2892</v>
      </c>
      <c r="H1036" t="str">
        <f t="shared" si="64"/>
        <v/>
      </c>
      <c r="I1036" t="str">
        <f t="shared" si="65"/>
        <v/>
      </c>
      <c r="J1036" t="str">
        <f t="shared" si="66"/>
        <v/>
      </c>
      <c r="L1036" t="b">
        <f t="shared" si="63"/>
        <v>1</v>
      </c>
    </row>
    <row r="1037" spans="1:12" ht="16" x14ac:dyDescent="0.2">
      <c r="A1037" t="s">
        <v>5335</v>
      </c>
      <c r="B1037" t="s">
        <v>73</v>
      </c>
      <c r="C1037" t="s">
        <v>3641</v>
      </c>
      <c r="D1037" s="2" t="s">
        <v>143</v>
      </c>
      <c r="G1037" s="10" t="s">
        <v>2892</v>
      </c>
      <c r="H1037" t="str">
        <f t="shared" si="64"/>
        <v/>
      </c>
      <c r="I1037" t="str">
        <f t="shared" si="65"/>
        <v/>
      </c>
      <c r="J1037" t="str">
        <f t="shared" si="66"/>
        <v/>
      </c>
      <c r="L1037" t="b">
        <f t="shared" si="63"/>
        <v>1</v>
      </c>
    </row>
    <row r="1038" spans="1:12" ht="16" x14ac:dyDescent="0.2">
      <c r="A1038" t="s">
        <v>5336</v>
      </c>
      <c r="B1038" t="s">
        <v>73</v>
      </c>
      <c r="C1038" t="s">
        <v>3642</v>
      </c>
      <c r="D1038" s="2" t="s">
        <v>143</v>
      </c>
      <c r="G1038" s="10" t="s">
        <v>2892</v>
      </c>
      <c r="H1038" t="str">
        <f t="shared" si="64"/>
        <v/>
      </c>
      <c r="I1038" t="str">
        <f t="shared" si="65"/>
        <v/>
      </c>
      <c r="J1038" t="str">
        <f t="shared" si="66"/>
        <v/>
      </c>
      <c r="L1038" t="b">
        <f t="shared" si="63"/>
        <v>1</v>
      </c>
    </row>
    <row r="1039" spans="1:12" ht="16" x14ac:dyDescent="0.2">
      <c r="A1039" t="s">
        <v>5337</v>
      </c>
      <c r="B1039" t="s">
        <v>73</v>
      </c>
      <c r="C1039" t="s">
        <v>3643</v>
      </c>
      <c r="D1039" s="2" t="s">
        <v>143</v>
      </c>
      <c r="E1039">
        <v>2025</v>
      </c>
      <c r="F1039">
        <v>2026</v>
      </c>
      <c r="G1039" s="10">
        <v>2165000</v>
      </c>
      <c r="H1039" t="str">
        <f t="shared" si="64"/>
        <v/>
      </c>
      <c r="I1039" t="str">
        <f t="shared" si="65"/>
        <v/>
      </c>
      <c r="J1039" t="str">
        <f t="shared" si="66"/>
        <v/>
      </c>
      <c r="K1039">
        <v>830520.98</v>
      </c>
      <c r="L1039" t="b">
        <f t="shared" si="63"/>
        <v>0</v>
      </c>
    </row>
    <row r="1040" spans="1:12" ht="16" x14ac:dyDescent="0.2">
      <c r="A1040" t="s">
        <v>5338</v>
      </c>
      <c r="B1040" t="s">
        <v>73</v>
      </c>
      <c r="C1040" t="s">
        <v>3644</v>
      </c>
      <c r="D1040" s="2" t="s">
        <v>143</v>
      </c>
      <c r="G1040" s="10" t="s">
        <v>2892</v>
      </c>
      <c r="H1040" t="str">
        <f t="shared" si="64"/>
        <v/>
      </c>
      <c r="I1040" t="str">
        <f t="shared" si="65"/>
        <v/>
      </c>
      <c r="J1040" t="str">
        <f t="shared" si="66"/>
        <v/>
      </c>
      <c r="L1040" t="b">
        <f t="shared" si="63"/>
        <v>1</v>
      </c>
    </row>
    <row r="1041" spans="1:12" ht="16" x14ac:dyDescent="0.2">
      <c r="A1041" t="s">
        <v>5339</v>
      </c>
      <c r="B1041" t="s">
        <v>73</v>
      </c>
      <c r="C1041" t="s">
        <v>3645</v>
      </c>
      <c r="D1041" s="2" t="s">
        <v>143</v>
      </c>
      <c r="G1041" s="10" t="s">
        <v>2892</v>
      </c>
      <c r="H1041" t="str">
        <f t="shared" si="64"/>
        <v/>
      </c>
      <c r="I1041" t="str">
        <f t="shared" si="65"/>
        <v/>
      </c>
      <c r="J1041" t="str">
        <f t="shared" si="66"/>
        <v/>
      </c>
      <c r="L1041" t="b">
        <f t="shared" si="63"/>
        <v>1</v>
      </c>
    </row>
    <row r="1042" spans="1:12" ht="16" x14ac:dyDescent="0.2">
      <c r="A1042" t="s">
        <v>5340</v>
      </c>
      <c r="B1042" t="s">
        <v>73</v>
      </c>
      <c r="C1042" t="s">
        <v>3646</v>
      </c>
      <c r="D1042" s="2" t="s">
        <v>143</v>
      </c>
      <c r="E1042">
        <v>2025</v>
      </c>
      <c r="F1042">
        <v>2027</v>
      </c>
      <c r="G1042" s="10">
        <v>7103333.333333333</v>
      </c>
      <c r="H1042">
        <f t="shared" si="64"/>
        <v>7103333.333333333</v>
      </c>
      <c r="I1042" t="str">
        <f t="shared" si="65"/>
        <v/>
      </c>
      <c r="J1042" t="str">
        <f t="shared" si="66"/>
        <v/>
      </c>
      <c r="K1042">
        <v>9171591.2200000007</v>
      </c>
      <c r="L1042" t="b">
        <f t="shared" si="63"/>
        <v>0</v>
      </c>
    </row>
    <row r="1043" spans="1:12" ht="16" x14ac:dyDescent="0.2">
      <c r="A1043" t="s">
        <v>5341</v>
      </c>
      <c r="B1043" t="s">
        <v>73</v>
      </c>
      <c r="C1043" t="s">
        <v>3647</v>
      </c>
      <c r="D1043" s="2" t="s">
        <v>143</v>
      </c>
      <c r="G1043" s="10" t="s">
        <v>2892</v>
      </c>
      <c r="H1043" t="str">
        <f t="shared" si="64"/>
        <v/>
      </c>
      <c r="I1043" t="str">
        <f t="shared" si="65"/>
        <v/>
      </c>
      <c r="J1043" t="str">
        <f t="shared" si="66"/>
        <v/>
      </c>
      <c r="L1043" t="b">
        <f t="shared" si="63"/>
        <v>1</v>
      </c>
    </row>
    <row r="1044" spans="1:12" ht="16" x14ac:dyDescent="0.2">
      <c r="A1044" t="s">
        <v>5342</v>
      </c>
      <c r="B1044" t="s">
        <v>73</v>
      </c>
      <c r="C1044" t="s">
        <v>3648</v>
      </c>
      <c r="D1044" s="2" t="s">
        <v>143</v>
      </c>
      <c r="E1044">
        <v>2025</v>
      </c>
      <c r="F1044">
        <v>2026</v>
      </c>
      <c r="G1044" s="10">
        <v>4325000</v>
      </c>
      <c r="H1044" t="str">
        <f t="shared" si="64"/>
        <v/>
      </c>
      <c r="I1044" t="str">
        <f t="shared" si="65"/>
        <v/>
      </c>
      <c r="J1044" t="str">
        <f t="shared" si="66"/>
        <v/>
      </c>
      <c r="K1044">
        <v>2301227.4300000002</v>
      </c>
      <c r="L1044" t="b">
        <f t="shared" si="63"/>
        <v>0</v>
      </c>
    </row>
    <row r="1045" spans="1:12" ht="16" x14ac:dyDescent="0.2">
      <c r="A1045" t="s">
        <v>5343</v>
      </c>
      <c r="B1045" t="s">
        <v>73</v>
      </c>
      <c r="C1045" t="s">
        <v>3649</v>
      </c>
      <c r="D1045" s="2" t="s">
        <v>143</v>
      </c>
      <c r="E1045">
        <v>2025</v>
      </c>
      <c r="F1045">
        <v>2026</v>
      </c>
      <c r="G1045" s="10">
        <v>5245000</v>
      </c>
      <c r="H1045" t="str">
        <f t="shared" si="64"/>
        <v/>
      </c>
      <c r="I1045" t="str">
        <f t="shared" si="65"/>
        <v/>
      </c>
      <c r="J1045" t="str">
        <f t="shared" si="66"/>
        <v/>
      </c>
      <c r="K1045">
        <v>2179713.84</v>
      </c>
      <c r="L1045" t="b">
        <f t="shared" si="63"/>
        <v>0</v>
      </c>
    </row>
    <row r="1046" spans="1:12" ht="16" x14ac:dyDescent="0.2">
      <c r="A1046" t="s">
        <v>5344</v>
      </c>
      <c r="B1046" t="s">
        <v>73</v>
      </c>
      <c r="C1046" t="s">
        <v>3650</v>
      </c>
      <c r="D1046" s="2" t="s">
        <v>143</v>
      </c>
      <c r="G1046" s="10" t="s">
        <v>2892</v>
      </c>
      <c r="H1046" t="str">
        <f t="shared" si="64"/>
        <v/>
      </c>
      <c r="I1046" t="str">
        <f t="shared" si="65"/>
        <v/>
      </c>
      <c r="J1046" t="str">
        <f t="shared" si="66"/>
        <v/>
      </c>
      <c r="L1046" t="b">
        <f t="shared" si="63"/>
        <v>1</v>
      </c>
    </row>
    <row r="1047" spans="1:12" ht="16" x14ac:dyDescent="0.2">
      <c r="A1047" t="s">
        <v>5345</v>
      </c>
      <c r="B1047" t="s">
        <v>73</v>
      </c>
      <c r="C1047" t="s">
        <v>3651</v>
      </c>
      <c r="D1047" s="2" t="s">
        <v>143</v>
      </c>
      <c r="E1047">
        <v>2025</v>
      </c>
      <c r="F1047">
        <v>2026</v>
      </c>
      <c r="G1047" s="10">
        <v>1635000</v>
      </c>
      <c r="H1047" t="str">
        <f t="shared" si="64"/>
        <v/>
      </c>
      <c r="I1047" t="str">
        <f t="shared" si="65"/>
        <v/>
      </c>
      <c r="J1047" t="str">
        <f t="shared" si="66"/>
        <v/>
      </c>
      <c r="K1047">
        <v>639838.06000000006</v>
      </c>
      <c r="L1047" t="b">
        <f t="shared" si="63"/>
        <v>0</v>
      </c>
    </row>
    <row r="1048" spans="1:12" ht="16" x14ac:dyDescent="0.2">
      <c r="A1048" t="s">
        <v>5346</v>
      </c>
      <c r="B1048" t="s">
        <v>73</v>
      </c>
      <c r="C1048" t="s">
        <v>3652</v>
      </c>
      <c r="D1048" s="2" t="s">
        <v>143</v>
      </c>
      <c r="E1048">
        <v>2025</v>
      </c>
      <c r="F1048">
        <v>2026</v>
      </c>
      <c r="G1048" s="10">
        <v>13065000</v>
      </c>
      <c r="H1048" t="str">
        <f t="shared" si="64"/>
        <v/>
      </c>
      <c r="I1048" t="str">
        <f t="shared" si="65"/>
        <v/>
      </c>
      <c r="J1048" t="str">
        <f t="shared" si="66"/>
        <v/>
      </c>
      <c r="K1048">
        <v>11549672.289999999</v>
      </c>
      <c r="L1048" t="b">
        <f t="shared" si="63"/>
        <v>0</v>
      </c>
    </row>
    <row r="1049" spans="1:12" ht="16" x14ac:dyDescent="0.2">
      <c r="A1049" t="s">
        <v>5347</v>
      </c>
      <c r="B1049" t="s">
        <v>73</v>
      </c>
      <c r="C1049" t="s">
        <v>3653</v>
      </c>
      <c r="D1049" s="2" t="s">
        <v>143</v>
      </c>
      <c r="G1049" s="10" t="s">
        <v>2892</v>
      </c>
      <c r="H1049" t="str">
        <f t="shared" si="64"/>
        <v/>
      </c>
      <c r="I1049" t="str">
        <f t="shared" si="65"/>
        <v/>
      </c>
      <c r="J1049" t="str">
        <f t="shared" si="66"/>
        <v/>
      </c>
      <c r="L1049" t="b">
        <f t="shared" si="63"/>
        <v>1</v>
      </c>
    </row>
    <row r="1050" spans="1:12" ht="16" x14ac:dyDescent="0.2">
      <c r="A1050" t="s">
        <v>5348</v>
      </c>
      <c r="B1050" t="s">
        <v>73</v>
      </c>
      <c r="C1050" t="s">
        <v>3654</v>
      </c>
      <c r="D1050" s="2" t="s">
        <v>143</v>
      </c>
      <c r="G1050" s="10" t="s">
        <v>2892</v>
      </c>
      <c r="H1050" t="str">
        <f t="shared" si="64"/>
        <v/>
      </c>
      <c r="I1050" t="str">
        <f t="shared" si="65"/>
        <v/>
      </c>
      <c r="J1050" t="str">
        <f t="shared" si="66"/>
        <v/>
      </c>
      <c r="L1050" t="b">
        <f t="shared" si="63"/>
        <v>1</v>
      </c>
    </row>
    <row r="1051" spans="1:12" ht="16" x14ac:dyDescent="0.2">
      <c r="A1051" t="s">
        <v>5349</v>
      </c>
      <c r="B1051" t="s">
        <v>73</v>
      </c>
      <c r="C1051" t="s">
        <v>3655</v>
      </c>
      <c r="D1051" s="2" t="s">
        <v>143</v>
      </c>
      <c r="E1051">
        <v>2025</v>
      </c>
      <c r="F1051">
        <v>2026</v>
      </c>
      <c r="G1051" s="10">
        <v>4720000</v>
      </c>
      <c r="H1051" t="str">
        <f t="shared" si="64"/>
        <v/>
      </c>
      <c r="I1051" t="str">
        <f t="shared" si="65"/>
        <v/>
      </c>
      <c r="J1051" t="str">
        <f t="shared" si="66"/>
        <v/>
      </c>
      <c r="K1051">
        <v>1872540.1</v>
      </c>
      <c r="L1051" t="b">
        <f t="shared" si="63"/>
        <v>0</v>
      </c>
    </row>
    <row r="1052" spans="1:12" ht="16" x14ac:dyDescent="0.2">
      <c r="A1052" t="s">
        <v>5350</v>
      </c>
      <c r="B1052" t="s">
        <v>73</v>
      </c>
      <c r="C1052" t="s">
        <v>3656</v>
      </c>
      <c r="D1052" s="2" t="s">
        <v>143</v>
      </c>
      <c r="E1052">
        <v>2025</v>
      </c>
      <c r="F1052">
        <v>2026</v>
      </c>
      <c r="G1052" s="10">
        <v>5515000</v>
      </c>
      <c r="H1052" t="str">
        <f t="shared" si="64"/>
        <v/>
      </c>
      <c r="I1052" t="str">
        <f t="shared" si="65"/>
        <v/>
      </c>
      <c r="J1052" t="str">
        <f t="shared" si="66"/>
        <v/>
      </c>
      <c r="K1052">
        <v>2978205.11</v>
      </c>
      <c r="L1052" t="b">
        <f t="shared" si="63"/>
        <v>0</v>
      </c>
    </row>
    <row r="1053" spans="1:12" ht="16" x14ac:dyDescent="0.2">
      <c r="A1053" t="s">
        <v>5351</v>
      </c>
      <c r="B1053" t="s">
        <v>73</v>
      </c>
      <c r="C1053" t="s">
        <v>3657</v>
      </c>
      <c r="D1053" s="2" t="s">
        <v>143</v>
      </c>
      <c r="E1053">
        <v>2025</v>
      </c>
      <c r="F1053">
        <v>2026</v>
      </c>
      <c r="G1053" s="10">
        <v>2155000</v>
      </c>
      <c r="H1053" t="str">
        <f t="shared" si="64"/>
        <v/>
      </c>
      <c r="I1053" t="str">
        <f t="shared" si="65"/>
        <v/>
      </c>
      <c r="J1053" t="str">
        <f t="shared" si="66"/>
        <v/>
      </c>
      <c r="K1053">
        <v>96973.85</v>
      </c>
      <c r="L1053" t="b">
        <f t="shared" si="63"/>
        <v>0</v>
      </c>
    </row>
    <row r="1054" spans="1:12" ht="16" x14ac:dyDescent="0.2">
      <c r="A1054" t="s">
        <v>5352</v>
      </c>
      <c r="B1054" t="s">
        <v>73</v>
      </c>
      <c r="C1054" t="s">
        <v>3658</v>
      </c>
      <c r="D1054" s="2" t="s">
        <v>143</v>
      </c>
      <c r="G1054" s="10" t="s">
        <v>2892</v>
      </c>
      <c r="H1054" t="str">
        <f t="shared" si="64"/>
        <v/>
      </c>
      <c r="I1054" t="str">
        <f t="shared" si="65"/>
        <v/>
      </c>
      <c r="J1054" t="str">
        <f t="shared" si="66"/>
        <v/>
      </c>
      <c r="L1054" t="b">
        <f t="shared" si="63"/>
        <v>1</v>
      </c>
    </row>
    <row r="1055" spans="1:12" ht="16" x14ac:dyDescent="0.2">
      <c r="A1055" t="s">
        <v>5353</v>
      </c>
      <c r="B1055" t="s">
        <v>73</v>
      </c>
      <c r="C1055" t="s">
        <v>3659</v>
      </c>
      <c r="D1055" s="2" t="s">
        <v>143</v>
      </c>
      <c r="E1055">
        <v>2025</v>
      </c>
      <c r="F1055">
        <v>2026</v>
      </c>
      <c r="G1055" s="10">
        <v>5780000</v>
      </c>
      <c r="H1055" t="str">
        <f t="shared" si="64"/>
        <v/>
      </c>
      <c r="I1055" t="str">
        <f t="shared" si="65"/>
        <v/>
      </c>
      <c r="J1055" t="str">
        <f t="shared" si="66"/>
        <v/>
      </c>
      <c r="K1055">
        <v>2596667.85</v>
      </c>
      <c r="L1055" t="b">
        <f t="shared" si="63"/>
        <v>0</v>
      </c>
    </row>
    <row r="1056" spans="1:12" ht="16" x14ac:dyDescent="0.2">
      <c r="A1056" t="s">
        <v>5354</v>
      </c>
      <c r="B1056" t="s">
        <v>73</v>
      </c>
      <c r="C1056" t="s">
        <v>3660</v>
      </c>
      <c r="D1056" s="2" t="s">
        <v>143</v>
      </c>
      <c r="E1056">
        <v>2025</v>
      </c>
      <c r="F1056">
        <v>2027</v>
      </c>
      <c r="G1056" s="10">
        <v>6556666.6666666679</v>
      </c>
      <c r="H1056">
        <f t="shared" si="64"/>
        <v>6556666.6666666679</v>
      </c>
      <c r="I1056" t="str">
        <f t="shared" si="65"/>
        <v/>
      </c>
      <c r="J1056" t="str">
        <f t="shared" si="66"/>
        <v/>
      </c>
      <c r="K1056">
        <v>5290290.09</v>
      </c>
      <c r="L1056" t="b">
        <f t="shared" si="63"/>
        <v>0</v>
      </c>
    </row>
    <row r="1057" spans="1:12" ht="16" x14ac:dyDescent="0.2">
      <c r="A1057" t="s">
        <v>5355</v>
      </c>
      <c r="B1057" t="s">
        <v>73</v>
      </c>
      <c r="C1057" t="s">
        <v>3661</v>
      </c>
      <c r="D1057" s="2" t="s">
        <v>143</v>
      </c>
      <c r="G1057" s="10" t="s">
        <v>2892</v>
      </c>
      <c r="H1057" t="str">
        <f t="shared" si="64"/>
        <v/>
      </c>
      <c r="I1057" t="str">
        <f t="shared" si="65"/>
        <v/>
      </c>
      <c r="J1057" t="str">
        <f t="shared" si="66"/>
        <v/>
      </c>
      <c r="L1057" t="b">
        <f t="shared" si="63"/>
        <v>1</v>
      </c>
    </row>
    <row r="1058" spans="1:12" ht="16" x14ac:dyDescent="0.2">
      <c r="A1058" t="s">
        <v>5356</v>
      </c>
      <c r="B1058" t="s">
        <v>73</v>
      </c>
      <c r="C1058" t="s">
        <v>3662</v>
      </c>
      <c r="D1058" s="2" t="s">
        <v>143</v>
      </c>
      <c r="G1058" s="10" t="s">
        <v>2892</v>
      </c>
      <c r="H1058" t="str">
        <f t="shared" si="64"/>
        <v/>
      </c>
      <c r="I1058" t="str">
        <f t="shared" si="65"/>
        <v/>
      </c>
      <c r="J1058" t="str">
        <f t="shared" si="66"/>
        <v/>
      </c>
      <c r="L1058" t="b">
        <f t="shared" si="63"/>
        <v>1</v>
      </c>
    </row>
    <row r="1059" spans="1:12" ht="16" x14ac:dyDescent="0.2">
      <c r="A1059" t="s">
        <v>5357</v>
      </c>
      <c r="B1059" t="s">
        <v>73</v>
      </c>
      <c r="C1059" t="s">
        <v>3663</v>
      </c>
      <c r="D1059" s="2" t="s">
        <v>143</v>
      </c>
      <c r="G1059" s="10" t="s">
        <v>2892</v>
      </c>
      <c r="H1059" t="str">
        <f t="shared" si="64"/>
        <v/>
      </c>
      <c r="I1059" t="str">
        <f t="shared" si="65"/>
        <v/>
      </c>
      <c r="J1059" t="str">
        <f t="shared" si="66"/>
        <v/>
      </c>
      <c r="L1059" t="b">
        <f t="shared" ref="L1059:L1122" si="67">IF(F1059="",TRUE,FALSE)</f>
        <v>1</v>
      </c>
    </row>
    <row r="1060" spans="1:12" ht="16" x14ac:dyDescent="0.2">
      <c r="A1060" t="s">
        <v>5358</v>
      </c>
      <c r="B1060" t="s">
        <v>73</v>
      </c>
      <c r="C1060" t="s">
        <v>3664</v>
      </c>
      <c r="D1060" s="2" t="s">
        <v>143</v>
      </c>
      <c r="E1060">
        <v>2025</v>
      </c>
      <c r="F1060">
        <v>2026</v>
      </c>
      <c r="G1060" s="10">
        <v>5620000</v>
      </c>
      <c r="H1060" t="str">
        <f t="shared" si="64"/>
        <v/>
      </c>
      <c r="I1060" t="str">
        <f t="shared" si="65"/>
        <v/>
      </c>
      <c r="J1060" t="str">
        <f t="shared" si="66"/>
        <v/>
      </c>
      <c r="K1060">
        <v>1399880.33</v>
      </c>
      <c r="L1060" t="b">
        <f t="shared" si="67"/>
        <v>0</v>
      </c>
    </row>
    <row r="1061" spans="1:12" ht="16" x14ac:dyDescent="0.2">
      <c r="A1061" t="s">
        <v>5359</v>
      </c>
      <c r="B1061" t="s">
        <v>73</v>
      </c>
      <c r="C1061" t="s">
        <v>3665</v>
      </c>
      <c r="D1061" s="2" t="s">
        <v>143</v>
      </c>
      <c r="E1061">
        <v>2025</v>
      </c>
      <c r="F1061">
        <v>2026</v>
      </c>
      <c r="G1061" s="10">
        <v>2470000</v>
      </c>
      <c r="H1061" t="str">
        <f t="shared" si="64"/>
        <v/>
      </c>
      <c r="I1061" t="str">
        <f t="shared" si="65"/>
        <v/>
      </c>
      <c r="J1061" t="str">
        <f t="shared" si="66"/>
        <v/>
      </c>
      <c r="K1061">
        <v>712124.28</v>
      </c>
      <c r="L1061" t="b">
        <f t="shared" si="67"/>
        <v>0</v>
      </c>
    </row>
    <row r="1062" spans="1:12" ht="16" x14ac:dyDescent="0.2">
      <c r="A1062" t="s">
        <v>5360</v>
      </c>
      <c r="B1062" t="s">
        <v>73</v>
      </c>
      <c r="C1062" t="s">
        <v>3666</v>
      </c>
      <c r="D1062" s="2" t="s">
        <v>143</v>
      </c>
      <c r="E1062">
        <v>2025</v>
      </c>
      <c r="F1062">
        <v>2027</v>
      </c>
      <c r="G1062" s="10">
        <v>1950000</v>
      </c>
      <c r="H1062">
        <f t="shared" si="64"/>
        <v>1950000</v>
      </c>
      <c r="I1062" t="str">
        <f t="shared" si="65"/>
        <v/>
      </c>
      <c r="J1062" t="str">
        <f t="shared" si="66"/>
        <v/>
      </c>
      <c r="K1062">
        <v>819718.12</v>
      </c>
      <c r="L1062" t="b">
        <f t="shared" si="67"/>
        <v>0</v>
      </c>
    </row>
    <row r="1063" spans="1:12" ht="16" x14ac:dyDescent="0.2">
      <c r="A1063" t="s">
        <v>5361</v>
      </c>
      <c r="B1063" t="s">
        <v>73</v>
      </c>
      <c r="C1063" t="s">
        <v>3667</v>
      </c>
      <c r="D1063" s="2" t="s">
        <v>143</v>
      </c>
      <c r="E1063">
        <v>2025</v>
      </c>
      <c r="F1063">
        <v>2027</v>
      </c>
      <c r="G1063" s="10">
        <v>9950000.0000000019</v>
      </c>
      <c r="H1063">
        <f t="shared" si="64"/>
        <v>9950000.0000000019</v>
      </c>
      <c r="I1063" t="str">
        <f t="shared" si="65"/>
        <v/>
      </c>
      <c r="J1063" t="str">
        <f t="shared" si="66"/>
        <v/>
      </c>
      <c r="K1063">
        <v>9253404.8800000008</v>
      </c>
      <c r="L1063" t="b">
        <f t="shared" si="67"/>
        <v>0</v>
      </c>
    </row>
    <row r="1064" spans="1:12" ht="16" x14ac:dyDescent="0.2">
      <c r="A1064" t="s">
        <v>5362</v>
      </c>
      <c r="B1064" t="s">
        <v>73</v>
      </c>
      <c r="C1064" t="s">
        <v>3668</v>
      </c>
      <c r="D1064" s="2" t="s">
        <v>143</v>
      </c>
      <c r="E1064">
        <v>2025</v>
      </c>
      <c r="F1064">
        <v>2026</v>
      </c>
      <c r="G1064" s="10">
        <v>4600000</v>
      </c>
      <c r="H1064" t="str">
        <f t="shared" si="64"/>
        <v/>
      </c>
      <c r="I1064" t="str">
        <f t="shared" si="65"/>
        <v/>
      </c>
      <c r="J1064" t="str">
        <f t="shared" si="66"/>
        <v/>
      </c>
      <c r="K1064">
        <v>2512298.84</v>
      </c>
      <c r="L1064" t="b">
        <f t="shared" si="67"/>
        <v>0</v>
      </c>
    </row>
    <row r="1065" spans="1:12" ht="16" x14ac:dyDescent="0.2">
      <c r="A1065" t="s">
        <v>5363</v>
      </c>
      <c r="B1065" t="s">
        <v>73</v>
      </c>
      <c r="C1065" t="s">
        <v>3669</v>
      </c>
      <c r="D1065" s="2" t="s">
        <v>143</v>
      </c>
      <c r="G1065" s="10" t="s">
        <v>2892</v>
      </c>
      <c r="H1065" t="str">
        <f t="shared" si="64"/>
        <v/>
      </c>
      <c r="I1065" t="str">
        <f t="shared" si="65"/>
        <v/>
      </c>
      <c r="J1065" t="str">
        <f t="shared" si="66"/>
        <v/>
      </c>
      <c r="L1065" t="b">
        <f t="shared" si="67"/>
        <v>1</v>
      </c>
    </row>
    <row r="1066" spans="1:12" ht="16" x14ac:dyDescent="0.2">
      <c r="A1066" t="s">
        <v>5364</v>
      </c>
      <c r="B1066" t="s">
        <v>73</v>
      </c>
      <c r="C1066" t="s">
        <v>3670</v>
      </c>
      <c r="D1066" s="2" t="s">
        <v>143</v>
      </c>
      <c r="E1066">
        <v>2025</v>
      </c>
      <c r="F1066">
        <v>2026</v>
      </c>
      <c r="G1066" s="10">
        <v>4260000</v>
      </c>
      <c r="H1066" t="str">
        <f t="shared" si="64"/>
        <v/>
      </c>
      <c r="I1066" t="str">
        <f t="shared" si="65"/>
        <v/>
      </c>
      <c r="J1066" t="str">
        <f t="shared" si="66"/>
        <v/>
      </c>
      <c r="K1066">
        <v>1142719.8600000001</v>
      </c>
      <c r="L1066" t="b">
        <f t="shared" si="67"/>
        <v>0</v>
      </c>
    </row>
    <row r="1067" spans="1:12" ht="16" x14ac:dyDescent="0.2">
      <c r="A1067" t="s">
        <v>5365</v>
      </c>
      <c r="B1067" t="s">
        <v>73</v>
      </c>
      <c r="C1067" t="s">
        <v>3671</v>
      </c>
      <c r="D1067" s="2" t="s">
        <v>143</v>
      </c>
      <c r="E1067">
        <v>2025</v>
      </c>
      <c r="F1067">
        <v>2027</v>
      </c>
      <c r="G1067" s="10">
        <v>8113333.333333333</v>
      </c>
      <c r="H1067">
        <f t="shared" si="64"/>
        <v>8113333.333333333</v>
      </c>
      <c r="I1067" t="str">
        <f t="shared" si="65"/>
        <v/>
      </c>
      <c r="J1067" t="str">
        <f t="shared" si="66"/>
        <v/>
      </c>
      <c r="K1067">
        <v>7987277.1699999999</v>
      </c>
      <c r="L1067" t="b">
        <f t="shared" si="67"/>
        <v>0</v>
      </c>
    </row>
    <row r="1068" spans="1:12" ht="16" x14ac:dyDescent="0.2">
      <c r="A1068" t="s">
        <v>5366</v>
      </c>
      <c r="B1068" t="s">
        <v>73</v>
      </c>
      <c r="C1068" t="s">
        <v>3672</v>
      </c>
      <c r="D1068" s="2" t="s">
        <v>143</v>
      </c>
      <c r="E1068">
        <v>2025</v>
      </c>
      <c r="F1068">
        <v>2027</v>
      </c>
      <c r="G1068" s="10">
        <v>10436666.666666666</v>
      </c>
      <c r="H1068">
        <f t="shared" si="64"/>
        <v>10436666.666666666</v>
      </c>
      <c r="I1068" t="str">
        <f t="shared" si="65"/>
        <v/>
      </c>
      <c r="J1068" t="str">
        <f t="shared" si="66"/>
        <v/>
      </c>
      <c r="K1068">
        <v>9075136.8200000003</v>
      </c>
      <c r="L1068" t="b">
        <f t="shared" si="67"/>
        <v>0</v>
      </c>
    </row>
    <row r="1069" spans="1:12" ht="16" x14ac:dyDescent="0.2">
      <c r="A1069" t="s">
        <v>5367</v>
      </c>
      <c r="B1069" t="s">
        <v>73</v>
      </c>
      <c r="C1069" t="s">
        <v>3673</v>
      </c>
      <c r="D1069" s="2" t="s">
        <v>143</v>
      </c>
      <c r="E1069">
        <v>2025</v>
      </c>
      <c r="F1069">
        <v>2027</v>
      </c>
      <c r="G1069" s="10">
        <v>10406666.666666666</v>
      </c>
      <c r="H1069">
        <f t="shared" si="64"/>
        <v>10406666.666666666</v>
      </c>
      <c r="I1069" t="str">
        <f t="shared" si="65"/>
        <v/>
      </c>
      <c r="J1069" t="str">
        <f t="shared" si="66"/>
        <v/>
      </c>
      <c r="K1069">
        <v>11788149</v>
      </c>
      <c r="L1069" t="b">
        <f t="shared" si="67"/>
        <v>0</v>
      </c>
    </row>
    <row r="1070" spans="1:12" ht="16" x14ac:dyDescent="0.2">
      <c r="A1070" t="s">
        <v>5368</v>
      </c>
      <c r="B1070" t="s">
        <v>73</v>
      </c>
      <c r="C1070" t="s">
        <v>3674</v>
      </c>
      <c r="D1070" s="2" t="s">
        <v>143</v>
      </c>
      <c r="E1070">
        <v>2025</v>
      </c>
      <c r="F1070">
        <v>2026</v>
      </c>
      <c r="G1070" s="10">
        <v>4345000</v>
      </c>
      <c r="H1070" t="str">
        <f t="shared" si="64"/>
        <v/>
      </c>
      <c r="I1070" t="str">
        <f t="shared" si="65"/>
        <v/>
      </c>
      <c r="J1070" t="str">
        <f t="shared" si="66"/>
        <v/>
      </c>
      <c r="K1070">
        <v>2233104.67</v>
      </c>
      <c r="L1070" t="b">
        <f t="shared" si="67"/>
        <v>0</v>
      </c>
    </row>
    <row r="1071" spans="1:12" ht="16" x14ac:dyDescent="0.2">
      <c r="A1071" t="s">
        <v>5369</v>
      </c>
      <c r="B1071" t="s">
        <v>73</v>
      </c>
      <c r="C1071" t="s">
        <v>3675</v>
      </c>
      <c r="D1071" s="2" t="s">
        <v>143</v>
      </c>
      <c r="E1071">
        <v>2025</v>
      </c>
      <c r="F1071">
        <v>2026</v>
      </c>
      <c r="G1071" s="10">
        <v>5635000</v>
      </c>
      <c r="H1071" t="str">
        <f t="shared" si="64"/>
        <v/>
      </c>
      <c r="I1071" t="str">
        <f t="shared" si="65"/>
        <v/>
      </c>
      <c r="J1071" t="str">
        <f t="shared" si="66"/>
        <v/>
      </c>
      <c r="K1071">
        <v>2996250.48</v>
      </c>
      <c r="L1071" t="b">
        <f t="shared" si="67"/>
        <v>0</v>
      </c>
    </row>
    <row r="1072" spans="1:12" ht="16" x14ac:dyDescent="0.2">
      <c r="A1072" t="s">
        <v>5370</v>
      </c>
      <c r="B1072" t="s">
        <v>73</v>
      </c>
      <c r="C1072" t="s">
        <v>3676</v>
      </c>
      <c r="D1072" s="2" t="s">
        <v>143</v>
      </c>
      <c r="G1072" s="10" t="s">
        <v>2892</v>
      </c>
      <c r="H1072" t="str">
        <f t="shared" si="64"/>
        <v/>
      </c>
      <c r="I1072" t="str">
        <f t="shared" si="65"/>
        <v/>
      </c>
      <c r="J1072" t="str">
        <f t="shared" si="66"/>
        <v/>
      </c>
      <c r="L1072" t="b">
        <f t="shared" si="67"/>
        <v>1</v>
      </c>
    </row>
    <row r="1073" spans="1:12" ht="16" x14ac:dyDescent="0.2">
      <c r="A1073" t="s">
        <v>5371</v>
      </c>
      <c r="B1073" t="s">
        <v>73</v>
      </c>
      <c r="C1073" t="s">
        <v>3677</v>
      </c>
      <c r="D1073" s="2" t="s">
        <v>143</v>
      </c>
      <c r="G1073" s="10" t="s">
        <v>2892</v>
      </c>
      <c r="H1073" t="str">
        <f t="shared" si="64"/>
        <v/>
      </c>
      <c r="I1073" t="str">
        <f t="shared" si="65"/>
        <v/>
      </c>
      <c r="J1073" t="str">
        <f t="shared" si="66"/>
        <v/>
      </c>
      <c r="L1073" t="b">
        <f t="shared" si="67"/>
        <v>1</v>
      </c>
    </row>
    <row r="1074" spans="1:12" ht="16" x14ac:dyDescent="0.2">
      <c r="A1074" t="s">
        <v>5372</v>
      </c>
      <c r="B1074" t="s">
        <v>73</v>
      </c>
      <c r="C1074" t="s">
        <v>3678</v>
      </c>
      <c r="D1074" s="2" t="s">
        <v>143</v>
      </c>
      <c r="E1074">
        <v>2025</v>
      </c>
      <c r="F1074">
        <v>2027</v>
      </c>
      <c r="G1074" s="10">
        <v>7363333.333333333</v>
      </c>
      <c r="H1074">
        <f t="shared" si="64"/>
        <v>7363333.333333333</v>
      </c>
      <c r="I1074" t="str">
        <f t="shared" si="65"/>
        <v/>
      </c>
      <c r="J1074" t="str">
        <f t="shared" si="66"/>
        <v/>
      </c>
      <c r="K1074">
        <v>5987683.4299999997</v>
      </c>
      <c r="L1074" t="b">
        <f t="shared" si="67"/>
        <v>0</v>
      </c>
    </row>
    <row r="1075" spans="1:12" ht="16" x14ac:dyDescent="0.2">
      <c r="A1075" t="s">
        <v>5373</v>
      </c>
      <c r="B1075" t="s">
        <v>73</v>
      </c>
      <c r="C1075" t="s">
        <v>3679</v>
      </c>
      <c r="D1075" s="2" t="s">
        <v>143</v>
      </c>
      <c r="E1075">
        <v>2025</v>
      </c>
      <c r="F1075">
        <v>2026</v>
      </c>
      <c r="G1075" s="10">
        <v>4175000</v>
      </c>
      <c r="H1075" t="str">
        <f t="shared" si="64"/>
        <v/>
      </c>
      <c r="I1075" t="str">
        <f t="shared" si="65"/>
        <v/>
      </c>
      <c r="J1075" t="str">
        <f t="shared" si="66"/>
        <v/>
      </c>
      <c r="K1075">
        <v>1738621.12</v>
      </c>
      <c r="L1075" t="b">
        <f t="shared" si="67"/>
        <v>0</v>
      </c>
    </row>
    <row r="1076" spans="1:12" ht="16" x14ac:dyDescent="0.2">
      <c r="A1076" t="s">
        <v>5374</v>
      </c>
      <c r="B1076" t="s">
        <v>73</v>
      </c>
      <c r="C1076" t="s">
        <v>3680</v>
      </c>
      <c r="D1076" s="2" t="s">
        <v>143</v>
      </c>
      <c r="E1076">
        <v>2025</v>
      </c>
      <c r="F1076">
        <v>2028</v>
      </c>
      <c r="G1076" s="10">
        <v>8022500.0000000009</v>
      </c>
      <c r="H1076">
        <f t="shared" si="64"/>
        <v>8022500.0000000009</v>
      </c>
      <c r="I1076">
        <f t="shared" si="65"/>
        <v>8022500.0000000009</v>
      </c>
      <c r="J1076" t="str">
        <f t="shared" si="66"/>
        <v/>
      </c>
      <c r="K1076">
        <v>10866813.060000001</v>
      </c>
      <c r="L1076" t="b">
        <f t="shared" si="67"/>
        <v>0</v>
      </c>
    </row>
    <row r="1077" spans="1:12" ht="16" x14ac:dyDescent="0.2">
      <c r="A1077" t="s">
        <v>5375</v>
      </c>
      <c r="B1077" t="s">
        <v>73</v>
      </c>
      <c r="C1077" t="s">
        <v>3681</v>
      </c>
      <c r="D1077" s="2" t="s">
        <v>143</v>
      </c>
      <c r="E1077">
        <v>2025</v>
      </c>
      <c r="F1077">
        <v>2026</v>
      </c>
      <c r="G1077" s="10">
        <v>4545000</v>
      </c>
      <c r="H1077" t="str">
        <f t="shared" si="64"/>
        <v/>
      </c>
      <c r="I1077" t="str">
        <f t="shared" si="65"/>
        <v/>
      </c>
      <c r="J1077" t="str">
        <f t="shared" si="66"/>
        <v/>
      </c>
      <c r="K1077">
        <v>1362033.3</v>
      </c>
      <c r="L1077" t="b">
        <f t="shared" si="67"/>
        <v>0</v>
      </c>
    </row>
    <row r="1078" spans="1:12" ht="16" x14ac:dyDescent="0.2">
      <c r="A1078" t="s">
        <v>5376</v>
      </c>
      <c r="B1078" t="s">
        <v>73</v>
      </c>
      <c r="C1078" t="s">
        <v>3682</v>
      </c>
      <c r="D1078" s="2" t="s">
        <v>143</v>
      </c>
      <c r="E1078">
        <v>2025</v>
      </c>
      <c r="F1078">
        <v>2026</v>
      </c>
      <c r="G1078" s="10">
        <v>5040000</v>
      </c>
      <c r="H1078" t="str">
        <f t="shared" si="64"/>
        <v/>
      </c>
      <c r="I1078" t="str">
        <f t="shared" si="65"/>
        <v/>
      </c>
      <c r="J1078" t="str">
        <f t="shared" si="66"/>
        <v/>
      </c>
      <c r="K1078">
        <v>2844330.34</v>
      </c>
      <c r="L1078" t="b">
        <f t="shared" si="67"/>
        <v>0</v>
      </c>
    </row>
    <row r="1079" spans="1:12" ht="16" x14ac:dyDescent="0.2">
      <c r="A1079" t="s">
        <v>5377</v>
      </c>
      <c r="B1079" t="s">
        <v>73</v>
      </c>
      <c r="C1079" t="s">
        <v>3683</v>
      </c>
      <c r="D1079" s="2" t="s">
        <v>143</v>
      </c>
      <c r="E1079">
        <v>2025</v>
      </c>
      <c r="F1079">
        <v>2027</v>
      </c>
      <c r="G1079" s="10">
        <v>2550000.0000000005</v>
      </c>
      <c r="H1079">
        <f t="shared" si="64"/>
        <v>2550000.0000000005</v>
      </c>
      <c r="I1079" t="str">
        <f t="shared" si="65"/>
        <v/>
      </c>
      <c r="J1079" t="str">
        <f t="shared" si="66"/>
        <v/>
      </c>
      <c r="K1079">
        <v>1418240.97</v>
      </c>
      <c r="L1079" t="b">
        <f t="shared" si="67"/>
        <v>0</v>
      </c>
    </row>
    <row r="1080" spans="1:12" ht="16" x14ac:dyDescent="0.2">
      <c r="A1080" t="s">
        <v>5378</v>
      </c>
      <c r="B1080" t="s">
        <v>73</v>
      </c>
      <c r="C1080" t="s">
        <v>3684</v>
      </c>
      <c r="D1080" s="2" t="s">
        <v>143</v>
      </c>
      <c r="E1080">
        <v>2025</v>
      </c>
      <c r="F1080">
        <v>2027</v>
      </c>
      <c r="G1080" s="10">
        <v>2266666.6666666665</v>
      </c>
      <c r="H1080">
        <f t="shared" si="64"/>
        <v>2266666.6666666665</v>
      </c>
      <c r="I1080" t="str">
        <f t="shared" si="65"/>
        <v/>
      </c>
      <c r="J1080" t="str">
        <f t="shared" si="66"/>
        <v/>
      </c>
      <c r="K1080">
        <v>1612049.72</v>
      </c>
      <c r="L1080" t="b">
        <f t="shared" si="67"/>
        <v>0</v>
      </c>
    </row>
    <row r="1081" spans="1:12" ht="16" x14ac:dyDescent="0.2">
      <c r="A1081" t="s">
        <v>5379</v>
      </c>
      <c r="B1081" t="s">
        <v>73</v>
      </c>
      <c r="C1081" t="s">
        <v>3685</v>
      </c>
      <c r="D1081" s="2" t="s">
        <v>143</v>
      </c>
      <c r="G1081" s="10" t="s">
        <v>2892</v>
      </c>
      <c r="H1081" t="str">
        <f t="shared" si="64"/>
        <v/>
      </c>
      <c r="I1081" t="str">
        <f t="shared" si="65"/>
        <v/>
      </c>
      <c r="J1081" t="str">
        <f t="shared" si="66"/>
        <v/>
      </c>
      <c r="L1081" t="b">
        <f t="shared" si="67"/>
        <v>1</v>
      </c>
    </row>
    <row r="1082" spans="1:12" ht="16" x14ac:dyDescent="0.2">
      <c r="A1082" t="s">
        <v>5380</v>
      </c>
      <c r="B1082" t="s">
        <v>73</v>
      </c>
      <c r="C1082" t="s">
        <v>3686</v>
      </c>
      <c r="D1082" s="2" t="s">
        <v>143</v>
      </c>
      <c r="G1082" s="10" t="s">
        <v>2892</v>
      </c>
      <c r="H1082" t="str">
        <f t="shared" si="64"/>
        <v/>
      </c>
      <c r="I1082" t="str">
        <f t="shared" si="65"/>
        <v/>
      </c>
      <c r="J1082" t="str">
        <f t="shared" si="66"/>
        <v/>
      </c>
      <c r="L1082" t="b">
        <f t="shared" si="67"/>
        <v>1</v>
      </c>
    </row>
    <row r="1083" spans="1:12" ht="16" x14ac:dyDescent="0.2">
      <c r="A1083" t="s">
        <v>5381</v>
      </c>
      <c r="B1083" t="s">
        <v>73</v>
      </c>
      <c r="C1083" t="s">
        <v>3687</v>
      </c>
      <c r="D1083" s="2" t="s">
        <v>143</v>
      </c>
      <c r="E1083">
        <v>2025</v>
      </c>
      <c r="F1083">
        <v>2027</v>
      </c>
      <c r="G1083" s="10">
        <v>4023333.3333333335</v>
      </c>
      <c r="H1083">
        <f t="shared" si="64"/>
        <v>4023333.3333333335</v>
      </c>
      <c r="I1083" t="str">
        <f t="shared" si="65"/>
        <v/>
      </c>
      <c r="J1083" t="str">
        <f t="shared" si="66"/>
        <v/>
      </c>
      <c r="K1083">
        <v>1313391.01</v>
      </c>
      <c r="L1083" t="b">
        <f t="shared" si="67"/>
        <v>0</v>
      </c>
    </row>
    <row r="1084" spans="1:12" ht="16" x14ac:dyDescent="0.2">
      <c r="A1084" t="s">
        <v>5382</v>
      </c>
      <c r="B1084" t="s">
        <v>73</v>
      </c>
      <c r="C1084" t="s">
        <v>3688</v>
      </c>
      <c r="D1084" s="2" t="s">
        <v>143</v>
      </c>
      <c r="G1084" s="10" t="s">
        <v>2892</v>
      </c>
      <c r="H1084" t="str">
        <f t="shared" si="64"/>
        <v/>
      </c>
      <c r="I1084" t="str">
        <f t="shared" si="65"/>
        <v/>
      </c>
      <c r="J1084" t="str">
        <f t="shared" si="66"/>
        <v/>
      </c>
      <c r="L1084" t="b">
        <f t="shared" si="67"/>
        <v>1</v>
      </c>
    </row>
    <row r="1085" spans="1:12" ht="16" x14ac:dyDescent="0.2">
      <c r="A1085" t="s">
        <v>5383</v>
      </c>
      <c r="B1085" t="s">
        <v>73</v>
      </c>
      <c r="C1085" t="s">
        <v>3689</v>
      </c>
      <c r="D1085" s="2" t="s">
        <v>143</v>
      </c>
      <c r="E1085">
        <v>2025</v>
      </c>
      <c r="F1085">
        <v>2027</v>
      </c>
      <c r="G1085" s="10">
        <v>2400000</v>
      </c>
      <c r="H1085">
        <f t="shared" si="64"/>
        <v>2400000</v>
      </c>
      <c r="I1085" t="str">
        <f t="shared" si="65"/>
        <v/>
      </c>
      <c r="J1085" t="str">
        <f t="shared" si="66"/>
        <v/>
      </c>
      <c r="K1085">
        <v>60230.21</v>
      </c>
      <c r="L1085" t="b">
        <f t="shared" si="67"/>
        <v>0</v>
      </c>
    </row>
    <row r="1086" spans="1:12" ht="16" x14ac:dyDescent="0.2">
      <c r="A1086" t="s">
        <v>5384</v>
      </c>
      <c r="B1086" t="s">
        <v>73</v>
      </c>
      <c r="C1086" t="s">
        <v>3690</v>
      </c>
      <c r="D1086" s="2" t="s">
        <v>143</v>
      </c>
      <c r="E1086">
        <v>2025</v>
      </c>
      <c r="F1086">
        <v>2027</v>
      </c>
      <c r="G1086" s="10">
        <v>2133333.3333333335</v>
      </c>
      <c r="H1086">
        <f t="shared" si="64"/>
        <v>2133333.3333333335</v>
      </c>
      <c r="I1086" t="str">
        <f t="shared" si="65"/>
        <v/>
      </c>
      <c r="J1086" t="str">
        <f t="shared" si="66"/>
        <v/>
      </c>
      <c r="K1086">
        <v>174396.64</v>
      </c>
      <c r="L1086" t="b">
        <f t="shared" si="67"/>
        <v>0</v>
      </c>
    </row>
    <row r="1087" spans="1:12" ht="16" x14ac:dyDescent="0.2">
      <c r="A1087" t="s">
        <v>5385</v>
      </c>
      <c r="B1087" t="s">
        <v>73</v>
      </c>
      <c r="C1087" t="s">
        <v>3691</v>
      </c>
      <c r="D1087" s="2" t="s">
        <v>154</v>
      </c>
      <c r="E1087">
        <v>2025</v>
      </c>
      <c r="F1087">
        <v>2028</v>
      </c>
      <c r="G1087" s="10">
        <v>12537500</v>
      </c>
      <c r="H1087">
        <f t="shared" si="64"/>
        <v>12537500</v>
      </c>
      <c r="I1087">
        <f t="shared" si="65"/>
        <v>12537500</v>
      </c>
      <c r="J1087" t="str">
        <f t="shared" si="66"/>
        <v/>
      </c>
      <c r="K1087">
        <v>15922336.699999999</v>
      </c>
      <c r="L1087" t="b">
        <f t="shared" si="67"/>
        <v>0</v>
      </c>
    </row>
    <row r="1088" spans="1:12" ht="16" x14ac:dyDescent="0.2">
      <c r="A1088" t="s">
        <v>5386</v>
      </c>
      <c r="B1088" t="s">
        <v>73</v>
      </c>
      <c r="C1088" t="s">
        <v>3692</v>
      </c>
      <c r="D1088" s="2" t="s">
        <v>154</v>
      </c>
      <c r="G1088" s="10" t="s">
        <v>2892</v>
      </c>
      <c r="H1088" t="str">
        <f t="shared" si="64"/>
        <v/>
      </c>
      <c r="I1088" t="str">
        <f t="shared" si="65"/>
        <v/>
      </c>
      <c r="J1088" t="str">
        <f t="shared" si="66"/>
        <v/>
      </c>
      <c r="L1088" t="b">
        <f t="shared" si="67"/>
        <v>1</v>
      </c>
    </row>
    <row r="1089" spans="1:12" ht="16" x14ac:dyDescent="0.2">
      <c r="A1089" t="s">
        <v>5387</v>
      </c>
      <c r="B1089" t="s">
        <v>73</v>
      </c>
      <c r="C1089" t="s">
        <v>3693</v>
      </c>
      <c r="D1089" s="2" t="s">
        <v>154</v>
      </c>
      <c r="E1089">
        <v>2025</v>
      </c>
      <c r="F1089">
        <v>2026</v>
      </c>
      <c r="G1089" s="10">
        <v>3565000</v>
      </c>
      <c r="H1089" t="str">
        <f t="shared" si="64"/>
        <v/>
      </c>
      <c r="I1089" t="str">
        <f t="shared" si="65"/>
        <v/>
      </c>
      <c r="J1089" t="str">
        <f t="shared" si="66"/>
        <v/>
      </c>
      <c r="K1089">
        <v>236422.04</v>
      </c>
      <c r="L1089" t="b">
        <f t="shared" si="67"/>
        <v>0</v>
      </c>
    </row>
    <row r="1090" spans="1:12" ht="16" x14ac:dyDescent="0.2">
      <c r="A1090" t="s">
        <v>5388</v>
      </c>
      <c r="B1090" t="s">
        <v>73</v>
      </c>
      <c r="C1090" t="s">
        <v>3694</v>
      </c>
      <c r="D1090" s="2" t="s">
        <v>154</v>
      </c>
      <c r="G1090" s="10" t="s">
        <v>2892</v>
      </c>
      <c r="H1090" t="str">
        <f t="shared" si="64"/>
        <v/>
      </c>
      <c r="I1090" t="str">
        <f t="shared" si="65"/>
        <v/>
      </c>
      <c r="J1090" t="str">
        <f t="shared" si="66"/>
        <v/>
      </c>
      <c r="L1090" t="b">
        <f t="shared" si="67"/>
        <v>1</v>
      </c>
    </row>
    <row r="1091" spans="1:12" ht="16" x14ac:dyDescent="0.2">
      <c r="A1091" t="s">
        <v>5389</v>
      </c>
      <c r="B1091" t="s">
        <v>73</v>
      </c>
      <c r="C1091" t="s">
        <v>3695</v>
      </c>
      <c r="D1091" s="2" t="s">
        <v>154</v>
      </c>
      <c r="E1091">
        <v>2025</v>
      </c>
      <c r="F1091">
        <v>2027</v>
      </c>
      <c r="G1091" s="10">
        <v>9083333.333333334</v>
      </c>
      <c r="H1091">
        <f t="shared" si="64"/>
        <v>9083333.333333334</v>
      </c>
      <c r="I1091" t="str">
        <f t="shared" si="65"/>
        <v/>
      </c>
      <c r="J1091" t="str">
        <f t="shared" si="66"/>
        <v/>
      </c>
      <c r="K1091">
        <v>12201890.16</v>
      </c>
      <c r="L1091" t="b">
        <f t="shared" si="67"/>
        <v>0</v>
      </c>
    </row>
    <row r="1092" spans="1:12" ht="16" x14ac:dyDescent="0.2">
      <c r="A1092" t="s">
        <v>5390</v>
      </c>
      <c r="B1092" t="s">
        <v>73</v>
      </c>
      <c r="C1092" t="s">
        <v>3696</v>
      </c>
      <c r="D1092" s="2" t="s">
        <v>154</v>
      </c>
      <c r="E1092">
        <v>2025</v>
      </c>
      <c r="F1092">
        <v>2026</v>
      </c>
      <c r="G1092" s="10">
        <v>4800000</v>
      </c>
      <c r="H1092" t="str">
        <f t="shared" ref="H1092:H1155" si="68">IF(F1092&gt;=2027,G1092,"")</f>
        <v/>
      </c>
      <c r="I1092" t="str">
        <f t="shared" ref="I1092:I1155" si="69">IF(F1092&gt;=2028,G1092,"")</f>
        <v/>
      </c>
      <c r="J1092" t="str">
        <f t="shared" ref="J1092:J1155" si="70">IF(F1092&gt;=2029,G1092,"")</f>
        <v/>
      </c>
      <c r="K1092">
        <v>2399917.1</v>
      </c>
      <c r="L1092" t="b">
        <f t="shared" si="67"/>
        <v>0</v>
      </c>
    </row>
    <row r="1093" spans="1:12" ht="16" x14ac:dyDescent="0.2">
      <c r="A1093" t="s">
        <v>5391</v>
      </c>
      <c r="B1093" t="s">
        <v>73</v>
      </c>
      <c r="C1093" t="s">
        <v>3697</v>
      </c>
      <c r="D1093" s="2" t="s">
        <v>154</v>
      </c>
      <c r="G1093" s="10" t="s">
        <v>2892</v>
      </c>
      <c r="H1093" t="str">
        <f t="shared" si="68"/>
        <v/>
      </c>
      <c r="I1093" t="str">
        <f t="shared" si="69"/>
        <v/>
      </c>
      <c r="J1093" t="str">
        <f t="shared" si="70"/>
        <v/>
      </c>
      <c r="L1093" t="b">
        <f t="shared" si="67"/>
        <v>1</v>
      </c>
    </row>
    <row r="1094" spans="1:12" ht="16" x14ac:dyDescent="0.2">
      <c r="A1094" t="s">
        <v>5392</v>
      </c>
      <c r="B1094" t="s">
        <v>73</v>
      </c>
      <c r="C1094" t="s">
        <v>3698</v>
      </c>
      <c r="D1094" s="2" t="s">
        <v>154</v>
      </c>
      <c r="E1094">
        <v>2025</v>
      </c>
      <c r="F1094">
        <v>2026</v>
      </c>
      <c r="G1094" s="10">
        <v>1690000</v>
      </c>
      <c r="H1094" t="str">
        <f t="shared" si="68"/>
        <v/>
      </c>
      <c r="I1094" t="str">
        <f t="shared" si="69"/>
        <v/>
      </c>
      <c r="J1094" t="str">
        <f t="shared" si="70"/>
        <v/>
      </c>
      <c r="K1094">
        <v>427410.89</v>
      </c>
      <c r="L1094" t="b">
        <f t="shared" si="67"/>
        <v>0</v>
      </c>
    </row>
    <row r="1095" spans="1:12" ht="16" x14ac:dyDescent="0.2">
      <c r="A1095" t="s">
        <v>5393</v>
      </c>
      <c r="B1095" t="s">
        <v>73</v>
      </c>
      <c r="C1095" t="s">
        <v>3699</v>
      </c>
      <c r="D1095" s="2" t="s">
        <v>154</v>
      </c>
      <c r="G1095" s="10" t="s">
        <v>2892</v>
      </c>
      <c r="H1095" t="str">
        <f t="shared" si="68"/>
        <v/>
      </c>
      <c r="I1095" t="str">
        <f t="shared" si="69"/>
        <v/>
      </c>
      <c r="J1095" t="str">
        <f t="shared" si="70"/>
        <v/>
      </c>
      <c r="L1095" t="b">
        <f t="shared" si="67"/>
        <v>1</v>
      </c>
    </row>
    <row r="1096" spans="1:12" ht="16" x14ac:dyDescent="0.2">
      <c r="A1096" t="s">
        <v>5394</v>
      </c>
      <c r="B1096" t="s">
        <v>73</v>
      </c>
      <c r="C1096" t="s">
        <v>3700</v>
      </c>
      <c r="D1096" s="2" t="s">
        <v>154</v>
      </c>
      <c r="E1096">
        <v>2025</v>
      </c>
      <c r="F1096">
        <v>2026</v>
      </c>
      <c r="G1096" s="10">
        <v>5125000</v>
      </c>
      <c r="H1096" t="str">
        <f t="shared" si="68"/>
        <v/>
      </c>
      <c r="I1096" t="str">
        <f t="shared" si="69"/>
        <v/>
      </c>
      <c r="J1096" t="str">
        <f t="shared" si="70"/>
        <v/>
      </c>
      <c r="K1096">
        <v>1772215.12</v>
      </c>
      <c r="L1096" t="b">
        <f t="shared" si="67"/>
        <v>0</v>
      </c>
    </row>
    <row r="1097" spans="1:12" ht="16" x14ac:dyDescent="0.2">
      <c r="A1097" t="s">
        <v>5395</v>
      </c>
      <c r="B1097" t="s">
        <v>73</v>
      </c>
      <c r="C1097" t="s">
        <v>3701</v>
      </c>
      <c r="D1097" s="2" t="s">
        <v>154</v>
      </c>
      <c r="E1097">
        <v>2025</v>
      </c>
      <c r="F1097">
        <v>2027</v>
      </c>
      <c r="G1097" s="10">
        <v>4626666.666666667</v>
      </c>
      <c r="H1097">
        <f t="shared" si="68"/>
        <v>4626666.666666667</v>
      </c>
      <c r="I1097" t="str">
        <f t="shared" si="69"/>
        <v/>
      </c>
      <c r="J1097" t="str">
        <f t="shared" si="70"/>
        <v/>
      </c>
      <c r="K1097">
        <v>3668759.69</v>
      </c>
      <c r="L1097" t="b">
        <f t="shared" si="67"/>
        <v>0</v>
      </c>
    </row>
    <row r="1098" spans="1:12" ht="16" x14ac:dyDescent="0.2">
      <c r="A1098" t="s">
        <v>5396</v>
      </c>
      <c r="B1098" t="s">
        <v>73</v>
      </c>
      <c r="C1098" t="s">
        <v>3702</v>
      </c>
      <c r="D1098" s="2" t="s">
        <v>154</v>
      </c>
      <c r="G1098" s="10" t="s">
        <v>2892</v>
      </c>
      <c r="H1098" t="str">
        <f t="shared" si="68"/>
        <v/>
      </c>
      <c r="I1098" t="str">
        <f t="shared" si="69"/>
        <v/>
      </c>
      <c r="J1098" t="str">
        <f t="shared" si="70"/>
        <v/>
      </c>
      <c r="L1098" t="b">
        <f t="shared" si="67"/>
        <v>1</v>
      </c>
    </row>
    <row r="1099" spans="1:12" ht="16" x14ac:dyDescent="0.2">
      <c r="A1099" t="s">
        <v>5397</v>
      </c>
      <c r="B1099" t="s">
        <v>73</v>
      </c>
      <c r="C1099" t="s">
        <v>3703</v>
      </c>
      <c r="D1099" s="2" t="s">
        <v>154</v>
      </c>
      <c r="E1099">
        <v>2025</v>
      </c>
      <c r="F1099">
        <v>2027</v>
      </c>
      <c r="G1099" s="10">
        <v>2133333.3333333335</v>
      </c>
      <c r="H1099">
        <f t="shared" si="68"/>
        <v>2133333.3333333335</v>
      </c>
      <c r="I1099" t="str">
        <f t="shared" si="69"/>
        <v/>
      </c>
      <c r="J1099" t="str">
        <f t="shared" si="70"/>
        <v/>
      </c>
      <c r="K1099">
        <v>1035497.46</v>
      </c>
      <c r="L1099" t="b">
        <f t="shared" si="67"/>
        <v>0</v>
      </c>
    </row>
    <row r="1100" spans="1:12" ht="16" x14ac:dyDescent="0.2">
      <c r="A1100" t="s">
        <v>5398</v>
      </c>
      <c r="B1100" t="s">
        <v>73</v>
      </c>
      <c r="C1100" t="s">
        <v>3704</v>
      </c>
      <c r="D1100" s="2" t="s">
        <v>154</v>
      </c>
      <c r="G1100" s="10" t="s">
        <v>2892</v>
      </c>
      <c r="H1100" t="str">
        <f t="shared" si="68"/>
        <v/>
      </c>
      <c r="I1100" t="str">
        <f t="shared" si="69"/>
        <v/>
      </c>
      <c r="J1100" t="str">
        <f t="shared" si="70"/>
        <v/>
      </c>
      <c r="L1100" t="b">
        <f t="shared" si="67"/>
        <v>1</v>
      </c>
    </row>
    <row r="1101" spans="1:12" ht="16" x14ac:dyDescent="0.2">
      <c r="A1101" t="s">
        <v>5399</v>
      </c>
      <c r="B1101" t="s">
        <v>73</v>
      </c>
      <c r="C1101" t="s">
        <v>3705</v>
      </c>
      <c r="D1101" s="2" t="s">
        <v>154</v>
      </c>
      <c r="E1101">
        <v>2025</v>
      </c>
      <c r="F1101">
        <v>2026</v>
      </c>
      <c r="G1101" s="10">
        <v>7455000</v>
      </c>
      <c r="H1101" t="str">
        <f t="shared" si="68"/>
        <v/>
      </c>
      <c r="I1101" t="str">
        <f t="shared" si="69"/>
        <v/>
      </c>
      <c r="J1101" t="str">
        <f t="shared" si="70"/>
        <v/>
      </c>
      <c r="K1101">
        <v>4375062.79</v>
      </c>
      <c r="L1101" t="b">
        <f t="shared" si="67"/>
        <v>0</v>
      </c>
    </row>
    <row r="1102" spans="1:12" ht="16" x14ac:dyDescent="0.2">
      <c r="A1102" t="s">
        <v>5400</v>
      </c>
      <c r="B1102" t="s">
        <v>73</v>
      </c>
      <c r="C1102" t="s">
        <v>3706</v>
      </c>
      <c r="D1102" s="2" t="s">
        <v>154</v>
      </c>
      <c r="E1102">
        <v>2025</v>
      </c>
      <c r="F1102">
        <v>2026</v>
      </c>
      <c r="G1102" s="10">
        <v>6470000</v>
      </c>
      <c r="H1102" t="str">
        <f t="shared" si="68"/>
        <v/>
      </c>
      <c r="I1102" t="str">
        <f t="shared" si="69"/>
        <v/>
      </c>
      <c r="J1102" t="str">
        <f t="shared" si="70"/>
        <v/>
      </c>
      <c r="K1102">
        <v>4586906.8099999996</v>
      </c>
      <c r="L1102" t="b">
        <f t="shared" si="67"/>
        <v>0</v>
      </c>
    </row>
    <row r="1103" spans="1:12" ht="16" x14ac:dyDescent="0.2">
      <c r="A1103" t="s">
        <v>5401</v>
      </c>
      <c r="B1103" t="s">
        <v>73</v>
      </c>
      <c r="C1103" t="s">
        <v>3707</v>
      </c>
      <c r="D1103" s="2" t="s">
        <v>154</v>
      </c>
      <c r="G1103" s="10" t="s">
        <v>2892</v>
      </c>
      <c r="H1103" t="str">
        <f t="shared" si="68"/>
        <v/>
      </c>
      <c r="I1103" t="str">
        <f t="shared" si="69"/>
        <v/>
      </c>
      <c r="J1103" t="str">
        <f t="shared" si="70"/>
        <v/>
      </c>
      <c r="L1103" t="b">
        <f t="shared" si="67"/>
        <v>1</v>
      </c>
    </row>
    <row r="1104" spans="1:12" ht="16" x14ac:dyDescent="0.2">
      <c r="A1104" t="s">
        <v>5402</v>
      </c>
      <c r="B1104" t="s">
        <v>73</v>
      </c>
      <c r="C1104" t="s">
        <v>3708</v>
      </c>
      <c r="D1104" s="2" t="s">
        <v>154</v>
      </c>
      <c r="G1104" s="10" t="s">
        <v>2892</v>
      </c>
      <c r="H1104" t="str">
        <f t="shared" si="68"/>
        <v/>
      </c>
      <c r="I1104" t="str">
        <f t="shared" si="69"/>
        <v/>
      </c>
      <c r="J1104" t="str">
        <f t="shared" si="70"/>
        <v/>
      </c>
      <c r="L1104" t="b">
        <f t="shared" si="67"/>
        <v>1</v>
      </c>
    </row>
    <row r="1105" spans="1:12" ht="16" x14ac:dyDescent="0.2">
      <c r="A1105" t="s">
        <v>5403</v>
      </c>
      <c r="B1105" t="s">
        <v>73</v>
      </c>
      <c r="C1105" t="s">
        <v>3709</v>
      </c>
      <c r="D1105" s="2" t="s">
        <v>154</v>
      </c>
      <c r="G1105" s="10" t="s">
        <v>2892</v>
      </c>
      <c r="H1105" t="str">
        <f t="shared" si="68"/>
        <v/>
      </c>
      <c r="I1105" t="str">
        <f t="shared" si="69"/>
        <v/>
      </c>
      <c r="J1105" t="str">
        <f t="shared" si="70"/>
        <v/>
      </c>
      <c r="L1105" t="b">
        <f t="shared" si="67"/>
        <v>1</v>
      </c>
    </row>
    <row r="1106" spans="1:12" ht="16" x14ac:dyDescent="0.2">
      <c r="A1106" t="s">
        <v>5404</v>
      </c>
      <c r="B1106" t="s">
        <v>73</v>
      </c>
      <c r="C1106" t="s">
        <v>3710</v>
      </c>
      <c r="D1106" s="2" t="s">
        <v>154</v>
      </c>
      <c r="E1106">
        <v>2025</v>
      </c>
      <c r="F1106">
        <v>2027</v>
      </c>
      <c r="G1106" s="10">
        <v>2890000</v>
      </c>
      <c r="H1106">
        <f t="shared" si="68"/>
        <v>2890000</v>
      </c>
      <c r="I1106" t="str">
        <f t="shared" si="69"/>
        <v/>
      </c>
      <c r="J1106" t="str">
        <f t="shared" si="70"/>
        <v/>
      </c>
      <c r="K1106">
        <v>642345.19999999995</v>
      </c>
      <c r="L1106" t="b">
        <f t="shared" si="67"/>
        <v>0</v>
      </c>
    </row>
    <row r="1107" spans="1:12" ht="16" x14ac:dyDescent="0.2">
      <c r="A1107" t="s">
        <v>5405</v>
      </c>
      <c r="B1107" t="s">
        <v>73</v>
      </c>
      <c r="C1107" t="s">
        <v>3711</v>
      </c>
      <c r="D1107" s="2" t="s">
        <v>154</v>
      </c>
      <c r="G1107" s="10" t="s">
        <v>2892</v>
      </c>
      <c r="H1107" t="str">
        <f t="shared" si="68"/>
        <v/>
      </c>
      <c r="I1107" t="str">
        <f t="shared" si="69"/>
        <v/>
      </c>
      <c r="J1107" t="str">
        <f t="shared" si="70"/>
        <v/>
      </c>
      <c r="L1107" t="b">
        <f t="shared" si="67"/>
        <v>1</v>
      </c>
    </row>
    <row r="1108" spans="1:12" ht="16" x14ac:dyDescent="0.2">
      <c r="A1108" t="s">
        <v>5406</v>
      </c>
      <c r="B1108" t="s">
        <v>73</v>
      </c>
      <c r="C1108" t="s">
        <v>3712</v>
      </c>
      <c r="D1108" s="2" t="s">
        <v>154</v>
      </c>
      <c r="E1108">
        <v>2025</v>
      </c>
      <c r="F1108">
        <v>2028</v>
      </c>
      <c r="G1108" s="10">
        <v>6050000</v>
      </c>
      <c r="H1108">
        <f t="shared" si="68"/>
        <v>6050000</v>
      </c>
      <c r="I1108">
        <f t="shared" si="69"/>
        <v>6050000</v>
      </c>
      <c r="J1108" t="str">
        <f t="shared" si="70"/>
        <v/>
      </c>
      <c r="K1108">
        <v>6139292.75</v>
      </c>
      <c r="L1108" t="b">
        <f t="shared" si="67"/>
        <v>0</v>
      </c>
    </row>
    <row r="1109" spans="1:12" ht="16" x14ac:dyDescent="0.2">
      <c r="A1109" t="s">
        <v>5407</v>
      </c>
      <c r="B1109" t="s">
        <v>73</v>
      </c>
      <c r="C1109" t="s">
        <v>3713</v>
      </c>
      <c r="D1109" s="2" t="s">
        <v>154</v>
      </c>
      <c r="E1109">
        <v>2026</v>
      </c>
      <c r="F1109">
        <v>2029</v>
      </c>
      <c r="G1109" s="10">
        <v>18736666.666666668</v>
      </c>
      <c r="H1109">
        <f t="shared" si="68"/>
        <v>18736666.666666668</v>
      </c>
      <c r="I1109">
        <f t="shared" si="69"/>
        <v>18736666.666666668</v>
      </c>
      <c r="J1109">
        <f t="shared" si="70"/>
        <v>18736666.666666668</v>
      </c>
      <c r="K1109">
        <v>26141042.469999999</v>
      </c>
      <c r="L1109" t="b">
        <f t="shared" si="67"/>
        <v>0</v>
      </c>
    </row>
    <row r="1110" spans="1:12" ht="16" x14ac:dyDescent="0.2">
      <c r="A1110" t="s">
        <v>5408</v>
      </c>
      <c r="B1110" t="s">
        <v>73</v>
      </c>
      <c r="C1110" t="s">
        <v>3714</v>
      </c>
      <c r="D1110" s="2" t="s">
        <v>154</v>
      </c>
      <c r="E1110">
        <v>2025</v>
      </c>
      <c r="F1110">
        <v>2026</v>
      </c>
      <c r="G1110" s="10">
        <v>8895000</v>
      </c>
      <c r="H1110" t="str">
        <f t="shared" si="68"/>
        <v/>
      </c>
      <c r="I1110" t="str">
        <f t="shared" si="69"/>
        <v/>
      </c>
      <c r="J1110" t="str">
        <f t="shared" si="70"/>
        <v/>
      </c>
      <c r="K1110">
        <v>6219098.8700000001</v>
      </c>
      <c r="L1110" t="b">
        <f t="shared" si="67"/>
        <v>0</v>
      </c>
    </row>
    <row r="1111" spans="1:12" ht="16" x14ac:dyDescent="0.2">
      <c r="A1111" t="s">
        <v>5409</v>
      </c>
      <c r="B1111" t="s">
        <v>73</v>
      </c>
      <c r="C1111" t="s">
        <v>3715</v>
      </c>
      <c r="D1111" s="2" t="s">
        <v>154</v>
      </c>
      <c r="E1111">
        <v>2025</v>
      </c>
      <c r="F1111">
        <v>2026</v>
      </c>
      <c r="G1111" s="10">
        <v>3750000</v>
      </c>
      <c r="H1111" t="str">
        <f t="shared" si="68"/>
        <v/>
      </c>
      <c r="I1111" t="str">
        <f t="shared" si="69"/>
        <v/>
      </c>
      <c r="J1111" t="str">
        <f t="shared" si="70"/>
        <v/>
      </c>
      <c r="K1111">
        <v>1938575.4</v>
      </c>
      <c r="L1111" t="b">
        <f t="shared" si="67"/>
        <v>0</v>
      </c>
    </row>
    <row r="1112" spans="1:12" ht="16" x14ac:dyDescent="0.2">
      <c r="A1112" t="s">
        <v>5410</v>
      </c>
      <c r="B1112" t="s">
        <v>73</v>
      </c>
      <c r="C1112" t="s">
        <v>3716</v>
      </c>
      <c r="D1112" s="2" t="s">
        <v>154</v>
      </c>
      <c r="G1112" s="10" t="s">
        <v>2892</v>
      </c>
      <c r="H1112" t="str">
        <f t="shared" si="68"/>
        <v/>
      </c>
      <c r="I1112" t="str">
        <f t="shared" si="69"/>
        <v/>
      </c>
      <c r="J1112" t="str">
        <f t="shared" si="70"/>
        <v/>
      </c>
      <c r="L1112" t="b">
        <f t="shared" si="67"/>
        <v>1</v>
      </c>
    </row>
    <row r="1113" spans="1:12" ht="16" x14ac:dyDescent="0.2">
      <c r="A1113" t="s">
        <v>5411</v>
      </c>
      <c r="B1113" t="s">
        <v>73</v>
      </c>
      <c r="C1113" t="s">
        <v>3717</v>
      </c>
      <c r="D1113" s="2" t="s">
        <v>154</v>
      </c>
      <c r="E1113">
        <v>2025</v>
      </c>
      <c r="F1113">
        <v>2026</v>
      </c>
      <c r="G1113" s="10">
        <v>2400000</v>
      </c>
      <c r="H1113" t="str">
        <f t="shared" si="68"/>
        <v/>
      </c>
      <c r="I1113" t="str">
        <f t="shared" si="69"/>
        <v/>
      </c>
      <c r="J1113" t="str">
        <f t="shared" si="70"/>
        <v/>
      </c>
      <c r="K1113">
        <v>575396.14</v>
      </c>
      <c r="L1113" t="b">
        <f t="shared" si="67"/>
        <v>0</v>
      </c>
    </row>
    <row r="1114" spans="1:12" ht="16" x14ac:dyDescent="0.2">
      <c r="A1114" t="s">
        <v>5412</v>
      </c>
      <c r="B1114" t="s">
        <v>73</v>
      </c>
      <c r="C1114" t="s">
        <v>3718</v>
      </c>
      <c r="D1114" s="2" t="s">
        <v>154</v>
      </c>
      <c r="E1114">
        <v>2025</v>
      </c>
      <c r="F1114">
        <v>2026</v>
      </c>
      <c r="G1114" s="10">
        <v>4485000</v>
      </c>
      <c r="H1114" t="str">
        <f t="shared" si="68"/>
        <v/>
      </c>
      <c r="I1114" t="str">
        <f t="shared" si="69"/>
        <v/>
      </c>
      <c r="J1114" t="str">
        <f t="shared" si="70"/>
        <v/>
      </c>
      <c r="K1114">
        <v>2293010.58</v>
      </c>
      <c r="L1114" t="b">
        <f t="shared" si="67"/>
        <v>0</v>
      </c>
    </row>
    <row r="1115" spans="1:12" ht="16" x14ac:dyDescent="0.2">
      <c r="A1115" t="s">
        <v>5413</v>
      </c>
      <c r="B1115" t="s">
        <v>73</v>
      </c>
      <c r="C1115" t="s">
        <v>3719</v>
      </c>
      <c r="D1115" s="2" t="s">
        <v>154</v>
      </c>
      <c r="E1115">
        <v>2025</v>
      </c>
      <c r="F1115">
        <v>2027</v>
      </c>
      <c r="G1115" s="10">
        <v>4720000</v>
      </c>
      <c r="H1115">
        <f t="shared" si="68"/>
        <v>4720000</v>
      </c>
      <c r="I1115" t="str">
        <f t="shared" si="69"/>
        <v/>
      </c>
      <c r="J1115" t="str">
        <f t="shared" si="70"/>
        <v/>
      </c>
      <c r="K1115">
        <v>2886679.49</v>
      </c>
      <c r="L1115" t="b">
        <f t="shared" si="67"/>
        <v>0</v>
      </c>
    </row>
    <row r="1116" spans="1:12" ht="16" x14ac:dyDescent="0.2">
      <c r="A1116" t="s">
        <v>5414</v>
      </c>
      <c r="B1116" t="s">
        <v>73</v>
      </c>
      <c r="C1116" t="s">
        <v>3720</v>
      </c>
      <c r="D1116" s="2" t="s">
        <v>154</v>
      </c>
      <c r="E1116">
        <v>2025</v>
      </c>
      <c r="F1116">
        <v>2027</v>
      </c>
      <c r="G1116" s="10">
        <v>9876666.666666666</v>
      </c>
      <c r="H1116">
        <f t="shared" si="68"/>
        <v>9876666.666666666</v>
      </c>
      <c r="I1116" t="str">
        <f t="shared" si="69"/>
        <v/>
      </c>
      <c r="J1116" t="str">
        <f t="shared" si="70"/>
        <v/>
      </c>
      <c r="K1116">
        <v>7642575.7699999996</v>
      </c>
      <c r="L1116" t="b">
        <f t="shared" si="67"/>
        <v>0</v>
      </c>
    </row>
    <row r="1117" spans="1:12" ht="16" x14ac:dyDescent="0.2">
      <c r="A1117" t="s">
        <v>5415</v>
      </c>
      <c r="B1117" t="s">
        <v>73</v>
      </c>
      <c r="C1117" t="s">
        <v>3721</v>
      </c>
      <c r="D1117" s="2" t="s">
        <v>154</v>
      </c>
      <c r="E1117">
        <v>2025</v>
      </c>
      <c r="F1117">
        <v>2027</v>
      </c>
      <c r="G1117" s="10">
        <v>9230000</v>
      </c>
      <c r="H1117">
        <f t="shared" si="68"/>
        <v>9230000</v>
      </c>
      <c r="I1117" t="str">
        <f t="shared" si="69"/>
        <v/>
      </c>
      <c r="J1117" t="str">
        <f t="shared" si="70"/>
        <v/>
      </c>
      <c r="K1117">
        <v>10514670.08</v>
      </c>
      <c r="L1117" t="b">
        <f t="shared" si="67"/>
        <v>0</v>
      </c>
    </row>
    <row r="1118" spans="1:12" ht="16" x14ac:dyDescent="0.2">
      <c r="A1118" t="s">
        <v>5416</v>
      </c>
      <c r="B1118" t="s">
        <v>73</v>
      </c>
      <c r="C1118" t="s">
        <v>3722</v>
      </c>
      <c r="D1118" s="2" t="s">
        <v>154</v>
      </c>
      <c r="E1118">
        <v>2025</v>
      </c>
      <c r="F1118">
        <v>2026</v>
      </c>
      <c r="G1118" s="10">
        <v>10290000</v>
      </c>
      <c r="H1118" t="str">
        <f t="shared" si="68"/>
        <v/>
      </c>
      <c r="I1118" t="str">
        <f t="shared" si="69"/>
        <v/>
      </c>
      <c r="J1118" t="str">
        <f t="shared" si="70"/>
        <v/>
      </c>
      <c r="K1118">
        <v>9133459.3699999992</v>
      </c>
      <c r="L1118" t="b">
        <f t="shared" si="67"/>
        <v>0</v>
      </c>
    </row>
    <row r="1119" spans="1:12" ht="16" x14ac:dyDescent="0.2">
      <c r="A1119" t="s">
        <v>5417</v>
      </c>
      <c r="B1119" t="s">
        <v>73</v>
      </c>
      <c r="C1119" t="s">
        <v>3723</v>
      </c>
      <c r="D1119" s="2" t="s">
        <v>154</v>
      </c>
      <c r="E1119">
        <v>2025</v>
      </c>
      <c r="F1119">
        <v>2027</v>
      </c>
      <c r="G1119" s="10">
        <v>9860000</v>
      </c>
      <c r="H1119">
        <f t="shared" si="68"/>
        <v>9860000</v>
      </c>
      <c r="I1119" t="str">
        <f t="shared" si="69"/>
        <v/>
      </c>
      <c r="J1119" t="str">
        <f t="shared" si="70"/>
        <v/>
      </c>
      <c r="K1119">
        <v>10269779.23</v>
      </c>
      <c r="L1119" t="b">
        <f t="shared" si="67"/>
        <v>0</v>
      </c>
    </row>
    <row r="1120" spans="1:12" ht="16" x14ac:dyDescent="0.2">
      <c r="A1120" t="s">
        <v>5418</v>
      </c>
      <c r="B1120" t="s">
        <v>73</v>
      </c>
      <c r="C1120" t="s">
        <v>3724</v>
      </c>
      <c r="D1120" s="2" t="s">
        <v>154</v>
      </c>
      <c r="E1120">
        <v>2025</v>
      </c>
      <c r="F1120">
        <v>2027</v>
      </c>
      <c r="G1120" s="10">
        <v>4490000</v>
      </c>
      <c r="H1120">
        <f t="shared" si="68"/>
        <v>4490000</v>
      </c>
      <c r="I1120" t="str">
        <f t="shared" si="69"/>
        <v/>
      </c>
      <c r="J1120" t="str">
        <f t="shared" si="70"/>
        <v/>
      </c>
      <c r="K1120">
        <v>2068517.83</v>
      </c>
      <c r="L1120" t="b">
        <f t="shared" si="67"/>
        <v>0</v>
      </c>
    </row>
    <row r="1121" spans="1:12" ht="16" x14ac:dyDescent="0.2">
      <c r="A1121" t="s">
        <v>5419</v>
      </c>
      <c r="B1121" t="s">
        <v>73</v>
      </c>
      <c r="C1121" t="s">
        <v>3725</v>
      </c>
      <c r="D1121" s="2" t="s">
        <v>154</v>
      </c>
      <c r="E1121">
        <v>2025</v>
      </c>
      <c r="F1121">
        <v>2026</v>
      </c>
      <c r="G1121" s="10">
        <v>4340000</v>
      </c>
      <c r="H1121" t="str">
        <f t="shared" si="68"/>
        <v/>
      </c>
      <c r="I1121" t="str">
        <f t="shared" si="69"/>
        <v/>
      </c>
      <c r="J1121" t="str">
        <f t="shared" si="70"/>
        <v/>
      </c>
      <c r="K1121">
        <v>1210729.0900000001</v>
      </c>
      <c r="L1121" t="b">
        <f t="shared" si="67"/>
        <v>0</v>
      </c>
    </row>
    <row r="1122" spans="1:12" ht="16" x14ac:dyDescent="0.2">
      <c r="A1122" t="s">
        <v>5420</v>
      </c>
      <c r="B1122" t="s">
        <v>73</v>
      </c>
      <c r="C1122" t="s">
        <v>3726</v>
      </c>
      <c r="D1122" s="2" t="s">
        <v>154</v>
      </c>
      <c r="E1122">
        <v>2025</v>
      </c>
      <c r="F1122">
        <v>2027</v>
      </c>
      <c r="G1122" s="10">
        <v>5836666.666666667</v>
      </c>
      <c r="H1122">
        <f t="shared" si="68"/>
        <v>5836666.666666667</v>
      </c>
      <c r="I1122" t="str">
        <f t="shared" si="69"/>
        <v/>
      </c>
      <c r="J1122" t="str">
        <f t="shared" si="70"/>
        <v/>
      </c>
      <c r="K1122">
        <v>4708608.17</v>
      </c>
      <c r="L1122" t="b">
        <f t="shared" si="67"/>
        <v>0</v>
      </c>
    </row>
    <row r="1123" spans="1:12" ht="16" x14ac:dyDescent="0.2">
      <c r="A1123" t="s">
        <v>5421</v>
      </c>
      <c r="B1123" t="s">
        <v>73</v>
      </c>
      <c r="C1123" t="s">
        <v>3727</v>
      </c>
      <c r="D1123" s="2" t="s">
        <v>154</v>
      </c>
      <c r="G1123" s="10" t="s">
        <v>2892</v>
      </c>
      <c r="H1123" t="str">
        <f t="shared" si="68"/>
        <v/>
      </c>
      <c r="I1123" t="str">
        <f t="shared" si="69"/>
        <v/>
      </c>
      <c r="J1123" t="str">
        <f t="shared" si="70"/>
        <v/>
      </c>
      <c r="L1123" t="b">
        <f t="shared" ref="L1123:L1186" si="71">IF(F1123="",TRUE,FALSE)</f>
        <v>1</v>
      </c>
    </row>
    <row r="1124" spans="1:12" ht="16" x14ac:dyDescent="0.2">
      <c r="A1124" t="s">
        <v>5422</v>
      </c>
      <c r="B1124" t="s">
        <v>73</v>
      </c>
      <c r="C1124" t="s">
        <v>3728</v>
      </c>
      <c r="D1124" s="2" t="s">
        <v>154</v>
      </c>
      <c r="G1124" s="10" t="s">
        <v>2892</v>
      </c>
      <c r="H1124" t="str">
        <f t="shared" si="68"/>
        <v/>
      </c>
      <c r="I1124" t="str">
        <f t="shared" si="69"/>
        <v/>
      </c>
      <c r="J1124" t="str">
        <f t="shared" si="70"/>
        <v/>
      </c>
      <c r="L1124" t="b">
        <f t="shared" si="71"/>
        <v>1</v>
      </c>
    </row>
    <row r="1125" spans="1:12" ht="16" x14ac:dyDescent="0.2">
      <c r="A1125" t="s">
        <v>5423</v>
      </c>
      <c r="B1125" t="s">
        <v>73</v>
      </c>
      <c r="C1125" t="s">
        <v>3729</v>
      </c>
      <c r="D1125" s="2" t="s">
        <v>154</v>
      </c>
      <c r="G1125" s="10" t="s">
        <v>2892</v>
      </c>
      <c r="H1125" t="str">
        <f t="shared" si="68"/>
        <v/>
      </c>
      <c r="I1125" t="str">
        <f t="shared" si="69"/>
        <v/>
      </c>
      <c r="J1125" t="str">
        <f t="shared" si="70"/>
        <v/>
      </c>
      <c r="L1125" t="b">
        <f t="shared" si="71"/>
        <v>1</v>
      </c>
    </row>
    <row r="1126" spans="1:12" ht="16" x14ac:dyDescent="0.2">
      <c r="A1126" t="s">
        <v>5424</v>
      </c>
      <c r="B1126" t="s">
        <v>73</v>
      </c>
      <c r="C1126" t="s">
        <v>3730</v>
      </c>
      <c r="D1126" s="2" t="s">
        <v>154</v>
      </c>
      <c r="G1126" s="10" t="s">
        <v>2892</v>
      </c>
      <c r="H1126" t="str">
        <f t="shared" si="68"/>
        <v/>
      </c>
      <c r="I1126" t="str">
        <f t="shared" si="69"/>
        <v/>
      </c>
      <c r="J1126" t="str">
        <f t="shared" si="70"/>
        <v/>
      </c>
      <c r="L1126" t="b">
        <f t="shared" si="71"/>
        <v>1</v>
      </c>
    </row>
    <row r="1127" spans="1:12" ht="16" x14ac:dyDescent="0.2">
      <c r="A1127" t="s">
        <v>5425</v>
      </c>
      <c r="B1127" t="s">
        <v>73</v>
      </c>
      <c r="C1127" t="s">
        <v>3731</v>
      </c>
      <c r="D1127" s="2" t="s">
        <v>154</v>
      </c>
      <c r="E1127">
        <v>2025</v>
      </c>
      <c r="F1127">
        <v>2026</v>
      </c>
      <c r="G1127" s="10">
        <v>5350000</v>
      </c>
      <c r="H1127" t="str">
        <f t="shared" si="68"/>
        <v/>
      </c>
      <c r="I1127" t="str">
        <f t="shared" si="69"/>
        <v/>
      </c>
      <c r="J1127" t="str">
        <f t="shared" si="70"/>
        <v/>
      </c>
      <c r="K1127">
        <v>3075463.24</v>
      </c>
      <c r="L1127" t="b">
        <f t="shared" si="71"/>
        <v>0</v>
      </c>
    </row>
    <row r="1128" spans="1:12" ht="16" x14ac:dyDescent="0.2">
      <c r="A1128" t="s">
        <v>5426</v>
      </c>
      <c r="B1128" t="s">
        <v>73</v>
      </c>
      <c r="C1128" t="s">
        <v>3732</v>
      </c>
      <c r="D1128" s="2" t="s">
        <v>154</v>
      </c>
      <c r="E1128">
        <v>2025</v>
      </c>
      <c r="F1128">
        <v>2027</v>
      </c>
      <c r="G1128" s="10">
        <v>9470000</v>
      </c>
      <c r="H1128">
        <f t="shared" si="68"/>
        <v>9470000</v>
      </c>
      <c r="I1128" t="str">
        <f t="shared" si="69"/>
        <v/>
      </c>
      <c r="J1128" t="str">
        <f t="shared" si="70"/>
        <v/>
      </c>
      <c r="K1128">
        <v>10929954.560000001</v>
      </c>
      <c r="L1128" t="b">
        <f t="shared" si="71"/>
        <v>0</v>
      </c>
    </row>
    <row r="1129" spans="1:12" ht="16" x14ac:dyDescent="0.2">
      <c r="A1129" t="s">
        <v>5427</v>
      </c>
      <c r="B1129" t="s">
        <v>73</v>
      </c>
      <c r="C1129" t="s">
        <v>3733</v>
      </c>
      <c r="D1129" s="2" t="s">
        <v>154</v>
      </c>
      <c r="E1129">
        <v>2025</v>
      </c>
      <c r="F1129">
        <v>2028</v>
      </c>
      <c r="G1129" s="10">
        <v>5127500</v>
      </c>
      <c r="H1129">
        <f t="shared" si="68"/>
        <v>5127500</v>
      </c>
      <c r="I1129">
        <f t="shared" si="69"/>
        <v>5127500</v>
      </c>
      <c r="J1129" t="str">
        <f t="shared" si="70"/>
        <v/>
      </c>
      <c r="K1129">
        <v>2914367.04</v>
      </c>
      <c r="L1129" t="b">
        <f t="shared" si="71"/>
        <v>0</v>
      </c>
    </row>
    <row r="1130" spans="1:12" ht="16" x14ac:dyDescent="0.2">
      <c r="A1130" t="s">
        <v>5428</v>
      </c>
      <c r="B1130" t="s">
        <v>73</v>
      </c>
      <c r="C1130" t="s">
        <v>3734</v>
      </c>
      <c r="D1130" s="2" t="s">
        <v>154</v>
      </c>
      <c r="E1130">
        <v>2025</v>
      </c>
      <c r="F1130">
        <v>2026</v>
      </c>
      <c r="G1130" s="10">
        <v>5365000</v>
      </c>
      <c r="H1130" t="str">
        <f t="shared" si="68"/>
        <v/>
      </c>
      <c r="I1130" t="str">
        <f t="shared" si="69"/>
        <v/>
      </c>
      <c r="J1130" t="str">
        <f t="shared" si="70"/>
        <v/>
      </c>
      <c r="K1130">
        <v>2213088.4700000002</v>
      </c>
      <c r="L1130" t="b">
        <f t="shared" si="71"/>
        <v>0</v>
      </c>
    </row>
    <row r="1131" spans="1:12" ht="16" x14ac:dyDescent="0.2">
      <c r="A1131" t="s">
        <v>5429</v>
      </c>
      <c r="B1131" t="s">
        <v>73</v>
      </c>
      <c r="C1131" t="s">
        <v>3735</v>
      </c>
      <c r="D1131" s="2" t="s">
        <v>154</v>
      </c>
      <c r="E1131">
        <v>2025</v>
      </c>
      <c r="F1131">
        <v>2026</v>
      </c>
      <c r="G1131" s="10">
        <v>2555000</v>
      </c>
      <c r="H1131" t="str">
        <f t="shared" si="68"/>
        <v/>
      </c>
      <c r="I1131" t="str">
        <f t="shared" si="69"/>
        <v/>
      </c>
      <c r="J1131" t="str">
        <f t="shared" si="70"/>
        <v/>
      </c>
      <c r="K1131">
        <v>402699.07</v>
      </c>
      <c r="L1131" t="b">
        <f t="shared" si="71"/>
        <v>0</v>
      </c>
    </row>
    <row r="1132" spans="1:12" ht="16" x14ac:dyDescent="0.2">
      <c r="A1132" t="s">
        <v>5430</v>
      </c>
      <c r="B1132" t="s">
        <v>73</v>
      </c>
      <c r="C1132" t="s">
        <v>3736</v>
      </c>
      <c r="D1132" s="2" t="s">
        <v>154</v>
      </c>
      <c r="E1132">
        <v>2025</v>
      </c>
      <c r="F1132">
        <v>2026</v>
      </c>
      <c r="G1132" s="10">
        <v>8890000</v>
      </c>
      <c r="H1132" t="str">
        <f t="shared" si="68"/>
        <v/>
      </c>
      <c r="I1132" t="str">
        <f t="shared" si="69"/>
        <v/>
      </c>
      <c r="J1132" t="str">
        <f t="shared" si="70"/>
        <v/>
      </c>
      <c r="K1132">
        <v>7024640.3200000003</v>
      </c>
      <c r="L1132" t="b">
        <f t="shared" si="71"/>
        <v>0</v>
      </c>
    </row>
    <row r="1133" spans="1:12" ht="16" x14ac:dyDescent="0.2">
      <c r="A1133" t="s">
        <v>5431</v>
      </c>
      <c r="B1133" t="s">
        <v>73</v>
      </c>
      <c r="C1133" t="s">
        <v>3737</v>
      </c>
      <c r="D1133" s="2" t="s">
        <v>154</v>
      </c>
      <c r="G1133" s="10" t="s">
        <v>2892</v>
      </c>
      <c r="H1133" t="str">
        <f t="shared" si="68"/>
        <v/>
      </c>
      <c r="I1133" t="str">
        <f t="shared" si="69"/>
        <v/>
      </c>
      <c r="J1133" t="str">
        <f t="shared" si="70"/>
        <v/>
      </c>
      <c r="L1133" t="b">
        <f t="shared" si="71"/>
        <v>1</v>
      </c>
    </row>
    <row r="1134" spans="1:12" ht="16" x14ac:dyDescent="0.2">
      <c r="A1134" t="s">
        <v>5432</v>
      </c>
      <c r="B1134" t="s">
        <v>73</v>
      </c>
      <c r="C1134" t="s">
        <v>3738</v>
      </c>
      <c r="D1134" s="2" t="s">
        <v>154</v>
      </c>
      <c r="E1134">
        <v>2025</v>
      </c>
      <c r="F1134">
        <v>2026</v>
      </c>
      <c r="G1134" s="10">
        <v>5245000</v>
      </c>
      <c r="H1134" t="str">
        <f t="shared" si="68"/>
        <v/>
      </c>
      <c r="I1134" t="str">
        <f t="shared" si="69"/>
        <v/>
      </c>
      <c r="J1134" t="str">
        <f t="shared" si="70"/>
        <v/>
      </c>
      <c r="K1134">
        <v>2562230.41</v>
      </c>
      <c r="L1134" t="b">
        <f t="shared" si="71"/>
        <v>0</v>
      </c>
    </row>
    <row r="1135" spans="1:12" ht="16" x14ac:dyDescent="0.2">
      <c r="A1135" t="s">
        <v>5433</v>
      </c>
      <c r="B1135" t="s">
        <v>73</v>
      </c>
      <c r="C1135" t="s">
        <v>3739</v>
      </c>
      <c r="D1135" s="2" t="s">
        <v>154</v>
      </c>
      <c r="E1135">
        <v>2025</v>
      </c>
      <c r="F1135">
        <v>2026</v>
      </c>
      <c r="G1135" s="10">
        <v>2049999.9999999998</v>
      </c>
      <c r="H1135" t="str">
        <f t="shared" si="68"/>
        <v/>
      </c>
      <c r="I1135" t="str">
        <f t="shared" si="69"/>
        <v/>
      </c>
      <c r="J1135" t="str">
        <f t="shared" si="70"/>
        <v/>
      </c>
      <c r="K1135">
        <v>618751.53</v>
      </c>
      <c r="L1135" t="b">
        <f t="shared" si="71"/>
        <v>0</v>
      </c>
    </row>
    <row r="1136" spans="1:12" ht="16" x14ac:dyDescent="0.2">
      <c r="A1136" t="s">
        <v>5434</v>
      </c>
      <c r="B1136" t="s">
        <v>73</v>
      </c>
      <c r="C1136" t="s">
        <v>3740</v>
      </c>
      <c r="D1136" s="2" t="s">
        <v>154</v>
      </c>
      <c r="E1136">
        <v>2025</v>
      </c>
      <c r="F1136">
        <v>2026</v>
      </c>
      <c r="G1136" s="10">
        <v>1095000</v>
      </c>
      <c r="H1136" t="str">
        <f t="shared" si="68"/>
        <v/>
      </c>
      <c r="I1136" t="str">
        <f t="shared" si="69"/>
        <v/>
      </c>
      <c r="J1136" t="str">
        <f t="shared" si="70"/>
        <v/>
      </c>
      <c r="K1136">
        <v>361770.56</v>
      </c>
      <c r="L1136" t="b">
        <f t="shared" si="71"/>
        <v>0</v>
      </c>
    </row>
    <row r="1137" spans="1:12" ht="16" x14ac:dyDescent="0.2">
      <c r="A1137" t="s">
        <v>5435</v>
      </c>
      <c r="B1137" t="s">
        <v>73</v>
      </c>
      <c r="C1137" t="s">
        <v>3741</v>
      </c>
      <c r="D1137" s="2" t="s">
        <v>154</v>
      </c>
      <c r="E1137">
        <v>2025</v>
      </c>
      <c r="F1137">
        <v>2026</v>
      </c>
      <c r="G1137" s="10">
        <v>3790000</v>
      </c>
      <c r="H1137" t="str">
        <f t="shared" si="68"/>
        <v/>
      </c>
      <c r="I1137" t="str">
        <f t="shared" si="69"/>
        <v/>
      </c>
      <c r="J1137" t="str">
        <f t="shared" si="70"/>
        <v/>
      </c>
      <c r="K1137">
        <v>1547123.7</v>
      </c>
      <c r="L1137" t="b">
        <f t="shared" si="71"/>
        <v>0</v>
      </c>
    </row>
    <row r="1138" spans="1:12" ht="16" x14ac:dyDescent="0.2">
      <c r="A1138" t="s">
        <v>5436</v>
      </c>
      <c r="B1138" t="s">
        <v>73</v>
      </c>
      <c r="C1138" t="s">
        <v>3742</v>
      </c>
      <c r="D1138" s="2" t="s">
        <v>154</v>
      </c>
      <c r="E1138">
        <v>2025</v>
      </c>
      <c r="F1138">
        <v>2026</v>
      </c>
      <c r="G1138" s="10">
        <v>4970000</v>
      </c>
      <c r="H1138" t="str">
        <f t="shared" si="68"/>
        <v/>
      </c>
      <c r="I1138" t="str">
        <f t="shared" si="69"/>
        <v/>
      </c>
      <c r="J1138" t="str">
        <f t="shared" si="70"/>
        <v/>
      </c>
      <c r="K1138">
        <v>1021913.25</v>
      </c>
      <c r="L1138" t="b">
        <f t="shared" si="71"/>
        <v>0</v>
      </c>
    </row>
    <row r="1139" spans="1:12" ht="16" x14ac:dyDescent="0.2">
      <c r="A1139" t="s">
        <v>5437</v>
      </c>
      <c r="B1139" t="s">
        <v>73</v>
      </c>
      <c r="C1139" t="s">
        <v>3743</v>
      </c>
      <c r="D1139" s="2" t="s">
        <v>154</v>
      </c>
      <c r="E1139">
        <v>2025</v>
      </c>
      <c r="F1139">
        <v>2026</v>
      </c>
      <c r="G1139" s="10">
        <v>9660000</v>
      </c>
      <c r="H1139" t="str">
        <f t="shared" si="68"/>
        <v/>
      </c>
      <c r="I1139" t="str">
        <f t="shared" si="69"/>
        <v/>
      </c>
      <c r="J1139" t="str">
        <f t="shared" si="70"/>
        <v/>
      </c>
      <c r="K1139">
        <v>6298859.0800000001</v>
      </c>
      <c r="L1139" t="b">
        <f t="shared" si="71"/>
        <v>0</v>
      </c>
    </row>
    <row r="1140" spans="1:12" ht="16" x14ac:dyDescent="0.2">
      <c r="A1140" t="s">
        <v>5438</v>
      </c>
      <c r="B1140" t="s">
        <v>73</v>
      </c>
      <c r="C1140" t="s">
        <v>3744</v>
      </c>
      <c r="D1140" s="2" t="s">
        <v>154</v>
      </c>
      <c r="G1140" s="10" t="s">
        <v>2892</v>
      </c>
      <c r="H1140" t="str">
        <f t="shared" si="68"/>
        <v/>
      </c>
      <c r="I1140" t="str">
        <f t="shared" si="69"/>
        <v/>
      </c>
      <c r="J1140" t="str">
        <f t="shared" si="70"/>
        <v/>
      </c>
      <c r="L1140" t="b">
        <f t="shared" si="71"/>
        <v>1</v>
      </c>
    </row>
    <row r="1141" spans="1:12" ht="16" x14ac:dyDescent="0.2">
      <c r="A1141" t="s">
        <v>5439</v>
      </c>
      <c r="B1141" t="s">
        <v>73</v>
      </c>
      <c r="C1141" t="s">
        <v>3745</v>
      </c>
      <c r="D1141" s="2" t="s">
        <v>155</v>
      </c>
      <c r="E1141">
        <v>2025</v>
      </c>
      <c r="F1141">
        <v>2029</v>
      </c>
      <c r="G1141" s="10">
        <v>7946000</v>
      </c>
      <c r="H1141">
        <f t="shared" si="68"/>
        <v>7946000</v>
      </c>
      <c r="I1141">
        <f t="shared" si="69"/>
        <v>7946000</v>
      </c>
      <c r="J1141">
        <f t="shared" si="70"/>
        <v>7946000</v>
      </c>
      <c r="K1141">
        <v>10971530.130000001</v>
      </c>
      <c r="L1141" t="b">
        <f t="shared" si="71"/>
        <v>0</v>
      </c>
    </row>
    <row r="1142" spans="1:12" ht="16" x14ac:dyDescent="0.2">
      <c r="A1142" t="s">
        <v>5440</v>
      </c>
      <c r="B1142" t="s">
        <v>73</v>
      </c>
      <c r="C1142" t="s">
        <v>3746</v>
      </c>
      <c r="D1142" s="2" t="s">
        <v>155</v>
      </c>
      <c r="E1142">
        <v>2025</v>
      </c>
      <c r="F1142">
        <v>2026</v>
      </c>
      <c r="G1142" s="10">
        <v>2785000</v>
      </c>
      <c r="H1142" t="str">
        <f t="shared" si="68"/>
        <v/>
      </c>
      <c r="I1142" t="str">
        <f t="shared" si="69"/>
        <v/>
      </c>
      <c r="J1142" t="str">
        <f t="shared" si="70"/>
        <v/>
      </c>
      <c r="K1142">
        <v>558117</v>
      </c>
      <c r="L1142" t="b">
        <f t="shared" si="71"/>
        <v>0</v>
      </c>
    </row>
    <row r="1143" spans="1:12" ht="16" x14ac:dyDescent="0.2">
      <c r="A1143" t="s">
        <v>5441</v>
      </c>
      <c r="B1143" t="s">
        <v>73</v>
      </c>
      <c r="C1143" t="s">
        <v>3747</v>
      </c>
      <c r="D1143" s="2" t="s">
        <v>155</v>
      </c>
      <c r="E1143">
        <v>2025</v>
      </c>
      <c r="F1143">
        <v>2027</v>
      </c>
      <c r="G1143" s="10">
        <v>3223333.333333333</v>
      </c>
      <c r="H1143">
        <f t="shared" si="68"/>
        <v>3223333.333333333</v>
      </c>
      <c r="I1143" t="str">
        <f t="shared" si="69"/>
        <v/>
      </c>
      <c r="J1143" t="str">
        <f t="shared" si="70"/>
        <v/>
      </c>
      <c r="K1143">
        <v>1237550</v>
      </c>
      <c r="L1143" t="b">
        <f t="shared" si="71"/>
        <v>0</v>
      </c>
    </row>
    <row r="1144" spans="1:12" ht="16" x14ac:dyDescent="0.2">
      <c r="A1144" t="s">
        <v>5442</v>
      </c>
      <c r="B1144" t="s">
        <v>73</v>
      </c>
      <c r="C1144" t="s">
        <v>3748</v>
      </c>
      <c r="D1144" s="2" t="s">
        <v>155</v>
      </c>
      <c r="E1144">
        <v>2025</v>
      </c>
      <c r="F1144">
        <v>2026</v>
      </c>
      <c r="G1144" s="10">
        <v>3415000</v>
      </c>
      <c r="H1144" t="str">
        <f t="shared" si="68"/>
        <v/>
      </c>
      <c r="I1144" t="str">
        <f t="shared" si="69"/>
        <v/>
      </c>
      <c r="J1144" t="str">
        <f t="shared" si="70"/>
        <v/>
      </c>
      <c r="K1144">
        <v>1099662.74</v>
      </c>
      <c r="L1144" t="b">
        <f t="shared" si="71"/>
        <v>0</v>
      </c>
    </row>
    <row r="1145" spans="1:12" ht="16" x14ac:dyDescent="0.2">
      <c r="A1145" t="s">
        <v>5443</v>
      </c>
      <c r="B1145" t="s">
        <v>73</v>
      </c>
      <c r="C1145" t="s">
        <v>3749</v>
      </c>
      <c r="D1145" s="2" t="s">
        <v>155</v>
      </c>
      <c r="G1145" s="10" t="s">
        <v>2892</v>
      </c>
      <c r="H1145" t="str">
        <f t="shared" si="68"/>
        <v/>
      </c>
      <c r="I1145" t="str">
        <f t="shared" si="69"/>
        <v/>
      </c>
      <c r="J1145" t="str">
        <f t="shared" si="70"/>
        <v/>
      </c>
      <c r="L1145" t="b">
        <f t="shared" si="71"/>
        <v>1</v>
      </c>
    </row>
    <row r="1146" spans="1:12" ht="16" x14ac:dyDescent="0.2">
      <c r="A1146" t="s">
        <v>5444</v>
      </c>
      <c r="B1146" t="s">
        <v>73</v>
      </c>
      <c r="C1146" t="s">
        <v>3750</v>
      </c>
      <c r="D1146" s="2" t="s">
        <v>155</v>
      </c>
      <c r="E1146">
        <v>2025</v>
      </c>
      <c r="F1146">
        <v>2026</v>
      </c>
      <c r="G1146" s="10">
        <v>3610000</v>
      </c>
      <c r="H1146" t="str">
        <f t="shared" si="68"/>
        <v/>
      </c>
      <c r="I1146" t="str">
        <f t="shared" si="69"/>
        <v/>
      </c>
      <c r="J1146" t="str">
        <f t="shared" si="70"/>
        <v/>
      </c>
      <c r="K1146">
        <v>1023989.25</v>
      </c>
      <c r="L1146" t="b">
        <f t="shared" si="71"/>
        <v>0</v>
      </c>
    </row>
    <row r="1147" spans="1:12" ht="16" x14ac:dyDescent="0.2">
      <c r="A1147" t="s">
        <v>5445</v>
      </c>
      <c r="B1147" t="s">
        <v>73</v>
      </c>
      <c r="C1147" t="s">
        <v>3751</v>
      </c>
      <c r="D1147" s="2" t="s">
        <v>155</v>
      </c>
      <c r="E1147">
        <v>2025</v>
      </c>
      <c r="F1147">
        <v>2027</v>
      </c>
      <c r="G1147" s="10">
        <v>5906666.666666666</v>
      </c>
      <c r="H1147">
        <f t="shared" si="68"/>
        <v>5906666.666666666</v>
      </c>
      <c r="I1147" t="str">
        <f t="shared" si="69"/>
        <v/>
      </c>
      <c r="J1147" t="str">
        <f t="shared" si="70"/>
        <v/>
      </c>
      <c r="K1147">
        <v>1855979.09</v>
      </c>
      <c r="L1147" t="b">
        <f t="shared" si="71"/>
        <v>0</v>
      </c>
    </row>
    <row r="1148" spans="1:12" ht="16" x14ac:dyDescent="0.2">
      <c r="A1148" t="s">
        <v>5446</v>
      </c>
      <c r="B1148" t="s">
        <v>73</v>
      </c>
      <c r="C1148" t="s">
        <v>3752</v>
      </c>
      <c r="D1148" s="2" t="s">
        <v>155</v>
      </c>
      <c r="E1148">
        <v>2025</v>
      </c>
      <c r="F1148">
        <v>2027</v>
      </c>
      <c r="G1148" s="10">
        <v>4950000</v>
      </c>
      <c r="H1148">
        <f t="shared" si="68"/>
        <v>4950000</v>
      </c>
      <c r="I1148" t="str">
        <f t="shared" si="69"/>
        <v/>
      </c>
      <c r="J1148" t="str">
        <f t="shared" si="70"/>
        <v/>
      </c>
      <c r="K1148">
        <v>1673344.77</v>
      </c>
      <c r="L1148" t="b">
        <f t="shared" si="71"/>
        <v>0</v>
      </c>
    </row>
    <row r="1149" spans="1:12" ht="16" x14ac:dyDescent="0.2">
      <c r="A1149" t="s">
        <v>5447</v>
      </c>
      <c r="B1149" t="s">
        <v>73</v>
      </c>
      <c r="C1149" t="s">
        <v>3753</v>
      </c>
      <c r="D1149" s="2" t="s">
        <v>155</v>
      </c>
      <c r="E1149">
        <v>2026</v>
      </c>
      <c r="F1149">
        <v>2030</v>
      </c>
      <c r="G1149" s="10">
        <v>6500000</v>
      </c>
      <c r="H1149">
        <f t="shared" si="68"/>
        <v>6500000</v>
      </c>
      <c r="I1149">
        <f t="shared" si="69"/>
        <v>6500000</v>
      </c>
      <c r="J1149">
        <f t="shared" si="70"/>
        <v>6500000</v>
      </c>
      <c r="K1149">
        <v>5187134.49</v>
      </c>
      <c r="L1149" t="b">
        <f t="shared" si="71"/>
        <v>0</v>
      </c>
    </row>
    <row r="1150" spans="1:12" ht="16" x14ac:dyDescent="0.2">
      <c r="A1150" t="s">
        <v>5448</v>
      </c>
      <c r="B1150" t="s">
        <v>73</v>
      </c>
      <c r="C1150" t="s">
        <v>3754</v>
      </c>
      <c r="D1150" s="2" t="s">
        <v>155</v>
      </c>
      <c r="G1150" s="10" t="s">
        <v>2892</v>
      </c>
      <c r="H1150" t="str">
        <f t="shared" si="68"/>
        <v/>
      </c>
      <c r="I1150" t="str">
        <f t="shared" si="69"/>
        <v/>
      </c>
      <c r="J1150" t="str">
        <f t="shared" si="70"/>
        <v/>
      </c>
      <c r="L1150" t="b">
        <f t="shared" si="71"/>
        <v>1</v>
      </c>
    </row>
    <row r="1151" spans="1:12" ht="16" x14ac:dyDescent="0.2">
      <c r="A1151" t="s">
        <v>5449</v>
      </c>
      <c r="B1151" t="s">
        <v>73</v>
      </c>
      <c r="C1151" t="s">
        <v>3755</v>
      </c>
      <c r="D1151" s="2" t="s">
        <v>155</v>
      </c>
      <c r="E1151">
        <v>2025</v>
      </c>
      <c r="F1151">
        <v>2026</v>
      </c>
      <c r="G1151" s="10">
        <v>5720000</v>
      </c>
      <c r="H1151" t="str">
        <f t="shared" si="68"/>
        <v/>
      </c>
      <c r="I1151" t="str">
        <f t="shared" si="69"/>
        <v/>
      </c>
      <c r="J1151" t="str">
        <f t="shared" si="70"/>
        <v/>
      </c>
      <c r="K1151">
        <v>1987088.02</v>
      </c>
      <c r="L1151" t="b">
        <f t="shared" si="71"/>
        <v>0</v>
      </c>
    </row>
    <row r="1152" spans="1:12" ht="16" x14ac:dyDescent="0.2">
      <c r="A1152" t="s">
        <v>5450</v>
      </c>
      <c r="B1152" t="s">
        <v>73</v>
      </c>
      <c r="C1152" t="s">
        <v>3756</v>
      </c>
      <c r="D1152" s="2" t="s">
        <v>155</v>
      </c>
      <c r="G1152" s="10" t="s">
        <v>2892</v>
      </c>
      <c r="H1152" t="str">
        <f t="shared" si="68"/>
        <v/>
      </c>
      <c r="I1152" t="str">
        <f t="shared" si="69"/>
        <v/>
      </c>
      <c r="J1152" t="str">
        <f t="shared" si="70"/>
        <v/>
      </c>
      <c r="L1152" t="b">
        <f t="shared" si="71"/>
        <v>1</v>
      </c>
    </row>
    <row r="1153" spans="1:12" ht="16" x14ac:dyDescent="0.2">
      <c r="A1153" t="s">
        <v>5451</v>
      </c>
      <c r="B1153" t="s">
        <v>73</v>
      </c>
      <c r="C1153" t="s">
        <v>3757</v>
      </c>
      <c r="D1153" s="2" t="s">
        <v>155</v>
      </c>
      <c r="E1153">
        <v>2025</v>
      </c>
      <c r="F1153">
        <v>2026</v>
      </c>
      <c r="G1153" s="10">
        <v>2505000</v>
      </c>
      <c r="H1153" t="str">
        <f t="shared" si="68"/>
        <v/>
      </c>
      <c r="I1153" t="str">
        <f t="shared" si="69"/>
        <v/>
      </c>
      <c r="J1153" t="str">
        <f t="shared" si="70"/>
        <v/>
      </c>
      <c r="K1153">
        <v>994975.75</v>
      </c>
      <c r="L1153" t="b">
        <f t="shared" si="71"/>
        <v>0</v>
      </c>
    </row>
    <row r="1154" spans="1:12" ht="16" x14ac:dyDescent="0.2">
      <c r="A1154" t="s">
        <v>5452</v>
      </c>
      <c r="B1154" t="s">
        <v>73</v>
      </c>
      <c r="C1154" t="s">
        <v>3758</v>
      </c>
      <c r="D1154" s="2" t="s">
        <v>155</v>
      </c>
      <c r="G1154" s="10" t="s">
        <v>2892</v>
      </c>
      <c r="H1154" t="str">
        <f t="shared" si="68"/>
        <v/>
      </c>
      <c r="I1154" t="str">
        <f t="shared" si="69"/>
        <v/>
      </c>
      <c r="J1154" t="str">
        <f t="shared" si="70"/>
        <v/>
      </c>
      <c r="L1154" t="b">
        <f t="shared" si="71"/>
        <v>1</v>
      </c>
    </row>
    <row r="1155" spans="1:12" ht="16" x14ac:dyDescent="0.2">
      <c r="A1155" t="s">
        <v>5453</v>
      </c>
      <c r="B1155" t="s">
        <v>73</v>
      </c>
      <c r="C1155" t="s">
        <v>3759</v>
      </c>
      <c r="D1155" s="2" t="s">
        <v>155</v>
      </c>
      <c r="G1155" s="10" t="s">
        <v>2892</v>
      </c>
      <c r="H1155" t="str">
        <f t="shared" si="68"/>
        <v/>
      </c>
      <c r="I1155" t="str">
        <f t="shared" si="69"/>
        <v/>
      </c>
      <c r="J1155" t="str">
        <f t="shared" si="70"/>
        <v/>
      </c>
      <c r="L1155" t="b">
        <f t="shared" si="71"/>
        <v>1</v>
      </c>
    </row>
    <row r="1156" spans="1:12" ht="16" x14ac:dyDescent="0.2">
      <c r="A1156" t="s">
        <v>5454</v>
      </c>
      <c r="B1156" t="s">
        <v>73</v>
      </c>
      <c r="C1156" t="s">
        <v>3760</v>
      </c>
      <c r="D1156" s="2" t="s">
        <v>155</v>
      </c>
      <c r="E1156">
        <v>2025</v>
      </c>
      <c r="F1156">
        <v>2026</v>
      </c>
      <c r="G1156" s="10">
        <v>2095000.0000000002</v>
      </c>
      <c r="H1156" t="str">
        <f t="shared" ref="H1156:H1219" si="72">IF(F1156&gt;=2027,G1156,"")</f>
        <v/>
      </c>
      <c r="I1156" t="str">
        <f t="shared" ref="I1156:I1219" si="73">IF(F1156&gt;=2028,G1156,"")</f>
        <v/>
      </c>
      <c r="J1156" t="str">
        <f t="shared" ref="J1156:J1219" si="74">IF(F1156&gt;=2029,G1156,"")</f>
        <v/>
      </c>
      <c r="K1156">
        <v>377156.41</v>
      </c>
      <c r="L1156" t="b">
        <f t="shared" si="71"/>
        <v>0</v>
      </c>
    </row>
    <row r="1157" spans="1:12" ht="16" x14ac:dyDescent="0.2">
      <c r="A1157" t="s">
        <v>5455</v>
      </c>
      <c r="B1157" t="s">
        <v>73</v>
      </c>
      <c r="C1157" t="s">
        <v>3761</v>
      </c>
      <c r="D1157" s="2" t="s">
        <v>155</v>
      </c>
      <c r="G1157" s="10" t="s">
        <v>2892</v>
      </c>
      <c r="H1157" t="str">
        <f t="shared" si="72"/>
        <v/>
      </c>
      <c r="I1157" t="str">
        <f t="shared" si="73"/>
        <v/>
      </c>
      <c r="J1157" t="str">
        <f t="shared" si="74"/>
        <v/>
      </c>
      <c r="L1157" t="b">
        <f t="shared" si="71"/>
        <v>1</v>
      </c>
    </row>
    <row r="1158" spans="1:12" ht="16" x14ac:dyDescent="0.2">
      <c r="A1158" t="s">
        <v>5456</v>
      </c>
      <c r="B1158" t="s">
        <v>73</v>
      </c>
      <c r="C1158" t="s">
        <v>3762</v>
      </c>
      <c r="D1158" s="2" t="s">
        <v>155</v>
      </c>
      <c r="E1158">
        <v>2025</v>
      </c>
      <c r="F1158">
        <v>2026</v>
      </c>
      <c r="G1158" s="10">
        <v>2535000</v>
      </c>
      <c r="H1158" t="str">
        <f t="shared" si="72"/>
        <v/>
      </c>
      <c r="I1158" t="str">
        <f t="shared" si="73"/>
        <v/>
      </c>
      <c r="J1158" t="str">
        <f t="shared" si="74"/>
        <v/>
      </c>
      <c r="K1158">
        <v>540286.28</v>
      </c>
      <c r="L1158" t="b">
        <f t="shared" si="71"/>
        <v>0</v>
      </c>
    </row>
    <row r="1159" spans="1:12" ht="16" x14ac:dyDescent="0.2">
      <c r="A1159" t="s">
        <v>5457</v>
      </c>
      <c r="B1159" t="s">
        <v>73</v>
      </c>
      <c r="C1159" t="s">
        <v>3763</v>
      </c>
      <c r="D1159" s="2" t="s">
        <v>155</v>
      </c>
      <c r="E1159">
        <v>2025</v>
      </c>
      <c r="F1159">
        <v>2028</v>
      </c>
      <c r="G1159" s="10">
        <v>6735000</v>
      </c>
      <c r="H1159">
        <f t="shared" si="72"/>
        <v>6735000</v>
      </c>
      <c r="I1159">
        <f t="shared" si="73"/>
        <v>6735000</v>
      </c>
      <c r="J1159" t="str">
        <f t="shared" si="74"/>
        <v/>
      </c>
      <c r="K1159">
        <v>7646565.2300000004</v>
      </c>
      <c r="L1159" t="b">
        <f t="shared" si="71"/>
        <v>0</v>
      </c>
    </row>
    <row r="1160" spans="1:12" ht="16" x14ac:dyDescent="0.2">
      <c r="A1160" t="s">
        <v>5458</v>
      </c>
      <c r="B1160" t="s">
        <v>73</v>
      </c>
      <c r="C1160" t="s">
        <v>3764</v>
      </c>
      <c r="D1160" s="2" t="s">
        <v>155</v>
      </c>
      <c r="E1160">
        <v>2025</v>
      </c>
      <c r="F1160">
        <v>2026</v>
      </c>
      <c r="G1160" s="10">
        <v>19770000</v>
      </c>
      <c r="H1160" t="str">
        <f t="shared" si="72"/>
        <v/>
      </c>
      <c r="I1160" t="str">
        <f t="shared" si="73"/>
        <v/>
      </c>
      <c r="J1160" t="str">
        <f t="shared" si="74"/>
        <v/>
      </c>
      <c r="K1160">
        <v>22361733.969999999</v>
      </c>
      <c r="L1160" t="b">
        <f t="shared" si="71"/>
        <v>0</v>
      </c>
    </row>
    <row r="1161" spans="1:12" ht="16" x14ac:dyDescent="0.2">
      <c r="A1161" t="s">
        <v>5459</v>
      </c>
      <c r="B1161" t="s">
        <v>73</v>
      </c>
      <c r="C1161" t="s">
        <v>3765</v>
      </c>
      <c r="D1161" s="2" t="s">
        <v>155</v>
      </c>
      <c r="G1161" s="10" t="s">
        <v>2892</v>
      </c>
      <c r="H1161" t="str">
        <f t="shared" si="72"/>
        <v/>
      </c>
      <c r="I1161" t="str">
        <f t="shared" si="73"/>
        <v/>
      </c>
      <c r="J1161" t="str">
        <f t="shared" si="74"/>
        <v/>
      </c>
      <c r="L1161" t="b">
        <f t="shared" si="71"/>
        <v>1</v>
      </c>
    </row>
    <row r="1162" spans="1:12" ht="16" x14ac:dyDescent="0.2">
      <c r="A1162" t="s">
        <v>5460</v>
      </c>
      <c r="B1162" t="s">
        <v>73</v>
      </c>
      <c r="C1162" t="s">
        <v>3766</v>
      </c>
      <c r="D1162" s="2" t="s">
        <v>155</v>
      </c>
      <c r="E1162">
        <v>2025</v>
      </c>
      <c r="F1162">
        <v>2026</v>
      </c>
      <c r="G1162" s="10">
        <v>4059999.9999999995</v>
      </c>
      <c r="H1162" t="str">
        <f t="shared" si="72"/>
        <v/>
      </c>
      <c r="I1162" t="str">
        <f t="shared" si="73"/>
        <v/>
      </c>
      <c r="J1162" t="str">
        <f t="shared" si="74"/>
        <v/>
      </c>
      <c r="K1162">
        <v>1197919.3</v>
      </c>
      <c r="L1162" t="b">
        <f t="shared" si="71"/>
        <v>0</v>
      </c>
    </row>
    <row r="1163" spans="1:12" ht="16" x14ac:dyDescent="0.2">
      <c r="A1163" t="s">
        <v>5461</v>
      </c>
      <c r="B1163" t="s">
        <v>73</v>
      </c>
      <c r="C1163" t="s">
        <v>3767</v>
      </c>
      <c r="D1163" s="2" t="s">
        <v>155</v>
      </c>
      <c r="G1163" s="10" t="s">
        <v>2892</v>
      </c>
      <c r="H1163" t="str">
        <f t="shared" si="72"/>
        <v/>
      </c>
      <c r="I1163" t="str">
        <f t="shared" si="73"/>
        <v/>
      </c>
      <c r="J1163" t="str">
        <f t="shared" si="74"/>
        <v/>
      </c>
      <c r="L1163" t="b">
        <f t="shared" si="71"/>
        <v>1</v>
      </c>
    </row>
    <row r="1164" spans="1:12" ht="16" x14ac:dyDescent="0.2">
      <c r="A1164" t="s">
        <v>5462</v>
      </c>
      <c r="B1164" t="s">
        <v>73</v>
      </c>
      <c r="C1164" t="s">
        <v>3768</v>
      </c>
      <c r="D1164" s="2" t="s">
        <v>155</v>
      </c>
      <c r="E1164">
        <v>2025</v>
      </c>
      <c r="F1164">
        <v>2027</v>
      </c>
      <c r="G1164" s="10">
        <v>9693333.333333334</v>
      </c>
      <c r="H1164">
        <f t="shared" si="72"/>
        <v>9693333.333333334</v>
      </c>
      <c r="I1164" t="str">
        <f t="shared" si="73"/>
        <v/>
      </c>
      <c r="J1164" t="str">
        <f t="shared" si="74"/>
        <v/>
      </c>
      <c r="K1164">
        <v>9408014.5700000003</v>
      </c>
      <c r="L1164" t="b">
        <f t="shared" si="71"/>
        <v>0</v>
      </c>
    </row>
    <row r="1165" spans="1:12" ht="16" x14ac:dyDescent="0.2">
      <c r="A1165" t="s">
        <v>5463</v>
      </c>
      <c r="B1165" t="s">
        <v>73</v>
      </c>
      <c r="C1165" t="s">
        <v>3769</v>
      </c>
      <c r="D1165" s="2" t="s">
        <v>155</v>
      </c>
      <c r="E1165">
        <v>2025</v>
      </c>
      <c r="F1165">
        <v>2026</v>
      </c>
      <c r="G1165" s="10">
        <v>4310000</v>
      </c>
      <c r="H1165" t="str">
        <f t="shared" si="72"/>
        <v/>
      </c>
      <c r="I1165" t="str">
        <f t="shared" si="73"/>
        <v/>
      </c>
      <c r="J1165" t="str">
        <f t="shared" si="74"/>
        <v/>
      </c>
      <c r="K1165">
        <v>961466.55</v>
      </c>
      <c r="L1165" t="b">
        <f t="shared" si="71"/>
        <v>0</v>
      </c>
    </row>
    <row r="1166" spans="1:12" ht="16" x14ac:dyDescent="0.2">
      <c r="A1166" t="s">
        <v>5464</v>
      </c>
      <c r="B1166" t="s">
        <v>73</v>
      </c>
      <c r="C1166" t="s">
        <v>3770</v>
      </c>
      <c r="D1166" s="2" t="s">
        <v>155</v>
      </c>
      <c r="E1166">
        <v>2025</v>
      </c>
      <c r="F1166">
        <v>2028</v>
      </c>
      <c r="G1166" s="10">
        <v>5595000</v>
      </c>
      <c r="H1166">
        <f t="shared" si="72"/>
        <v>5595000</v>
      </c>
      <c r="I1166">
        <f t="shared" si="73"/>
        <v>5595000</v>
      </c>
      <c r="J1166" t="str">
        <f t="shared" si="74"/>
        <v/>
      </c>
      <c r="K1166">
        <v>5807818.2400000002</v>
      </c>
      <c r="L1166" t="b">
        <f t="shared" si="71"/>
        <v>0</v>
      </c>
    </row>
    <row r="1167" spans="1:12" ht="16" x14ac:dyDescent="0.2">
      <c r="A1167" t="s">
        <v>5465</v>
      </c>
      <c r="B1167" t="s">
        <v>73</v>
      </c>
      <c r="C1167" t="s">
        <v>3771</v>
      </c>
      <c r="D1167" s="2" t="s">
        <v>155</v>
      </c>
      <c r="E1167">
        <v>2025</v>
      </c>
      <c r="F1167">
        <v>2026</v>
      </c>
      <c r="G1167" s="10">
        <v>10485000</v>
      </c>
      <c r="H1167" t="str">
        <f t="shared" si="72"/>
        <v/>
      </c>
      <c r="I1167" t="str">
        <f t="shared" si="73"/>
        <v/>
      </c>
      <c r="J1167" t="str">
        <f t="shared" si="74"/>
        <v/>
      </c>
      <c r="K1167">
        <v>5569923.3799999999</v>
      </c>
      <c r="L1167" t="b">
        <f t="shared" si="71"/>
        <v>0</v>
      </c>
    </row>
    <row r="1168" spans="1:12" ht="16" x14ac:dyDescent="0.2">
      <c r="A1168" t="s">
        <v>5466</v>
      </c>
      <c r="B1168" t="s">
        <v>73</v>
      </c>
      <c r="C1168" t="s">
        <v>3772</v>
      </c>
      <c r="D1168" s="2" t="s">
        <v>155</v>
      </c>
      <c r="E1168">
        <v>2025</v>
      </c>
      <c r="F1168">
        <v>2027</v>
      </c>
      <c r="G1168" s="10">
        <v>6760000.0000000009</v>
      </c>
      <c r="H1168">
        <f t="shared" si="72"/>
        <v>6760000.0000000009</v>
      </c>
      <c r="I1168" t="str">
        <f t="shared" si="73"/>
        <v/>
      </c>
      <c r="J1168" t="str">
        <f t="shared" si="74"/>
        <v/>
      </c>
      <c r="K1168">
        <v>5534034.7800000003</v>
      </c>
      <c r="L1168" t="b">
        <f t="shared" si="71"/>
        <v>0</v>
      </c>
    </row>
    <row r="1169" spans="1:12" ht="16" x14ac:dyDescent="0.2">
      <c r="A1169" t="s">
        <v>5467</v>
      </c>
      <c r="B1169" t="s">
        <v>73</v>
      </c>
      <c r="C1169" t="s">
        <v>3773</v>
      </c>
      <c r="D1169" s="2" t="s">
        <v>155</v>
      </c>
      <c r="E1169">
        <v>2025</v>
      </c>
      <c r="F1169">
        <v>2027</v>
      </c>
      <c r="G1169" s="10">
        <v>6243333.333333333</v>
      </c>
      <c r="H1169">
        <f t="shared" si="72"/>
        <v>6243333.333333333</v>
      </c>
      <c r="I1169" t="str">
        <f t="shared" si="73"/>
        <v/>
      </c>
      <c r="J1169" t="str">
        <f t="shared" si="74"/>
        <v/>
      </c>
      <c r="K1169">
        <v>4726384.29</v>
      </c>
      <c r="L1169" t="b">
        <f t="shared" si="71"/>
        <v>0</v>
      </c>
    </row>
    <row r="1170" spans="1:12" ht="16" x14ac:dyDescent="0.2">
      <c r="A1170" t="s">
        <v>5468</v>
      </c>
      <c r="B1170" t="s">
        <v>73</v>
      </c>
      <c r="C1170" t="s">
        <v>3774</v>
      </c>
      <c r="D1170" s="2" t="s">
        <v>155</v>
      </c>
      <c r="G1170" s="10" t="s">
        <v>2892</v>
      </c>
      <c r="H1170" t="str">
        <f t="shared" si="72"/>
        <v/>
      </c>
      <c r="I1170" t="str">
        <f t="shared" si="73"/>
        <v/>
      </c>
      <c r="J1170" t="str">
        <f t="shared" si="74"/>
        <v/>
      </c>
      <c r="L1170" t="b">
        <f t="shared" si="71"/>
        <v>1</v>
      </c>
    </row>
    <row r="1171" spans="1:12" ht="16" x14ac:dyDescent="0.2">
      <c r="A1171" t="s">
        <v>5469</v>
      </c>
      <c r="B1171" t="s">
        <v>73</v>
      </c>
      <c r="C1171" t="s">
        <v>3775</v>
      </c>
      <c r="D1171" s="2" t="s">
        <v>155</v>
      </c>
      <c r="E1171">
        <v>2025</v>
      </c>
      <c r="F1171">
        <v>2026</v>
      </c>
      <c r="G1171" s="10">
        <v>5345000</v>
      </c>
      <c r="H1171" t="str">
        <f t="shared" si="72"/>
        <v/>
      </c>
      <c r="I1171" t="str">
        <f t="shared" si="73"/>
        <v/>
      </c>
      <c r="J1171" t="str">
        <f t="shared" si="74"/>
        <v/>
      </c>
      <c r="K1171">
        <v>1174220.55</v>
      </c>
      <c r="L1171" t="b">
        <f t="shared" si="71"/>
        <v>0</v>
      </c>
    </row>
    <row r="1172" spans="1:12" ht="16" x14ac:dyDescent="0.2">
      <c r="A1172" t="s">
        <v>5470</v>
      </c>
      <c r="B1172" t="s">
        <v>73</v>
      </c>
      <c r="C1172" t="s">
        <v>3776</v>
      </c>
      <c r="D1172" s="2" t="s">
        <v>155</v>
      </c>
      <c r="G1172" s="10" t="s">
        <v>2892</v>
      </c>
      <c r="H1172" t="str">
        <f t="shared" si="72"/>
        <v/>
      </c>
      <c r="I1172" t="str">
        <f t="shared" si="73"/>
        <v/>
      </c>
      <c r="J1172" t="str">
        <f t="shared" si="74"/>
        <v/>
      </c>
      <c r="L1172" t="b">
        <f t="shared" si="71"/>
        <v>1</v>
      </c>
    </row>
    <row r="1173" spans="1:12" ht="16" x14ac:dyDescent="0.2">
      <c r="A1173" t="s">
        <v>5471</v>
      </c>
      <c r="B1173" t="s">
        <v>73</v>
      </c>
      <c r="C1173" t="s">
        <v>3777</v>
      </c>
      <c r="D1173" s="2" t="s">
        <v>155</v>
      </c>
      <c r="E1173">
        <v>2025</v>
      </c>
      <c r="F1173">
        <v>2026</v>
      </c>
      <c r="G1173" s="10">
        <v>4184999.9999999995</v>
      </c>
      <c r="H1173" t="str">
        <f t="shared" si="72"/>
        <v/>
      </c>
      <c r="I1173" t="str">
        <f t="shared" si="73"/>
        <v/>
      </c>
      <c r="J1173" t="str">
        <f t="shared" si="74"/>
        <v/>
      </c>
      <c r="K1173">
        <v>1775858.64</v>
      </c>
      <c r="L1173" t="b">
        <f t="shared" si="71"/>
        <v>0</v>
      </c>
    </row>
    <row r="1174" spans="1:12" ht="16" x14ac:dyDescent="0.2">
      <c r="A1174" t="s">
        <v>5472</v>
      </c>
      <c r="B1174" t="s">
        <v>73</v>
      </c>
      <c r="C1174" t="s">
        <v>3778</v>
      </c>
      <c r="D1174" s="2" t="s">
        <v>155</v>
      </c>
      <c r="G1174" s="10" t="s">
        <v>2892</v>
      </c>
      <c r="H1174" t="str">
        <f t="shared" si="72"/>
        <v/>
      </c>
      <c r="I1174" t="str">
        <f t="shared" si="73"/>
        <v/>
      </c>
      <c r="J1174" t="str">
        <f t="shared" si="74"/>
        <v/>
      </c>
      <c r="L1174" t="b">
        <f t="shared" si="71"/>
        <v>1</v>
      </c>
    </row>
    <row r="1175" spans="1:12" ht="16" x14ac:dyDescent="0.2">
      <c r="A1175" t="s">
        <v>5473</v>
      </c>
      <c r="B1175" t="s">
        <v>73</v>
      </c>
      <c r="C1175" t="s">
        <v>3779</v>
      </c>
      <c r="D1175" s="2" t="s">
        <v>155</v>
      </c>
      <c r="E1175">
        <v>2025</v>
      </c>
      <c r="F1175">
        <v>2026</v>
      </c>
      <c r="G1175" s="10">
        <v>21120000</v>
      </c>
      <c r="H1175" t="str">
        <f t="shared" si="72"/>
        <v/>
      </c>
      <c r="I1175" t="str">
        <f t="shared" si="73"/>
        <v/>
      </c>
      <c r="J1175" t="str">
        <f t="shared" si="74"/>
        <v/>
      </c>
      <c r="K1175">
        <v>25205147.859999999</v>
      </c>
      <c r="L1175" t="b">
        <f t="shared" si="71"/>
        <v>0</v>
      </c>
    </row>
    <row r="1176" spans="1:12" ht="16" x14ac:dyDescent="0.2">
      <c r="A1176" t="s">
        <v>5474</v>
      </c>
      <c r="B1176" t="s">
        <v>73</v>
      </c>
      <c r="C1176" t="s">
        <v>3780</v>
      </c>
      <c r="D1176" s="2" t="s">
        <v>155</v>
      </c>
      <c r="E1176">
        <v>2025</v>
      </c>
      <c r="F1176">
        <v>2026</v>
      </c>
      <c r="G1176" s="10">
        <v>5200000</v>
      </c>
      <c r="H1176" t="str">
        <f t="shared" si="72"/>
        <v/>
      </c>
      <c r="I1176" t="str">
        <f t="shared" si="73"/>
        <v/>
      </c>
      <c r="J1176" t="str">
        <f t="shared" si="74"/>
        <v/>
      </c>
      <c r="K1176">
        <v>2646870.5</v>
      </c>
      <c r="L1176" t="b">
        <f t="shared" si="71"/>
        <v>0</v>
      </c>
    </row>
    <row r="1177" spans="1:12" ht="16" x14ac:dyDescent="0.2">
      <c r="A1177" t="s">
        <v>5475</v>
      </c>
      <c r="B1177" t="s">
        <v>73</v>
      </c>
      <c r="C1177" t="s">
        <v>3781</v>
      </c>
      <c r="D1177" s="2" t="s">
        <v>155</v>
      </c>
      <c r="E1177">
        <v>2025</v>
      </c>
      <c r="F1177">
        <v>2027</v>
      </c>
      <c r="G1177" s="10">
        <v>5586666.666666667</v>
      </c>
      <c r="H1177">
        <f t="shared" si="72"/>
        <v>5586666.666666667</v>
      </c>
      <c r="I1177" t="str">
        <f t="shared" si="73"/>
        <v/>
      </c>
      <c r="J1177" t="str">
        <f t="shared" si="74"/>
        <v/>
      </c>
      <c r="K1177">
        <v>4740226.88</v>
      </c>
      <c r="L1177" t="b">
        <f t="shared" si="71"/>
        <v>0</v>
      </c>
    </row>
    <row r="1178" spans="1:12" ht="16" x14ac:dyDescent="0.2">
      <c r="A1178" t="s">
        <v>5476</v>
      </c>
      <c r="B1178" t="s">
        <v>73</v>
      </c>
      <c r="C1178" t="s">
        <v>3782</v>
      </c>
      <c r="D1178" s="2" t="s">
        <v>155</v>
      </c>
      <c r="E1178">
        <v>2025</v>
      </c>
      <c r="F1178">
        <v>2027</v>
      </c>
      <c r="G1178" s="10">
        <v>2323333.333333333</v>
      </c>
      <c r="H1178">
        <f t="shared" si="72"/>
        <v>2323333.333333333</v>
      </c>
      <c r="I1178" t="str">
        <f t="shared" si="73"/>
        <v/>
      </c>
      <c r="J1178" t="str">
        <f t="shared" si="74"/>
        <v/>
      </c>
      <c r="K1178">
        <v>1335658.3500000001</v>
      </c>
      <c r="L1178" t="b">
        <f t="shared" si="71"/>
        <v>0</v>
      </c>
    </row>
    <row r="1179" spans="1:12" ht="16" x14ac:dyDescent="0.2">
      <c r="A1179" t="s">
        <v>5477</v>
      </c>
      <c r="B1179" t="s">
        <v>73</v>
      </c>
      <c r="C1179" t="s">
        <v>3783</v>
      </c>
      <c r="D1179" s="2" t="s">
        <v>155</v>
      </c>
      <c r="G1179" s="10" t="s">
        <v>2892</v>
      </c>
      <c r="H1179" t="str">
        <f t="shared" si="72"/>
        <v/>
      </c>
      <c r="I1179" t="str">
        <f t="shared" si="73"/>
        <v/>
      </c>
      <c r="J1179" t="str">
        <f t="shared" si="74"/>
        <v/>
      </c>
      <c r="L1179" t="b">
        <f t="shared" si="71"/>
        <v>1</v>
      </c>
    </row>
    <row r="1180" spans="1:12" ht="16" x14ac:dyDescent="0.2">
      <c r="A1180" t="s">
        <v>5478</v>
      </c>
      <c r="B1180" t="s">
        <v>73</v>
      </c>
      <c r="C1180" t="s">
        <v>3784</v>
      </c>
      <c r="D1180" s="2" t="s">
        <v>155</v>
      </c>
      <c r="E1180">
        <v>2025</v>
      </c>
      <c r="F1180">
        <v>2026</v>
      </c>
      <c r="G1180" s="10">
        <v>1840000</v>
      </c>
      <c r="H1180" t="str">
        <f t="shared" si="72"/>
        <v/>
      </c>
      <c r="I1180" t="str">
        <f t="shared" si="73"/>
        <v/>
      </c>
      <c r="J1180" t="str">
        <f t="shared" si="74"/>
        <v/>
      </c>
      <c r="K1180">
        <v>188342.26</v>
      </c>
      <c r="L1180" t="b">
        <f t="shared" si="71"/>
        <v>0</v>
      </c>
    </row>
    <row r="1181" spans="1:12" ht="16" x14ac:dyDescent="0.2">
      <c r="A1181" t="s">
        <v>5479</v>
      </c>
      <c r="B1181" t="s">
        <v>73</v>
      </c>
      <c r="C1181" t="s">
        <v>3785</v>
      </c>
      <c r="D1181" s="2" t="s">
        <v>155</v>
      </c>
      <c r="E1181">
        <v>2025</v>
      </c>
      <c r="F1181">
        <v>2027</v>
      </c>
      <c r="G1181" s="10">
        <v>9466666.666666666</v>
      </c>
      <c r="H1181">
        <f t="shared" si="72"/>
        <v>9466666.666666666</v>
      </c>
      <c r="I1181" t="str">
        <f t="shared" si="73"/>
        <v/>
      </c>
      <c r="J1181" t="str">
        <f t="shared" si="74"/>
        <v/>
      </c>
      <c r="K1181">
        <v>10571785.02</v>
      </c>
      <c r="L1181" t="b">
        <f t="shared" si="71"/>
        <v>0</v>
      </c>
    </row>
    <row r="1182" spans="1:12" ht="16" x14ac:dyDescent="0.2">
      <c r="A1182" t="s">
        <v>5480</v>
      </c>
      <c r="B1182" t="s">
        <v>73</v>
      </c>
      <c r="C1182" t="s">
        <v>3786</v>
      </c>
      <c r="D1182" s="2" t="s">
        <v>155</v>
      </c>
      <c r="E1182">
        <v>2025</v>
      </c>
      <c r="F1182">
        <v>2027</v>
      </c>
      <c r="G1182" s="10">
        <v>5100000.0000000009</v>
      </c>
      <c r="H1182">
        <f t="shared" si="72"/>
        <v>5100000.0000000009</v>
      </c>
      <c r="I1182" t="str">
        <f t="shared" si="73"/>
        <v/>
      </c>
      <c r="J1182" t="str">
        <f t="shared" si="74"/>
        <v/>
      </c>
      <c r="K1182">
        <v>3445675.82</v>
      </c>
      <c r="L1182" t="b">
        <f t="shared" si="71"/>
        <v>0</v>
      </c>
    </row>
    <row r="1183" spans="1:12" ht="16" x14ac:dyDescent="0.2">
      <c r="A1183" t="s">
        <v>5481</v>
      </c>
      <c r="B1183" t="s">
        <v>73</v>
      </c>
      <c r="C1183" t="s">
        <v>3787</v>
      </c>
      <c r="D1183" s="2" t="s">
        <v>155</v>
      </c>
      <c r="E1183">
        <v>2025</v>
      </c>
      <c r="F1183">
        <v>2027</v>
      </c>
      <c r="G1183" s="10">
        <v>4760000</v>
      </c>
      <c r="H1183">
        <f t="shared" si="72"/>
        <v>4760000</v>
      </c>
      <c r="I1183" t="str">
        <f t="shared" si="73"/>
        <v/>
      </c>
      <c r="J1183" t="str">
        <f t="shared" si="74"/>
        <v/>
      </c>
      <c r="K1183">
        <v>2742525.67</v>
      </c>
      <c r="L1183" t="b">
        <f t="shared" si="71"/>
        <v>0</v>
      </c>
    </row>
    <row r="1184" spans="1:12" ht="16" x14ac:dyDescent="0.2">
      <c r="A1184" t="s">
        <v>5482</v>
      </c>
      <c r="B1184" t="s">
        <v>73</v>
      </c>
      <c r="C1184" t="s">
        <v>3788</v>
      </c>
      <c r="D1184" s="2" t="s">
        <v>155</v>
      </c>
      <c r="E1184">
        <v>2025</v>
      </c>
      <c r="F1184">
        <v>2027</v>
      </c>
      <c r="G1184" s="10">
        <v>2146666.666666667</v>
      </c>
      <c r="H1184">
        <f t="shared" si="72"/>
        <v>2146666.666666667</v>
      </c>
      <c r="I1184" t="str">
        <f t="shared" si="73"/>
        <v/>
      </c>
      <c r="J1184" t="str">
        <f t="shared" si="74"/>
        <v/>
      </c>
      <c r="K1184">
        <v>129057.47</v>
      </c>
      <c r="L1184" t="b">
        <f t="shared" si="71"/>
        <v>0</v>
      </c>
    </row>
    <row r="1185" spans="1:12" ht="16" x14ac:dyDescent="0.2">
      <c r="A1185" t="s">
        <v>5483</v>
      </c>
      <c r="B1185" t="s">
        <v>73</v>
      </c>
      <c r="C1185" t="s">
        <v>3789</v>
      </c>
      <c r="D1185" s="2" t="s">
        <v>155</v>
      </c>
      <c r="E1185">
        <v>2025</v>
      </c>
      <c r="F1185">
        <v>2026</v>
      </c>
      <c r="G1185" s="10">
        <v>10700000</v>
      </c>
      <c r="H1185" t="str">
        <f t="shared" si="72"/>
        <v/>
      </c>
      <c r="I1185" t="str">
        <f t="shared" si="73"/>
        <v/>
      </c>
      <c r="J1185" t="str">
        <f t="shared" si="74"/>
        <v/>
      </c>
      <c r="K1185">
        <v>5771913.9299999997</v>
      </c>
      <c r="L1185" t="b">
        <f t="shared" si="71"/>
        <v>0</v>
      </c>
    </row>
    <row r="1186" spans="1:12" ht="16" x14ac:dyDescent="0.2">
      <c r="A1186" t="s">
        <v>5484</v>
      </c>
      <c r="B1186" t="s">
        <v>73</v>
      </c>
      <c r="C1186" t="s">
        <v>3790</v>
      </c>
      <c r="D1186" s="2" t="s">
        <v>155</v>
      </c>
      <c r="E1186">
        <v>2026</v>
      </c>
      <c r="F1186">
        <v>2028</v>
      </c>
      <c r="G1186" s="10">
        <v>5745000</v>
      </c>
      <c r="H1186">
        <f t="shared" si="72"/>
        <v>5745000</v>
      </c>
      <c r="I1186">
        <f t="shared" si="73"/>
        <v>5745000</v>
      </c>
      <c r="J1186" t="str">
        <f t="shared" si="74"/>
        <v/>
      </c>
      <c r="K1186">
        <v>2619516.81</v>
      </c>
      <c r="L1186" t="b">
        <f t="shared" si="71"/>
        <v>0</v>
      </c>
    </row>
    <row r="1187" spans="1:12" ht="16" x14ac:dyDescent="0.2">
      <c r="A1187" t="s">
        <v>5485</v>
      </c>
      <c r="B1187" t="s">
        <v>73</v>
      </c>
      <c r="C1187" t="s">
        <v>3791</v>
      </c>
      <c r="D1187" s="2" t="s">
        <v>155</v>
      </c>
      <c r="E1187">
        <v>2025</v>
      </c>
      <c r="F1187">
        <v>2027</v>
      </c>
      <c r="G1187" s="10">
        <v>4636666.666666667</v>
      </c>
      <c r="H1187">
        <f t="shared" si="72"/>
        <v>4636666.666666667</v>
      </c>
      <c r="I1187" t="str">
        <f t="shared" si="73"/>
        <v/>
      </c>
      <c r="J1187" t="str">
        <f t="shared" si="74"/>
        <v/>
      </c>
      <c r="K1187">
        <v>1484886.95</v>
      </c>
      <c r="L1187" t="b">
        <f t="shared" ref="L1187:L1250" si="75">IF(F1187="",TRUE,FALSE)</f>
        <v>0</v>
      </c>
    </row>
    <row r="1188" spans="1:12" ht="16" x14ac:dyDescent="0.2">
      <c r="A1188" t="s">
        <v>5486</v>
      </c>
      <c r="B1188" t="s">
        <v>73</v>
      </c>
      <c r="C1188" t="s">
        <v>3792</v>
      </c>
      <c r="D1188" s="2" t="s">
        <v>155</v>
      </c>
      <c r="E1188">
        <v>2026</v>
      </c>
      <c r="F1188">
        <v>2030</v>
      </c>
      <c r="G1188" s="10">
        <v>15412500</v>
      </c>
      <c r="H1188">
        <f t="shared" si="72"/>
        <v>15412500</v>
      </c>
      <c r="I1188">
        <f t="shared" si="73"/>
        <v>15412500</v>
      </c>
      <c r="J1188">
        <f t="shared" si="74"/>
        <v>15412500</v>
      </c>
      <c r="K1188">
        <v>28626746.43</v>
      </c>
      <c r="L1188" t="b">
        <f t="shared" si="75"/>
        <v>0</v>
      </c>
    </row>
    <row r="1189" spans="1:12" ht="16" x14ac:dyDescent="0.2">
      <c r="A1189" t="s">
        <v>5487</v>
      </c>
      <c r="B1189" t="s">
        <v>73</v>
      </c>
      <c r="C1189" t="s">
        <v>3793</v>
      </c>
      <c r="D1189" s="2" t="s">
        <v>155</v>
      </c>
      <c r="E1189">
        <v>2025</v>
      </c>
      <c r="F1189">
        <v>2027</v>
      </c>
      <c r="G1189" s="10">
        <v>4766666.666666667</v>
      </c>
      <c r="H1189">
        <f t="shared" si="72"/>
        <v>4766666.666666667</v>
      </c>
      <c r="I1189" t="str">
        <f t="shared" si="73"/>
        <v/>
      </c>
      <c r="J1189" t="str">
        <f t="shared" si="74"/>
        <v/>
      </c>
      <c r="K1189">
        <v>1749769.33</v>
      </c>
      <c r="L1189" t="b">
        <f t="shared" si="75"/>
        <v>0</v>
      </c>
    </row>
    <row r="1190" spans="1:12" ht="16" x14ac:dyDescent="0.2">
      <c r="A1190" t="s">
        <v>5488</v>
      </c>
      <c r="B1190" t="s">
        <v>73</v>
      </c>
      <c r="C1190" t="s">
        <v>3794</v>
      </c>
      <c r="D1190" s="2" t="s">
        <v>155</v>
      </c>
      <c r="E1190">
        <v>2025</v>
      </c>
      <c r="F1190">
        <v>2026</v>
      </c>
      <c r="G1190" s="10">
        <v>2020000</v>
      </c>
      <c r="H1190" t="str">
        <f t="shared" si="72"/>
        <v/>
      </c>
      <c r="I1190" t="str">
        <f t="shared" si="73"/>
        <v/>
      </c>
      <c r="J1190" t="str">
        <f t="shared" si="74"/>
        <v/>
      </c>
      <c r="K1190">
        <v>442440.14</v>
      </c>
      <c r="L1190" t="b">
        <f t="shared" si="75"/>
        <v>0</v>
      </c>
    </row>
    <row r="1191" spans="1:12" ht="16" x14ac:dyDescent="0.2">
      <c r="A1191" t="s">
        <v>5489</v>
      </c>
      <c r="B1191" t="s">
        <v>73</v>
      </c>
      <c r="C1191" t="s">
        <v>3795</v>
      </c>
      <c r="D1191" s="2" t="s">
        <v>155</v>
      </c>
      <c r="G1191" s="10" t="s">
        <v>2892</v>
      </c>
      <c r="H1191" t="str">
        <f t="shared" si="72"/>
        <v/>
      </c>
      <c r="I1191" t="str">
        <f t="shared" si="73"/>
        <v/>
      </c>
      <c r="J1191" t="str">
        <f t="shared" si="74"/>
        <v/>
      </c>
      <c r="L1191" t="b">
        <f t="shared" si="75"/>
        <v>1</v>
      </c>
    </row>
    <row r="1192" spans="1:12" ht="16" x14ac:dyDescent="0.2">
      <c r="A1192" t="s">
        <v>5490</v>
      </c>
      <c r="B1192" t="s">
        <v>73</v>
      </c>
      <c r="C1192" t="s">
        <v>3796</v>
      </c>
      <c r="D1192" s="2" t="s">
        <v>155</v>
      </c>
      <c r="E1192">
        <v>2025</v>
      </c>
      <c r="F1192">
        <v>2027</v>
      </c>
      <c r="G1192" s="10">
        <v>5086666.666666667</v>
      </c>
      <c r="H1192">
        <f t="shared" si="72"/>
        <v>5086666.666666667</v>
      </c>
      <c r="I1192" t="str">
        <f t="shared" si="73"/>
        <v/>
      </c>
      <c r="J1192" t="str">
        <f t="shared" si="74"/>
        <v/>
      </c>
      <c r="K1192">
        <v>4452470.1100000003</v>
      </c>
      <c r="L1192" t="b">
        <f t="shared" si="75"/>
        <v>0</v>
      </c>
    </row>
    <row r="1193" spans="1:12" ht="16" x14ac:dyDescent="0.2">
      <c r="A1193" t="s">
        <v>5491</v>
      </c>
      <c r="B1193" t="s">
        <v>73</v>
      </c>
      <c r="C1193" t="s">
        <v>3797</v>
      </c>
      <c r="D1193" s="2" t="s">
        <v>155</v>
      </c>
      <c r="G1193" s="10" t="s">
        <v>2892</v>
      </c>
      <c r="H1193" t="str">
        <f t="shared" si="72"/>
        <v/>
      </c>
      <c r="I1193" t="str">
        <f t="shared" si="73"/>
        <v/>
      </c>
      <c r="J1193" t="str">
        <f t="shared" si="74"/>
        <v/>
      </c>
      <c r="L1193" t="b">
        <f t="shared" si="75"/>
        <v>1</v>
      </c>
    </row>
    <row r="1194" spans="1:12" ht="16" x14ac:dyDescent="0.2">
      <c r="A1194" t="s">
        <v>5492</v>
      </c>
      <c r="B1194" t="s">
        <v>73</v>
      </c>
      <c r="C1194" t="s">
        <v>3798</v>
      </c>
      <c r="D1194" s="2" t="s">
        <v>155</v>
      </c>
      <c r="G1194" s="10" t="s">
        <v>2892</v>
      </c>
      <c r="H1194" t="str">
        <f t="shared" si="72"/>
        <v/>
      </c>
      <c r="I1194" t="str">
        <f t="shared" si="73"/>
        <v/>
      </c>
      <c r="J1194" t="str">
        <f t="shared" si="74"/>
        <v/>
      </c>
      <c r="L1194" t="b">
        <f t="shared" si="75"/>
        <v>1</v>
      </c>
    </row>
    <row r="1195" spans="1:12" ht="16" x14ac:dyDescent="0.2">
      <c r="A1195" t="s">
        <v>5493</v>
      </c>
      <c r="B1195" t="s">
        <v>73</v>
      </c>
      <c r="C1195" t="s">
        <v>3799</v>
      </c>
      <c r="D1195" s="2" t="s">
        <v>155</v>
      </c>
      <c r="E1195">
        <v>2025</v>
      </c>
      <c r="F1195">
        <v>2027</v>
      </c>
      <c r="G1195" s="10">
        <v>3539999.9999999995</v>
      </c>
      <c r="H1195">
        <f t="shared" si="72"/>
        <v>3539999.9999999995</v>
      </c>
      <c r="I1195" t="str">
        <f t="shared" si="73"/>
        <v/>
      </c>
      <c r="J1195" t="str">
        <f t="shared" si="74"/>
        <v/>
      </c>
      <c r="K1195">
        <v>1975136.59</v>
      </c>
      <c r="L1195" t="b">
        <f t="shared" si="75"/>
        <v>0</v>
      </c>
    </row>
    <row r="1196" spans="1:12" ht="16" x14ac:dyDescent="0.2">
      <c r="A1196" t="s">
        <v>5494</v>
      </c>
      <c r="B1196" t="s">
        <v>73</v>
      </c>
      <c r="C1196" t="s">
        <v>3800</v>
      </c>
      <c r="D1196" s="2" t="s">
        <v>155</v>
      </c>
      <c r="G1196" s="10" t="s">
        <v>2892</v>
      </c>
      <c r="H1196" t="str">
        <f t="shared" si="72"/>
        <v/>
      </c>
      <c r="I1196" t="str">
        <f t="shared" si="73"/>
        <v/>
      </c>
      <c r="J1196" t="str">
        <f t="shared" si="74"/>
        <v/>
      </c>
      <c r="L1196" t="b">
        <f t="shared" si="75"/>
        <v>1</v>
      </c>
    </row>
    <row r="1197" spans="1:12" ht="16" x14ac:dyDescent="0.2">
      <c r="A1197" t="s">
        <v>5495</v>
      </c>
      <c r="B1197" t="s">
        <v>73</v>
      </c>
      <c r="C1197" t="s">
        <v>3801</v>
      </c>
      <c r="D1197" s="2" t="s">
        <v>155</v>
      </c>
      <c r="E1197">
        <v>2025</v>
      </c>
      <c r="F1197">
        <v>2027</v>
      </c>
      <c r="G1197" s="10">
        <v>8726666.666666666</v>
      </c>
      <c r="H1197">
        <f t="shared" si="72"/>
        <v>8726666.666666666</v>
      </c>
      <c r="I1197" t="str">
        <f t="shared" si="73"/>
        <v/>
      </c>
      <c r="J1197" t="str">
        <f t="shared" si="74"/>
        <v/>
      </c>
      <c r="K1197">
        <v>7588151.1200000001</v>
      </c>
      <c r="L1197" t="b">
        <f t="shared" si="75"/>
        <v>0</v>
      </c>
    </row>
    <row r="1198" spans="1:12" ht="16" x14ac:dyDescent="0.2">
      <c r="A1198" t="s">
        <v>5496</v>
      </c>
      <c r="B1198" t="s">
        <v>73</v>
      </c>
      <c r="C1198" t="s">
        <v>3802</v>
      </c>
      <c r="D1198" s="2" t="s">
        <v>155</v>
      </c>
      <c r="E1198">
        <v>2025</v>
      </c>
      <c r="F1198">
        <v>2026</v>
      </c>
      <c r="G1198" s="10">
        <v>1655000</v>
      </c>
      <c r="H1198" t="str">
        <f t="shared" si="72"/>
        <v/>
      </c>
      <c r="I1198" t="str">
        <f t="shared" si="73"/>
        <v/>
      </c>
      <c r="J1198" t="str">
        <f t="shared" si="74"/>
        <v/>
      </c>
      <c r="K1198">
        <v>441863.52</v>
      </c>
      <c r="L1198" t="b">
        <f t="shared" si="75"/>
        <v>0</v>
      </c>
    </row>
    <row r="1199" spans="1:12" ht="16" x14ac:dyDescent="0.2">
      <c r="A1199" t="s">
        <v>5497</v>
      </c>
      <c r="B1199" t="s">
        <v>73</v>
      </c>
      <c r="C1199" t="s">
        <v>3803</v>
      </c>
      <c r="D1199" s="2" t="s">
        <v>148</v>
      </c>
      <c r="E1199">
        <v>2025</v>
      </c>
      <c r="F1199">
        <v>2027</v>
      </c>
      <c r="G1199" s="10">
        <v>10836666.666666666</v>
      </c>
      <c r="H1199">
        <f t="shared" si="72"/>
        <v>10836666.666666666</v>
      </c>
      <c r="I1199" t="str">
        <f t="shared" si="73"/>
        <v/>
      </c>
      <c r="J1199" t="str">
        <f t="shared" si="74"/>
        <v/>
      </c>
      <c r="K1199">
        <v>12731771.33</v>
      </c>
      <c r="L1199" t="b">
        <f t="shared" si="75"/>
        <v>0</v>
      </c>
    </row>
    <row r="1200" spans="1:12" ht="16" x14ac:dyDescent="0.2">
      <c r="A1200" t="s">
        <v>5498</v>
      </c>
      <c r="B1200" t="s">
        <v>73</v>
      </c>
      <c r="C1200" t="s">
        <v>3804</v>
      </c>
      <c r="D1200" s="2" t="s">
        <v>148</v>
      </c>
      <c r="E1200">
        <v>2025</v>
      </c>
      <c r="F1200">
        <v>2026</v>
      </c>
      <c r="G1200" s="10">
        <v>3810000</v>
      </c>
      <c r="H1200" t="str">
        <f t="shared" si="72"/>
        <v/>
      </c>
      <c r="I1200" t="str">
        <f t="shared" si="73"/>
        <v/>
      </c>
      <c r="J1200" t="str">
        <f t="shared" si="74"/>
        <v/>
      </c>
      <c r="K1200">
        <v>336443.37</v>
      </c>
      <c r="L1200" t="b">
        <f t="shared" si="75"/>
        <v>0</v>
      </c>
    </row>
    <row r="1201" spans="1:12" ht="16" x14ac:dyDescent="0.2">
      <c r="A1201" t="s">
        <v>5499</v>
      </c>
      <c r="B1201" t="s">
        <v>73</v>
      </c>
      <c r="C1201" t="s">
        <v>3805</v>
      </c>
      <c r="D1201" s="2" t="s">
        <v>148</v>
      </c>
      <c r="E1201">
        <v>2025</v>
      </c>
      <c r="F1201">
        <v>2027</v>
      </c>
      <c r="G1201" s="10">
        <v>8093333.333333334</v>
      </c>
      <c r="H1201">
        <f t="shared" si="72"/>
        <v>8093333.333333334</v>
      </c>
      <c r="I1201" t="str">
        <f t="shared" si="73"/>
        <v/>
      </c>
      <c r="J1201" t="str">
        <f t="shared" si="74"/>
        <v/>
      </c>
      <c r="K1201">
        <v>6612334.1200000001</v>
      </c>
      <c r="L1201" t="b">
        <f t="shared" si="75"/>
        <v>0</v>
      </c>
    </row>
    <row r="1202" spans="1:12" ht="16" x14ac:dyDescent="0.2">
      <c r="A1202" t="s">
        <v>5500</v>
      </c>
      <c r="B1202" t="s">
        <v>73</v>
      </c>
      <c r="C1202" t="s">
        <v>3806</v>
      </c>
      <c r="D1202" s="2" t="s">
        <v>148</v>
      </c>
      <c r="G1202" s="10" t="s">
        <v>2892</v>
      </c>
      <c r="H1202" t="str">
        <f t="shared" si="72"/>
        <v/>
      </c>
      <c r="I1202" t="str">
        <f t="shared" si="73"/>
        <v/>
      </c>
      <c r="J1202" t="str">
        <f t="shared" si="74"/>
        <v/>
      </c>
      <c r="L1202" t="b">
        <f t="shared" si="75"/>
        <v>1</v>
      </c>
    </row>
    <row r="1203" spans="1:12" ht="16" x14ac:dyDescent="0.2">
      <c r="A1203" t="s">
        <v>5501</v>
      </c>
      <c r="B1203" t="s">
        <v>73</v>
      </c>
      <c r="C1203" t="s">
        <v>3807</v>
      </c>
      <c r="D1203" s="2" t="s">
        <v>148</v>
      </c>
      <c r="E1203">
        <v>2025</v>
      </c>
      <c r="F1203">
        <v>2026</v>
      </c>
      <c r="G1203" s="10">
        <v>3920000</v>
      </c>
      <c r="H1203" t="str">
        <f t="shared" si="72"/>
        <v/>
      </c>
      <c r="I1203" t="str">
        <f t="shared" si="73"/>
        <v/>
      </c>
      <c r="J1203" t="str">
        <f t="shared" si="74"/>
        <v/>
      </c>
      <c r="K1203">
        <v>1522862.65</v>
      </c>
      <c r="L1203" t="b">
        <f t="shared" si="75"/>
        <v>0</v>
      </c>
    </row>
    <row r="1204" spans="1:12" ht="16" x14ac:dyDescent="0.2">
      <c r="A1204" t="s">
        <v>5502</v>
      </c>
      <c r="B1204" t="s">
        <v>73</v>
      </c>
      <c r="C1204" t="s">
        <v>3808</v>
      </c>
      <c r="D1204" s="2" t="s">
        <v>148</v>
      </c>
      <c r="E1204">
        <v>2025</v>
      </c>
      <c r="F1204">
        <v>2026</v>
      </c>
      <c r="G1204" s="10">
        <v>3265000</v>
      </c>
      <c r="H1204" t="str">
        <f t="shared" si="72"/>
        <v/>
      </c>
      <c r="I1204" t="str">
        <f t="shared" si="73"/>
        <v/>
      </c>
      <c r="J1204" t="str">
        <f t="shared" si="74"/>
        <v/>
      </c>
      <c r="K1204">
        <v>1865292.75</v>
      </c>
      <c r="L1204" t="b">
        <f t="shared" si="75"/>
        <v>0</v>
      </c>
    </row>
    <row r="1205" spans="1:12" ht="16" x14ac:dyDescent="0.2">
      <c r="A1205" t="s">
        <v>5503</v>
      </c>
      <c r="B1205" t="s">
        <v>73</v>
      </c>
      <c r="C1205" t="s">
        <v>3809</v>
      </c>
      <c r="D1205" s="2" t="s">
        <v>148</v>
      </c>
      <c r="G1205" s="10" t="s">
        <v>2892</v>
      </c>
      <c r="H1205" t="str">
        <f t="shared" si="72"/>
        <v/>
      </c>
      <c r="I1205" t="str">
        <f t="shared" si="73"/>
        <v/>
      </c>
      <c r="J1205" t="str">
        <f t="shared" si="74"/>
        <v/>
      </c>
      <c r="L1205" t="b">
        <f t="shared" si="75"/>
        <v>1</v>
      </c>
    </row>
    <row r="1206" spans="1:12" ht="16" x14ac:dyDescent="0.2">
      <c r="A1206" t="s">
        <v>5504</v>
      </c>
      <c r="B1206" t="s">
        <v>73</v>
      </c>
      <c r="C1206" t="s">
        <v>3810</v>
      </c>
      <c r="D1206" s="2" t="s">
        <v>148</v>
      </c>
      <c r="E1206">
        <v>2025</v>
      </c>
      <c r="F1206">
        <v>2026</v>
      </c>
      <c r="G1206" s="10">
        <v>3930000</v>
      </c>
      <c r="H1206" t="str">
        <f t="shared" si="72"/>
        <v/>
      </c>
      <c r="I1206" t="str">
        <f t="shared" si="73"/>
        <v/>
      </c>
      <c r="J1206" t="str">
        <f t="shared" si="74"/>
        <v/>
      </c>
      <c r="K1206">
        <v>1329021.3999999999</v>
      </c>
      <c r="L1206" t="b">
        <f t="shared" si="75"/>
        <v>0</v>
      </c>
    </row>
    <row r="1207" spans="1:12" ht="16" x14ac:dyDescent="0.2">
      <c r="A1207" t="s">
        <v>5505</v>
      </c>
      <c r="B1207" t="s">
        <v>73</v>
      </c>
      <c r="C1207" t="s">
        <v>3811</v>
      </c>
      <c r="D1207" s="2" t="s">
        <v>148</v>
      </c>
      <c r="E1207">
        <v>2025</v>
      </c>
      <c r="F1207">
        <v>2027</v>
      </c>
      <c r="G1207" s="10">
        <v>9960000</v>
      </c>
      <c r="H1207">
        <f t="shared" si="72"/>
        <v>9960000</v>
      </c>
      <c r="I1207" t="str">
        <f t="shared" si="73"/>
        <v/>
      </c>
      <c r="J1207" t="str">
        <f t="shared" si="74"/>
        <v/>
      </c>
      <c r="K1207">
        <v>12866865.810000001</v>
      </c>
      <c r="L1207" t="b">
        <f t="shared" si="75"/>
        <v>0</v>
      </c>
    </row>
    <row r="1208" spans="1:12" ht="16" x14ac:dyDescent="0.2">
      <c r="A1208" t="s">
        <v>5506</v>
      </c>
      <c r="B1208" t="s">
        <v>73</v>
      </c>
      <c r="C1208" t="s">
        <v>3812</v>
      </c>
      <c r="D1208" s="2" t="s">
        <v>148</v>
      </c>
      <c r="E1208">
        <v>2025</v>
      </c>
      <c r="F1208">
        <v>2027</v>
      </c>
      <c r="G1208" s="10">
        <v>11876666.666666666</v>
      </c>
      <c r="H1208">
        <f t="shared" si="72"/>
        <v>11876666.666666666</v>
      </c>
      <c r="I1208" t="str">
        <f t="shared" si="73"/>
        <v/>
      </c>
      <c r="J1208" t="str">
        <f t="shared" si="74"/>
        <v/>
      </c>
      <c r="K1208">
        <v>11556653.92</v>
      </c>
      <c r="L1208" t="b">
        <f t="shared" si="75"/>
        <v>0</v>
      </c>
    </row>
    <row r="1209" spans="1:12" ht="16" x14ac:dyDescent="0.2">
      <c r="A1209" t="s">
        <v>5507</v>
      </c>
      <c r="B1209" t="s">
        <v>73</v>
      </c>
      <c r="C1209" t="s">
        <v>3813</v>
      </c>
      <c r="D1209" s="2" t="s">
        <v>148</v>
      </c>
      <c r="E1209">
        <v>2026</v>
      </c>
      <c r="F1209">
        <v>2029</v>
      </c>
      <c r="G1209" s="10">
        <v>10100000</v>
      </c>
      <c r="H1209">
        <f t="shared" si="72"/>
        <v>10100000</v>
      </c>
      <c r="I1209">
        <f t="shared" si="73"/>
        <v>10100000</v>
      </c>
      <c r="J1209">
        <f t="shared" si="74"/>
        <v>10100000</v>
      </c>
      <c r="K1209">
        <v>7728973.4699999997</v>
      </c>
      <c r="L1209" t="b">
        <f t="shared" si="75"/>
        <v>0</v>
      </c>
    </row>
    <row r="1210" spans="1:12" ht="16" x14ac:dyDescent="0.2">
      <c r="A1210" t="s">
        <v>5508</v>
      </c>
      <c r="B1210" t="s">
        <v>73</v>
      </c>
      <c r="C1210" t="s">
        <v>3814</v>
      </c>
      <c r="D1210" s="2" t="s">
        <v>148</v>
      </c>
      <c r="G1210" s="10" t="s">
        <v>2892</v>
      </c>
      <c r="H1210" t="str">
        <f t="shared" si="72"/>
        <v/>
      </c>
      <c r="I1210" t="str">
        <f t="shared" si="73"/>
        <v/>
      </c>
      <c r="J1210" t="str">
        <f t="shared" si="74"/>
        <v/>
      </c>
      <c r="L1210" t="b">
        <f t="shared" si="75"/>
        <v>1</v>
      </c>
    </row>
    <row r="1211" spans="1:12" ht="16" x14ac:dyDescent="0.2">
      <c r="A1211" t="s">
        <v>5509</v>
      </c>
      <c r="B1211" t="s">
        <v>73</v>
      </c>
      <c r="C1211" t="s">
        <v>3815</v>
      </c>
      <c r="D1211" s="2" t="s">
        <v>148</v>
      </c>
      <c r="G1211" s="10" t="s">
        <v>2892</v>
      </c>
      <c r="H1211" t="str">
        <f t="shared" si="72"/>
        <v/>
      </c>
      <c r="I1211" t="str">
        <f t="shared" si="73"/>
        <v/>
      </c>
      <c r="J1211" t="str">
        <f t="shared" si="74"/>
        <v/>
      </c>
      <c r="L1211" t="b">
        <f t="shared" si="75"/>
        <v>1</v>
      </c>
    </row>
    <row r="1212" spans="1:12" ht="16" x14ac:dyDescent="0.2">
      <c r="A1212" t="s">
        <v>5510</v>
      </c>
      <c r="B1212" t="s">
        <v>73</v>
      </c>
      <c r="C1212" t="s">
        <v>3816</v>
      </c>
      <c r="D1212" s="2" t="s">
        <v>148</v>
      </c>
      <c r="G1212" s="10" t="s">
        <v>2892</v>
      </c>
      <c r="H1212" t="str">
        <f t="shared" si="72"/>
        <v/>
      </c>
      <c r="I1212" t="str">
        <f t="shared" si="73"/>
        <v/>
      </c>
      <c r="J1212" t="str">
        <f t="shared" si="74"/>
        <v/>
      </c>
      <c r="L1212" t="b">
        <f t="shared" si="75"/>
        <v>1</v>
      </c>
    </row>
    <row r="1213" spans="1:12" ht="16" x14ac:dyDescent="0.2">
      <c r="A1213" t="s">
        <v>5511</v>
      </c>
      <c r="B1213" t="s">
        <v>73</v>
      </c>
      <c r="C1213" t="s">
        <v>3817</v>
      </c>
      <c r="D1213" s="2" t="s">
        <v>148</v>
      </c>
      <c r="G1213" s="10" t="s">
        <v>2892</v>
      </c>
      <c r="H1213" t="str">
        <f t="shared" si="72"/>
        <v/>
      </c>
      <c r="I1213" t="str">
        <f t="shared" si="73"/>
        <v/>
      </c>
      <c r="J1213" t="str">
        <f t="shared" si="74"/>
        <v/>
      </c>
      <c r="L1213" t="b">
        <f t="shared" si="75"/>
        <v>1</v>
      </c>
    </row>
    <row r="1214" spans="1:12" ht="16" x14ac:dyDescent="0.2">
      <c r="A1214" t="s">
        <v>5512</v>
      </c>
      <c r="B1214" t="s">
        <v>73</v>
      </c>
      <c r="C1214" t="s">
        <v>3818</v>
      </c>
      <c r="D1214" s="2" t="s">
        <v>148</v>
      </c>
      <c r="E1214">
        <v>2025</v>
      </c>
      <c r="F1214">
        <v>2028</v>
      </c>
      <c r="G1214" s="10">
        <v>14395000</v>
      </c>
      <c r="H1214">
        <f t="shared" si="72"/>
        <v>14395000</v>
      </c>
      <c r="I1214">
        <f t="shared" si="73"/>
        <v>14395000</v>
      </c>
      <c r="J1214" t="str">
        <f t="shared" si="74"/>
        <v/>
      </c>
      <c r="K1214">
        <v>15014978.26</v>
      </c>
      <c r="L1214" t="b">
        <f t="shared" si="75"/>
        <v>0</v>
      </c>
    </row>
    <row r="1215" spans="1:12" ht="16" x14ac:dyDescent="0.2">
      <c r="A1215" t="s">
        <v>5513</v>
      </c>
      <c r="B1215" t="s">
        <v>73</v>
      </c>
      <c r="C1215" t="s">
        <v>3819</v>
      </c>
      <c r="D1215" s="2" t="s">
        <v>148</v>
      </c>
      <c r="G1215" s="10" t="s">
        <v>2892</v>
      </c>
      <c r="H1215" t="str">
        <f t="shared" si="72"/>
        <v/>
      </c>
      <c r="I1215" t="str">
        <f t="shared" si="73"/>
        <v/>
      </c>
      <c r="J1215" t="str">
        <f t="shared" si="74"/>
        <v/>
      </c>
      <c r="L1215" t="b">
        <f t="shared" si="75"/>
        <v>1</v>
      </c>
    </row>
    <row r="1216" spans="1:12" ht="16" x14ac:dyDescent="0.2">
      <c r="A1216" t="s">
        <v>5514</v>
      </c>
      <c r="B1216" t="s">
        <v>73</v>
      </c>
      <c r="C1216" t="s">
        <v>3820</v>
      </c>
      <c r="D1216" s="2" t="s">
        <v>148</v>
      </c>
      <c r="E1216">
        <v>2025</v>
      </c>
      <c r="F1216">
        <v>2026</v>
      </c>
      <c r="G1216" s="10">
        <v>1670000</v>
      </c>
      <c r="H1216" t="str">
        <f t="shared" si="72"/>
        <v/>
      </c>
      <c r="I1216" t="str">
        <f t="shared" si="73"/>
        <v/>
      </c>
      <c r="J1216" t="str">
        <f t="shared" si="74"/>
        <v/>
      </c>
      <c r="K1216">
        <v>61679.5</v>
      </c>
      <c r="L1216" t="b">
        <f t="shared" si="75"/>
        <v>0</v>
      </c>
    </row>
    <row r="1217" spans="1:12" ht="16" x14ac:dyDescent="0.2">
      <c r="A1217" t="s">
        <v>5515</v>
      </c>
      <c r="B1217" t="s">
        <v>73</v>
      </c>
      <c r="C1217" t="s">
        <v>3821</v>
      </c>
      <c r="D1217" s="2" t="s">
        <v>148</v>
      </c>
      <c r="E1217">
        <v>2025</v>
      </c>
      <c r="F1217">
        <v>2028</v>
      </c>
      <c r="G1217" s="10">
        <v>4215000</v>
      </c>
      <c r="H1217">
        <f t="shared" si="72"/>
        <v>4215000</v>
      </c>
      <c r="I1217">
        <f t="shared" si="73"/>
        <v>4215000</v>
      </c>
      <c r="J1217" t="str">
        <f t="shared" si="74"/>
        <v/>
      </c>
      <c r="K1217">
        <v>4729170.12</v>
      </c>
      <c r="L1217" t="b">
        <f t="shared" si="75"/>
        <v>0</v>
      </c>
    </row>
    <row r="1218" spans="1:12" ht="16" x14ac:dyDescent="0.2">
      <c r="A1218" t="s">
        <v>5516</v>
      </c>
      <c r="B1218" t="s">
        <v>73</v>
      </c>
      <c r="C1218" t="s">
        <v>3822</v>
      </c>
      <c r="D1218" s="2" t="s">
        <v>148</v>
      </c>
      <c r="E1218">
        <v>2025</v>
      </c>
      <c r="F1218">
        <v>2027</v>
      </c>
      <c r="G1218" s="10">
        <v>1820000</v>
      </c>
      <c r="H1218">
        <f t="shared" si="72"/>
        <v>1820000</v>
      </c>
      <c r="I1218" t="str">
        <f t="shared" si="73"/>
        <v/>
      </c>
      <c r="J1218" t="str">
        <f t="shared" si="74"/>
        <v/>
      </c>
      <c r="K1218">
        <v>35046.78</v>
      </c>
      <c r="L1218" t="b">
        <f t="shared" si="75"/>
        <v>0</v>
      </c>
    </row>
    <row r="1219" spans="1:12" ht="16" x14ac:dyDescent="0.2">
      <c r="A1219" t="s">
        <v>5517</v>
      </c>
      <c r="B1219" t="s">
        <v>73</v>
      </c>
      <c r="C1219" t="s">
        <v>3823</v>
      </c>
      <c r="D1219" s="2" t="s">
        <v>148</v>
      </c>
      <c r="E1219">
        <v>2026</v>
      </c>
      <c r="F1219">
        <v>2028</v>
      </c>
      <c r="G1219" s="10">
        <v>13210000</v>
      </c>
      <c r="H1219">
        <f t="shared" si="72"/>
        <v>13210000</v>
      </c>
      <c r="I1219">
        <f t="shared" si="73"/>
        <v>13210000</v>
      </c>
      <c r="J1219" t="str">
        <f t="shared" si="74"/>
        <v/>
      </c>
      <c r="K1219">
        <v>11874886.689999999</v>
      </c>
      <c r="L1219" t="b">
        <f t="shared" si="75"/>
        <v>0</v>
      </c>
    </row>
    <row r="1220" spans="1:12" ht="16" x14ac:dyDescent="0.2">
      <c r="A1220" t="s">
        <v>5518</v>
      </c>
      <c r="B1220" t="s">
        <v>73</v>
      </c>
      <c r="C1220" t="s">
        <v>3824</v>
      </c>
      <c r="D1220" s="2" t="s">
        <v>148</v>
      </c>
      <c r="E1220">
        <v>2025</v>
      </c>
      <c r="F1220">
        <v>2027</v>
      </c>
      <c r="G1220" s="10">
        <v>8216666.666666667</v>
      </c>
      <c r="H1220">
        <f t="shared" ref="H1220:H1283" si="76">IF(F1220&gt;=2027,G1220,"")</f>
        <v>8216666.666666667</v>
      </c>
      <c r="I1220" t="str">
        <f t="shared" ref="I1220:I1283" si="77">IF(F1220&gt;=2028,G1220,"")</f>
        <v/>
      </c>
      <c r="J1220" t="str">
        <f t="shared" ref="J1220:J1283" si="78">IF(F1220&gt;=2029,G1220,"")</f>
        <v/>
      </c>
      <c r="K1220">
        <v>6015196.7599999998</v>
      </c>
      <c r="L1220" t="b">
        <f t="shared" si="75"/>
        <v>0</v>
      </c>
    </row>
    <row r="1221" spans="1:12" ht="16" x14ac:dyDescent="0.2">
      <c r="A1221" t="s">
        <v>5519</v>
      </c>
      <c r="B1221" t="s">
        <v>73</v>
      </c>
      <c r="C1221" t="s">
        <v>3825</v>
      </c>
      <c r="D1221" s="2" t="s">
        <v>148</v>
      </c>
      <c r="E1221">
        <v>2025</v>
      </c>
      <c r="F1221">
        <v>2026</v>
      </c>
      <c r="G1221" s="10">
        <v>5665000</v>
      </c>
      <c r="H1221" t="str">
        <f t="shared" si="76"/>
        <v/>
      </c>
      <c r="I1221" t="str">
        <f t="shared" si="77"/>
        <v/>
      </c>
      <c r="J1221" t="str">
        <f t="shared" si="78"/>
        <v/>
      </c>
      <c r="K1221">
        <v>1240806.28</v>
      </c>
      <c r="L1221" t="b">
        <f t="shared" si="75"/>
        <v>0</v>
      </c>
    </row>
    <row r="1222" spans="1:12" ht="16" x14ac:dyDescent="0.2">
      <c r="A1222" t="s">
        <v>5520</v>
      </c>
      <c r="B1222" t="s">
        <v>73</v>
      </c>
      <c r="C1222" t="s">
        <v>3826</v>
      </c>
      <c r="D1222" s="2" t="s">
        <v>148</v>
      </c>
      <c r="E1222">
        <v>2025</v>
      </c>
      <c r="F1222">
        <v>2026</v>
      </c>
      <c r="G1222" s="10">
        <v>6925000</v>
      </c>
      <c r="H1222" t="str">
        <f t="shared" si="76"/>
        <v/>
      </c>
      <c r="I1222" t="str">
        <f t="shared" si="77"/>
        <v/>
      </c>
      <c r="J1222" t="str">
        <f t="shared" si="78"/>
        <v/>
      </c>
      <c r="K1222">
        <v>1747830.91</v>
      </c>
      <c r="L1222" t="b">
        <f t="shared" si="75"/>
        <v>0</v>
      </c>
    </row>
    <row r="1223" spans="1:12" ht="16" x14ac:dyDescent="0.2">
      <c r="A1223" t="s">
        <v>5521</v>
      </c>
      <c r="B1223" t="s">
        <v>73</v>
      </c>
      <c r="C1223" t="s">
        <v>3827</v>
      </c>
      <c r="D1223" s="2" t="s">
        <v>148</v>
      </c>
      <c r="E1223">
        <v>2025</v>
      </c>
      <c r="F1223">
        <v>2026</v>
      </c>
      <c r="G1223" s="10">
        <v>2685000</v>
      </c>
      <c r="H1223" t="str">
        <f t="shared" si="76"/>
        <v/>
      </c>
      <c r="I1223" t="str">
        <f t="shared" si="77"/>
        <v/>
      </c>
      <c r="J1223" t="str">
        <f t="shared" si="78"/>
        <v/>
      </c>
      <c r="K1223">
        <v>260638.25</v>
      </c>
      <c r="L1223" t="b">
        <f t="shared" si="75"/>
        <v>0</v>
      </c>
    </row>
    <row r="1224" spans="1:12" ht="16" x14ac:dyDescent="0.2">
      <c r="A1224" t="s">
        <v>5522</v>
      </c>
      <c r="B1224" t="s">
        <v>73</v>
      </c>
      <c r="C1224" t="s">
        <v>3828</v>
      </c>
      <c r="D1224" s="2" t="s">
        <v>148</v>
      </c>
      <c r="E1224">
        <v>2025</v>
      </c>
      <c r="F1224">
        <v>2027</v>
      </c>
      <c r="G1224" s="10">
        <v>11776666.666666666</v>
      </c>
      <c r="H1224">
        <f t="shared" si="76"/>
        <v>11776666.666666666</v>
      </c>
      <c r="I1224" t="str">
        <f t="shared" si="77"/>
        <v/>
      </c>
      <c r="J1224" t="str">
        <f t="shared" si="78"/>
        <v/>
      </c>
      <c r="K1224">
        <v>12030163.189999999</v>
      </c>
      <c r="L1224" t="b">
        <f t="shared" si="75"/>
        <v>0</v>
      </c>
    </row>
    <row r="1225" spans="1:12" ht="16" x14ac:dyDescent="0.2">
      <c r="A1225" t="s">
        <v>5523</v>
      </c>
      <c r="B1225" t="s">
        <v>73</v>
      </c>
      <c r="C1225" t="s">
        <v>3829</v>
      </c>
      <c r="D1225" s="2" t="s">
        <v>148</v>
      </c>
      <c r="E1225">
        <v>2026</v>
      </c>
      <c r="F1225">
        <v>2029</v>
      </c>
      <c r="G1225" s="10">
        <v>5156666.666666667</v>
      </c>
      <c r="H1225">
        <f t="shared" si="76"/>
        <v>5156666.666666667</v>
      </c>
      <c r="I1225">
        <f t="shared" si="77"/>
        <v>5156666.666666667</v>
      </c>
      <c r="J1225">
        <f t="shared" si="78"/>
        <v>5156666.666666667</v>
      </c>
      <c r="K1225">
        <v>4564202.24</v>
      </c>
      <c r="L1225" t="b">
        <f t="shared" si="75"/>
        <v>0</v>
      </c>
    </row>
    <row r="1226" spans="1:12" ht="16" x14ac:dyDescent="0.2">
      <c r="A1226" t="s">
        <v>5524</v>
      </c>
      <c r="B1226" t="s">
        <v>73</v>
      </c>
      <c r="C1226" t="s">
        <v>3830</v>
      </c>
      <c r="D1226" s="2" t="s">
        <v>148</v>
      </c>
      <c r="G1226" s="10" t="s">
        <v>2892</v>
      </c>
      <c r="H1226" t="str">
        <f t="shared" si="76"/>
        <v/>
      </c>
      <c r="I1226" t="str">
        <f t="shared" si="77"/>
        <v/>
      </c>
      <c r="J1226" t="str">
        <f t="shared" si="78"/>
        <v/>
      </c>
      <c r="L1226" t="b">
        <f t="shared" si="75"/>
        <v>1</v>
      </c>
    </row>
    <row r="1227" spans="1:12" ht="16" x14ac:dyDescent="0.2">
      <c r="A1227" t="s">
        <v>5525</v>
      </c>
      <c r="B1227" t="s">
        <v>73</v>
      </c>
      <c r="C1227" t="s">
        <v>3831</v>
      </c>
      <c r="D1227" s="2" t="s">
        <v>148</v>
      </c>
      <c r="E1227">
        <v>2025</v>
      </c>
      <c r="F1227">
        <v>2026</v>
      </c>
      <c r="G1227" s="10">
        <v>2610000</v>
      </c>
      <c r="H1227" t="str">
        <f t="shared" si="76"/>
        <v/>
      </c>
      <c r="I1227" t="str">
        <f t="shared" si="77"/>
        <v/>
      </c>
      <c r="J1227" t="str">
        <f t="shared" si="78"/>
        <v/>
      </c>
      <c r="K1227">
        <v>984854.2</v>
      </c>
      <c r="L1227" t="b">
        <f t="shared" si="75"/>
        <v>0</v>
      </c>
    </row>
    <row r="1228" spans="1:12" ht="16" x14ac:dyDescent="0.2">
      <c r="A1228" t="s">
        <v>5526</v>
      </c>
      <c r="B1228" t="s">
        <v>73</v>
      </c>
      <c r="C1228" t="s">
        <v>3832</v>
      </c>
      <c r="D1228" s="2" t="s">
        <v>148</v>
      </c>
      <c r="G1228" s="10" t="s">
        <v>2892</v>
      </c>
      <c r="H1228" t="str">
        <f t="shared" si="76"/>
        <v/>
      </c>
      <c r="I1228" t="str">
        <f t="shared" si="77"/>
        <v/>
      </c>
      <c r="J1228" t="str">
        <f t="shared" si="78"/>
        <v/>
      </c>
      <c r="L1228" t="b">
        <f t="shared" si="75"/>
        <v>1</v>
      </c>
    </row>
    <row r="1229" spans="1:12" ht="16" x14ac:dyDescent="0.2">
      <c r="A1229" t="s">
        <v>5527</v>
      </c>
      <c r="B1229" t="s">
        <v>73</v>
      </c>
      <c r="C1229" t="s">
        <v>3833</v>
      </c>
      <c r="D1229" s="2" t="s">
        <v>148</v>
      </c>
      <c r="G1229" s="10" t="s">
        <v>2892</v>
      </c>
      <c r="H1229" t="str">
        <f t="shared" si="76"/>
        <v/>
      </c>
      <c r="I1229" t="str">
        <f t="shared" si="77"/>
        <v/>
      </c>
      <c r="J1229" t="str">
        <f t="shared" si="78"/>
        <v/>
      </c>
      <c r="L1229" t="b">
        <f t="shared" si="75"/>
        <v>1</v>
      </c>
    </row>
    <row r="1230" spans="1:12" ht="16" x14ac:dyDescent="0.2">
      <c r="A1230" t="s">
        <v>5528</v>
      </c>
      <c r="B1230" t="s">
        <v>73</v>
      </c>
      <c r="C1230" t="s">
        <v>3834</v>
      </c>
      <c r="D1230" s="2" t="s">
        <v>148</v>
      </c>
      <c r="E1230">
        <v>2025</v>
      </c>
      <c r="F1230">
        <v>2027</v>
      </c>
      <c r="G1230" s="10">
        <v>8860000</v>
      </c>
      <c r="H1230">
        <f t="shared" si="76"/>
        <v>8860000</v>
      </c>
      <c r="I1230" t="str">
        <f t="shared" si="77"/>
        <v/>
      </c>
      <c r="J1230" t="str">
        <f t="shared" si="78"/>
        <v/>
      </c>
      <c r="K1230">
        <v>10834550.130000001</v>
      </c>
      <c r="L1230" t="b">
        <f t="shared" si="75"/>
        <v>0</v>
      </c>
    </row>
    <row r="1231" spans="1:12" ht="16" x14ac:dyDescent="0.2">
      <c r="A1231" t="s">
        <v>5529</v>
      </c>
      <c r="B1231" t="s">
        <v>73</v>
      </c>
      <c r="C1231" t="s">
        <v>3835</v>
      </c>
      <c r="D1231" s="2" t="s">
        <v>148</v>
      </c>
      <c r="E1231">
        <v>2025</v>
      </c>
      <c r="F1231">
        <v>2027</v>
      </c>
      <c r="G1231" s="10">
        <v>8000000</v>
      </c>
      <c r="H1231">
        <f t="shared" si="76"/>
        <v>8000000</v>
      </c>
      <c r="I1231" t="str">
        <f t="shared" si="77"/>
        <v/>
      </c>
      <c r="J1231" t="str">
        <f t="shared" si="78"/>
        <v/>
      </c>
      <c r="K1231">
        <v>3320162.08</v>
      </c>
      <c r="L1231" t="b">
        <f t="shared" si="75"/>
        <v>0</v>
      </c>
    </row>
    <row r="1232" spans="1:12" ht="16" x14ac:dyDescent="0.2">
      <c r="A1232" t="s">
        <v>5530</v>
      </c>
      <c r="B1232" t="s">
        <v>73</v>
      </c>
      <c r="C1232" t="s">
        <v>3836</v>
      </c>
      <c r="D1232" s="2" t="s">
        <v>148</v>
      </c>
      <c r="G1232" s="10" t="s">
        <v>2892</v>
      </c>
      <c r="H1232" t="str">
        <f t="shared" si="76"/>
        <v/>
      </c>
      <c r="I1232" t="str">
        <f t="shared" si="77"/>
        <v/>
      </c>
      <c r="J1232" t="str">
        <f t="shared" si="78"/>
        <v/>
      </c>
      <c r="L1232" t="b">
        <f t="shared" si="75"/>
        <v>1</v>
      </c>
    </row>
    <row r="1233" spans="1:12" ht="16" x14ac:dyDescent="0.2">
      <c r="A1233" t="s">
        <v>5531</v>
      </c>
      <c r="B1233" t="s">
        <v>73</v>
      </c>
      <c r="C1233" t="s">
        <v>3837</v>
      </c>
      <c r="D1233" s="2" t="s">
        <v>148</v>
      </c>
      <c r="G1233" s="10" t="s">
        <v>2892</v>
      </c>
      <c r="H1233" t="str">
        <f t="shared" si="76"/>
        <v/>
      </c>
      <c r="I1233" t="str">
        <f t="shared" si="77"/>
        <v/>
      </c>
      <c r="J1233" t="str">
        <f t="shared" si="78"/>
        <v/>
      </c>
      <c r="L1233" t="b">
        <f t="shared" si="75"/>
        <v>1</v>
      </c>
    </row>
    <row r="1234" spans="1:12" ht="16" x14ac:dyDescent="0.2">
      <c r="A1234" t="s">
        <v>5532</v>
      </c>
      <c r="B1234" t="s">
        <v>73</v>
      </c>
      <c r="C1234" t="s">
        <v>3838</v>
      </c>
      <c r="D1234" s="2" t="s">
        <v>148</v>
      </c>
      <c r="E1234">
        <v>2025</v>
      </c>
      <c r="F1234">
        <v>2027</v>
      </c>
      <c r="G1234" s="10">
        <v>8793333.3333333321</v>
      </c>
      <c r="H1234">
        <f t="shared" si="76"/>
        <v>8793333.3333333321</v>
      </c>
      <c r="I1234" t="str">
        <f t="shared" si="77"/>
        <v/>
      </c>
      <c r="J1234" t="str">
        <f t="shared" si="78"/>
        <v/>
      </c>
      <c r="K1234">
        <v>8009663.8600000003</v>
      </c>
      <c r="L1234" t="b">
        <f t="shared" si="75"/>
        <v>0</v>
      </c>
    </row>
    <row r="1235" spans="1:12" ht="16" x14ac:dyDescent="0.2">
      <c r="A1235" t="s">
        <v>5533</v>
      </c>
      <c r="B1235" t="s">
        <v>73</v>
      </c>
      <c r="C1235" t="s">
        <v>3839</v>
      </c>
      <c r="D1235" s="2" t="s">
        <v>148</v>
      </c>
      <c r="E1235">
        <v>2025</v>
      </c>
      <c r="F1235">
        <v>2026</v>
      </c>
      <c r="G1235" s="10">
        <v>4210000</v>
      </c>
      <c r="H1235" t="str">
        <f t="shared" si="76"/>
        <v/>
      </c>
      <c r="I1235" t="str">
        <f t="shared" si="77"/>
        <v/>
      </c>
      <c r="J1235" t="str">
        <f t="shared" si="78"/>
        <v/>
      </c>
      <c r="K1235">
        <v>1584541.54</v>
      </c>
      <c r="L1235" t="b">
        <f t="shared" si="75"/>
        <v>0</v>
      </c>
    </row>
    <row r="1236" spans="1:12" ht="16" x14ac:dyDescent="0.2">
      <c r="A1236" t="s">
        <v>5534</v>
      </c>
      <c r="B1236" t="s">
        <v>73</v>
      </c>
      <c r="C1236" t="s">
        <v>3840</v>
      </c>
      <c r="D1236" s="2" t="s">
        <v>148</v>
      </c>
      <c r="G1236" s="10" t="s">
        <v>2892</v>
      </c>
      <c r="H1236" t="str">
        <f t="shared" si="76"/>
        <v/>
      </c>
      <c r="I1236" t="str">
        <f t="shared" si="77"/>
        <v/>
      </c>
      <c r="J1236" t="str">
        <f t="shared" si="78"/>
        <v/>
      </c>
      <c r="L1236" t="b">
        <f t="shared" si="75"/>
        <v>1</v>
      </c>
    </row>
    <row r="1237" spans="1:12" ht="16" x14ac:dyDescent="0.2">
      <c r="A1237" t="s">
        <v>5535</v>
      </c>
      <c r="B1237" t="s">
        <v>73</v>
      </c>
      <c r="C1237" t="s">
        <v>3841</v>
      </c>
      <c r="D1237" s="2" t="s">
        <v>148</v>
      </c>
      <c r="E1237">
        <v>2025</v>
      </c>
      <c r="F1237">
        <v>2027</v>
      </c>
      <c r="G1237" s="10">
        <v>7866666.666666667</v>
      </c>
      <c r="H1237">
        <f t="shared" si="76"/>
        <v>7866666.666666667</v>
      </c>
      <c r="I1237" t="str">
        <f t="shared" si="77"/>
        <v/>
      </c>
      <c r="J1237" t="str">
        <f t="shared" si="78"/>
        <v/>
      </c>
      <c r="K1237">
        <v>10348476.25</v>
      </c>
      <c r="L1237" t="b">
        <f t="shared" si="75"/>
        <v>0</v>
      </c>
    </row>
    <row r="1238" spans="1:12" ht="16" x14ac:dyDescent="0.2">
      <c r="A1238" t="s">
        <v>5536</v>
      </c>
      <c r="B1238" t="s">
        <v>73</v>
      </c>
      <c r="C1238" t="s">
        <v>3842</v>
      </c>
      <c r="D1238" s="2" t="s">
        <v>148</v>
      </c>
      <c r="E1238">
        <v>2025</v>
      </c>
      <c r="F1238">
        <v>2026</v>
      </c>
      <c r="G1238" s="10">
        <v>8985000</v>
      </c>
      <c r="H1238" t="str">
        <f t="shared" si="76"/>
        <v/>
      </c>
      <c r="I1238" t="str">
        <f t="shared" si="77"/>
        <v/>
      </c>
      <c r="J1238" t="str">
        <f t="shared" si="78"/>
        <v/>
      </c>
      <c r="K1238">
        <v>4889067.24</v>
      </c>
      <c r="L1238" t="b">
        <f t="shared" si="75"/>
        <v>0</v>
      </c>
    </row>
    <row r="1239" spans="1:12" ht="16" x14ac:dyDescent="0.2">
      <c r="A1239" t="s">
        <v>5537</v>
      </c>
      <c r="B1239" t="s">
        <v>73</v>
      </c>
      <c r="C1239" t="s">
        <v>3843</v>
      </c>
      <c r="D1239" s="2" t="s">
        <v>148</v>
      </c>
      <c r="E1239">
        <v>2025</v>
      </c>
      <c r="F1239">
        <v>2026</v>
      </c>
      <c r="G1239" s="10">
        <v>2400000</v>
      </c>
      <c r="H1239" t="str">
        <f t="shared" si="76"/>
        <v/>
      </c>
      <c r="I1239" t="str">
        <f t="shared" si="77"/>
        <v/>
      </c>
      <c r="J1239" t="str">
        <f t="shared" si="78"/>
        <v/>
      </c>
      <c r="K1239">
        <v>1329363.57</v>
      </c>
      <c r="L1239" t="b">
        <f t="shared" si="75"/>
        <v>0</v>
      </c>
    </row>
    <row r="1240" spans="1:12" ht="16" x14ac:dyDescent="0.2">
      <c r="A1240" t="s">
        <v>5538</v>
      </c>
      <c r="B1240" t="s">
        <v>73</v>
      </c>
      <c r="C1240" t="s">
        <v>3844</v>
      </c>
      <c r="D1240" s="2" t="s">
        <v>148</v>
      </c>
      <c r="G1240" s="10" t="s">
        <v>2892</v>
      </c>
      <c r="H1240" t="str">
        <f t="shared" si="76"/>
        <v/>
      </c>
      <c r="I1240" t="str">
        <f t="shared" si="77"/>
        <v/>
      </c>
      <c r="J1240" t="str">
        <f t="shared" si="78"/>
        <v/>
      </c>
      <c r="L1240" t="b">
        <f t="shared" si="75"/>
        <v>1</v>
      </c>
    </row>
    <row r="1241" spans="1:12" ht="16" x14ac:dyDescent="0.2">
      <c r="A1241" t="s">
        <v>5539</v>
      </c>
      <c r="B1241" t="s">
        <v>73</v>
      </c>
      <c r="C1241" t="s">
        <v>3845</v>
      </c>
      <c r="D1241" s="2" t="s">
        <v>148</v>
      </c>
      <c r="G1241" s="10" t="s">
        <v>2892</v>
      </c>
      <c r="H1241" t="str">
        <f t="shared" si="76"/>
        <v/>
      </c>
      <c r="I1241" t="str">
        <f t="shared" si="77"/>
        <v/>
      </c>
      <c r="J1241" t="str">
        <f t="shared" si="78"/>
        <v/>
      </c>
      <c r="L1241" t="b">
        <f t="shared" si="75"/>
        <v>1</v>
      </c>
    </row>
    <row r="1242" spans="1:12" ht="16" x14ac:dyDescent="0.2">
      <c r="A1242" t="s">
        <v>5540</v>
      </c>
      <c r="B1242" t="s">
        <v>73</v>
      </c>
      <c r="C1242" t="s">
        <v>3846</v>
      </c>
      <c r="D1242" s="2" t="s">
        <v>148</v>
      </c>
      <c r="E1242">
        <v>2025</v>
      </c>
      <c r="F1242">
        <v>2027</v>
      </c>
      <c r="G1242" s="10">
        <v>4036666.666666666</v>
      </c>
      <c r="H1242">
        <f t="shared" si="76"/>
        <v>4036666.666666666</v>
      </c>
      <c r="I1242" t="str">
        <f t="shared" si="77"/>
        <v/>
      </c>
      <c r="J1242" t="str">
        <f t="shared" si="78"/>
        <v/>
      </c>
      <c r="K1242">
        <v>1245128.03</v>
      </c>
      <c r="L1242" t="b">
        <f t="shared" si="75"/>
        <v>0</v>
      </c>
    </row>
    <row r="1243" spans="1:12" ht="16" x14ac:dyDescent="0.2">
      <c r="A1243" t="s">
        <v>5541</v>
      </c>
      <c r="B1243" t="s">
        <v>73</v>
      </c>
      <c r="C1243" t="s">
        <v>3847</v>
      </c>
      <c r="D1243" s="2" t="s">
        <v>148</v>
      </c>
      <c r="E1243">
        <v>2025</v>
      </c>
      <c r="F1243">
        <v>2026</v>
      </c>
      <c r="G1243" s="10">
        <v>4440000</v>
      </c>
      <c r="H1243" t="str">
        <f t="shared" si="76"/>
        <v/>
      </c>
      <c r="I1243" t="str">
        <f t="shared" si="77"/>
        <v/>
      </c>
      <c r="J1243" t="str">
        <f t="shared" si="78"/>
        <v/>
      </c>
      <c r="K1243">
        <v>1748763.92</v>
      </c>
      <c r="L1243" t="b">
        <f t="shared" si="75"/>
        <v>0</v>
      </c>
    </row>
    <row r="1244" spans="1:12" ht="16" x14ac:dyDescent="0.2">
      <c r="A1244" t="s">
        <v>5542</v>
      </c>
      <c r="B1244" t="s">
        <v>73</v>
      </c>
      <c r="C1244" t="s">
        <v>3848</v>
      </c>
      <c r="D1244" s="2" t="s">
        <v>148</v>
      </c>
      <c r="G1244" s="10" t="s">
        <v>2892</v>
      </c>
      <c r="H1244" t="str">
        <f t="shared" si="76"/>
        <v/>
      </c>
      <c r="I1244" t="str">
        <f t="shared" si="77"/>
        <v/>
      </c>
      <c r="J1244" t="str">
        <f t="shared" si="78"/>
        <v/>
      </c>
      <c r="L1244" t="b">
        <f t="shared" si="75"/>
        <v>1</v>
      </c>
    </row>
    <row r="1245" spans="1:12" ht="16" x14ac:dyDescent="0.2">
      <c r="A1245" t="s">
        <v>5543</v>
      </c>
      <c r="B1245" t="s">
        <v>73</v>
      </c>
      <c r="C1245" t="s">
        <v>3849</v>
      </c>
      <c r="D1245" s="2" t="s">
        <v>148</v>
      </c>
      <c r="G1245" s="10" t="s">
        <v>2892</v>
      </c>
      <c r="H1245" t="str">
        <f t="shared" si="76"/>
        <v/>
      </c>
      <c r="I1245" t="str">
        <f t="shared" si="77"/>
        <v/>
      </c>
      <c r="J1245" t="str">
        <f t="shared" si="78"/>
        <v/>
      </c>
      <c r="L1245" t="b">
        <f t="shared" si="75"/>
        <v>1</v>
      </c>
    </row>
    <row r="1246" spans="1:12" ht="16" x14ac:dyDescent="0.2">
      <c r="A1246" t="s">
        <v>5544</v>
      </c>
      <c r="B1246" t="s">
        <v>73</v>
      </c>
      <c r="C1246" t="s">
        <v>3850</v>
      </c>
      <c r="D1246" s="2" t="s">
        <v>148</v>
      </c>
      <c r="E1246">
        <v>2025</v>
      </c>
      <c r="F1246">
        <v>2027</v>
      </c>
      <c r="G1246" s="10">
        <v>7910000</v>
      </c>
      <c r="H1246">
        <f t="shared" si="76"/>
        <v>7910000</v>
      </c>
      <c r="I1246" t="str">
        <f t="shared" si="77"/>
        <v/>
      </c>
      <c r="J1246" t="str">
        <f t="shared" si="78"/>
        <v/>
      </c>
      <c r="K1246">
        <v>8651544.8900000006</v>
      </c>
      <c r="L1246" t="b">
        <f t="shared" si="75"/>
        <v>0</v>
      </c>
    </row>
    <row r="1247" spans="1:12" ht="16" x14ac:dyDescent="0.2">
      <c r="A1247" t="s">
        <v>5545</v>
      </c>
      <c r="B1247" t="s">
        <v>73</v>
      </c>
      <c r="C1247" t="s">
        <v>3851</v>
      </c>
      <c r="D1247" s="2" t="s">
        <v>147</v>
      </c>
      <c r="G1247" s="10" t="s">
        <v>2892</v>
      </c>
      <c r="H1247" t="str">
        <f t="shared" si="76"/>
        <v/>
      </c>
      <c r="I1247" t="str">
        <f t="shared" si="77"/>
        <v/>
      </c>
      <c r="J1247" t="str">
        <f t="shared" si="78"/>
        <v/>
      </c>
      <c r="L1247" t="b">
        <f t="shared" si="75"/>
        <v>1</v>
      </c>
    </row>
    <row r="1248" spans="1:12" ht="16" x14ac:dyDescent="0.2">
      <c r="A1248" t="s">
        <v>5546</v>
      </c>
      <c r="B1248" t="s">
        <v>73</v>
      </c>
      <c r="C1248" t="s">
        <v>3852</v>
      </c>
      <c r="D1248" s="2" t="s">
        <v>147</v>
      </c>
      <c r="E1248">
        <v>2025</v>
      </c>
      <c r="F1248">
        <v>2027</v>
      </c>
      <c r="G1248" s="10">
        <v>5390000.0000000009</v>
      </c>
      <c r="H1248">
        <f t="shared" si="76"/>
        <v>5390000.0000000009</v>
      </c>
      <c r="I1248" t="str">
        <f t="shared" si="77"/>
        <v/>
      </c>
      <c r="J1248" t="str">
        <f t="shared" si="78"/>
        <v/>
      </c>
      <c r="K1248">
        <v>2541695.84</v>
      </c>
      <c r="L1248" t="b">
        <f t="shared" si="75"/>
        <v>0</v>
      </c>
    </row>
    <row r="1249" spans="1:12" ht="16" x14ac:dyDescent="0.2">
      <c r="A1249" t="s">
        <v>5547</v>
      </c>
      <c r="B1249" t="s">
        <v>73</v>
      </c>
      <c r="C1249" t="s">
        <v>3853</v>
      </c>
      <c r="D1249" s="2" t="s">
        <v>147</v>
      </c>
      <c r="G1249" s="10" t="s">
        <v>2892</v>
      </c>
      <c r="H1249" t="str">
        <f t="shared" si="76"/>
        <v/>
      </c>
      <c r="I1249" t="str">
        <f t="shared" si="77"/>
        <v/>
      </c>
      <c r="J1249" t="str">
        <f t="shared" si="78"/>
        <v/>
      </c>
      <c r="L1249" t="b">
        <f t="shared" si="75"/>
        <v>1</v>
      </c>
    </row>
    <row r="1250" spans="1:12" ht="16" x14ac:dyDescent="0.2">
      <c r="A1250" t="s">
        <v>5548</v>
      </c>
      <c r="B1250" t="s">
        <v>73</v>
      </c>
      <c r="C1250" t="s">
        <v>3854</v>
      </c>
      <c r="D1250" s="2" t="s">
        <v>147</v>
      </c>
      <c r="E1250">
        <v>2025</v>
      </c>
      <c r="F1250">
        <v>2027</v>
      </c>
      <c r="G1250" s="10">
        <v>8633333.3333333321</v>
      </c>
      <c r="H1250">
        <f t="shared" si="76"/>
        <v>8633333.3333333321</v>
      </c>
      <c r="I1250" t="str">
        <f t="shared" si="77"/>
        <v/>
      </c>
      <c r="J1250" t="str">
        <f t="shared" si="78"/>
        <v/>
      </c>
      <c r="K1250">
        <v>8132938.9400000004</v>
      </c>
      <c r="L1250" t="b">
        <f t="shared" si="75"/>
        <v>0</v>
      </c>
    </row>
    <row r="1251" spans="1:12" ht="16" x14ac:dyDescent="0.2">
      <c r="A1251" t="s">
        <v>5549</v>
      </c>
      <c r="B1251" t="s">
        <v>73</v>
      </c>
      <c r="C1251" t="s">
        <v>3855</v>
      </c>
      <c r="D1251" s="2" t="s">
        <v>147</v>
      </c>
      <c r="E1251">
        <v>2025</v>
      </c>
      <c r="F1251">
        <v>2026</v>
      </c>
      <c r="G1251" s="10">
        <v>3085000</v>
      </c>
      <c r="H1251" t="str">
        <f t="shared" si="76"/>
        <v/>
      </c>
      <c r="I1251" t="str">
        <f t="shared" si="77"/>
        <v/>
      </c>
      <c r="J1251" t="str">
        <f t="shared" si="78"/>
        <v/>
      </c>
      <c r="K1251">
        <v>1359772.6</v>
      </c>
      <c r="L1251" t="b">
        <f t="shared" ref="L1251:L1314" si="79">IF(F1251="",TRUE,FALSE)</f>
        <v>0</v>
      </c>
    </row>
    <row r="1252" spans="1:12" ht="16" x14ac:dyDescent="0.2">
      <c r="A1252" t="s">
        <v>5550</v>
      </c>
      <c r="B1252" t="s">
        <v>73</v>
      </c>
      <c r="C1252" t="s">
        <v>3856</v>
      </c>
      <c r="D1252" s="2" t="s">
        <v>147</v>
      </c>
      <c r="G1252" s="10" t="s">
        <v>2892</v>
      </c>
      <c r="H1252" t="str">
        <f t="shared" si="76"/>
        <v/>
      </c>
      <c r="I1252" t="str">
        <f t="shared" si="77"/>
        <v/>
      </c>
      <c r="J1252" t="str">
        <f t="shared" si="78"/>
        <v/>
      </c>
      <c r="L1252" t="b">
        <f t="shared" si="79"/>
        <v>1</v>
      </c>
    </row>
    <row r="1253" spans="1:12" ht="16" x14ac:dyDescent="0.2">
      <c r="A1253" t="s">
        <v>5551</v>
      </c>
      <c r="B1253" t="s">
        <v>73</v>
      </c>
      <c r="C1253" t="s">
        <v>3857</v>
      </c>
      <c r="D1253" s="2" t="s">
        <v>147</v>
      </c>
      <c r="E1253">
        <v>2025</v>
      </c>
      <c r="F1253">
        <v>2027</v>
      </c>
      <c r="G1253" s="10">
        <v>8630000</v>
      </c>
      <c r="H1253">
        <f t="shared" si="76"/>
        <v>8630000</v>
      </c>
      <c r="I1253" t="str">
        <f t="shared" si="77"/>
        <v/>
      </c>
      <c r="J1253" t="str">
        <f t="shared" si="78"/>
        <v/>
      </c>
      <c r="K1253">
        <v>9741001.0299999993</v>
      </c>
      <c r="L1253" t="b">
        <f t="shared" si="79"/>
        <v>0</v>
      </c>
    </row>
    <row r="1254" spans="1:12" ht="16" x14ac:dyDescent="0.2">
      <c r="A1254" t="s">
        <v>5552</v>
      </c>
      <c r="B1254" t="s">
        <v>73</v>
      </c>
      <c r="C1254" t="s">
        <v>3858</v>
      </c>
      <c r="D1254" s="2" t="s">
        <v>147</v>
      </c>
      <c r="G1254" s="10" t="s">
        <v>2892</v>
      </c>
      <c r="H1254" t="str">
        <f t="shared" si="76"/>
        <v/>
      </c>
      <c r="I1254" t="str">
        <f t="shared" si="77"/>
        <v/>
      </c>
      <c r="J1254" t="str">
        <f t="shared" si="78"/>
        <v/>
      </c>
      <c r="L1254" t="b">
        <f t="shared" si="79"/>
        <v>1</v>
      </c>
    </row>
    <row r="1255" spans="1:12" ht="16" x14ac:dyDescent="0.2">
      <c r="A1255" t="s">
        <v>5553</v>
      </c>
      <c r="B1255" t="s">
        <v>73</v>
      </c>
      <c r="C1255" t="s">
        <v>3859</v>
      </c>
      <c r="D1255" s="2" t="s">
        <v>147</v>
      </c>
      <c r="E1255">
        <v>2025</v>
      </c>
      <c r="F1255">
        <v>2026</v>
      </c>
      <c r="G1255" s="10">
        <v>4220000</v>
      </c>
      <c r="H1255" t="str">
        <f t="shared" si="76"/>
        <v/>
      </c>
      <c r="I1255" t="str">
        <f t="shared" si="77"/>
        <v/>
      </c>
      <c r="J1255" t="str">
        <f t="shared" si="78"/>
        <v/>
      </c>
      <c r="K1255">
        <v>1152310.1200000001</v>
      </c>
      <c r="L1255" t="b">
        <f t="shared" si="79"/>
        <v>0</v>
      </c>
    </row>
    <row r="1256" spans="1:12" ht="16" x14ac:dyDescent="0.2">
      <c r="A1256" t="s">
        <v>5554</v>
      </c>
      <c r="B1256" t="s">
        <v>73</v>
      </c>
      <c r="C1256" t="s">
        <v>3860</v>
      </c>
      <c r="D1256" s="2" t="s">
        <v>147</v>
      </c>
      <c r="E1256">
        <v>2025</v>
      </c>
      <c r="F1256">
        <v>2026</v>
      </c>
      <c r="G1256" s="10">
        <v>2175000</v>
      </c>
      <c r="H1256" t="str">
        <f t="shared" si="76"/>
        <v/>
      </c>
      <c r="I1256" t="str">
        <f t="shared" si="77"/>
        <v/>
      </c>
      <c r="J1256" t="str">
        <f t="shared" si="78"/>
        <v/>
      </c>
      <c r="K1256">
        <v>771129.96</v>
      </c>
      <c r="L1256" t="b">
        <f t="shared" si="79"/>
        <v>0</v>
      </c>
    </row>
    <row r="1257" spans="1:12" ht="16" x14ac:dyDescent="0.2">
      <c r="A1257" t="s">
        <v>5555</v>
      </c>
      <c r="B1257" t="s">
        <v>73</v>
      </c>
      <c r="C1257" t="s">
        <v>3861</v>
      </c>
      <c r="D1257" s="2" t="s">
        <v>147</v>
      </c>
      <c r="E1257">
        <v>2025</v>
      </c>
      <c r="F1257">
        <v>2026</v>
      </c>
      <c r="G1257" s="10">
        <v>2089999.9999999998</v>
      </c>
      <c r="H1257" t="str">
        <f t="shared" si="76"/>
        <v/>
      </c>
      <c r="I1257" t="str">
        <f t="shared" si="77"/>
        <v/>
      </c>
      <c r="J1257" t="str">
        <f t="shared" si="78"/>
        <v/>
      </c>
      <c r="K1257">
        <v>544867.18000000005</v>
      </c>
      <c r="L1257" t="b">
        <f t="shared" si="79"/>
        <v>0</v>
      </c>
    </row>
    <row r="1258" spans="1:12" ht="16" x14ac:dyDescent="0.2">
      <c r="A1258" t="s">
        <v>5556</v>
      </c>
      <c r="B1258" t="s">
        <v>73</v>
      </c>
      <c r="C1258" t="s">
        <v>3862</v>
      </c>
      <c r="D1258" s="2" t="s">
        <v>147</v>
      </c>
      <c r="G1258" s="10" t="s">
        <v>2892</v>
      </c>
      <c r="H1258" t="str">
        <f t="shared" si="76"/>
        <v/>
      </c>
      <c r="I1258" t="str">
        <f t="shared" si="77"/>
        <v/>
      </c>
      <c r="J1258" t="str">
        <f t="shared" si="78"/>
        <v/>
      </c>
      <c r="L1258" t="b">
        <f t="shared" si="79"/>
        <v>1</v>
      </c>
    </row>
    <row r="1259" spans="1:12" ht="16" x14ac:dyDescent="0.2">
      <c r="A1259" t="s">
        <v>5557</v>
      </c>
      <c r="B1259" t="s">
        <v>73</v>
      </c>
      <c r="C1259" t="s">
        <v>3863</v>
      </c>
      <c r="D1259" s="2" t="s">
        <v>147</v>
      </c>
      <c r="G1259" s="10" t="s">
        <v>2892</v>
      </c>
      <c r="H1259" t="str">
        <f t="shared" si="76"/>
        <v/>
      </c>
      <c r="I1259" t="str">
        <f t="shared" si="77"/>
        <v/>
      </c>
      <c r="J1259" t="str">
        <f t="shared" si="78"/>
        <v/>
      </c>
      <c r="L1259" t="b">
        <f t="shared" si="79"/>
        <v>1</v>
      </c>
    </row>
    <row r="1260" spans="1:12" ht="16" x14ac:dyDescent="0.2">
      <c r="A1260" t="s">
        <v>5558</v>
      </c>
      <c r="B1260" t="s">
        <v>73</v>
      </c>
      <c r="C1260" t="s">
        <v>3864</v>
      </c>
      <c r="D1260" s="2" t="s">
        <v>147</v>
      </c>
      <c r="E1260">
        <v>2025</v>
      </c>
      <c r="F1260">
        <v>2026</v>
      </c>
      <c r="G1260" s="10">
        <v>3820000</v>
      </c>
      <c r="H1260" t="str">
        <f t="shared" si="76"/>
        <v/>
      </c>
      <c r="I1260" t="str">
        <f t="shared" si="77"/>
        <v/>
      </c>
      <c r="J1260" t="str">
        <f t="shared" si="78"/>
        <v/>
      </c>
      <c r="K1260">
        <v>994443.83</v>
      </c>
      <c r="L1260" t="b">
        <f t="shared" si="79"/>
        <v>0</v>
      </c>
    </row>
    <row r="1261" spans="1:12" ht="16" x14ac:dyDescent="0.2">
      <c r="A1261" t="s">
        <v>5559</v>
      </c>
      <c r="B1261" t="s">
        <v>73</v>
      </c>
      <c r="C1261" t="s">
        <v>3865</v>
      </c>
      <c r="D1261" s="2" t="s">
        <v>147</v>
      </c>
      <c r="E1261">
        <v>2025</v>
      </c>
      <c r="F1261">
        <v>2027</v>
      </c>
      <c r="G1261" s="10">
        <v>1983333.3333333335</v>
      </c>
      <c r="H1261">
        <f t="shared" si="76"/>
        <v>1983333.3333333335</v>
      </c>
      <c r="I1261" t="str">
        <f t="shared" si="77"/>
        <v/>
      </c>
      <c r="J1261" t="str">
        <f t="shared" si="78"/>
        <v/>
      </c>
      <c r="K1261">
        <v>533946.15</v>
      </c>
      <c r="L1261" t="b">
        <f t="shared" si="79"/>
        <v>0</v>
      </c>
    </row>
    <row r="1262" spans="1:12" ht="16" x14ac:dyDescent="0.2">
      <c r="A1262" t="s">
        <v>5560</v>
      </c>
      <c r="B1262" t="s">
        <v>73</v>
      </c>
      <c r="C1262" t="s">
        <v>3866</v>
      </c>
      <c r="D1262" s="2" t="s">
        <v>147</v>
      </c>
      <c r="E1262">
        <v>2026</v>
      </c>
      <c r="F1262">
        <v>2029</v>
      </c>
      <c r="G1262" s="10">
        <v>7853333.333333333</v>
      </c>
      <c r="H1262">
        <f t="shared" si="76"/>
        <v>7853333.333333333</v>
      </c>
      <c r="I1262">
        <f t="shared" si="77"/>
        <v>7853333.333333333</v>
      </c>
      <c r="J1262">
        <f t="shared" si="78"/>
        <v>7853333.333333333</v>
      </c>
      <c r="K1262">
        <v>8488758.2100000009</v>
      </c>
      <c r="L1262" t="b">
        <f t="shared" si="79"/>
        <v>0</v>
      </c>
    </row>
    <row r="1263" spans="1:12" ht="16" x14ac:dyDescent="0.2">
      <c r="A1263" t="s">
        <v>5561</v>
      </c>
      <c r="B1263" t="s">
        <v>73</v>
      </c>
      <c r="C1263" t="s">
        <v>3867</v>
      </c>
      <c r="D1263" s="2" t="s">
        <v>147</v>
      </c>
      <c r="G1263" s="10" t="s">
        <v>2892</v>
      </c>
      <c r="H1263" t="str">
        <f t="shared" si="76"/>
        <v/>
      </c>
      <c r="I1263" t="str">
        <f t="shared" si="77"/>
        <v/>
      </c>
      <c r="J1263" t="str">
        <f t="shared" si="78"/>
        <v/>
      </c>
      <c r="L1263" t="b">
        <f t="shared" si="79"/>
        <v>1</v>
      </c>
    </row>
    <row r="1264" spans="1:12" ht="16" x14ac:dyDescent="0.2">
      <c r="A1264" t="s">
        <v>5562</v>
      </c>
      <c r="B1264" t="s">
        <v>73</v>
      </c>
      <c r="C1264" t="s">
        <v>3868</v>
      </c>
      <c r="D1264" s="2" t="s">
        <v>147</v>
      </c>
      <c r="E1264">
        <v>2025</v>
      </c>
      <c r="F1264">
        <v>2026</v>
      </c>
      <c r="G1264" s="10">
        <v>2370000</v>
      </c>
      <c r="H1264" t="str">
        <f t="shared" si="76"/>
        <v/>
      </c>
      <c r="I1264" t="str">
        <f t="shared" si="77"/>
        <v/>
      </c>
      <c r="J1264" t="str">
        <f t="shared" si="78"/>
        <v/>
      </c>
      <c r="K1264">
        <v>320289.25</v>
      </c>
      <c r="L1264" t="b">
        <f t="shared" si="79"/>
        <v>0</v>
      </c>
    </row>
    <row r="1265" spans="1:12" ht="16" x14ac:dyDescent="0.2">
      <c r="A1265" t="s">
        <v>5563</v>
      </c>
      <c r="B1265" t="s">
        <v>73</v>
      </c>
      <c r="C1265" t="s">
        <v>3869</v>
      </c>
      <c r="D1265" s="2" t="s">
        <v>147</v>
      </c>
      <c r="E1265">
        <v>2025</v>
      </c>
      <c r="F1265">
        <v>2028</v>
      </c>
      <c r="G1265" s="10">
        <v>7455000</v>
      </c>
      <c r="H1265">
        <f t="shared" si="76"/>
        <v>7455000</v>
      </c>
      <c r="I1265">
        <f t="shared" si="77"/>
        <v>7455000</v>
      </c>
      <c r="J1265" t="str">
        <f t="shared" si="78"/>
        <v/>
      </c>
      <c r="K1265">
        <v>8079376.2699999996</v>
      </c>
      <c r="L1265" t="b">
        <f t="shared" si="79"/>
        <v>0</v>
      </c>
    </row>
    <row r="1266" spans="1:12" ht="16" x14ac:dyDescent="0.2">
      <c r="A1266" t="s">
        <v>5564</v>
      </c>
      <c r="B1266" t="s">
        <v>73</v>
      </c>
      <c r="C1266" t="s">
        <v>3870</v>
      </c>
      <c r="D1266" s="2" t="s">
        <v>147</v>
      </c>
      <c r="E1266">
        <v>2025</v>
      </c>
      <c r="F1266">
        <v>2026</v>
      </c>
      <c r="G1266" s="10">
        <v>5620000</v>
      </c>
      <c r="H1266" t="str">
        <f t="shared" si="76"/>
        <v/>
      </c>
      <c r="I1266" t="str">
        <f t="shared" si="77"/>
        <v/>
      </c>
      <c r="J1266" t="str">
        <f t="shared" si="78"/>
        <v/>
      </c>
      <c r="K1266">
        <v>1311384.27</v>
      </c>
      <c r="L1266" t="b">
        <f t="shared" si="79"/>
        <v>0</v>
      </c>
    </row>
    <row r="1267" spans="1:12" ht="16" x14ac:dyDescent="0.2">
      <c r="A1267" t="s">
        <v>5565</v>
      </c>
      <c r="B1267" t="s">
        <v>73</v>
      </c>
      <c r="C1267" t="s">
        <v>3871</v>
      </c>
      <c r="D1267" s="2" t="s">
        <v>147</v>
      </c>
      <c r="G1267" s="10" t="s">
        <v>2892</v>
      </c>
      <c r="H1267" t="str">
        <f t="shared" si="76"/>
        <v/>
      </c>
      <c r="I1267" t="str">
        <f t="shared" si="77"/>
        <v/>
      </c>
      <c r="J1267" t="str">
        <f t="shared" si="78"/>
        <v/>
      </c>
      <c r="L1267" t="b">
        <f t="shared" si="79"/>
        <v>1</v>
      </c>
    </row>
    <row r="1268" spans="1:12" ht="16" x14ac:dyDescent="0.2">
      <c r="A1268" t="s">
        <v>5566</v>
      </c>
      <c r="B1268" t="s">
        <v>73</v>
      </c>
      <c r="C1268" t="s">
        <v>3872</v>
      </c>
      <c r="D1268" s="2" t="s">
        <v>147</v>
      </c>
      <c r="E1268">
        <v>2025</v>
      </c>
      <c r="F1268">
        <v>2027</v>
      </c>
      <c r="G1268" s="10">
        <v>4856666.666666666</v>
      </c>
      <c r="H1268">
        <f t="shared" si="76"/>
        <v>4856666.666666666</v>
      </c>
      <c r="I1268" t="str">
        <f t="shared" si="77"/>
        <v/>
      </c>
      <c r="J1268" t="str">
        <f t="shared" si="78"/>
        <v/>
      </c>
      <c r="K1268">
        <v>3901105.94</v>
      </c>
      <c r="L1268" t="b">
        <f t="shared" si="79"/>
        <v>0</v>
      </c>
    </row>
    <row r="1269" spans="1:12" ht="16" x14ac:dyDescent="0.2">
      <c r="A1269" t="s">
        <v>5567</v>
      </c>
      <c r="B1269" t="s">
        <v>73</v>
      </c>
      <c r="C1269" t="s">
        <v>3873</v>
      </c>
      <c r="D1269" s="2" t="s">
        <v>147</v>
      </c>
      <c r="E1269">
        <v>2025</v>
      </c>
      <c r="F1269">
        <v>2026</v>
      </c>
      <c r="G1269" s="10">
        <v>11765000</v>
      </c>
      <c r="H1269" t="str">
        <f t="shared" si="76"/>
        <v/>
      </c>
      <c r="I1269" t="str">
        <f t="shared" si="77"/>
        <v/>
      </c>
      <c r="J1269" t="str">
        <f t="shared" si="78"/>
        <v/>
      </c>
      <c r="K1269">
        <v>9493631.3000000007</v>
      </c>
      <c r="L1269" t="b">
        <f t="shared" si="79"/>
        <v>0</v>
      </c>
    </row>
    <row r="1270" spans="1:12" ht="16" x14ac:dyDescent="0.2">
      <c r="A1270" t="s">
        <v>5568</v>
      </c>
      <c r="B1270" t="s">
        <v>73</v>
      </c>
      <c r="C1270" t="s">
        <v>3874</v>
      </c>
      <c r="D1270" s="2" t="s">
        <v>147</v>
      </c>
      <c r="E1270">
        <v>2025</v>
      </c>
      <c r="F1270">
        <v>2026</v>
      </c>
      <c r="G1270" s="10">
        <v>10995000</v>
      </c>
      <c r="H1270" t="str">
        <f t="shared" si="76"/>
        <v/>
      </c>
      <c r="I1270" t="str">
        <f t="shared" si="77"/>
        <v/>
      </c>
      <c r="J1270" t="str">
        <f t="shared" si="78"/>
        <v/>
      </c>
      <c r="K1270">
        <v>9009015.9600000009</v>
      </c>
      <c r="L1270" t="b">
        <f t="shared" si="79"/>
        <v>0</v>
      </c>
    </row>
    <row r="1271" spans="1:12" ht="16" x14ac:dyDescent="0.2">
      <c r="A1271" t="s">
        <v>5569</v>
      </c>
      <c r="B1271" t="s">
        <v>73</v>
      </c>
      <c r="C1271" t="s">
        <v>3875</v>
      </c>
      <c r="D1271" s="2" t="s">
        <v>147</v>
      </c>
      <c r="E1271">
        <v>2025</v>
      </c>
      <c r="F1271">
        <v>2026</v>
      </c>
      <c r="G1271" s="10">
        <v>7360000</v>
      </c>
      <c r="H1271" t="str">
        <f t="shared" si="76"/>
        <v/>
      </c>
      <c r="I1271" t="str">
        <f t="shared" si="77"/>
        <v/>
      </c>
      <c r="J1271" t="str">
        <f t="shared" si="78"/>
        <v/>
      </c>
      <c r="K1271">
        <v>4175732.79</v>
      </c>
      <c r="L1271" t="b">
        <f t="shared" si="79"/>
        <v>0</v>
      </c>
    </row>
    <row r="1272" spans="1:12" ht="16" x14ac:dyDescent="0.2">
      <c r="A1272" t="s">
        <v>5570</v>
      </c>
      <c r="B1272" t="s">
        <v>73</v>
      </c>
      <c r="C1272" t="s">
        <v>3876</v>
      </c>
      <c r="D1272" s="2" t="s">
        <v>147</v>
      </c>
      <c r="G1272" s="10" t="s">
        <v>2892</v>
      </c>
      <c r="H1272" t="str">
        <f t="shared" si="76"/>
        <v/>
      </c>
      <c r="I1272" t="str">
        <f t="shared" si="77"/>
        <v/>
      </c>
      <c r="J1272" t="str">
        <f t="shared" si="78"/>
        <v/>
      </c>
      <c r="L1272" t="b">
        <f t="shared" si="79"/>
        <v>1</v>
      </c>
    </row>
    <row r="1273" spans="1:12" ht="16" x14ac:dyDescent="0.2">
      <c r="A1273" t="s">
        <v>5571</v>
      </c>
      <c r="B1273" t="s">
        <v>73</v>
      </c>
      <c r="C1273" t="s">
        <v>3877</v>
      </c>
      <c r="D1273" s="2" t="s">
        <v>147</v>
      </c>
      <c r="E1273">
        <v>2025</v>
      </c>
      <c r="F1273">
        <v>2026</v>
      </c>
      <c r="G1273" s="10">
        <v>3205000</v>
      </c>
      <c r="H1273" t="str">
        <f t="shared" si="76"/>
        <v/>
      </c>
      <c r="I1273" t="str">
        <f t="shared" si="77"/>
        <v/>
      </c>
      <c r="J1273" t="str">
        <f t="shared" si="78"/>
        <v/>
      </c>
      <c r="K1273">
        <v>260779.42</v>
      </c>
      <c r="L1273" t="b">
        <f t="shared" si="79"/>
        <v>0</v>
      </c>
    </row>
    <row r="1274" spans="1:12" ht="16" x14ac:dyDescent="0.2">
      <c r="A1274" t="s">
        <v>5572</v>
      </c>
      <c r="B1274" t="s">
        <v>73</v>
      </c>
      <c r="C1274" t="s">
        <v>3878</v>
      </c>
      <c r="D1274" s="2" t="s">
        <v>147</v>
      </c>
      <c r="E1274">
        <v>2025</v>
      </c>
      <c r="F1274">
        <v>2028</v>
      </c>
      <c r="G1274" s="10">
        <v>10472500</v>
      </c>
      <c r="H1274">
        <f t="shared" si="76"/>
        <v>10472500</v>
      </c>
      <c r="I1274">
        <f t="shared" si="77"/>
        <v>10472500</v>
      </c>
      <c r="J1274" t="str">
        <f t="shared" si="78"/>
        <v/>
      </c>
      <c r="K1274">
        <v>13750194.689999999</v>
      </c>
      <c r="L1274" t="b">
        <f t="shared" si="79"/>
        <v>0</v>
      </c>
    </row>
    <row r="1275" spans="1:12" ht="16" x14ac:dyDescent="0.2">
      <c r="A1275" t="s">
        <v>5573</v>
      </c>
      <c r="B1275" t="s">
        <v>73</v>
      </c>
      <c r="C1275" t="s">
        <v>3879</v>
      </c>
      <c r="D1275" s="2" t="s">
        <v>147</v>
      </c>
      <c r="E1275">
        <v>2025</v>
      </c>
      <c r="F1275">
        <v>2026</v>
      </c>
      <c r="G1275" s="10">
        <v>9950000</v>
      </c>
      <c r="H1275" t="str">
        <f t="shared" si="76"/>
        <v/>
      </c>
      <c r="I1275" t="str">
        <f t="shared" si="77"/>
        <v/>
      </c>
      <c r="J1275" t="str">
        <f t="shared" si="78"/>
        <v/>
      </c>
      <c r="K1275">
        <v>8340574.25</v>
      </c>
      <c r="L1275" t="b">
        <f t="shared" si="79"/>
        <v>0</v>
      </c>
    </row>
    <row r="1276" spans="1:12" ht="16" x14ac:dyDescent="0.2">
      <c r="A1276" t="s">
        <v>5574</v>
      </c>
      <c r="B1276" t="s">
        <v>73</v>
      </c>
      <c r="C1276" t="s">
        <v>3880</v>
      </c>
      <c r="D1276" s="2" t="s">
        <v>147</v>
      </c>
      <c r="E1276">
        <v>2025</v>
      </c>
      <c r="F1276">
        <v>2026</v>
      </c>
      <c r="G1276" s="10">
        <v>2610000</v>
      </c>
      <c r="H1276" t="str">
        <f t="shared" si="76"/>
        <v/>
      </c>
      <c r="I1276" t="str">
        <f t="shared" si="77"/>
        <v/>
      </c>
      <c r="J1276" t="str">
        <f t="shared" si="78"/>
        <v/>
      </c>
      <c r="K1276">
        <v>798379.03</v>
      </c>
      <c r="L1276" t="b">
        <f t="shared" si="79"/>
        <v>0</v>
      </c>
    </row>
    <row r="1277" spans="1:12" ht="16" x14ac:dyDescent="0.2">
      <c r="A1277" t="s">
        <v>5575</v>
      </c>
      <c r="B1277" t="s">
        <v>73</v>
      </c>
      <c r="C1277" t="s">
        <v>3881</v>
      </c>
      <c r="D1277" s="2" t="s">
        <v>147</v>
      </c>
      <c r="E1277">
        <v>2025</v>
      </c>
      <c r="F1277">
        <v>2026</v>
      </c>
      <c r="G1277" s="10">
        <v>2225000</v>
      </c>
      <c r="H1277" t="str">
        <f t="shared" si="76"/>
        <v/>
      </c>
      <c r="I1277" t="str">
        <f t="shared" si="77"/>
        <v/>
      </c>
      <c r="J1277" t="str">
        <f t="shared" si="78"/>
        <v/>
      </c>
      <c r="K1277">
        <v>690150.04</v>
      </c>
      <c r="L1277" t="b">
        <f t="shared" si="79"/>
        <v>0</v>
      </c>
    </row>
    <row r="1278" spans="1:12" ht="16" x14ac:dyDescent="0.2">
      <c r="A1278" t="s">
        <v>5576</v>
      </c>
      <c r="B1278" t="s">
        <v>73</v>
      </c>
      <c r="C1278" t="s">
        <v>3882</v>
      </c>
      <c r="D1278" s="2" t="s">
        <v>147</v>
      </c>
      <c r="G1278" s="10" t="s">
        <v>2892</v>
      </c>
      <c r="H1278" t="str">
        <f t="shared" si="76"/>
        <v/>
      </c>
      <c r="I1278" t="str">
        <f t="shared" si="77"/>
        <v/>
      </c>
      <c r="J1278" t="str">
        <f t="shared" si="78"/>
        <v/>
      </c>
      <c r="L1278" t="b">
        <f t="shared" si="79"/>
        <v>1</v>
      </c>
    </row>
    <row r="1279" spans="1:12" ht="16" x14ac:dyDescent="0.2">
      <c r="A1279" t="s">
        <v>5577</v>
      </c>
      <c r="B1279" t="s">
        <v>73</v>
      </c>
      <c r="C1279" t="s">
        <v>3883</v>
      </c>
      <c r="D1279" s="2" t="s">
        <v>147</v>
      </c>
      <c r="G1279" s="10" t="s">
        <v>2892</v>
      </c>
      <c r="H1279" t="str">
        <f t="shared" si="76"/>
        <v/>
      </c>
      <c r="I1279" t="str">
        <f t="shared" si="77"/>
        <v/>
      </c>
      <c r="J1279" t="str">
        <f t="shared" si="78"/>
        <v/>
      </c>
      <c r="L1279" t="b">
        <f t="shared" si="79"/>
        <v>1</v>
      </c>
    </row>
    <row r="1280" spans="1:12" ht="16" x14ac:dyDescent="0.2">
      <c r="A1280" t="s">
        <v>5578</v>
      </c>
      <c r="B1280" t="s">
        <v>73</v>
      </c>
      <c r="C1280" t="s">
        <v>3884</v>
      </c>
      <c r="D1280" s="2" t="s">
        <v>147</v>
      </c>
      <c r="E1280">
        <v>2025</v>
      </c>
      <c r="F1280">
        <v>2027</v>
      </c>
      <c r="G1280" s="10">
        <v>7350000.0000000009</v>
      </c>
      <c r="H1280">
        <f t="shared" si="76"/>
        <v>7350000.0000000009</v>
      </c>
      <c r="I1280" t="str">
        <f t="shared" si="77"/>
        <v/>
      </c>
      <c r="J1280" t="str">
        <f t="shared" si="78"/>
        <v/>
      </c>
      <c r="K1280">
        <v>6079075.71</v>
      </c>
      <c r="L1280" t="b">
        <f t="shared" si="79"/>
        <v>0</v>
      </c>
    </row>
    <row r="1281" spans="1:12" ht="16" x14ac:dyDescent="0.2">
      <c r="A1281" t="s">
        <v>5579</v>
      </c>
      <c r="B1281" t="s">
        <v>73</v>
      </c>
      <c r="C1281" t="s">
        <v>3885</v>
      </c>
      <c r="D1281" s="2" t="s">
        <v>147</v>
      </c>
      <c r="G1281" s="10" t="s">
        <v>2892</v>
      </c>
      <c r="H1281" t="str">
        <f t="shared" si="76"/>
        <v/>
      </c>
      <c r="I1281" t="str">
        <f t="shared" si="77"/>
        <v/>
      </c>
      <c r="J1281" t="str">
        <f t="shared" si="78"/>
        <v/>
      </c>
      <c r="L1281" t="b">
        <f t="shared" si="79"/>
        <v>1</v>
      </c>
    </row>
    <row r="1282" spans="1:12" ht="16" x14ac:dyDescent="0.2">
      <c r="A1282" t="s">
        <v>5580</v>
      </c>
      <c r="B1282" t="s">
        <v>73</v>
      </c>
      <c r="C1282" t="s">
        <v>3886</v>
      </c>
      <c r="D1282" s="2" t="s">
        <v>147</v>
      </c>
      <c r="G1282" s="10" t="s">
        <v>2892</v>
      </c>
      <c r="H1282" t="str">
        <f t="shared" si="76"/>
        <v/>
      </c>
      <c r="I1282" t="str">
        <f t="shared" si="77"/>
        <v/>
      </c>
      <c r="J1282" t="str">
        <f t="shared" si="78"/>
        <v/>
      </c>
      <c r="L1282" t="b">
        <f t="shared" si="79"/>
        <v>1</v>
      </c>
    </row>
    <row r="1283" spans="1:12" ht="16" x14ac:dyDescent="0.2">
      <c r="A1283" t="s">
        <v>5581</v>
      </c>
      <c r="B1283" t="s">
        <v>73</v>
      </c>
      <c r="C1283" t="s">
        <v>3887</v>
      </c>
      <c r="D1283" s="2" t="s">
        <v>147</v>
      </c>
      <c r="E1283">
        <v>2025</v>
      </c>
      <c r="F1283">
        <v>2026</v>
      </c>
      <c r="G1283" s="10">
        <v>2065000</v>
      </c>
      <c r="H1283" t="str">
        <f t="shared" si="76"/>
        <v/>
      </c>
      <c r="I1283" t="str">
        <f t="shared" si="77"/>
        <v/>
      </c>
      <c r="J1283" t="str">
        <f t="shared" si="78"/>
        <v/>
      </c>
      <c r="K1283">
        <v>28314.18</v>
      </c>
      <c r="L1283" t="b">
        <f t="shared" si="79"/>
        <v>0</v>
      </c>
    </row>
    <row r="1284" spans="1:12" ht="16" x14ac:dyDescent="0.2">
      <c r="A1284" t="s">
        <v>5582</v>
      </c>
      <c r="B1284" t="s">
        <v>73</v>
      </c>
      <c r="C1284" t="s">
        <v>3888</v>
      </c>
      <c r="D1284" s="2" t="s">
        <v>147</v>
      </c>
      <c r="E1284">
        <v>2025</v>
      </c>
      <c r="F1284">
        <v>2026</v>
      </c>
      <c r="G1284" s="10">
        <v>12375000</v>
      </c>
      <c r="H1284" t="str">
        <f t="shared" ref="H1284:H1347" si="80">IF(F1284&gt;=2027,G1284,"")</f>
        <v/>
      </c>
      <c r="I1284" t="str">
        <f t="shared" ref="I1284:I1347" si="81">IF(F1284&gt;=2028,G1284,"")</f>
        <v/>
      </c>
      <c r="J1284" t="str">
        <f t="shared" ref="J1284:J1347" si="82">IF(F1284&gt;=2029,G1284,"")</f>
        <v/>
      </c>
      <c r="K1284">
        <v>8042474.6299999999</v>
      </c>
      <c r="L1284" t="b">
        <f t="shared" si="79"/>
        <v>0</v>
      </c>
    </row>
    <row r="1285" spans="1:12" ht="16" x14ac:dyDescent="0.2">
      <c r="A1285" t="s">
        <v>5583</v>
      </c>
      <c r="B1285" t="s">
        <v>73</v>
      </c>
      <c r="C1285" t="s">
        <v>3889</v>
      </c>
      <c r="D1285" s="2" t="s">
        <v>147</v>
      </c>
      <c r="E1285">
        <v>2025</v>
      </c>
      <c r="F1285">
        <v>2027</v>
      </c>
      <c r="G1285" s="10">
        <v>5186666.666666667</v>
      </c>
      <c r="H1285">
        <f t="shared" si="80"/>
        <v>5186666.666666667</v>
      </c>
      <c r="I1285" t="str">
        <f t="shared" si="81"/>
        <v/>
      </c>
      <c r="J1285" t="str">
        <f t="shared" si="82"/>
        <v/>
      </c>
      <c r="K1285">
        <v>2414123.2400000002</v>
      </c>
      <c r="L1285" t="b">
        <f t="shared" si="79"/>
        <v>0</v>
      </c>
    </row>
    <row r="1286" spans="1:12" ht="16" x14ac:dyDescent="0.2">
      <c r="A1286" t="s">
        <v>5584</v>
      </c>
      <c r="B1286" t="s">
        <v>73</v>
      </c>
      <c r="C1286" t="s">
        <v>3890</v>
      </c>
      <c r="D1286" s="2" t="s">
        <v>147</v>
      </c>
      <c r="E1286">
        <v>2025</v>
      </c>
      <c r="F1286">
        <v>2026</v>
      </c>
      <c r="G1286" s="10">
        <v>8625000</v>
      </c>
      <c r="H1286" t="str">
        <f t="shared" si="80"/>
        <v/>
      </c>
      <c r="I1286" t="str">
        <f t="shared" si="81"/>
        <v/>
      </c>
      <c r="J1286" t="str">
        <f t="shared" si="82"/>
        <v/>
      </c>
      <c r="K1286">
        <v>5568764.4800000004</v>
      </c>
      <c r="L1286" t="b">
        <f t="shared" si="79"/>
        <v>0</v>
      </c>
    </row>
    <row r="1287" spans="1:12" ht="16" x14ac:dyDescent="0.2">
      <c r="A1287" t="s">
        <v>5585</v>
      </c>
      <c r="B1287" t="s">
        <v>73</v>
      </c>
      <c r="C1287" t="s">
        <v>3891</v>
      </c>
      <c r="D1287" s="2" t="s">
        <v>147</v>
      </c>
      <c r="E1287">
        <v>2025</v>
      </c>
      <c r="F1287">
        <v>2027</v>
      </c>
      <c r="G1287" s="10">
        <v>8350000</v>
      </c>
      <c r="H1287">
        <f t="shared" si="80"/>
        <v>8350000</v>
      </c>
      <c r="I1287" t="str">
        <f t="shared" si="81"/>
        <v/>
      </c>
      <c r="J1287" t="str">
        <f t="shared" si="82"/>
        <v/>
      </c>
      <c r="K1287">
        <v>7812820.4299999997</v>
      </c>
      <c r="L1287" t="b">
        <f t="shared" si="79"/>
        <v>0</v>
      </c>
    </row>
    <row r="1288" spans="1:12" ht="16" x14ac:dyDescent="0.2">
      <c r="A1288" t="s">
        <v>5586</v>
      </c>
      <c r="B1288" t="s">
        <v>73</v>
      </c>
      <c r="C1288" t="s">
        <v>3892</v>
      </c>
      <c r="D1288" s="2" t="s">
        <v>147</v>
      </c>
      <c r="E1288">
        <v>2025</v>
      </c>
      <c r="F1288">
        <v>2026</v>
      </c>
      <c r="G1288" s="10">
        <v>2200000</v>
      </c>
      <c r="H1288" t="str">
        <f t="shared" si="80"/>
        <v/>
      </c>
      <c r="I1288" t="str">
        <f t="shared" si="81"/>
        <v/>
      </c>
      <c r="J1288" t="str">
        <f t="shared" si="82"/>
        <v/>
      </c>
      <c r="K1288">
        <v>686765.18</v>
      </c>
      <c r="L1288" t="b">
        <f t="shared" si="79"/>
        <v>0</v>
      </c>
    </row>
    <row r="1289" spans="1:12" ht="16" x14ac:dyDescent="0.2">
      <c r="A1289" t="s">
        <v>5587</v>
      </c>
      <c r="B1289" t="s">
        <v>73</v>
      </c>
      <c r="C1289" t="s">
        <v>3893</v>
      </c>
      <c r="D1289" s="2" t="s">
        <v>147</v>
      </c>
      <c r="E1289">
        <v>2025</v>
      </c>
      <c r="F1289">
        <v>2027</v>
      </c>
      <c r="G1289" s="10">
        <v>5323333.333333333</v>
      </c>
      <c r="H1289">
        <f t="shared" si="80"/>
        <v>5323333.333333333</v>
      </c>
      <c r="I1289" t="str">
        <f t="shared" si="81"/>
        <v/>
      </c>
      <c r="J1289" t="str">
        <f t="shared" si="82"/>
        <v/>
      </c>
      <c r="K1289">
        <v>6722316.7400000002</v>
      </c>
      <c r="L1289" t="b">
        <f t="shared" si="79"/>
        <v>0</v>
      </c>
    </row>
    <row r="1290" spans="1:12" ht="16" x14ac:dyDescent="0.2">
      <c r="A1290" t="s">
        <v>5588</v>
      </c>
      <c r="B1290" t="s">
        <v>73</v>
      </c>
      <c r="C1290" t="s">
        <v>3894</v>
      </c>
      <c r="D1290" s="2" t="s">
        <v>147</v>
      </c>
      <c r="E1290">
        <v>2025</v>
      </c>
      <c r="F1290">
        <v>2027</v>
      </c>
      <c r="G1290" s="10">
        <v>3429999.9999999995</v>
      </c>
      <c r="H1290">
        <f t="shared" si="80"/>
        <v>3429999.9999999995</v>
      </c>
      <c r="I1290" t="str">
        <f t="shared" si="81"/>
        <v/>
      </c>
      <c r="J1290" t="str">
        <f t="shared" si="82"/>
        <v/>
      </c>
      <c r="K1290">
        <v>3026677.2</v>
      </c>
      <c r="L1290" t="b">
        <f t="shared" si="79"/>
        <v>0</v>
      </c>
    </row>
    <row r="1291" spans="1:12" ht="16" x14ac:dyDescent="0.2">
      <c r="A1291" t="s">
        <v>5589</v>
      </c>
      <c r="B1291" t="s">
        <v>73</v>
      </c>
      <c r="C1291" t="s">
        <v>3895</v>
      </c>
      <c r="D1291" s="2" t="s">
        <v>147</v>
      </c>
      <c r="G1291" s="10" t="s">
        <v>2892</v>
      </c>
      <c r="H1291" t="str">
        <f t="shared" si="80"/>
        <v/>
      </c>
      <c r="I1291" t="str">
        <f t="shared" si="81"/>
        <v/>
      </c>
      <c r="J1291" t="str">
        <f t="shared" si="82"/>
        <v/>
      </c>
      <c r="L1291" t="b">
        <f t="shared" si="79"/>
        <v>1</v>
      </c>
    </row>
    <row r="1292" spans="1:12" ht="16" x14ac:dyDescent="0.2">
      <c r="A1292" t="s">
        <v>5590</v>
      </c>
      <c r="B1292" t="s">
        <v>73</v>
      </c>
      <c r="C1292" t="s">
        <v>3896</v>
      </c>
      <c r="D1292" s="2" t="s">
        <v>147</v>
      </c>
      <c r="G1292" s="10" t="s">
        <v>2892</v>
      </c>
      <c r="H1292" t="str">
        <f t="shared" si="80"/>
        <v/>
      </c>
      <c r="I1292" t="str">
        <f t="shared" si="81"/>
        <v/>
      </c>
      <c r="J1292" t="str">
        <f t="shared" si="82"/>
        <v/>
      </c>
      <c r="L1292" t="b">
        <f t="shared" si="79"/>
        <v>1</v>
      </c>
    </row>
    <row r="1293" spans="1:12" ht="16" x14ac:dyDescent="0.2">
      <c r="A1293" t="s">
        <v>5591</v>
      </c>
      <c r="B1293" t="s">
        <v>73</v>
      </c>
      <c r="C1293" t="s">
        <v>3897</v>
      </c>
      <c r="D1293" s="2" t="s">
        <v>147</v>
      </c>
      <c r="G1293" s="10" t="s">
        <v>2892</v>
      </c>
      <c r="H1293" t="str">
        <f t="shared" si="80"/>
        <v/>
      </c>
      <c r="I1293" t="str">
        <f t="shared" si="81"/>
        <v/>
      </c>
      <c r="J1293" t="str">
        <f t="shared" si="82"/>
        <v/>
      </c>
      <c r="L1293" t="b">
        <f t="shared" si="79"/>
        <v>1</v>
      </c>
    </row>
    <row r="1294" spans="1:12" ht="16" x14ac:dyDescent="0.2">
      <c r="A1294" t="s">
        <v>5592</v>
      </c>
      <c r="B1294" t="s">
        <v>73</v>
      </c>
      <c r="C1294" t="s">
        <v>3898</v>
      </c>
      <c r="D1294" s="2" t="s">
        <v>147</v>
      </c>
      <c r="E1294">
        <v>2025</v>
      </c>
      <c r="F1294">
        <v>2027</v>
      </c>
      <c r="G1294" s="10">
        <v>4149999.9999999995</v>
      </c>
      <c r="H1294">
        <f t="shared" si="80"/>
        <v>4149999.9999999995</v>
      </c>
      <c r="I1294" t="str">
        <f t="shared" si="81"/>
        <v/>
      </c>
      <c r="J1294" t="str">
        <f t="shared" si="82"/>
        <v/>
      </c>
      <c r="K1294">
        <v>2808937.22</v>
      </c>
      <c r="L1294" t="b">
        <f t="shared" si="79"/>
        <v>0</v>
      </c>
    </row>
    <row r="1295" spans="1:12" ht="16" x14ac:dyDescent="0.2">
      <c r="A1295" t="s">
        <v>5593</v>
      </c>
      <c r="B1295" t="s">
        <v>73</v>
      </c>
      <c r="C1295" t="s">
        <v>3899</v>
      </c>
      <c r="D1295" s="2" t="s">
        <v>147</v>
      </c>
      <c r="E1295">
        <v>2025</v>
      </c>
      <c r="F1295">
        <v>2026</v>
      </c>
      <c r="G1295" s="10">
        <v>10605000</v>
      </c>
      <c r="H1295" t="str">
        <f t="shared" si="80"/>
        <v/>
      </c>
      <c r="I1295" t="str">
        <f t="shared" si="81"/>
        <v/>
      </c>
      <c r="J1295" t="str">
        <f t="shared" si="82"/>
        <v/>
      </c>
      <c r="K1295">
        <v>5509156.4000000004</v>
      </c>
      <c r="L1295" t="b">
        <f t="shared" si="79"/>
        <v>0</v>
      </c>
    </row>
    <row r="1296" spans="1:12" ht="16" x14ac:dyDescent="0.2">
      <c r="A1296" t="s">
        <v>5594</v>
      </c>
      <c r="B1296" t="s">
        <v>73</v>
      </c>
      <c r="C1296" t="s">
        <v>3900</v>
      </c>
      <c r="D1296" s="2" t="s">
        <v>147</v>
      </c>
      <c r="G1296" s="10" t="s">
        <v>2892</v>
      </c>
      <c r="H1296" t="str">
        <f t="shared" si="80"/>
        <v/>
      </c>
      <c r="I1296" t="str">
        <f t="shared" si="81"/>
        <v/>
      </c>
      <c r="J1296" t="str">
        <f t="shared" si="82"/>
        <v/>
      </c>
      <c r="L1296" t="b">
        <f t="shared" si="79"/>
        <v>1</v>
      </c>
    </row>
    <row r="1297" spans="1:12" ht="16" x14ac:dyDescent="0.2">
      <c r="A1297" t="s">
        <v>5595</v>
      </c>
      <c r="B1297" t="s">
        <v>73</v>
      </c>
      <c r="C1297" t="s">
        <v>3901</v>
      </c>
      <c r="D1297" s="2" t="s">
        <v>147</v>
      </c>
      <c r="E1297">
        <v>2025</v>
      </c>
      <c r="F1297">
        <v>2026</v>
      </c>
      <c r="G1297" s="10">
        <v>1560000</v>
      </c>
      <c r="H1297" t="str">
        <f t="shared" si="80"/>
        <v/>
      </c>
      <c r="I1297" t="str">
        <f t="shared" si="81"/>
        <v/>
      </c>
      <c r="J1297" t="str">
        <f t="shared" si="82"/>
        <v/>
      </c>
      <c r="K1297">
        <v>98264.08</v>
      </c>
      <c r="L1297" t="b">
        <f t="shared" si="79"/>
        <v>0</v>
      </c>
    </row>
    <row r="1298" spans="1:12" ht="16" x14ac:dyDescent="0.2">
      <c r="A1298" t="s">
        <v>5596</v>
      </c>
      <c r="B1298" t="s">
        <v>73</v>
      </c>
      <c r="C1298" t="s">
        <v>3902</v>
      </c>
      <c r="D1298" s="2" t="s">
        <v>144</v>
      </c>
      <c r="E1298">
        <v>2025</v>
      </c>
      <c r="F1298">
        <v>2028</v>
      </c>
      <c r="G1298" s="10">
        <v>10300000</v>
      </c>
      <c r="H1298">
        <f t="shared" si="80"/>
        <v>10300000</v>
      </c>
      <c r="I1298">
        <f t="shared" si="81"/>
        <v>10300000</v>
      </c>
      <c r="J1298" t="str">
        <f t="shared" si="82"/>
        <v/>
      </c>
      <c r="K1298">
        <v>15992148.800000001</v>
      </c>
      <c r="L1298" t="b">
        <f t="shared" si="79"/>
        <v>0</v>
      </c>
    </row>
    <row r="1299" spans="1:12" ht="16" x14ac:dyDescent="0.2">
      <c r="A1299" t="s">
        <v>5597</v>
      </c>
      <c r="B1299" t="s">
        <v>73</v>
      </c>
      <c r="C1299" t="s">
        <v>3903</v>
      </c>
      <c r="D1299" s="2" t="s">
        <v>144</v>
      </c>
      <c r="E1299">
        <v>2025</v>
      </c>
      <c r="F1299">
        <v>2026</v>
      </c>
      <c r="G1299" s="10">
        <v>5175000</v>
      </c>
      <c r="H1299" t="str">
        <f t="shared" si="80"/>
        <v/>
      </c>
      <c r="I1299" t="str">
        <f t="shared" si="81"/>
        <v/>
      </c>
      <c r="J1299" t="str">
        <f t="shared" si="82"/>
        <v/>
      </c>
      <c r="K1299">
        <v>2962672.21</v>
      </c>
      <c r="L1299" t="b">
        <f t="shared" si="79"/>
        <v>0</v>
      </c>
    </row>
    <row r="1300" spans="1:12" ht="16" x14ac:dyDescent="0.2">
      <c r="A1300" t="s">
        <v>5598</v>
      </c>
      <c r="B1300" t="s">
        <v>73</v>
      </c>
      <c r="C1300" t="s">
        <v>3904</v>
      </c>
      <c r="D1300" s="2" t="s">
        <v>144</v>
      </c>
      <c r="G1300" s="10" t="s">
        <v>2892</v>
      </c>
      <c r="H1300" t="str">
        <f t="shared" si="80"/>
        <v/>
      </c>
      <c r="I1300" t="str">
        <f t="shared" si="81"/>
        <v/>
      </c>
      <c r="J1300" t="str">
        <f t="shared" si="82"/>
        <v/>
      </c>
      <c r="L1300" t="b">
        <f t="shared" si="79"/>
        <v>1</v>
      </c>
    </row>
    <row r="1301" spans="1:12" ht="16" x14ac:dyDescent="0.2">
      <c r="A1301" t="s">
        <v>5599</v>
      </c>
      <c r="B1301" t="s">
        <v>73</v>
      </c>
      <c r="C1301" t="s">
        <v>3905</v>
      </c>
      <c r="D1301" s="2" t="s">
        <v>144</v>
      </c>
      <c r="E1301">
        <v>2025</v>
      </c>
      <c r="F1301">
        <v>2026</v>
      </c>
      <c r="G1301" s="10">
        <v>7030000</v>
      </c>
      <c r="H1301" t="str">
        <f t="shared" si="80"/>
        <v/>
      </c>
      <c r="I1301" t="str">
        <f t="shared" si="81"/>
        <v/>
      </c>
      <c r="J1301" t="str">
        <f t="shared" si="82"/>
        <v/>
      </c>
      <c r="K1301">
        <v>4235062.34</v>
      </c>
      <c r="L1301" t="b">
        <f t="shared" si="79"/>
        <v>0</v>
      </c>
    </row>
    <row r="1302" spans="1:12" ht="16" x14ac:dyDescent="0.2">
      <c r="A1302" t="s">
        <v>5600</v>
      </c>
      <c r="B1302" t="s">
        <v>73</v>
      </c>
      <c r="C1302" t="s">
        <v>3906</v>
      </c>
      <c r="D1302" s="2" t="s">
        <v>144</v>
      </c>
      <c r="E1302">
        <v>2025</v>
      </c>
      <c r="F1302">
        <v>2026</v>
      </c>
      <c r="G1302" s="10">
        <v>1615000</v>
      </c>
      <c r="H1302" t="str">
        <f t="shared" si="80"/>
        <v/>
      </c>
      <c r="I1302" t="str">
        <f t="shared" si="81"/>
        <v/>
      </c>
      <c r="J1302" t="str">
        <f t="shared" si="82"/>
        <v/>
      </c>
      <c r="K1302">
        <v>471611.63</v>
      </c>
      <c r="L1302" t="b">
        <f t="shared" si="79"/>
        <v>0</v>
      </c>
    </row>
    <row r="1303" spans="1:12" ht="16" x14ac:dyDescent="0.2">
      <c r="A1303" t="s">
        <v>5601</v>
      </c>
      <c r="B1303" t="s">
        <v>73</v>
      </c>
      <c r="C1303" t="s">
        <v>3907</v>
      </c>
      <c r="D1303" s="2" t="s">
        <v>144</v>
      </c>
      <c r="E1303">
        <v>2025</v>
      </c>
      <c r="F1303">
        <v>2026</v>
      </c>
      <c r="G1303" s="10">
        <v>3445000</v>
      </c>
      <c r="H1303" t="str">
        <f t="shared" si="80"/>
        <v/>
      </c>
      <c r="I1303" t="str">
        <f t="shared" si="81"/>
        <v/>
      </c>
      <c r="J1303" t="str">
        <f t="shared" si="82"/>
        <v/>
      </c>
      <c r="K1303">
        <v>1763131.29</v>
      </c>
      <c r="L1303" t="b">
        <f t="shared" si="79"/>
        <v>0</v>
      </c>
    </row>
    <row r="1304" spans="1:12" ht="16" x14ac:dyDescent="0.2">
      <c r="A1304" t="s">
        <v>5602</v>
      </c>
      <c r="B1304" t="s">
        <v>73</v>
      </c>
      <c r="C1304" t="s">
        <v>3908</v>
      </c>
      <c r="D1304" s="2" t="s">
        <v>144</v>
      </c>
      <c r="E1304">
        <v>2025</v>
      </c>
      <c r="F1304">
        <v>2026</v>
      </c>
      <c r="G1304" s="10">
        <v>1250000</v>
      </c>
      <c r="H1304" t="str">
        <f t="shared" si="80"/>
        <v/>
      </c>
      <c r="I1304" t="str">
        <f t="shared" si="81"/>
        <v/>
      </c>
      <c r="J1304" t="str">
        <f t="shared" si="82"/>
        <v/>
      </c>
      <c r="K1304">
        <v>365577.66</v>
      </c>
      <c r="L1304" t="b">
        <f t="shared" si="79"/>
        <v>0</v>
      </c>
    </row>
    <row r="1305" spans="1:12" ht="16" x14ac:dyDescent="0.2">
      <c r="A1305" t="s">
        <v>5603</v>
      </c>
      <c r="B1305" t="s">
        <v>73</v>
      </c>
      <c r="C1305" t="s">
        <v>3909</v>
      </c>
      <c r="D1305" s="2" t="s">
        <v>144</v>
      </c>
      <c r="G1305" s="10" t="s">
        <v>2892</v>
      </c>
      <c r="H1305" t="str">
        <f t="shared" si="80"/>
        <v/>
      </c>
      <c r="I1305" t="str">
        <f t="shared" si="81"/>
        <v/>
      </c>
      <c r="J1305" t="str">
        <f t="shared" si="82"/>
        <v/>
      </c>
      <c r="L1305" t="b">
        <f t="shared" si="79"/>
        <v>1</v>
      </c>
    </row>
    <row r="1306" spans="1:12" ht="16" x14ac:dyDescent="0.2">
      <c r="A1306" t="s">
        <v>5604</v>
      </c>
      <c r="B1306" t="s">
        <v>73</v>
      </c>
      <c r="C1306" t="s">
        <v>3910</v>
      </c>
      <c r="D1306" s="2" t="s">
        <v>144</v>
      </c>
      <c r="G1306" s="10" t="s">
        <v>2892</v>
      </c>
      <c r="H1306" t="str">
        <f t="shared" si="80"/>
        <v/>
      </c>
      <c r="I1306" t="str">
        <f t="shared" si="81"/>
        <v/>
      </c>
      <c r="J1306" t="str">
        <f t="shared" si="82"/>
        <v/>
      </c>
      <c r="L1306" t="b">
        <f t="shared" si="79"/>
        <v>1</v>
      </c>
    </row>
    <row r="1307" spans="1:12" ht="16" x14ac:dyDescent="0.2">
      <c r="A1307" t="s">
        <v>5605</v>
      </c>
      <c r="B1307" t="s">
        <v>73</v>
      </c>
      <c r="C1307" t="s">
        <v>3911</v>
      </c>
      <c r="D1307" s="2" t="s">
        <v>144</v>
      </c>
      <c r="E1307">
        <v>2025</v>
      </c>
      <c r="F1307">
        <v>2026</v>
      </c>
      <c r="G1307" s="10">
        <v>5715000</v>
      </c>
      <c r="H1307" t="str">
        <f t="shared" si="80"/>
        <v/>
      </c>
      <c r="I1307" t="str">
        <f t="shared" si="81"/>
        <v/>
      </c>
      <c r="J1307" t="str">
        <f t="shared" si="82"/>
        <v/>
      </c>
      <c r="K1307">
        <v>2402933.5299999998</v>
      </c>
      <c r="L1307" t="b">
        <f t="shared" si="79"/>
        <v>0</v>
      </c>
    </row>
    <row r="1308" spans="1:12" ht="16" x14ac:dyDescent="0.2">
      <c r="A1308" t="s">
        <v>5606</v>
      </c>
      <c r="B1308" t="s">
        <v>73</v>
      </c>
      <c r="C1308" t="s">
        <v>3912</v>
      </c>
      <c r="D1308" s="2" t="s">
        <v>144</v>
      </c>
      <c r="E1308">
        <v>2025</v>
      </c>
      <c r="F1308">
        <v>2027</v>
      </c>
      <c r="G1308" s="10">
        <v>4570000</v>
      </c>
      <c r="H1308">
        <f t="shared" si="80"/>
        <v>4570000</v>
      </c>
      <c r="I1308" t="str">
        <f t="shared" si="81"/>
        <v/>
      </c>
      <c r="J1308" t="str">
        <f t="shared" si="82"/>
        <v/>
      </c>
      <c r="K1308">
        <v>2855097.45</v>
      </c>
      <c r="L1308" t="b">
        <f t="shared" si="79"/>
        <v>0</v>
      </c>
    </row>
    <row r="1309" spans="1:12" ht="16" x14ac:dyDescent="0.2">
      <c r="A1309" t="s">
        <v>5607</v>
      </c>
      <c r="B1309" t="s">
        <v>73</v>
      </c>
      <c r="C1309" t="s">
        <v>3913</v>
      </c>
      <c r="D1309" s="2" t="s">
        <v>144</v>
      </c>
      <c r="E1309">
        <v>2025</v>
      </c>
      <c r="F1309">
        <v>2027</v>
      </c>
      <c r="G1309" s="10">
        <v>2096666.6666666667</v>
      </c>
      <c r="H1309">
        <f t="shared" si="80"/>
        <v>2096666.6666666667</v>
      </c>
      <c r="I1309" t="str">
        <f t="shared" si="81"/>
        <v/>
      </c>
      <c r="J1309" t="str">
        <f t="shared" si="82"/>
        <v/>
      </c>
      <c r="K1309">
        <v>266421.46999999997</v>
      </c>
      <c r="L1309" t="b">
        <f t="shared" si="79"/>
        <v>0</v>
      </c>
    </row>
    <row r="1310" spans="1:12" ht="16" x14ac:dyDescent="0.2">
      <c r="A1310" t="s">
        <v>5608</v>
      </c>
      <c r="B1310" t="s">
        <v>73</v>
      </c>
      <c r="C1310" t="s">
        <v>3914</v>
      </c>
      <c r="D1310" s="2" t="s">
        <v>144</v>
      </c>
      <c r="E1310">
        <v>2025</v>
      </c>
      <c r="F1310">
        <v>2026</v>
      </c>
      <c r="G1310" s="10">
        <v>2315000</v>
      </c>
      <c r="H1310" t="str">
        <f t="shared" si="80"/>
        <v/>
      </c>
      <c r="I1310" t="str">
        <f t="shared" si="81"/>
        <v/>
      </c>
      <c r="J1310" t="str">
        <f t="shared" si="82"/>
        <v/>
      </c>
      <c r="K1310">
        <v>169931.84</v>
      </c>
      <c r="L1310" t="b">
        <f t="shared" si="79"/>
        <v>0</v>
      </c>
    </row>
    <row r="1311" spans="1:12" ht="16" x14ac:dyDescent="0.2">
      <c r="A1311" t="s">
        <v>5609</v>
      </c>
      <c r="B1311" t="s">
        <v>73</v>
      </c>
      <c r="C1311" t="s">
        <v>3915</v>
      </c>
      <c r="D1311" s="2" t="s">
        <v>144</v>
      </c>
      <c r="E1311">
        <v>2025</v>
      </c>
      <c r="F1311">
        <v>2026</v>
      </c>
      <c r="G1311" s="10">
        <v>2325000</v>
      </c>
      <c r="H1311" t="str">
        <f t="shared" si="80"/>
        <v/>
      </c>
      <c r="I1311" t="str">
        <f t="shared" si="81"/>
        <v/>
      </c>
      <c r="J1311" t="str">
        <f t="shared" si="82"/>
        <v/>
      </c>
      <c r="K1311">
        <v>583698.63</v>
      </c>
      <c r="L1311" t="b">
        <f t="shared" si="79"/>
        <v>0</v>
      </c>
    </row>
    <row r="1312" spans="1:12" ht="16" x14ac:dyDescent="0.2">
      <c r="A1312" t="s">
        <v>5610</v>
      </c>
      <c r="B1312" t="s">
        <v>73</v>
      </c>
      <c r="C1312" t="s">
        <v>3916</v>
      </c>
      <c r="D1312" s="2" t="s">
        <v>144</v>
      </c>
      <c r="E1312">
        <v>2025</v>
      </c>
      <c r="F1312">
        <v>2026</v>
      </c>
      <c r="G1312" s="10">
        <v>3095000</v>
      </c>
      <c r="H1312" t="str">
        <f t="shared" si="80"/>
        <v/>
      </c>
      <c r="I1312" t="str">
        <f t="shared" si="81"/>
        <v/>
      </c>
      <c r="J1312" t="str">
        <f t="shared" si="82"/>
        <v/>
      </c>
      <c r="K1312">
        <v>1542182.09</v>
      </c>
      <c r="L1312" t="b">
        <f t="shared" si="79"/>
        <v>0</v>
      </c>
    </row>
    <row r="1313" spans="1:12" ht="16" x14ac:dyDescent="0.2">
      <c r="A1313" t="s">
        <v>5611</v>
      </c>
      <c r="B1313" t="s">
        <v>73</v>
      </c>
      <c r="C1313" t="s">
        <v>3917</v>
      </c>
      <c r="D1313" s="2" t="s">
        <v>144</v>
      </c>
      <c r="E1313">
        <v>2025</v>
      </c>
      <c r="F1313">
        <v>2027</v>
      </c>
      <c r="G1313" s="10">
        <v>2526666.666666667</v>
      </c>
      <c r="H1313">
        <f t="shared" si="80"/>
        <v>2526666.666666667</v>
      </c>
      <c r="I1313" t="str">
        <f t="shared" si="81"/>
        <v/>
      </c>
      <c r="J1313" t="str">
        <f t="shared" si="82"/>
        <v/>
      </c>
      <c r="K1313">
        <v>927457.88</v>
      </c>
      <c r="L1313" t="b">
        <f t="shared" si="79"/>
        <v>0</v>
      </c>
    </row>
    <row r="1314" spans="1:12" ht="16" x14ac:dyDescent="0.2">
      <c r="A1314" t="s">
        <v>5612</v>
      </c>
      <c r="B1314" t="s">
        <v>73</v>
      </c>
      <c r="C1314" t="s">
        <v>3918</v>
      </c>
      <c r="D1314" s="2" t="s">
        <v>144</v>
      </c>
      <c r="E1314">
        <v>2025</v>
      </c>
      <c r="F1314">
        <v>2026</v>
      </c>
      <c r="G1314" s="10">
        <v>1705000</v>
      </c>
      <c r="H1314" t="str">
        <f t="shared" si="80"/>
        <v/>
      </c>
      <c r="I1314" t="str">
        <f t="shared" si="81"/>
        <v/>
      </c>
      <c r="J1314" t="str">
        <f t="shared" si="82"/>
        <v/>
      </c>
      <c r="K1314">
        <v>360220.97</v>
      </c>
      <c r="L1314" t="b">
        <f t="shared" si="79"/>
        <v>0</v>
      </c>
    </row>
    <row r="1315" spans="1:12" ht="16" x14ac:dyDescent="0.2">
      <c r="A1315" t="s">
        <v>5613</v>
      </c>
      <c r="B1315" t="s">
        <v>73</v>
      </c>
      <c r="C1315" t="s">
        <v>3919</v>
      </c>
      <c r="D1315" s="2" t="s">
        <v>144</v>
      </c>
      <c r="E1315">
        <v>2025</v>
      </c>
      <c r="F1315">
        <v>2027</v>
      </c>
      <c r="G1315" s="10">
        <v>6703333.333333333</v>
      </c>
      <c r="H1315">
        <f t="shared" si="80"/>
        <v>6703333.333333333</v>
      </c>
      <c r="I1315" t="str">
        <f t="shared" si="81"/>
        <v/>
      </c>
      <c r="J1315" t="str">
        <f t="shared" si="82"/>
        <v/>
      </c>
      <c r="K1315">
        <v>5628127.4100000001</v>
      </c>
      <c r="L1315" t="b">
        <f t="shared" ref="L1315:L1378" si="83">IF(F1315="",TRUE,FALSE)</f>
        <v>0</v>
      </c>
    </row>
    <row r="1316" spans="1:12" ht="16" x14ac:dyDescent="0.2">
      <c r="A1316" t="s">
        <v>5614</v>
      </c>
      <c r="B1316" t="s">
        <v>73</v>
      </c>
      <c r="C1316" t="s">
        <v>3920</v>
      </c>
      <c r="D1316" s="2" t="s">
        <v>144</v>
      </c>
      <c r="G1316" s="10" t="s">
        <v>2892</v>
      </c>
      <c r="H1316" t="str">
        <f t="shared" si="80"/>
        <v/>
      </c>
      <c r="I1316" t="str">
        <f t="shared" si="81"/>
        <v/>
      </c>
      <c r="J1316" t="str">
        <f t="shared" si="82"/>
        <v/>
      </c>
      <c r="L1316" t="b">
        <f t="shared" si="83"/>
        <v>1</v>
      </c>
    </row>
    <row r="1317" spans="1:12" ht="16" x14ac:dyDescent="0.2">
      <c r="A1317" t="s">
        <v>5615</v>
      </c>
      <c r="B1317" t="s">
        <v>73</v>
      </c>
      <c r="C1317" t="s">
        <v>3921</v>
      </c>
      <c r="D1317" s="2" t="s">
        <v>144</v>
      </c>
      <c r="E1317">
        <v>2025</v>
      </c>
      <c r="F1317">
        <v>2026</v>
      </c>
      <c r="G1317" s="10">
        <v>4280000</v>
      </c>
      <c r="H1317" t="str">
        <f t="shared" si="80"/>
        <v/>
      </c>
      <c r="I1317" t="str">
        <f t="shared" si="81"/>
        <v/>
      </c>
      <c r="J1317" t="str">
        <f t="shared" si="82"/>
        <v/>
      </c>
      <c r="K1317">
        <v>1240418.98</v>
      </c>
      <c r="L1317" t="b">
        <f t="shared" si="83"/>
        <v>0</v>
      </c>
    </row>
    <row r="1318" spans="1:12" ht="16" x14ac:dyDescent="0.2">
      <c r="A1318" t="s">
        <v>5616</v>
      </c>
      <c r="B1318" t="s">
        <v>73</v>
      </c>
      <c r="C1318" t="s">
        <v>3922</v>
      </c>
      <c r="D1318" s="2" t="s">
        <v>144</v>
      </c>
      <c r="G1318" s="10" t="s">
        <v>2892</v>
      </c>
      <c r="H1318" t="str">
        <f t="shared" si="80"/>
        <v/>
      </c>
      <c r="I1318" t="str">
        <f t="shared" si="81"/>
        <v/>
      </c>
      <c r="J1318" t="str">
        <f t="shared" si="82"/>
        <v/>
      </c>
      <c r="L1318" t="b">
        <f t="shared" si="83"/>
        <v>1</v>
      </c>
    </row>
    <row r="1319" spans="1:12" ht="16" x14ac:dyDescent="0.2">
      <c r="A1319" t="s">
        <v>5617</v>
      </c>
      <c r="B1319" t="s">
        <v>73</v>
      </c>
      <c r="C1319" t="s">
        <v>3923</v>
      </c>
      <c r="D1319" s="2" t="s">
        <v>144</v>
      </c>
      <c r="E1319">
        <v>2025</v>
      </c>
      <c r="F1319">
        <v>2026</v>
      </c>
      <c r="G1319" s="10">
        <v>9205000</v>
      </c>
      <c r="H1319" t="str">
        <f t="shared" si="80"/>
        <v/>
      </c>
      <c r="I1319" t="str">
        <f t="shared" si="81"/>
        <v/>
      </c>
      <c r="J1319" t="str">
        <f t="shared" si="82"/>
        <v/>
      </c>
      <c r="K1319">
        <v>7566439.8300000001</v>
      </c>
      <c r="L1319" t="b">
        <f t="shared" si="83"/>
        <v>0</v>
      </c>
    </row>
    <row r="1320" spans="1:12" ht="16" x14ac:dyDescent="0.2">
      <c r="A1320" t="s">
        <v>5618</v>
      </c>
      <c r="B1320" t="s">
        <v>73</v>
      </c>
      <c r="C1320" t="s">
        <v>3924</v>
      </c>
      <c r="D1320" s="2" t="s">
        <v>144</v>
      </c>
      <c r="E1320">
        <v>2025</v>
      </c>
      <c r="F1320">
        <v>2028</v>
      </c>
      <c r="G1320" s="10">
        <v>9520000</v>
      </c>
      <c r="H1320">
        <f t="shared" si="80"/>
        <v>9520000</v>
      </c>
      <c r="I1320">
        <f t="shared" si="81"/>
        <v>9520000</v>
      </c>
      <c r="J1320" t="str">
        <f t="shared" si="82"/>
        <v/>
      </c>
      <c r="K1320">
        <v>16013374.060000001</v>
      </c>
      <c r="L1320" t="b">
        <f t="shared" si="83"/>
        <v>0</v>
      </c>
    </row>
    <row r="1321" spans="1:12" ht="16" x14ac:dyDescent="0.2">
      <c r="A1321" t="s">
        <v>5619</v>
      </c>
      <c r="B1321" t="s">
        <v>73</v>
      </c>
      <c r="C1321" t="s">
        <v>3925</v>
      </c>
      <c r="D1321" s="2" t="s">
        <v>144</v>
      </c>
      <c r="G1321" s="10" t="s">
        <v>2892</v>
      </c>
      <c r="H1321" t="str">
        <f t="shared" si="80"/>
        <v/>
      </c>
      <c r="I1321" t="str">
        <f t="shared" si="81"/>
        <v/>
      </c>
      <c r="J1321" t="str">
        <f t="shared" si="82"/>
        <v/>
      </c>
      <c r="L1321" t="b">
        <f t="shared" si="83"/>
        <v>1</v>
      </c>
    </row>
    <row r="1322" spans="1:12" ht="16" x14ac:dyDescent="0.2">
      <c r="A1322" t="s">
        <v>5620</v>
      </c>
      <c r="B1322" t="s">
        <v>73</v>
      </c>
      <c r="C1322" t="s">
        <v>3926</v>
      </c>
      <c r="D1322" s="2" t="s">
        <v>144</v>
      </c>
      <c r="E1322">
        <v>2025</v>
      </c>
      <c r="F1322">
        <v>2027</v>
      </c>
      <c r="G1322" s="10">
        <v>10500000</v>
      </c>
      <c r="H1322">
        <f t="shared" si="80"/>
        <v>10500000</v>
      </c>
      <c r="I1322" t="str">
        <f t="shared" si="81"/>
        <v/>
      </c>
      <c r="J1322" t="str">
        <f t="shared" si="82"/>
        <v/>
      </c>
      <c r="K1322">
        <v>10737915.060000001</v>
      </c>
      <c r="L1322" t="b">
        <f t="shared" si="83"/>
        <v>0</v>
      </c>
    </row>
    <row r="1323" spans="1:12" ht="16" x14ac:dyDescent="0.2">
      <c r="A1323" t="s">
        <v>5621</v>
      </c>
      <c r="B1323" t="s">
        <v>73</v>
      </c>
      <c r="C1323" t="s">
        <v>3927</v>
      </c>
      <c r="D1323" s="2" t="s">
        <v>144</v>
      </c>
      <c r="E1323">
        <v>2025</v>
      </c>
      <c r="F1323">
        <v>2026</v>
      </c>
      <c r="G1323" s="10">
        <v>4910000</v>
      </c>
      <c r="H1323" t="str">
        <f t="shared" si="80"/>
        <v/>
      </c>
      <c r="I1323" t="str">
        <f t="shared" si="81"/>
        <v/>
      </c>
      <c r="J1323" t="str">
        <f t="shared" si="82"/>
        <v/>
      </c>
      <c r="K1323">
        <v>2172145.58</v>
      </c>
      <c r="L1323" t="b">
        <f t="shared" si="83"/>
        <v>0</v>
      </c>
    </row>
    <row r="1324" spans="1:12" ht="16" x14ac:dyDescent="0.2">
      <c r="A1324" t="s">
        <v>5622</v>
      </c>
      <c r="B1324" t="s">
        <v>73</v>
      </c>
      <c r="C1324" t="s">
        <v>3928</v>
      </c>
      <c r="D1324" s="2" t="s">
        <v>144</v>
      </c>
      <c r="E1324">
        <v>2025</v>
      </c>
      <c r="F1324">
        <v>2028</v>
      </c>
      <c r="G1324" s="10">
        <v>24617500</v>
      </c>
      <c r="H1324">
        <f t="shared" si="80"/>
        <v>24617500</v>
      </c>
      <c r="I1324">
        <f t="shared" si="81"/>
        <v>24617500</v>
      </c>
      <c r="J1324" t="str">
        <f t="shared" si="82"/>
        <v/>
      </c>
      <c r="K1324">
        <v>47716771.07</v>
      </c>
      <c r="L1324" t="b">
        <f t="shared" si="83"/>
        <v>0</v>
      </c>
    </row>
    <row r="1325" spans="1:12" ht="16" x14ac:dyDescent="0.2">
      <c r="A1325" t="s">
        <v>5623</v>
      </c>
      <c r="B1325" t="s">
        <v>73</v>
      </c>
      <c r="C1325" t="s">
        <v>3929</v>
      </c>
      <c r="D1325" s="2" t="s">
        <v>144</v>
      </c>
      <c r="E1325">
        <v>2025</v>
      </c>
      <c r="F1325">
        <v>2027</v>
      </c>
      <c r="G1325" s="10">
        <v>5406666.666666666</v>
      </c>
      <c r="H1325">
        <f t="shared" si="80"/>
        <v>5406666.666666666</v>
      </c>
      <c r="I1325" t="str">
        <f t="shared" si="81"/>
        <v/>
      </c>
      <c r="J1325" t="str">
        <f t="shared" si="82"/>
        <v/>
      </c>
      <c r="K1325">
        <v>4193155.81</v>
      </c>
      <c r="L1325" t="b">
        <f t="shared" si="83"/>
        <v>0</v>
      </c>
    </row>
    <row r="1326" spans="1:12" ht="16" x14ac:dyDescent="0.2">
      <c r="A1326" t="s">
        <v>5624</v>
      </c>
      <c r="B1326" t="s">
        <v>73</v>
      </c>
      <c r="C1326" t="s">
        <v>3930</v>
      </c>
      <c r="D1326" s="2" t="s">
        <v>144</v>
      </c>
      <c r="E1326">
        <v>2025</v>
      </c>
      <c r="F1326">
        <v>2027</v>
      </c>
      <c r="G1326" s="10">
        <v>4233333.333333333</v>
      </c>
      <c r="H1326">
        <f t="shared" si="80"/>
        <v>4233333.333333333</v>
      </c>
      <c r="I1326" t="str">
        <f t="shared" si="81"/>
        <v/>
      </c>
      <c r="J1326" t="str">
        <f t="shared" si="82"/>
        <v/>
      </c>
      <c r="K1326">
        <v>2506267.7799999998</v>
      </c>
      <c r="L1326" t="b">
        <f t="shared" si="83"/>
        <v>0</v>
      </c>
    </row>
    <row r="1327" spans="1:12" ht="16" x14ac:dyDescent="0.2">
      <c r="A1327" t="s">
        <v>5625</v>
      </c>
      <c r="B1327" t="s">
        <v>73</v>
      </c>
      <c r="C1327" t="s">
        <v>3931</v>
      </c>
      <c r="D1327" s="2" t="s">
        <v>144</v>
      </c>
      <c r="E1327">
        <v>2025</v>
      </c>
      <c r="F1327">
        <v>2026</v>
      </c>
      <c r="G1327" s="10">
        <v>9425000</v>
      </c>
      <c r="H1327" t="str">
        <f t="shared" si="80"/>
        <v/>
      </c>
      <c r="I1327" t="str">
        <f t="shared" si="81"/>
        <v/>
      </c>
      <c r="J1327" t="str">
        <f t="shared" si="82"/>
        <v/>
      </c>
      <c r="K1327">
        <v>6051456.7599999998</v>
      </c>
      <c r="L1327" t="b">
        <f t="shared" si="83"/>
        <v>0</v>
      </c>
    </row>
    <row r="1328" spans="1:12" ht="16" x14ac:dyDescent="0.2">
      <c r="A1328" t="s">
        <v>5626</v>
      </c>
      <c r="B1328" t="s">
        <v>73</v>
      </c>
      <c r="C1328" t="s">
        <v>3932</v>
      </c>
      <c r="D1328" s="2" t="s">
        <v>144</v>
      </c>
      <c r="E1328">
        <v>2025</v>
      </c>
      <c r="F1328">
        <v>2028</v>
      </c>
      <c r="G1328" s="10">
        <v>10115000</v>
      </c>
      <c r="H1328">
        <f t="shared" si="80"/>
        <v>10115000</v>
      </c>
      <c r="I1328">
        <f t="shared" si="81"/>
        <v>10115000</v>
      </c>
      <c r="J1328" t="str">
        <f t="shared" si="82"/>
        <v/>
      </c>
      <c r="K1328">
        <v>17966207.489999998</v>
      </c>
      <c r="L1328" t="b">
        <f t="shared" si="83"/>
        <v>0</v>
      </c>
    </row>
    <row r="1329" spans="1:12" ht="16" x14ac:dyDescent="0.2">
      <c r="A1329" t="s">
        <v>5627</v>
      </c>
      <c r="B1329" t="s">
        <v>73</v>
      </c>
      <c r="C1329" t="s">
        <v>3933</v>
      </c>
      <c r="D1329" s="2" t="s">
        <v>144</v>
      </c>
      <c r="E1329">
        <v>2025</v>
      </c>
      <c r="F1329">
        <v>2027</v>
      </c>
      <c r="G1329" s="10">
        <v>4913333.333333333</v>
      </c>
      <c r="H1329">
        <f t="shared" si="80"/>
        <v>4913333.333333333</v>
      </c>
      <c r="I1329" t="str">
        <f t="shared" si="81"/>
        <v/>
      </c>
      <c r="J1329" t="str">
        <f t="shared" si="82"/>
        <v/>
      </c>
      <c r="K1329">
        <v>3800997.53</v>
      </c>
      <c r="L1329" t="b">
        <f t="shared" si="83"/>
        <v>0</v>
      </c>
    </row>
    <row r="1330" spans="1:12" ht="16" x14ac:dyDescent="0.2">
      <c r="A1330" t="s">
        <v>5628</v>
      </c>
      <c r="B1330" t="s">
        <v>73</v>
      </c>
      <c r="C1330" t="s">
        <v>3934</v>
      </c>
      <c r="D1330" s="2" t="s">
        <v>144</v>
      </c>
      <c r="E1330">
        <v>2025</v>
      </c>
      <c r="F1330">
        <v>2026</v>
      </c>
      <c r="G1330" s="10">
        <v>2410000</v>
      </c>
      <c r="H1330" t="str">
        <f t="shared" si="80"/>
        <v/>
      </c>
      <c r="I1330" t="str">
        <f t="shared" si="81"/>
        <v/>
      </c>
      <c r="J1330" t="str">
        <f t="shared" si="82"/>
        <v/>
      </c>
      <c r="K1330">
        <v>897534.79</v>
      </c>
      <c r="L1330" t="b">
        <f t="shared" si="83"/>
        <v>0</v>
      </c>
    </row>
    <row r="1331" spans="1:12" ht="16" x14ac:dyDescent="0.2">
      <c r="A1331" t="s">
        <v>5629</v>
      </c>
      <c r="B1331" t="s">
        <v>73</v>
      </c>
      <c r="C1331" t="s">
        <v>3935</v>
      </c>
      <c r="D1331" s="2" t="s">
        <v>144</v>
      </c>
      <c r="G1331" s="10" t="s">
        <v>2892</v>
      </c>
      <c r="H1331" t="str">
        <f t="shared" si="80"/>
        <v/>
      </c>
      <c r="I1331" t="str">
        <f t="shared" si="81"/>
        <v/>
      </c>
      <c r="J1331" t="str">
        <f t="shared" si="82"/>
        <v/>
      </c>
      <c r="L1331" t="b">
        <f t="shared" si="83"/>
        <v>1</v>
      </c>
    </row>
    <row r="1332" spans="1:12" ht="16" x14ac:dyDescent="0.2">
      <c r="A1332" t="s">
        <v>5630</v>
      </c>
      <c r="B1332" t="s">
        <v>73</v>
      </c>
      <c r="C1332" t="s">
        <v>3936</v>
      </c>
      <c r="D1332" s="2" t="s">
        <v>144</v>
      </c>
      <c r="G1332" s="10" t="s">
        <v>2892</v>
      </c>
      <c r="H1332" t="str">
        <f t="shared" si="80"/>
        <v/>
      </c>
      <c r="I1332" t="str">
        <f t="shared" si="81"/>
        <v/>
      </c>
      <c r="J1332" t="str">
        <f t="shared" si="82"/>
        <v/>
      </c>
      <c r="L1332" t="b">
        <f t="shared" si="83"/>
        <v>1</v>
      </c>
    </row>
    <row r="1333" spans="1:12" ht="16" x14ac:dyDescent="0.2">
      <c r="A1333" t="s">
        <v>5631</v>
      </c>
      <c r="B1333" t="s">
        <v>73</v>
      </c>
      <c r="C1333" t="s">
        <v>3937</v>
      </c>
      <c r="D1333" s="2" t="s">
        <v>144</v>
      </c>
      <c r="G1333" s="10" t="s">
        <v>2892</v>
      </c>
      <c r="H1333" t="str">
        <f t="shared" si="80"/>
        <v/>
      </c>
      <c r="I1333" t="str">
        <f t="shared" si="81"/>
        <v/>
      </c>
      <c r="J1333" t="str">
        <f t="shared" si="82"/>
        <v/>
      </c>
      <c r="L1333" t="b">
        <f t="shared" si="83"/>
        <v>1</v>
      </c>
    </row>
    <row r="1334" spans="1:12" ht="16" x14ac:dyDescent="0.2">
      <c r="A1334" t="s">
        <v>5632</v>
      </c>
      <c r="B1334" t="s">
        <v>73</v>
      </c>
      <c r="C1334" t="s">
        <v>3938</v>
      </c>
      <c r="D1334" s="2" t="s">
        <v>144</v>
      </c>
      <c r="E1334">
        <v>2025</v>
      </c>
      <c r="F1334">
        <v>2027</v>
      </c>
      <c r="G1334" s="10">
        <v>8790000</v>
      </c>
      <c r="H1334">
        <f t="shared" si="80"/>
        <v>8790000</v>
      </c>
      <c r="I1334" t="str">
        <f t="shared" si="81"/>
        <v/>
      </c>
      <c r="J1334" t="str">
        <f t="shared" si="82"/>
        <v/>
      </c>
      <c r="K1334">
        <v>9197264.2300000004</v>
      </c>
      <c r="L1334" t="b">
        <f t="shared" si="83"/>
        <v>0</v>
      </c>
    </row>
    <row r="1335" spans="1:12" ht="16" x14ac:dyDescent="0.2">
      <c r="A1335" t="s">
        <v>5633</v>
      </c>
      <c r="B1335" t="s">
        <v>73</v>
      </c>
      <c r="C1335" t="s">
        <v>3939</v>
      </c>
      <c r="D1335" s="2" t="s">
        <v>144</v>
      </c>
      <c r="E1335">
        <v>2025</v>
      </c>
      <c r="F1335">
        <v>2027</v>
      </c>
      <c r="G1335" s="10">
        <v>6170000.0000000009</v>
      </c>
      <c r="H1335">
        <f t="shared" si="80"/>
        <v>6170000.0000000009</v>
      </c>
      <c r="I1335" t="str">
        <f t="shared" si="81"/>
        <v/>
      </c>
      <c r="J1335" t="str">
        <f t="shared" si="82"/>
        <v/>
      </c>
      <c r="K1335">
        <v>3271107.64</v>
      </c>
      <c r="L1335" t="b">
        <f t="shared" si="83"/>
        <v>0</v>
      </c>
    </row>
    <row r="1336" spans="1:12" ht="16" x14ac:dyDescent="0.2">
      <c r="A1336" t="s">
        <v>5634</v>
      </c>
      <c r="B1336" t="s">
        <v>73</v>
      </c>
      <c r="C1336" t="s">
        <v>3940</v>
      </c>
      <c r="D1336" s="2" t="s">
        <v>144</v>
      </c>
      <c r="E1336">
        <v>2025</v>
      </c>
      <c r="F1336">
        <v>2027</v>
      </c>
      <c r="G1336" s="10">
        <v>11753333.333333332</v>
      </c>
      <c r="H1336">
        <f t="shared" si="80"/>
        <v>11753333.333333332</v>
      </c>
      <c r="I1336" t="str">
        <f t="shared" si="81"/>
        <v/>
      </c>
      <c r="J1336" t="str">
        <f t="shared" si="82"/>
        <v/>
      </c>
      <c r="K1336">
        <v>11831953.699999999</v>
      </c>
      <c r="L1336" t="b">
        <f t="shared" si="83"/>
        <v>0</v>
      </c>
    </row>
    <row r="1337" spans="1:12" ht="16" x14ac:dyDescent="0.2">
      <c r="A1337" t="s">
        <v>5635</v>
      </c>
      <c r="B1337" t="s">
        <v>73</v>
      </c>
      <c r="C1337" t="s">
        <v>3941</v>
      </c>
      <c r="D1337" s="2" t="s">
        <v>144</v>
      </c>
      <c r="G1337" s="10" t="s">
        <v>2892</v>
      </c>
      <c r="H1337" t="str">
        <f t="shared" si="80"/>
        <v/>
      </c>
      <c r="I1337" t="str">
        <f t="shared" si="81"/>
        <v/>
      </c>
      <c r="J1337" t="str">
        <f t="shared" si="82"/>
        <v/>
      </c>
      <c r="L1337" t="b">
        <f t="shared" si="83"/>
        <v>1</v>
      </c>
    </row>
    <row r="1338" spans="1:12" ht="16" x14ac:dyDescent="0.2">
      <c r="A1338" t="s">
        <v>5636</v>
      </c>
      <c r="B1338" t="s">
        <v>73</v>
      </c>
      <c r="C1338" t="s">
        <v>3942</v>
      </c>
      <c r="D1338" s="2" t="s">
        <v>144</v>
      </c>
      <c r="E1338">
        <v>2025</v>
      </c>
      <c r="F1338">
        <v>2028</v>
      </c>
      <c r="G1338" s="10">
        <v>5215000</v>
      </c>
      <c r="H1338">
        <f t="shared" si="80"/>
        <v>5215000</v>
      </c>
      <c r="I1338">
        <f t="shared" si="81"/>
        <v>5215000</v>
      </c>
      <c r="J1338" t="str">
        <f t="shared" si="82"/>
        <v/>
      </c>
      <c r="K1338">
        <v>2262230.67</v>
      </c>
      <c r="L1338" t="b">
        <f t="shared" si="83"/>
        <v>0</v>
      </c>
    </row>
    <row r="1339" spans="1:12" ht="16" x14ac:dyDescent="0.2">
      <c r="A1339" t="s">
        <v>5637</v>
      </c>
      <c r="B1339" t="s">
        <v>73</v>
      </c>
      <c r="C1339" t="s">
        <v>3943</v>
      </c>
      <c r="D1339" s="2" t="s">
        <v>144</v>
      </c>
      <c r="G1339" s="10" t="s">
        <v>2892</v>
      </c>
      <c r="H1339" t="str">
        <f t="shared" si="80"/>
        <v/>
      </c>
      <c r="I1339" t="str">
        <f t="shared" si="81"/>
        <v/>
      </c>
      <c r="J1339" t="str">
        <f t="shared" si="82"/>
        <v/>
      </c>
      <c r="L1339" t="b">
        <f t="shared" si="83"/>
        <v>1</v>
      </c>
    </row>
    <row r="1340" spans="1:12" ht="16" x14ac:dyDescent="0.2">
      <c r="A1340" t="s">
        <v>5638</v>
      </c>
      <c r="B1340" t="s">
        <v>73</v>
      </c>
      <c r="C1340" t="s">
        <v>3944</v>
      </c>
      <c r="D1340" s="2" t="s">
        <v>144</v>
      </c>
      <c r="E1340">
        <v>2025</v>
      </c>
      <c r="F1340">
        <v>2027</v>
      </c>
      <c r="G1340" s="10">
        <v>7456666.666666667</v>
      </c>
      <c r="H1340">
        <f t="shared" si="80"/>
        <v>7456666.666666667</v>
      </c>
      <c r="I1340" t="str">
        <f t="shared" si="81"/>
        <v/>
      </c>
      <c r="J1340" t="str">
        <f t="shared" si="82"/>
        <v/>
      </c>
      <c r="K1340">
        <v>8426318.0899999999</v>
      </c>
      <c r="L1340" t="b">
        <f t="shared" si="83"/>
        <v>0</v>
      </c>
    </row>
    <row r="1341" spans="1:12" ht="16" x14ac:dyDescent="0.2">
      <c r="A1341" t="s">
        <v>5639</v>
      </c>
      <c r="B1341" t="s">
        <v>73</v>
      </c>
      <c r="C1341" t="s">
        <v>3945</v>
      </c>
      <c r="D1341" s="2" t="s">
        <v>144</v>
      </c>
      <c r="G1341" s="10" t="s">
        <v>2892</v>
      </c>
      <c r="H1341" t="str">
        <f t="shared" si="80"/>
        <v/>
      </c>
      <c r="I1341" t="str">
        <f t="shared" si="81"/>
        <v/>
      </c>
      <c r="J1341" t="str">
        <f t="shared" si="82"/>
        <v/>
      </c>
      <c r="L1341" t="b">
        <f t="shared" si="83"/>
        <v>1</v>
      </c>
    </row>
    <row r="1342" spans="1:12" ht="16" x14ac:dyDescent="0.2">
      <c r="A1342" t="s">
        <v>5640</v>
      </c>
      <c r="B1342" t="s">
        <v>73</v>
      </c>
      <c r="C1342" t="s">
        <v>3946</v>
      </c>
      <c r="D1342" s="2" t="s">
        <v>144</v>
      </c>
      <c r="E1342">
        <v>2025</v>
      </c>
      <c r="F1342">
        <v>2026</v>
      </c>
      <c r="G1342" s="10">
        <v>5060000</v>
      </c>
      <c r="H1342" t="str">
        <f t="shared" si="80"/>
        <v/>
      </c>
      <c r="I1342" t="str">
        <f t="shared" si="81"/>
        <v/>
      </c>
      <c r="J1342" t="str">
        <f t="shared" si="82"/>
        <v/>
      </c>
      <c r="K1342">
        <v>2678812.91</v>
      </c>
      <c r="L1342" t="b">
        <f t="shared" si="83"/>
        <v>0</v>
      </c>
    </row>
    <row r="1343" spans="1:12" ht="16" x14ac:dyDescent="0.2">
      <c r="A1343" t="s">
        <v>5641</v>
      </c>
      <c r="B1343" t="s">
        <v>73</v>
      </c>
      <c r="C1343" t="s">
        <v>3947</v>
      </c>
      <c r="D1343" s="2" t="s">
        <v>144</v>
      </c>
      <c r="E1343">
        <v>2025</v>
      </c>
      <c r="F1343">
        <v>2026</v>
      </c>
      <c r="G1343" s="10">
        <v>4505000</v>
      </c>
      <c r="H1343" t="str">
        <f t="shared" si="80"/>
        <v/>
      </c>
      <c r="I1343" t="str">
        <f t="shared" si="81"/>
        <v/>
      </c>
      <c r="J1343" t="str">
        <f t="shared" si="82"/>
        <v/>
      </c>
      <c r="K1343">
        <v>1936672.31</v>
      </c>
      <c r="L1343" t="b">
        <f t="shared" si="83"/>
        <v>0</v>
      </c>
    </row>
    <row r="1344" spans="1:12" ht="16" x14ac:dyDescent="0.2">
      <c r="A1344" t="s">
        <v>5642</v>
      </c>
      <c r="B1344" t="s">
        <v>73</v>
      </c>
      <c r="C1344" t="s">
        <v>3948</v>
      </c>
      <c r="D1344" s="2" t="s">
        <v>144</v>
      </c>
      <c r="E1344">
        <v>2025</v>
      </c>
      <c r="F1344">
        <v>2027</v>
      </c>
      <c r="G1344" s="10">
        <v>3380000.0000000005</v>
      </c>
      <c r="H1344">
        <f t="shared" si="80"/>
        <v>3380000.0000000005</v>
      </c>
      <c r="I1344" t="str">
        <f t="shared" si="81"/>
        <v/>
      </c>
      <c r="J1344" t="str">
        <f t="shared" si="82"/>
        <v/>
      </c>
      <c r="K1344">
        <v>1800216.5</v>
      </c>
      <c r="L1344" t="b">
        <f t="shared" si="83"/>
        <v>0</v>
      </c>
    </row>
    <row r="1345" spans="1:12" ht="16" x14ac:dyDescent="0.2">
      <c r="A1345" t="s">
        <v>5643</v>
      </c>
      <c r="B1345" t="s">
        <v>73</v>
      </c>
      <c r="C1345" t="s">
        <v>3949</v>
      </c>
      <c r="D1345" s="2" t="s">
        <v>144</v>
      </c>
      <c r="G1345" s="10" t="s">
        <v>2892</v>
      </c>
      <c r="H1345" t="str">
        <f t="shared" si="80"/>
        <v/>
      </c>
      <c r="I1345" t="str">
        <f t="shared" si="81"/>
        <v/>
      </c>
      <c r="J1345" t="str">
        <f t="shared" si="82"/>
        <v/>
      </c>
      <c r="L1345" t="b">
        <f t="shared" si="83"/>
        <v>1</v>
      </c>
    </row>
    <row r="1346" spans="1:12" ht="16" x14ac:dyDescent="0.2">
      <c r="A1346" t="s">
        <v>5644</v>
      </c>
      <c r="B1346" t="s">
        <v>73</v>
      </c>
      <c r="C1346" t="s">
        <v>3950</v>
      </c>
      <c r="D1346" s="2" t="s">
        <v>144</v>
      </c>
      <c r="G1346" s="10" t="s">
        <v>2892</v>
      </c>
      <c r="H1346" t="str">
        <f t="shared" si="80"/>
        <v/>
      </c>
      <c r="I1346" t="str">
        <f t="shared" si="81"/>
        <v/>
      </c>
      <c r="J1346" t="str">
        <f t="shared" si="82"/>
        <v/>
      </c>
      <c r="L1346" t="b">
        <f t="shared" si="83"/>
        <v>1</v>
      </c>
    </row>
    <row r="1347" spans="1:12" ht="16" x14ac:dyDescent="0.2">
      <c r="A1347" t="s">
        <v>5645</v>
      </c>
      <c r="B1347" t="s">
        <v>73</v>
      </c>
      <c r="C1347" t="s">
        <v>3951</v>
      </c>
      <c r="D1347" s="2" t="s">
        <v>144</v>
      </c>
      <c r="E1347">
        <v>2025</v>
      </c>
      <c r="F1347">
        <v>2027</v>
      </c>
      <c r="G1347" s="10">
        <v>1253333.3333333333</v>
      </c>
      <c r="H1347">
        <f t="shared" si="80"/>
        <v>1253333.3333333333</v>
      </c>
      <c r="I1347" t="str">
        <f t="shared" si="81"/>
        <v/>
      </c>
      <c r="J1347" t="str">
        <f t="shared" si="82"/>
        <v/>
      </c>
      <c r="K1347">
        <v>597909.26</v>
      </c>
      <c r="L1347" t="b">
        <f t="shared" si="83"/>
        <v>0</v>
      </c>
    </row>
    <row r="1348" spans="1:12" ht="16" x14ac:dyDescent="0.2">
      <c r="A1348" t="s">
        <v>5646</v>
      </c>
      <c r="B1348" t="s">
        <v>73</v>
      </c>
      <c r="C1348" t="s">
        <v>3952</v>
      </c>
      <c r="D1348" s="2" t="s">
        <v>144</v>
      </c>
      <c r="G1348" s="10" t="s">
        <v>2892</v>
      </c>
      <c r="H1348" t="str">
        <f t="shared" ref="H1348:H1411" si="84">IF(F1348&gt;=2027,G1348,"")</f>
        <v/>
      </c>
      <c r="I1348" t="str">
        <f t="shared" ref="I1348:I1411" si="85">IF(F1348&gt;=2028,G1348,"")</f>
        <v/>
      </c>
      <c r="J1348" t="str">
        <f t="shared" ref="J1348:J1411" si="86">IF(F1348&gt;=2029,G1348,"")</f>
        <v/>
      </c>
      <c r="L1348" t="b">
        <f t="shared" si="83"/>
        <v>1</v>
      </c>
    </row>
    <row r="1349" spans="1:12" ht="16" x14ac:dyDescent="0.2">
      <c r="A1349" t="s">
        <v>5647</v>
      </c>
      <c r="B1349" t="s">
        <v>73</v>
      </c>
      <c r="C1349" t="s">
        <v>3953</v>
      </c>
      <c r="D1349" s="2" t="s">
        <v>144</v>
      </c>
      <c r="G1349" s="10" t="s">
        <v>2892</v>
      </c>
      <c r="H1349" t="str">
        <f t="shared" si="84"/>
        <v/>
      </c>
      <c r="I1349" t="str">
        <f t="shared" si="85"/>
        <v/>
      </c>
      <c r="J1349" t="str">
        <f t="shared" si="86"/>
        <v/>
      </c>
      <c r="L1349" t="b">
        <f t="shared" si="83"/>
        <v>1</v>
      </c>
    </row>
    <row r="1350" spans="1:12" ht="16" x14ac:dyDescent="0.2">
      <c r="A1350" t="s">
        <v>5648</v>
      </c>
      <c r="B1350" t="s">
        <v>73</v>
      </c>
      <c r="C1350" t="s">
        <v>3954</v>
      </c>
      <c r="D1350" s="2" t="s">
        <v>144</v>
      </c>
      <c r="G1350" s="10" t="s">
        <v>2892</v>
      </c>
      <c r="H1350" t="str">
        <f t="shared" si="84"/>
        <v/>
      </c>
      <c r="I1350" t="str">
        <f t="shared" si="85"/>
        <v/>
      </c>
      <c r="J1350" t="str">
        <f t="shared" si="86"/>
        <v/>
      </c>
      <c r="L1350" t="b">
        <f t="shared" si="83"/>
        <v>1</v>
      </c>
    </row>
    <row r="1351" spans="1:12" ht="16" x14ac:dyDescent="0.2">
      <c r="A1351" t="s">
        <v>5649</v>
      </c>
      <c r="B1351" t="s">
        <v>73</v>
      </c>
      <c r="C1351" t="s">
        <v>3955</v>
      </c>
      <c r="D1351" s="2" t="s">
        <v>144</v>
      </c>
      <c r="G1351" s="10" t="s">
        <v>2892</v>
      </c>
      <c r="H1351" t="str">
        <f t="shared" si="84"/>
        <v/>
      </c>
      <c r="I1351" t="str">
        <f t="shared" si="85"/>
        <v/>
      </c>
      <c r="J1351" t="str">
        <f t="shared" si="86"/>
        <v/>
      </c>
      <c r="L1351" t="b">
        <f t="shared" si="83"/>
        <v>1</v>
      </c>
    </row>
    <row r="1352" spans="1:12" ht="16" x14ac:dyDescent="0.2">
      <c r="A1352" t="s">
        <v>5650</v>
      </c>
      <c r="B1352" t="s">
        <v>73</v>
      </c>
      <c r="C1352" t="s">
        <v>3956</v>
      </c>
      <c r="D1352" s="2" t="s">
        <v>144</v>
      </c>
      <c r="G1352" s="10" t="s">
        <v>2892</v>
      </c>
      <c r="H1352" t="str">
        <f t="shared" si="84"/>
        <v/>
      </c>
      <c r="I1352" t="str">
        <f t="shared" si="85"/>
        <v/>
      </c>
      <c r="J1352" t="str">
        <f t="shared" si="86"/>
        <v/>
      </c>
      <c r="L1352" t="b">
        <f t="shared" si="83"/>
        <v>1</v>
      </c>
    </row>
    <row r="1353" spans="1:12" ht="16" x14ac:dyDescent="0.2">
      <c r="A1353" t="s">
        <v>5651</v>
      </c>
      <c r="B1353" t="s">
        <v>73</v>
      </c>
      <c r="C1353" t="s">
        <v>3957</v>
      </c>
      <c r="D1353" s="2" t="s">
        <v>144</v>
      </c>
      <c r="E1353">
        <v>2025</v>
      </c>
      <c r="F1353">
        <v>2027</v>
      </c>
      <c r="G1353" s="10">
        <v>3573333.3333333335</v>
      </c>
      <c r="H1353">
        <f t="shared" si="84"/>
        <v>3573333.3333333335</v>
      </c>
      <c r="I1353" t="str">
        <f t="shared" si="85"/>
        <v/>
      </c>
      <c r="J1353" t="str">
        <f t="shared" si="86"/>
        <v/>
      </c>
      <c r="K1353">
        <v>2557149.73</v>
      </c>
      <c r="L1353" t="b">
        <f t="shared" si="83"/>
        <v>0</v>
      </c>
    </row>
    <row r="1354" spans="1:12" ht="16" x14ac:dyDescent="0.2">
      <c r="A1354" t="s">
        <v>5652</v>
      </c>
      <c r="B1354" t="s">
        <v>73</v>
      </c>
      <c r="C1354" t="s">
        <v>3958</v>
      </c>
      <c r="D1354" s="2" t="s">
        <v>144</v>
      </c>
      <c r="E1354">
        <v>2025</v>
      </c>
      <c r="F1354">
        <v>2026</v>
      </c>
      <c r="G1354" s="10">
        <v>3455000</v>
      </c>
      <c r="H1354" t="str">
        <f t="shared" si="84"/>
        <v/>
      </c>
      <c r="I1354" t="str">
        <f t="shared" si="85"/>
        <v/>
      </c>
      <c r="J1354" t="str">
        <f t="shared" si="86"/>
        <v/>
      </c>
      <c r="K1354">
        <v>1538358.19</v>
      </c>
      <c r="L1354" t="b">
        <f t="shared" si="83"/>
        <v>0</v>
      </c>
    </row>
    <row r="1355" spans="1:12" ht="16" x14ac:dyDescent="0.2">
      <c r="A1355" t="s">
        <v>5653</v>
      </c>
      <c r="B1355" t="s">
        <v>73</v>
      </c>
      <c r="C1355" t="s">
        <v>3959</v>
      </c>
      <c r="D1355" s="2" t="s">
        <v>149</v>
      </c>
      <c r="E1355">
        <v>2025</v>
      </c>
      <c r="F1355">
        <v>2026</v>
      </c>
      <c r="G1355" s="10">
        <v>13905000</v>
      </c>
      <c r="H1355" t="str">
        <f t="shared" si="84"/>
        <v/>
      </c>
      <c r="I1355" t="str">
        <f t="shared" si="85"/>
        <v/>
      </c>
      <c r="J1355" t="str">
        <f t="shared" si="86"/>
        <v/>
      </c>
      <c r="K1355">
        <v>7073154.8600000003</v>
      </c>
      <c r="L1355" t="b">
        <f t="shared" si="83"/>
        <v>0</v>
      </c>
    </row>
    <row r="1356" spans="1:12" ht="16" x14ac:dyDescent="0.2">
      <c r="A1356" t="s">
        <v>5654</v>
      </c>
      <c r="B1356" t="s">
        <v>73</v>
      </c>
      <c r="C1356" t="s">
        <v>3960</v>
      </c>
      <c r="D1356" s="2" t="s">
        <v>149</v>
      </c>
      <c r="G1356" s="10" t="s">
        <v>2892</v>
      </c>
      <c r="H1356" t="str">
        <f t="shared" si="84"/>
        <v/>
      </c>
      <c r="I1356" t="str">
        <f t="shared" si="85"/>
        <v/>
      </c>
      <c r="J1356" t="str">
        <f t="shared" si="86"/>
        <v/>
      </c>
      <c r="L1356" t="b">
        <f t="shared" si="83"/>
        <v>1</v>
      </c>
    </row>
    <row r="1357" spans="1:12" ht="16" x14ac:dyDescent="0.2">
      <c r="A1357" t="s">
        <v>5655</v>
      </c>
      <c r="B1357" t="s">
        <v>73</v>
      </c>
      <c r="C1357" t="s">
        <v>3961</v>
      </c>
      <c r="D1357" s="2" t="s">
        <v>149</v>
      </c>
      <c r="G1357" s="10" t="s">
        <v>2892</v>
      </c>
      <c r="H1357" t="str">
        <f t="shared" si="84"/>
        <v/>
      </c>
      <c r="I1357" t="str">
        <f t="shared" si="85"/>
        <v/>
      </c>
      <c r="J1357" t="str">
        <f t="shared" si="86"/>
        <v/>
      </c>
      <c r="L1357" t="b">
        <f t="shared" si="83"/>
        <v>1</v>
      </c>
    </row>
    <row r="1358" spans="1:12" ht="16" x14ac:dyDescent="0.2">
      <c r="A1358" t="s">
        <v>5656</v>
      </c>
      <c r="B1358" t="s">
        <v>73</v>
      </c>
      <c r="C1358" t="s">
        <v>3962</v>
      </c>
      <c r="D1358" s="2" t="s">
        <v>149</v>
      </c>
      <c r="E1358">
        <v>2025</v>
      </c>
      <c r="F1358">
        <v>2026</v>
      </c>
      <c r="G1358" s="10">
        <v>2280000</v>
      </c>
      <c r="H1358" t="str">
        <f t="shared" si="84"/>
        <v/>
      </c>
      <c r="I1358" t="str">
        <f t="shared" si="85"/>
        <v/>
      </c>
      <c r="J1358" t="str">
        <f t="shared" si="86"/>
        <v/>
      </c>
      <c r="K1358">
        <v>67665.429999999993</v>
      </c>
      <c r="L1358" t="b">
        <f t="shared" si="83"/>
        <v>0</v>
      </c>
    </row>
    <row r="1359" spans="1:12" ht="16" x14ac:dyDescent="0.2">
      <c r="A1359" t="s">
        <v>5657</v>
      </c>
      <c r="B1359" t="s">
        <v>73</v>
      </c>
      <c r="C1359" t="s">
        <v>3963</v>
      </c>
      <c r="D1359" s="2" t="s">
        <v>149</v>
      </c>
      <c r="E1359">
        <v>2025</v>
      </c>
      <c r="F1359">
        <v>2026</v>
      </c>
      <c r="G1359" s="10">
        <v>5475000</v>
      </c>
      <c r="H1359" t="str">
        <f t="shared" si="84"/>
        <v/>
      </c>
      <c r="I1359" t="str">
        <f t="shared" si="85"/>
        <v/>
      </c>
      <c r="J1359" t="str">
        <f t="shared" si="86"/>
        <v/>
      </c>
      <c r="K1359">
        <v>4898016.7699999996</v>
      </c>
      <c r="L1359" t="b">
        <f t="shared" si="83"/>
        <v>0</v>
      </c>
    </row>
    <row r="1360" spans="1:12" ht="16" x14ac:dyDescent="0.2">
      <c r="A1360" t="s">
        <v>5658</v>
      </c>
      <c r="B1360" t="s">
        <v>73</v>
      </c>
      <c r="C1360" t="s">
        <v>3964</v>
      </c>
      <c r="D1360" s="2" t="s">
        <v>149</v>
      </c>
      <c r="E1360">
        <v>2025</v>
      </c>
      <c r="F1360">
        <v>2026</v>
      </c>
      <c r="G1360" s="10">
        <v>3370000</v>
      </c>
      <c r="H1360" t="str">
        <f t="shared" si="84"/>
        <v/>
      </c>
      <c r="I1360" t="str">
        <f t="shared" si="85"/>
        <v/>
      </c>
      <c r="J1360" t="str">
        <f t="shared" si="86"/>
        <v/>
      </c>
      <c r="K1360">
        <v>1089391.01</v>
      </c>
      <c r="L1360" t="b">
        <f t="shared" si="83"/>
        <v>0</v>
      </c>
    </row>
    <row r="1361" spans="1:12" ht="16" x14ac:dyDescent="0.2">
      <c r="A1361" t="s">
        <v>5659</v>
      </c>
      <c r="B1361" t="s">
        <v>73</v>
      </c>
      <c r="C1361" t="s">
        <v>3965</v>
      </c>
      <c r="D1361" s="2" t="s">
        <v>149</v>
      </c>
      <c r="E1361">
        <v>2025</v>
      </c>
      <c r="F1361">
        <v>2027</v>
      </c>
      <c r="G1361" s="10">
        <v>4613333.333333333</v>
      </c>
      <c r="H1361">
        <f t="shared" si="84"/>
        <v>4613333.333333333</v>
      </c>
      <c r="I1361" t="str">
        <f t="shared" si="85"/>
        <v/>
      </c>
      <c r="J1361" t="str">
        <f t="shared" si="86"/>
        <v/>
      </c>
      <c r="K1361">
        <v>3333508.81</v>
      </c>
      <c r="L1361" t="b">
        <f t="shared" si="83"/>
        <v>0</v>
      </c>
    </row>
    <row r="1362" spans="1:12" ht="16" x14ac:dyDescent="0.2">
      <c r="A1362" t="s">
        <v>5660</v>
      </c>
      <c r="B1362" t="s">
        <v>73</v>
      </c>
      <c r="C1362" t="s">
        <v>3966</v>
      </c>
      <c r="D1362" s="2" t="s">
        <v>149</v>
      </c>
      <c r="G1362" s="10" t="s">
        <v>2892</v>
      </c>
      <c r="H1362" t="str">
        <f t="shared" si="84"/>
        <v/>
      </c>
      <c r="I1362" t="str">
        <f t="shared" si="85"/>
        <v/>
      </c>
      <c r="J1362" t="str">
        <f t="shared" si="86"/>
        <v/>
      </c>
      <c r="L1362" t="b">
        <f t="shared" si="83"/>
        <v>1</v>
      </c>
    </row>
    <row r="1363" spans="1:12" ht="16" x14ac:dyDescent="0.2">
      <c r="A1363" t="s">
        <v>5661</v>
      </c>
      <c r="B1363" t="s">
        <v>73</v>
      </c>
      <c r="C1363" t="s">
        <v>3967</v>
      </c>
      <c r="D1363" s="2" t="s">
        <v>149</v>
      </c>
      <c r="E1363">
        <v>2025</v>
      </c>
      <c r="F1363">
        <v>2028</v>
      </c>
      <c r="G1363" s="10">
        <v>10595000</v>
      </c>
      <c r="H1363">
        <f t="shared" si="84"/>
        <v>10595000</v>
      </c>
      <c r="I1363">
        <f t="shared" si="85"/>
        <v>10595000</v>
      </c>
      <c r="J1363" t="str">
        <f t="shared" si="86"/>
        <v/>
      </c>
      <c r="K1363">
        <v>12177434.15</v>
      </c>
      <c r="L1363" t="b">
        <f t="shared" si="83"/>
        <v>0</v>
      </c>
    </row>
    <row r="1364" spans="1:12" ht="16" x14ac:dyDescent="0.2">
      <c r="A1364" t="s">
        <v>5662</v>
      </c>
      <c r="B1364" t="s">
        <v>73</v>
      </c>
      <c r="C1364" t="s">
        <v>3968</v>
      </c>
      <c r="D1364" s="2" t="s">
        <v>149</v>
      </c>
      <c r="E1364">
        <v>2025</v>
      </c>
      <c r="F1364">
        <v>2026</v>
      </c>
      <c r="G1364" s="10">
        <v>4860000</v>
      </c>
      <c r="H1364" t="str">
        <f t="shared" si="84"/>
        <v/>
      </c>
      <c r="I1364" t="str">
        <f t="shared" si="85"/>
        <v/>
      </c>
      <c r="J1364" t="str">
        <f t="shared" si="86"/>
        <v/>
      </c>
      <c r="K1364">
        <v>1732151.71</v>
      </c>
      <c r="L1364" t="b">
        <f t="shared" si="83"/>
        <v>0</v>
      </c>
    </row>
    <row r="1365" spans="1:12" ht="16" x14ac:dyDescent="0.2">
      <c r="A1365" t="s">
        <v>5663</v>
      </c>
      <c r="B1365" t="s">
        <v>73</v>
      </c>
      <c r="C1365" t="s">
        <v>3969</v>
      </c>
      <c r="D1365" s="2" t="s">
        <v>149</v>
      </c>
      <c r="E1365">
        <v>2025</v>
      </c>
      <c r="F1365">
        <v>2027</v>
      </c>
      <c r="G1365" s="10">
        <v>6300000</v>
      </c>
      <c r="H1365">
        <f t="shared" si="84"/>
        <v>6300000</v>
      </c>
      <c r="I1365" t="str">
        <f t="shared" si="85"/>
        <v/>
      </c>
      <c r="J1365" t="str">
        <f t="shared" si="86"/>
        <v/>
      </c>
      <c r="K1365">
        <v>4459996.41</v>
      </c>
      <c r="L1365" t="b">
        <f t="shared" si="83"/>
        <v>0</v>
      </c>
    </row>
    <row r="1366" spans="1:12" ht="16" x14ac:dyDescent="0.2">
      <c r="A1366" t="s">
        <v>5664</v>
      </c>
      <c r="B1366" t="s">
        <v>73</v>
      </c>
      <c r="C1366" t="s">
        <v>3970</v>
      </c>
      <c r="D1366" s="2" t="s">
        <v>149</v>
      </c>
      <c r="E1366">
        <v>2025</v>
      </c>
      <c r="F1366">
        <v>2026</v>
      </c>
      <c r="G1366" s="10">
        <v>4870000</v>
      </c>
      <c r="H1366" t="str">
        <f t="shared" si="84"/>
        <v/>
      </c>
      <c r="I1366" t="str">
        <f t="shared" si="85"/>
        <v/>
      </c>
      <c r="J1366" t="str">
        <f t="shared" si="86"/>
        <v/>
      </c>
      <c r="K1366">
        <v>1792349.55</v>
      </c>
      <c r="L1366" t="b">
        <f t="shared" si="83"/>
        <v>0</v>
      </c>
    </row>
    <row r="1367" spans="1:12" ht="16" x14ac:dyDescent="0.2">
      <c r="A1367" t="s">
        <v>5665</v>
      </c>
      <c r="B1367" t="s">
        <v>73</v>
      </c>
      <c r="C1367" t="s">
        <v>3971</v>
      </c>
      <c r="D1367" s="2" t="s">
        <v>149</v>
      </c>
      <c r="E1367">
        <v>2025</v>
      </c>
      <c r="F1367">
        <v>2026</v>
      </c>
      <c r="G1367" s="10">
        <v>2250000</v>
      </c>
      <c r="H1367" t="str">
        <f t="shared" si="84"/>
        <v/>
      </c>
      <c r="I1367" t="str">
        <f t="shared" si="85"/>
        <v/>
      </c>
      <c r="J1367" t="str">
        <f t="shared" si="86"/>
        <v/>
      </c>
      <c r="K1367">
        <v>220522.73</v>
      </c>
      <c r="L1367" t="b">
        <f t="shared" si="83"/>
        <v>0</v>
      </c>
    </row>
    <row r="1368" spans="1:12" ht="16" x14ac:dyDescent="0.2">
      <c r="A1368" t="s">
        <v>5666</v>
      </c>
      <c r="B1368" t="s">
        <v>73</v>
      </c>
      <c r="C1368" t="s">
        <v>3972</v>
      </c>
      <c r="D1368" s="2" t="s">
        <v>149</v>
      </c>
      <c r="E1368">
        <v>2025</v>
      </c>
      <c r="F1368">
        <v>2026</v>
      </c>
      <c r="G1368" s="10">
        <v>4780000</v>
      </c>
      <c r="H1368" t="str">
        <f t="shared" si="84"/>
        <v/>
      </c>
      <c r="I1368" t="str">
        <f t="shared" si="85"/>
        <v/>
      </c>
      <c r="J1368" t="str">
        <f t="shared" si="86"/>
        <v/>
      </c>
      <c r="K1368">
        <v>1920852.19</v>
      </c>
      <c r="L1368" t="b">
        <f t="shared" si="83"/>
        <v>0</v>
      </c>
    </row>
    <row r="1369" spans="1:12" ht="16" x14ac:dyDescent="0.2">
      <c r="A1369" t="s">
        <v>5667</v>
      </c>
      <c r="B1369" t="s">
        <v>73</v>
      </c>
      <c r="C1369" t="s">
        <v>3973</v>
      </c>
      <c r="D1369" s="2" t="s">
        <v>149</v>
      </c>
      <c r="G1369" s="10" t="s">
        <v>2892</v>
      </c>
      <c r="H1369" t="str">
        <f t="shared" si="84"/>
        <v/>
      </c>
      <c r="I1369" t="str">
        <f t="shared" si="85"/>
        <v/>
      </c>
      <c r="J1369" t="str">
        <f t="shared" si="86"/>
        <v/>
      </c>
      <c r="L1369" t="b">
        <f t="shared" si="83"/>
        <v>1</v>
      </c>
    </row>
    <row r="1370" spans="1:12" ht="16" x14ac:dyDescent="0.2">
      <c r="A1370" t="s">
        <v>5668</v>
      </c>
      <c r="B1370" t="s">
        <v>73</v>
      </c>
      <c r="C1370" t="s">
        <v>3974</v>
      </c>
      <c r="D1370" s="2" t="s">
        <v>149</v>
      </c>
      <c r="G1370" s="10" t="s">
        <v>2892</v>
      </c>
      <c r="H1370" t="str">
        <f t="shared" si="84"/>
        <v/>
      </c>
      <c r="I1370" t="str">
        <f t="shared" si="85"/>
        <v/>
      </c>
      <c r="J1370" t="str">
        <f t="shared" si="86"/>
        <v/>
      </c>
      <c r="L1370" t="b">
        <f t="shared" si="83"/>
        <v>1</v>
      </c>
    </row>
    <row r="1371" spans="1:12" ht="16" x14ac:dyDescent="0.2">
      <c r="A1371" t="s">
        <v>5669</v>
      </c>
      <c r="B1371" t="s">
        <v>73</v>
      </c>
      <c r="C1371" t="s">
        <v>3975</v>
      </c>
      <c r="D1371" s="2" t="s">
        <v>149</v>
      </c>
      <c r="E1371">
        <v>2025</v>
      </c>
      <c r="F1371">
        <v>2027</v>
      </c>
      <c r="G1371" s="10">
        <v>4753333.333333333</v>
      </c>
      <c r="H1371">
        <f t="shared" si="84"/>
        <v>4753333.333333333</v>
      </c>
      <c r="I1371" t="str">
        <f t="shared" si="85"/>
        <v/>
      </c>
      <c r="J1371" t="str">
        <f t="shared" si="86"/>
        <v/>
      </c>
      <c r="K1371">
        <v>2929360.83</v>
      </c>
      <c r="L1371" t="b">
        <f t="shared" si="83"/>
        <v>0</v>
      </c>
    </row>
    <row r="1372" spans="1:12" ht="16" x14ac:dyDescent="0.2">
      <c r="A1372" t="s">
        <v>5670</v>
      </c>
      <c r="B1372" t="s">
        <v>73</v>
      </c>
      <c r="C1372" t="s">
        <v>3976</v>
      </c>
      <c r="D1372" s="2" t="s">
        <v>149</v>
      </c>
      <c r="G1372" s="10" t="s">
        <v>2892</v>
      </c>
      <c r="H1372" t="str">
        <f t="shared" si="84"/>
        <v/>
      </c>
      <c r="I1372" t="str">
        <f t="shared" si="85"/>
        <v/>
      </c>
      <c r="J1372" t="str">
        <f t="shared" si="86"/>
        <v/>
      </c>
      <c r="L1372" t="b">
        <f t="shared" si="83"/>
        <v>1</v>
      </c>
    </row>
    <row r="1373" spans="1:12" ht="16" x14ac:dyDescent="0.2">
      <c r="A1373" t="s">
        <v>5671</v>
      </c>
      <c r="B1373" t="s">
        <v>73</v>
      </c>
      <c r="C1373" t="s">
        <v>3977</v>
      </c>
      <c r="D1373" s="2" t="s">
        <v>149</v>
      </c>
      <c r="E1373">
        <v>2025</v>
      </c>
      <c r="F1373">
        <v>2027</v>
      </c>
      <c r="G1373" s="10">
        <v>1750000</v>
      </c>
      <c r="H1373">
        <f t="shared" si="84"/>
        <v>1750000</v>
      </c>
      <c r="I1373" t="str">
        <f t="shared" si="85"/>
        <v/>
      </c>
      <c r="J1373" t="str">
        <f t="shared" si="86"/>
        <v/>
      </c>
      <c r="K1373">
        <v>461683.47</v>
      </c>
      <c r="L1373" t="b">
        <f t="shared" si="83"/>
        <v>0</v>
      </c>
    </row>
    <row r="1374" spans="1:12" ht="16" x14ac:dyDescent="0.2">
      <c r="A1374" t="s">
        <v>5672</v>
      </c>
      <c r="B1374" t="s">
        <v>73</v>
      </c>
      <c r="C1374" t="s">
        <v>3978</v>
      </c>
      <c r="D1374" s="2" t="s">
        <v>149</v>
      </c>
      <c r="E1374">
        <v>2025</v>
      </c>
      <c r="F1374">
        <v>2027</v>
      </c>
      <c r="G1374" s="10">
        <v>10426666.666666668</v>
      </c>
      <c r="H1374">
        <f t="shared" si="84"/>
        <v>10426666.666666668</v>
      </c>
      <c r="I1374" t="str">
        <f t="shared" si="85"/>
        <v/>
      </c>
      <c r="J1374" t="str">
        <f t="shared" si="86"/>
        <v/>
      </c>
      <c r="K1374">
        <v>12976572.619999999</v>
      </c>
      <c r="L1374" t="b">
        <f t="shared" si="83"/>
        <v>0</v>
      </c>
    </row>
    <row r="1375" spans="1:12" ht="16" x14ac:dyDescent="0.2">
      <c r="A1375" t="s">
        <v>5673</v>
      </c>
      <c r="B1375" t="s">
        <v>73</v>
      </c>
      <c r="C1375" t="s">
        <v>3979</v>
      </c>
      <c r="D1375" s="2" t="s">
        <v>149</v>
      </c>
      <c r="G1375" s="10" t="s">
        <v>2892</v>
      </c>
      <c r="H1375" t="str">
        <f t="shared" si="84"/>
        <v/>
      </c>
      <c r="I1375" t="str">
        <f t="shared" si="85"/>
        <v/>
      </c>
      <c r="J1375" t="str">
        <f t="shared" si="86"/>
        <v/>
      </c>
      <c r="L1375" t="b">
        <f t="shared" si="83"/>
        <v>1</v>
      </c>
    </row>
    <row r="1376" spans="1:12" ht="16" x14ac:dyDescent="0.2">
      <c r="A1376" t="s">
        <v>5674</v>
      </c>
      <c r="B1376" t="s">
        <v>73</v>
      </c>
      <c r="C1376" t="s">
        <v>3980</v>
      </c>
      <c r="D1376" s="2" t="s">
        <v>149</v>
      </c>
      <c r="E1376">
        <v>2025</v>
      </c>
      <c r="F1376">
        <v>2026</v>
      </c>
      <c r="G1376" s="10">
        <v>2405000</v>
      </c>
      <c r="H1376" t="str">
        <f t="shared" si="84"/>
        <v/>
      </c>
      <c r="I1376" t="str">
        <f t="shared" si="85"/>
        <v/>
      </c>
      <c r="J1376" t="str">
        <f t="shared" si="86"/>
        <v/>
      </c>
      <c r="K1376">
        <v>109408.47</v>
      </c>
      <c r="L1376" t="b">
        <f t="shared" si="83"/>
        <v>0</v>
      </c>
    </row>
    <row r="1377" spans="1:12" ht="16" x14ac:dyDescent="0.2">
      <c r="A1377" t="s">
        <v>5675</v>
      </c>
      <c r="B1377" t="s">
        <v>73</v>
      </c>
      <c r="C1377" t="s">
        <v>3981</v>
      </c>
      <c r="D1377" s="2" t="s">
        <v>149</v>
      </c>
      <c r="E1377">
        <v>2025</v>
      </c>
      <c r="F1377">
        <v>2026</v>
      </c>
      <c r="G1377" s="10">
        <v>11760000</v>
      </c>
      <c r="H1377" t="str">
        <f t="shared" si="84"/>
        <v/>
      </c>
      <c r="I1377" t="str">
        <f t="shared" si="85"/>
        <v/>
      </c>
      <c r="J1377" t="str">
        <f t="shared" si="86"/>
        <v/>
      </c>
      <c r="K1377">
        <v>6257923.0999999996</v>
      </c>
      <c r="L1377" t="b">
        <f t="shared" si="83"/>
        <v>0</v>
      </c>
    </row>
    <row r="1378" spans="1:12" ht="16" x14ac:dyDescent="0.2">
      <c r="A1378" t="s">
        <v>5676</v>
      </c>
      <c r="B1378" t="s">
        <v>73</v>
      </c>
      <c r="C1378" t="s">
        <v>3982</v>
      </c>
      <c r="D1378" s="2" t="s">
        <v>149</v>
      </c>
      <c r="E1378">
        <v>2025</v>
      </c>
      <c r="F1378">
        <v>2026</v>
      </c>
      <c r="G1378" s="10">
        <v>4025000.0000000005</v>
      </c>
      <c r="H1378" t="str">
        <f t="shared" si="84"/>
        <v/>
      </c>
      <c r="I1378" t="str">
        <f t="shared" si="85"/>
        <v/>
      </c>
      <c r="J1378" t="str">
        <f t="shared" si="86"/>
        <v/>
      </c>
      <c r="K1378">
        <v>2006423.26</v>
      </c>
      <c r="L1378" t="b">
        <f t="shared" si="83"/>
        <v>0</v>
      </c>
    </row>
    <row r="1379" spans="1:12" ht="16" x14ac:dyDescent="0.2">
      <c r="A1379" t="s">
        <v>5677</v>
      </c>
      <c r="B1379" t="s">
        <v>73</v>
      </c>
      <c r="C1379" t="s">
        <v>3983</v>
      </c>
      <c r="D1379" s="2" t="s">
        <v>149</v>
      </c>
      <c r="G1379" s="10" t="s">
        <v>2892</v>
      </c>
      <c r="H1379" t="str">
        <f t="shared" si="84"/>
        <v/>
      </c>
      <c r="I1379" t="str">
        <f t="shared" si="85"/>
        <v/>
      </c>
      <c r="J1379" t="str">
        <f t="shared" si="86"/>
        <v/>
      </c>
      <c r="L1379" t="b">
        <f t="shared" ref="L1379:L1442" si="87">IF(F1379="",TRUE,FALSE)</f>
        <v>1</v>
      </c>
    </row>
    <row r="1380" spans="1:12" ht="16" x14ac:dyDescent="0.2">
      <c r="A1380" t="s">
        <v>5678</v>
      </c>
      <c r="B1380" t="s">
        <v>73</v>
      </c>
      <c r="C1380" t="s">
        <v>3984</v>
      </c>
      <c r="D1380" s="2" t="s">
        <v>149</v>
      </c>
      <c r="E1380">
        <v>2025</v>
      </c>
      <c r="F1380">
        <v>2027</v>
      </c>
      <c r="G1380" s="10">
        <v>1760000</v>
      </c>
      <c r="H1380">
        <f t="shared" si="84"/>
        <v>1760000</v>
      </c>
      <c r="I1380" t="str">
        <f t="shared" si="85"/>
        <v/>
      </c>
      <c r="J1380" t="str">
        <f t="shared" si="86"/>
        <v/>
      </c>
      <c r="K1380">
        <v>660204.07999999996</v>
      </c>
      <c r="L1380" t="b">
        <f t="shared" si="87"/>
        <v>0</v>
      </c>
    </row>
    <row r="1381" spans="1:12" ht="16" x14ac:dyDescent="0.2">
      <c r="A1381" t="s">
        <v>5679</v>
      </c>
      <c r="B1381" t="s">
        <v>73</v>
      </c>
      <c r="C1381" t="s">
        <v>3985</v>
      </c>
      <c r="D1381" s="2" t="s">
        <v>149</v>
      </c>
      <c r="G1381" s="10" t="s">
        <v>2892</v>
      </c>
      <c r="H1381" t="str">
        <f t="shared" si="84"/>
        <v/>
      </c>
      <c r="I1381" t="str">
        <f t="shared" si="85"/>
        <v/>
      </c>
      <c r="J1381" t="str">
        <f t="shared" si="86"/>
        <v/>
      </c>
      <c r="L1381" t="b">
        <f t="shared" si="87"/>
        <v>1</v>
      </c>
    </row>
    <row r="1382" spans="1:12" ht="16" x14ac:dyDescent="0.2">
      <c r="A1382" t="s">
        <v>5680</v>
      </c>
      <c r="B1382" t="s">
        <v>73</v>
      </c>
      <c r="C1382" t="s">
        <v>3986</v>
      </c>
      <c r="D1382" s="2" t="s">
        <v>149</v>
      </c>
      <c r="E1382">
        <v>2025</v>
      </c>
      <c r="F1382">
        <v>2026</v>
      </c>
      <c r="G1382" s="10">
        <v>9145000</v>
      </c>
      <c r="H1382" t="str">
        <f t="shared" si="84"/>
        <v/>
      </c>
      <c r="I1382" t="str">
        <f t="shared" si="85"/>
        <v/>
      </c>
      <c r="J1382" t="str">
        <f t="shared" si="86"/>
        <v/>
      </c>
      <c r="K1382">
        <v>7253391.5999999996</v>
      </c>
      <c r="L1382" t="b">
        <f t="shared" si="87"/>
        <v>0</v>
      </c>
    </row>
    <row r="1383" spans="1:12" ht="16" x14ac:dyDescent="0.2">
      <c r="A1383" t="s">
        <v>5681</v>
      </c>
      <c r="B1383" t="s">
        <v>73</v>
      </c>
      <c r="C1383" t="s">
        <v>3987</v>
      </c>
      <c r="D1383" s="2" t="s">
        <v>149</v>
      </c>
      <c r="E1383">
        <v>2026</v>
      </c>
      <c r="F1383">
        <v>2027</v>
      </c>
      <c r="G1383" s="10">
        <v>3740000</v>
      </c>
      <c r="H1383">
        <f t="shared" si="84"/>
        <v>3740000</v>
      </c>
      <c r="I1383" t="str">
        <f t="shared" si="85"/>
        <v/>
      </c>
      <c r="J1383" t="str">
        <f t="shared" si="86"/>
        <v/>
      </c>
      <c r="K1383">
        <v>887067.13</v>
      </c>
      <c r="L1383" t="b">
        <f t="shared" si="87"/>
        <v>0</v>
      </c>
    </row>
    <row r="1384" spans="1:12" ht="16" x14ac:dyDescent="0.2">
      <c r="A1384" t="s">
        <v>5682</v>
      </c>
      <c r="B1384" t="s">
        <v>73</v>
      </c>
      <c r="C1384" t="s">
        <v>3988</v>
      </c>
      <c r="D1384" s="2" t="s">
        <v>149</v>
      </c>
      <c r="G1384" s="10" t="s">
        <v>2892</v>
      </c>
      <c r="H1384" t="str">
        <f t="shared" si="84"/>
        <v/>
      </c>
      <c r="I1384" t="str">
        <f t="shared" si="85"/>
        <v/>
      </c>
      <c r="J1384" t="str">
        <f t="shared" si="86"/>
        <v/>
      </c>
      <c r="L1384" t="b">
        <f t="shared" si="87"/>
        <v>1</v>
      </c>
    </row>
    <row r="1385" spans="1:12" ht="16" x14ac:dyDescent="0.2">
      <c r="A1385" t="s">
        <v>5683</v>
      </c>
      <c r="B1385" t="s">
        <v>73</v>
      </c>
      <c r="C1385" t="s">
        <v>3989</v>
      </c>
      <c r="D1385" s="2" t="s">
        <v>149</v>
      </c>
      <c r="E1385">
        <v>2025</v>
      </c>
      <c r="F1385">
        <v>2026</v>
      </c>
      <c r="G1385" s="10">
        <v>8154999.9999999991</v>
      </c>
      <c r="H1385" t="str">
        <f t="shared" si="84"/>
        <v/>
      </c>
      <c r="I1385" t="str">
        <f t="shared" si="85"/>
        <v/>
      </c>
      <c r="J1385" t="str">
        <f t="shared" si="86"/>
        <v/>
      </c>
      <c r="K1385">
        <v>5806156.0899999999</v>
      </c>
      <c r="L1385" t="b">
        <f t="shared" si="87"/>
        <v>0</v>
      </c>
    </row>
    <row r="1386" spans="1:12" ht="16" x14ac:dyDescent="0.2">
      <c r="A1386" t="s">
        <v>5684</v>
      </c>
      <c r="B1386" t="s">
        <v>73</v>
      </c>
      <c r="C1386" t="s">
        <v>3990</v>
      </c>
      <c r="D1386" s="2" t="s">
        <v>149</v>
      </c>
      <c r="E1386">
        <v>2025</v>
      </c>
      <c r="F1386">
        <v>2026</v>
      </c>
      <c r="G1386" s="10">
        <v>4800000</v>
      </c>
      <c r="H1386" t="str">
        <f t="shared" si="84"/>
        <v/>
      </c>
      <c r="I1386" t="str">
        <f t="shared" si="85"/>
        <v/>
      </c>
      <c r="J1386" t="str">
        <f t="shared" si="86"/>
        <v/>
      </c>
      <c r="K1386">
        <v>2446309.08</v>
      </c>
      <c r="L1386" t="b">
        <f t="shared" si="87"/>
        <v>0</v>
      </c>
    </row>
    <row r="1387" spans="1:12" ht="16" x14ac:dyDescent="0.2">
      <c r="A1387" t="s">
        <v>5685</v>
      </c>
      <c r="B1387" t="s">
        <v>73</v>
      </c>
      <c r="C1387" t="s">
        <v>3991</v>
      </c>
      <c r="D1387" s="2" t="s">
        <v>149</v>
      </c>
      <c r="E1387">
        <v>2025</v>
      </c>
      <c r="F1387">
        <v>2028</v>
      </c>
      <c r="G1387" s="10">
        <v>20697500</v>
      </c>
      <c r="H1387">
        <f t="shared" si="84"/>
        <v>20697500</v>
      </c>
      <c r="I1387">
        <f t="shared" si="85"/>
        <v>20697500</v>
      </c>
      <c r="J1387" t="str">
        <f t="shared" si="86"/>
        <v/>
      </c>
      <c r="K1387">
        <v>49640694.170000002</v>
      </c>
      <c r="L1387" t="b">
        <f t="shared" si="87"/>
        <v>0</v>
      </c>
    </row>
    <row r="1388" spans="1:12" ht="16" x14ac:dyDescent="0.2">
      <c r="A1388" t="s">
        <v>5686</v>
      </c>
      <c r="B1388" t="s">
        <v>73</v>
      </c>
      <c r="C1388" t="s">
        <v>3992</v>
      </c>
      <c r="D1388" s="2" t="s">
        <v>149</v>
      </c>
      <c r="G1388" s="10" t="s">
        <v>2892</v>
      </c>
      <c r="H1388" t="str">
        <f t="shared" si="84"/>
        <v/>
      </c>
      <c r="I1388" t="str">
        <f t="shared" si="85"/>
        <v/>
      </c>
      <c r="J1388" t="str">
        <f t="shared" si="86"/>
        <v/>
      </c>
      <c r="L1388" t="b">
        <f t="shared" si="87"/>
        <v>1</v>
      </c>
    </row>
    <row r="1389" spans="1:12" ht="16" x14ac:dyDescent="0.2">
      <c r="A1389" t="s">
        <v>5687</v>
      </c>
      <c r="B1389" t="s">
        <v>73</v>
      </c>
      <c r="C1389" t="s">
        <v>3993</v>
      </c>
      <c r="D1389" s="2" t="s">
        <v>149</v>
      </c>
      <c r="E1389">
        <v>2025</v>
      </c>
      <c r="F1389">
        <v>2028</v>
      </c>
      <c r="G1389" s="10">
        <v>12260000</v>
      </c>
      <c r="H1389">
        <f t="shared" si="84"/>
        <v>12260000</v>
      </c>
      <c r="I1389">
        <f t="shared" si="85"/>
        <v>12260000</v>
      </c>
      <c r="J1389" t="str">
        <f t="shared" si="86"/>
        <v/>
      </c>
      <c r="K1389">
        <v>12836475.75</v>
      </c>
      <c r="L1389" t="b">
        <f t="shared" si="87"/>
        <v>0</v>
      </c>
    </row>
    <row r="1390" spans="1:12" ht="16" x14ac:dyDescent="0.2">
      <c r="A1390" t="s">
        <v>5688</v>
      </c>
      <c r="B1390" t="s">
        <v>73</v>
      </c>
      <c r="C1390" t="s">
        <v>3994</v>
      </c>
      <c r="D1390" s="2" t="s">
        <v>149</v>
      </c>
      <c r="E1390">
        <v>2025</v>
      </c>
      <c r="F1390">
        <v>2027</v>
      </c>
      <c r="G1390" s="10">
        <v>13003333.333333332</v>
      </c>
      <c r="H1390">
        <f t="shared" si="84"/>
        <v>13003333.333333332</v>
      </c>
      <c r="I1390" t="str">
        <f t="shared" si="85"/>
        <v/>
      </c>
      <c r="J1390" t="str">
        <f t="shared" si="86"/>
        <v/>
      </c>
      <c r="K1390">
        <v>12391520.75</v>
      </c>
      <c r="L1390" t="b">
        <f t="shared" si="87"/>
        <v>0</v>
      </c>
    </row>
    <row r="1391" spans="1:12" ht="16" x14ac:dyDescent="0.2">
      <c r="A1391" t="s">
        <v>5689</v>
      </c>
      <c r="B1391" t="s">
        <v>73</v>
      </c>
      <c r="C1391" t="s">
        <v>3995</v>
      </c>
      <c r="D1391" s="2" t="s">
        <v>149</v>
      </c>
      <c r="E1391">
        <v>2025</v>
      </c>
      <c r="F1391">
        <v>2026</v>
      </c>
      <c r="G1391" s="10">
        <v>8800000</v>
      </c>
      <c r="H1391" t="str">
        <f t="shared" si="84"/>
        <v/>
      </c>
      <c r="I1391" t="str">
        <f t="shared" si="85"/>
        <v/>
      </c>
      <c r="J1391" t="str">
        <f t="shared" si="86"/>
        <v/>
      </c>
      <c r="K1391">
        <v>6431679.9299999997</v>
      </c>
      <c r="L1391" t="b">
        <f t="shared" si="87"/>
        <v>0</v>
      </c>
    </row>
    <row r="1392" spans="1:12" ht="16" x14ac:dyDescent="0.2">
      <c r="A1392" t="s">
        <v>5690</v>
      </c>
      <c r="B1392" t="s">
        <v>73</v>
      </c>
      <c r="C1392" t="s">
        <v>3996</v>
      </c>
      <c r="D1392" s="2" t="s">
        <v>149</v>
      </c>
      <c r="G1392" s="10" t="s">
        <v>2892</v>
      </c>
      <c r="H1392" t="str">
        <f t="shared" si="84"/>
        <v/>
      </c>
      <c r="I1392" t="str">
        <f t="shared" si="85"/>
        <v/>
      </c>
      <c r="J1392" t="str">
        <f t="shared" si="86"/>
        <v/>
      </c>
      <c r="L1392" t="b">
        <f t="shared" si="87"/>
        <v>1</v>
      </c>
    </row>
    <row r="1393" spans="1:12" ht="16" x14ac:dyDescent="0.2">
      <c r="A1393" t="s">
        <v>5691</v>
      </c>
      <c r="B1393" t="s">
        <v>73</v>
      </c>
      <c r="C1393" t="s">
        <v>3997</v>
      </c>
      <c r="D1393" s="2" t="s">
        <v>149</v>
      </c>
      <c r="G1393" s="10" t="s">
        <v>2892</v>
      </c>
      <c r="H1393" t="str">
        <f t="shared" si="84"/>
        <v/>
      </c>
      <c r="I1393" t="str">
        <f t="shared" si="85"/>
        <v/>
      </c>
      <c r="J1393" t="str">
        <f t="shared" si="86"/>
        <v/>
      </c>
      <c r="L1393" t="b">
        <f t="shared" si="87"/>
        <v>1</v>
      </c>
    </row>
    <row r="1394" spans="1:12" ht="16" x14ac:dyDescent="0.2">
      <c r="A1394" t="s">
        <v>5692</v>
      </c>
      <c r="B1394" t="s">
        <v>73</v>
      </c>
      <c r="C1394" t="s">
        <v>3998</v>
      </c>
      <c r="D1394" s="2" t="s">
        <v>149</v>
      </c>
      <c r="E1394">
        <v>2025</v>
      </c>
      <c r="F1394">
        <v>2026</v>
      </c>
      <c r="G1394" s="10">
        <v>9205000</v>
      </c>
      <c r="H1394" t="str">
        <f t="shared" si="84"/>
        <v/>
      </c>
      <c r="I1394" t="str">
        <f t="shared" si="85"/>
        <v/>
      </c>
      <c r="J1394" t="str">
        <f t="shared" si="86"/>
        <v/>
      </c>
      <c r="K1394">
        <v>5113830.92</v>
      </c>
      <c r="L1394" t="b">
        <f t="shared" si="87"/>
        <v>0</v>
      </c>
    </row>
    <row r="1395" spans="1:12" ht="16" x14ac:dyDescent="0.2">
      <c r="A1395" t="s">
        <v>5693</v>
      </c>
      <c r="B1395" t="s">
        <v>73</v>
      </c>
      <c r="C1395" t="s">
        <v>3999</v>
      </c>
      <c r="D1395" s="2" t="s">
        <v>149</v>
      </c>
      <c r="E1395">
        <v>2025</v>
      </c>
      <c r="F1395">
        <v>2026</v>
      </c>
      <c r="G1395" s="10">
        <v>3990000</v>
      </c>
      <c r="H1395" t="str">
        <f t="shared" si="84"/>
        <v/>
      </c>
      <c r="I1395" t="str">
        <f t="shared" si="85"/>
        <v/>
      </c>
      <c r="J1395" t="str">
        <f t="shared" si="86"/>
        <v/>
      </c>
      <c r="K1395">
        <v>1875721.81</v>
      </c>
      <c r="L1395" t="b">
        <f t="shared" si="87"/>
        <v>0</v>
      </c>
    </row>
    <row r="1396" spans="1:12" ht="16" x14ac:dyDescent="0.2">
      <c r="A1396" t="s">
        <v>5694</v>
      </c>
      <c r="B1396" t="s">
        <v>73</v>
      </c>
      <c r="C1396" t="s">
        <v>4000</v>
      </c>
      <c r="D1396" s="2" t="s">
        <v>149</v>
      </c>
      <c r="E1396">
        <v>2025</v>
      </c>
      <c r="F1396">
        <v>2027</v>
      </c>
      <c r="G1396" s="10">
        <v>3083333.3333333335</v>
      </c>
      <c r="H1396">
        <f t="shared" si="84"/>
        <v>3083333.3333333335</v>
      </c>
      <c r="I1396" t="str">
        <f t="shared" si="85"/>
        <v/>
      </c>
      <c r="J1396" t="str">
        <f t="shared" si="86"/>
        <v/>
      </c>
      <c r="K1396">
        <v>469339.12</v>
      </c>
      <c r="L1396" t="b">
        <f t="shared" si="87"/>
        <v>0</v>
      </c>
    </row>
    <row r="1397" spans="1:12" ht="16" x14ac:dyDescent="0.2">
      <c r="A1397" t="s">
        <v>5695</v>
      </c>
      <c r="B1397" t="s">
        <v>73</v>
      </c>
      <c r="C1397" t="s">
        <v>4001</v>
      </c>
      <c r="D1397" s="2" t="s">
        <v>149</v>
      </c>
      <c r="G1397" s="10" t="s">
        <v>2892</v>
      </c>
      <c r="H1397" t="str">
        <f t="shared" si="84"/>
        <v/>
      </c>
      <c r="I1397" t="str">
        <f t="shared" si="85"/>
        <v/>
      </c>
      <c r="J1397" t="str">
        <f t="shared" si="86"/>
        <v/>
      </c>
      <c r="L1397" t="b">
        <f t="shared" si="87"/>
        <v>1</v>
      </c>
    </row>
    <row r="1398" spans="1:12" ht="16" x14ac:dyDescent="0.2">
      <c r="A1398" t="s">
        <v>5696</v>
      </c>
      <c r="B1398" t="s">
        <v>73</v>
      </c>
      <c r="C1398" t="s">
        <v>4002</v>
      </c>
      <c r="D1398" s="2" t="s">
        <v>149</v>
      </c>
      <c r="G1398" s="10" t="s">
        <v>2892</v>
      </c>
      <c r="H1398" t="str">
        <f t="shared" si="84"/>
        <v/>
      </c>
      <c r="I1398" t="str">
        <f t="shared" si="85"/>
        <v/>
      </c>
      <c r="J1398" t="str">
        <f t="shared" si="86"/>
        <v/>
      </c>
      <c r="L1398" t="b">
        <f t="shared" si="87"/>
        <v>1</v>
      </c>
    </row>
    <row r="1399" spans="1:12" ht="16" x14ac:dyDescent="0.2">
      <c r="A1399" t="s">
        <v>5697</v>
      </c>
      <c r="B1399" t="s">
        <v>73</v>
      </c>
      <c r="C1399" t="s">
        <v>4003</v>
      </c>
      <c r="D1399" s="2" t="s">
        <v>149</v>
      </c>
      <c r="E1399">
        <v>2025</v>
      </c>
      <c r="F1399">
        <v>2026</v>
      </c>
      <c r="G1399" s="10">
        <v>1565000</v>
      </c>
      <c r="H1399" t="str">
        <f t="shared" si="84"/>
        <v/>
      </c>
      <c r="I1399" t="str">
        <f t="shared" si="85"/>
        <v/>
      </c>
      <c r="J1399" t="str">
        <f t="shared" si="86"/>
        <v/>
      </c>
      <c r="K1399">
        <v>370293.92</v>
      </c>
      <c r="L1399" t="b">
        <f t="shared" si="87"/>
        <v>0</v>
      </c>
    </row>
    <row r="1400" spans="1:12" ht="16" x14ac:dyDescent="0.2">
      <c r="A1400" t="s">
        <v>5698</v>
      </c>
      <c r="B1400" t="s">
        <v>73</v>
      </c>
      <c r="C1400" t="s">
        <v>4004</v>
      </c>
      <c r="D1400" s="2" t="s">
        <v>149</v>
      </c>
      <c r="E1400">
        <v>2025</v>
      </c>
      <c r="F1400">
        <v>2026</v>
      </c>
      <c r="G1400" s="10">
        <v>1650000</v>
      </c>
      <c r="H1400" t="str">
        <f t="shared" si="84"/>
        <v/>
      </c>
      <c r="I1400" t="str">
        <f t="shared" si="85"/>
        <v/>
      </c>
      <c r="J1400" t="str">
        <f t="shared" si="86"/>
        <v/>
      </c>
      <c r="K1400">
        <v>298706.52</v>
      </c>
      <c r="L1400" t="b">
        <f t="shared" si="87"/>
        <v>0</v>
      </c>
    </row>
    <row r="1401" spans="1:12" ht="16" x14ac:dyDescent="0.2">
      <c r="A1401" t="s">
        <v>5699</v>
      </c>
      <c r="B1401" t="s">
        <v>73</v>
      </c>
      <c r="C1401" t="s">
        <v>4005</v>
      </c>
      <c r="D1401" s="2" t="s">
        <v>149</v>
      </c>
      <c r="E1401">
        <v>2025</v>
      </c>
      <c r="F1401">
        <v>2027</v>
      </c>
      <c r="G1401" s="10">
        <v>9886666.666666666</v>
      </c>
      <c r="H1401">
        <f t="shared" si="84"/>
        <v>9886666.666666666</v>
      </c>
      <c r="I1401" t="str">
        <f t="shared" si="85"/>
        <v/>
      </c>
      <c r="J1401" t="str">
        <f t="shared" si="86"/>
        <v/>
      </c>
      <c r="K1401">
        <v>11907245.85</v>
      </c>
      <c r="L1401" t="b">
        <f t="shared" si="87"/>
        <v>0</v>
      </c>
    </row>
    <row r="1402" spans="1:12" ht="16" x14ac:dyDescent="0.2">
      <c r="A1402" t="s">
        <v>5700</v>
      </c>
      <c r="B1402" t="s">
        <v>73</v>
      </c>
      <c r="C1402" t="s">
        <v>4006</v>
      </c>
      <c r="D1402" s="2" t="s">
        <v>149</v>
      </c>
      <c r="E1402">
        <v>2025</v>
      </c>
      <c r="F1402">
        <v>2026</v>
      </c>
      <c r="G1402" s="10">
        <v>5985000</v>
      </c>
      <c r="H1402" t="str">
        <f t="shared" si="84"/>
        <v/>
      </c>
      <c r="I1402" t="str">
        <f t="shared" si="85"/>
        <v/>
      </c>
      <c r="J1402" t="str">
        <f t="shared" si="86"/>
        <v/>
      </c>
      <c r="K1402">
        <v>1935194.7</v>
      </c>
      <c r="L1402" t="b">
        <f t="shared" si="87"/>
        <v>0</v>
      </c>
    </row>
    <row r="1403" spans="1:12" ht="16" x14ac:dyDescent="0.2">
      <c r="A1403" t="s">
        <v>5701</v>
      </c>
      <c r="B1403" t="s">
        <v>73</v>
      </c>
      <c r="C1403" t="s">
        <v>4007</v>
      </c>
      <c r="D1403" s="2" t="s">
        <v>149</v>
      </c>
      <c r="E1403">
        <v>2025</v>
      </c>
      <c r="F1403">
        <v>2026</v>
      </c>
      <c r="G1403" s="10">
        <v>2390000</v>
      </c>
      <c r="H1403" t="str">
        <f t="shared" si="84"/>
        <v/>
      </c>
      <c r="I1403" t="str">
        <f t="shared" si="85"/>
        <v/>
      </c>
      <c r="J1403" t="str">
        <f t="shared" si="86"/>
        <v/>
      </c>
      <c r="K1403">
        <v>545207.86</v>
      </c>
      <c r="L1403" t="b">
        <f t="shared" si="87"/>
        <v>0</v>
      </c>
    </row>
    <row r="1404" spans="1:12" ht="16" x14ac:dyDescent="0.2">
      <c r="A1404" t="s">
        <v>5702</v>
      </c>
      <c r="B1404" t="s">
        <v>73</v>
      </c>
      <c r="C1404" t="s">
        <v>4008</v>
      </c>
      <c r="D1404" s="2" t="s">
        <v>149</v>
      </c>
      <c r="E1404">
        <v>2025</v>
      </c>
      <c r="F1404">
        <v>2026</v>
      </c>
      <c r="G1404" s="10">
        <v>1895000</v>
      </c>
      <c r="H1404" t="str">
        <f t="shared" si="84"/>
        <v/>
      </c>
      <c r="I1404" t="str">
        <f t="shared" si="85"/>
        <v/>
      </c>
      <c r="J1404" t="str">
        <f t="shared" si="86"/>
        <v/>
      </c>
      <c r="K1404">
        <v>685522.38</v>
      </c>
      <c r="L1404" t="b">
        <f t="shared" si="87"/>
        <v>0</v>
      </c>
    </row>
    <row r="1405" spans="1:12" ht="16" x14ac:dyDescent="0.2">
      <c r="A1405" t="s">
        <v>5703</v>
      </c>
      <c r="B1405" t="s">
        <v>73</v>
      </c>
      <c r="C1405" t="s">
        <v>4009</v>
      </c>
      <c r="D1405" s="2" t="s">
        <v>149</v>
      </c>
      <c r="E1405">
        <v>2025</v>
      </c>
      <c r="F1405">
        <v>2027</v>
      </c>
      <c r="G1405" s="10">
        <v>17703333.333333332</v>
      </c>
      <c r="H1405">
        <f t="shared" si="84"/>
        <v>17703333.333333332</v>
      </c>
      <c r="I1405" t="str">
        <f t="shared" si="85"/>
        <v/>
      </c>
      <c r="J1405" t="str">
        <f t="shared" si="86"/>
        <v/>
      </c>
      <c r="K1405">
        <v>27777552.100000001</v>
      </c>
      <c r="L1405" t="b">
        <f t="shared" si="87"/>
        <v>0</v>
      </c>
    </row>
    <row r="1406" spans="1:12" ht="16" x14ac:dyDescent="0.2">
      <c r="A1406" t="s">
        <v>5704</v>
      </c>
      <c r="B1406" t="s">
        <v>73</v>
      </c>
      <c r="C1406" t="s">
        <v>4010</v>
      </c>
      <c r="D1406" s="2" t="s">
        <v>149</v>
      </c>
      <c r="E1406">
        <v>2025</v>
      </c>
      <c r="F1406">
        <v>2026</v>
      </c>
      <c r="G1406" s="10">
        <v>1690000</v>
      </c>
      <c r="H1406" t="str">
        <f t="shared" si="84"/>
        <v/>
      </c>
      <c r="I1406" t="str">
        <f t="shared" si="85"/>
        <v/>
      </c>
      <c r="J1406" t="str">
        <f t="shared" si="86"/>
        <v/>
      </c>
      <c r="K1406">
        <v>400435.64</v>
      </c>
      <c r="L1406" t="b">
        <f t="shared" si="87"/>
        <v>0</v>
      </c>
    </row>
    <row r="1407" spans="1:12" ht="16" x14ac:dyDescent="0.2">
      <c r="A1407" t="s">
        <v>5705</v>
      </c>
      <c r="B1407" t="s">
        <v>73</v>
      </c>
      <c r="C1407" t="s">
        <v>4011</v>
      </c>
      <c r="D1407" s="2" t="s">
        <v>149</v>
      </c>
      <c r="E1407">
        <v>2025</v>
      </c>
      <c r="F1407">
        <v>2026</v>
      </c>
      <c r="G1407" s="10">
        <v>7845000</v>
      </c>
      <c r="H1407" t="str">
        <f t="shared" si="84"/>
        <v/>
      </c>
      <c r="I1407" t="str">
        <f t="shared" si="85"/>
        <v/>
      </c>
      <c r="J1407" t="str">
        <f t="shared" si="86"/>
        <v/>
      </c>
      <c r="K1407">
        <v>4208415.2699999996</v>
      </c>
      <c r="L1407" t="b">
        <f t="shared" si="87"/>
        <v>0</v>
      </c>
    </row>
    <row r="1408" spans="1:12" ht="16" x14ac:dyDescent="0.2">
      <c r="A1408" t="s">
        <v>5706</v>
      </c>
      <c r="B1408" t="s">
        <v>73</v>
      </c>
      <c r="C1408" t="s">
        <v>4012</v>
      </c>
      <c r="D1408" s="2" t="s">
        <v>149</v>
      </c>
      <c r="E1408">
        <v>2025</v>
      </c>
      <c r="F1408">
        <v>2026</v>
      </c>
      <c r="G1408" s="10">
        <v>4780000</v>
      </c>
      <c r="H1408" t="str">
        <f t="shared" si="84"/>
        <v/>
      </c>
      <c r="I1408" t="str">
        <f t="shared" si="85"/>
        <v/>
      </c>
      <c r="J1408" t="str">
        <f t="shared" si="86"/>
        <v/>
      </c>
      <c r="K1408">
        <v>2808465.76</v>
      </c>
      <c r="L1408" t="b">
        <f t="shared" si="87"/>
        <v>0</v>
      </c>
    </row>
    <row r="1409" spans="1:12" ht="16" x14ac:dyDescent="0.2">
      <c r="A1409" t="s">
        <v>5707</v>
      </c>
      <c r="B1409" t="s">
        <v>73</v>
      </c>
      <c r="C1409" t="s">
        <v>4013</v>
      </c>
      <c r="D1409" s="2" t="s">
        <v>149</v>
      </c>
      <c r="E1409">
        <v>2025</v>
      </c>
      <c r="F1409">
        <v>2026</v>
      </c>
      <c r="G1409" s="10">
        <v>900000</v>
      </c>
      <c r="H1409" t="str">
        <f t="shared" si="84"/>
        <v/>
      </c>
      <c r="I1409" t="str">
        <f t="shared" si="85"/>
        <v/>
      </c>
      <c r="J1409" t="str">
        <f t="shared" si="86"/>
        <v/>
      </c>
      <c r="K1409">
        <v>90455.27</v>
      </c>
      <c r="L1409" t="b">
        <f t="shared" si="87"/>
        <v>0</v>
      </c>
    </row>
    <row r="1410" spans="1:12" ht="16" x14ac:dyDescent="0.2">
      <c r="A1410" t="s">
        <v>5708</v>
      </c>
      <c r="B1410" t="s">
        <v>73</v>
      </c>
      <c r="C1410" t="s">
        <v>4014</v>
      </c>
      <c r="D1410" s="2" t="s">
        <v>149</v>
      </c>
      <c r="G1410" s="10" t="s">
        <v>2892</v>
      </c>
      <c r="H1410" t="str">
        <f t="shared" si="84"/>
        <v/>
      </c>
      <c r="I1410" t="str">
        <f t="shared" si="85"/>
        <v/>
      </c>
      <c r="J1410" t="str">
        <f t="shared" si="86"/>
        <v/>
      </c>
      <c r="L1410" t="b">
        <f t="shared" si="87"/>
        <v>1</v>
      </c>
    </row>
    <row r="1411" spans="1:12" ht="16" x14ac:dyDescent="0.2">
      <c r="A1411" t="s">
        <v>5709</v>
      </c>
      <c r="B1411" t="s">
        <v>73</v>
      </c>
      <c r="C1411" t="s">
        <v>4015</v>
      </c>
      <c r="D1411" s="2" t="s">
        <v>149</v>
      </c>
      <c r="E1411">
        <v>2025</v>
      </c>
      <c r="F1411">
        <v>2026</v>
      </c>
      <c r="G1411" s="10">
        <v>9175000</v>
      </c>
      <c r="H1411" t="str">
        <f t="shared" si="84"/>
        <v/>
      </c>
      <c r="I1411" t="str">
        <f t="shared" si="85"/>
        <v/>
      </c>
      <c r="J1411" t="str">
        <f t="shared" si="86"/>
        <v/>
      </c>
      <c r="K1411">
        <v>5794145.3700000001</v>
      </c>
      <c r="L1411" t="b">
        <f t="shared" si="87"/>
        <v>0</v>
      </c>
    </row>
    <row r="1412" spans="1:12" ht="16" x14ac:dyDescent="0.2">
      <c r="A1412" t="s">
        <v>5710</v>
      </c>
      <c r="B1412" t="s">
        <v>73</v>
      </c>
      <c r="C1412" t="s">
        <v>4016</v>
      </c>
      <c r="D1412" s="2" t="s">
        <v>149</v>
      </c>
      <c r="G1412" s="10" t="s">
        <v>2892</v>
      </c>
      <c r="H1412" t="str">
        <f t="shared" ref="H1412:H1475" si="88">IF(F1412&gt;=2027,G1412,"")</f>
        <v/>
      </c>
      <c r="I1412" t="str">
        <f t="shared" ref="I1412:I1475" si="89">IF(F1412&gt;=2028,G1412,"")</f>
        <v/>
      </c>
      <c r="J1412" t="str">
        <f t="shared" ref="J1412:J1475" si="90">IF(F1412&gt;=2029,G1412,"")</f>
        <v/>
      </c>
      <c r="L1412" t="b">
        <f t="shared" si="87"/>
        <v>1</v>
      </c>
    </row>
    <row r="1413" spans="1:12" ht="16" x14ac:dyDescent="0.2">
      <c r="A1413" t="s">
        <v>5711</v>
      </c>
      <c r="B1413" t="s">
        <v>73</v>
      </c>
      <c r="C1413" t="s">
        <v>4017</v>
      </c>
      <c r="D1413" s="2" t="s">
        <v>149</v>
      </c>
      <c r="G1413" s="10" t="s">
        <v>2892</v>
      </c>
      <c r="H1413" t="str">
        <f t="shared" si="88"/>
        <v/>
      </c>
      <c r="I1413" t="str">
        <f t="shared" si="89"/>
        <v/>
      </c>
      <c r="J1413" t="str">
        <f t="shared" si="90"/>
        <v/>
      </c>
      <c r="L1413" t="b">
        <f t="shared" si="87"/>
        <v>1</v>
      </c>
    </row>
    <row r="1414" spans="1:12" ht="16" x14ac:dyDescent="0.2">
      <c r="A1414" t="s">
        <v>5712</v>
      </c>
      <c r="B1414" t="s">
        <v>73</v>
      </c>
      <c r="C1414" t="s">
        <v>4018</v>
      </c>
      <c r="D1414" s="2" t="s">
        <v>149</v>
      </c>
      <c r="E1414">
        <v>2025</v>
      </c>
      <c r="F1414">
        <v>2027</v>
      </c>
      <c r="G1414" s="10">
        <v>18573333.333333336</v>
      </c>
      <c r="H1414">
        <f t="shared" si="88"/>
        <v>18573333.333333336</v>
      </c>
      <c r="I1414" t="str">
        <f t="shared" si="89"/>
        <v/>
      </c>
      <c r="J1414" t="str">
        <f t="shared" si="90"/>
        <v/>
      </c>
      <c r="K1414">
        <v>22573307.129999999</v>
      </c>
      <c r="L1414" t="b">
        <f t="shared" si="87"/>
        <v>0</v>
      </c>
    </row>
    <row r="1415" spans="1:12" ht="16" x14ac:dyDescent="0.2">
      <c r="A1415" t="s">
        <v>5713</v>
      </c>
      <c r="B1415" t="s">
        <v>73</v>
      </c>
      <c r="C1415" t="s">
        <v>4019</v>
      </c>
      <c r="D1415" s="2" t="s">
        <v>22</v>
      </c>
      <c r="E1415">
        <v>2025</v>
      </c>
      <c r="F1415">
        <v>2026</v>
      </c>
      <c r="G1415" s="10">
        <v>51200000</v>
      </c>
      <c r="H1415" t="str">
        <f t="shared" si="88"/>
        <v/>
      </c>
      <c r="I1415" t="str">
        <f t="shared" si="89"/>
        <v/>
      </c>
      <c r="J1415" t="str">
        <f t="shared" si="90"/>
        <v/>
      </c>
      <c r="K1415">
        <v>41843764.310000002</v>
      </c>
      <c r="L1415" t="b">
        <f t="shared" si="87"/>
        <v>0</v>
      </c>
    </row>
    <row r="1416" spans="1:12" ht="16" x14ac:dyDescent="0.2">
      <c r="A1416" t="s">
        <v>5714</v>
      </c>
      <c r="B1416" t="s">
        <v>73</v>
      </c>
      <c r="C1416" t="s">
        <v>4020</v>
      </c>
      <c r="D1416" s="2" t="s">
        <v>22</v>
      </c>
      <c r="G1416" s="10" t="s">
        <v>2892</v>
      </c>
      <c r="H1416" t="str">
        <f t="shared" si="88"/>
        <v/>
      </c>
      <c r="I1416" t="str">
        <f t="shared" si="89"/>
        <v/>
      </c>
      <c r="J1416" t="str">
        <f t="shared" si="90"/>
        <v/>
      </c>
      <c r="L1416" t="b">
        <f t="shared" si="87"/>
        <v>1</v>
      </c>
    </row>
    <row r="1417" spans="1:12" ht="16" x14ac:dyDescent="0.2">
      <c r="A1417" t="s">
        <v>5715</v>
      </c>
      <c r="B1417" t="s">
        <v>73</v>
      </c>
      <c r="C1417" t="s">
        <v>4021</v>
      </c>
      <c r="D1417" s="2" t="s">
        <v>22</v>
      </c>
      <c r="G1417" s="10" t="s">
        <v>2892</v>
      </c>
      <c r="H1417" t="str">
        <f t="shared" si="88"/>
        <v/>
      </c>
      <c r="I1417" t="str">
        <f t="shared" si="89"/>
        <v/>
      </c>
      <c r="J1417" t="str">
        <f t="shared" si="90"/>
        <v/>
      </c>
      <c r="L1417" t="b">
        <f t="shared" si="87"/>
        <v>1</v>
      </c>
    </row>
    <row r="1418" spans="1:12" ht="16" x14ac:dyDescent="0.2">
      <c r="A1418" t="s">
        <v>5716</v>
      </c>
      <c r="B1418" t="s">
        <v>73</v>
      </c>
      <c r="C1418" t="s">
        <v>4022</v>
      </c>
      <c r="D1418" s="2" t="s">
        <v>22</v>
      </c>
      <c r="E1418">
        <v>2025</v>
      </c>
      <c r="F1418">
        <v>2026</v>
      </c>
      <c r="G1418" s="10">
        <v>5195000</v>
      </c>
      <c r="H1418" t="str">
        <f t="shared" si="88"/>
        <v/>
      </c>
      <c r="I1418" t="str">
        <f t="shared" si="89"/>
        <v/>
      </c>
      <c r="J1418" t="str">
        <f t="shared" si="90"/>
        <v/>
      </c>
      <c r="K1418">
        <v>1758585.09</v>
      </c>
      <c r="L1418" t="b">
        <f t="shared" si="87"/>
        <v>0</v>
      </c>
    </row>
    <row r="1419" spans="1:12" ht="16" x14ac:dyDescent="0.2">
      <c r="A1419" t="s">
        <v>5717</v>
      </c>
      <c r="B1419" t="s">
        <v>73</v>
      </c>
      <c r="C1419" t="s">
        <v>4023</v>
      </c>
      <c r="D1419" s="2" t="s">
        <v>22</v>
      </c>
      <c r="E1419">
        <v>2025</v>
      </c>
      <c r="F1419">
        <v>2026</v>
      </c>
      <c r="G1419" s="10">
        <v>7140000</v>
      </c>
      <c r="H1419" t="str">
        <f t="shared" si="88"/>
        <v/>
      </c>
      <c r="I1419" t="str">
        <f t="shared" si="89"/>
        <v/>
      </c>
      <c r="J1419" t="str">
        <f t="shared" si="90"/>
        <v/>
      </c>
      <c r="K1419">
        <v>3995899.24</v>
      </c>
      <c r="L1419" t="b">
        <f t="shared" si="87"/>
        <v>0</v>
      </c>
    </row>
    <row r="1420" spans="1:12" ht="16" x14ac:dyDescent="0.2">
      <c r="A1420" t="s">
        <v>5718</v>
      </c>
      <c r="B1420" t="s">
        <v>73</v>
      </c>
      <c r="C1420" t="s">
        <v>4024</v>
      </c>
      <c r="D1420" s="2" t="s">
        <v>22</v>
      </c>
      <c r="E1420">
        <v>2025</v>
      </c>
      <c r="F1420">
        <v>2027</v>
      </c>
      <c r="G1420" s="10">
        <v>3846666.666666666</v>
      </c>
      <c r="H1420">
        <f t="shared" si="88"/>
        <v>3846666.666666666</v>
      </c>
      <c r="I1420" t="str">
        <f t="shared" si="89"/>
        <v/>
      </c>
      <c r="J1420" t="str">
        <f t="shared" si="90"/>
        <v/>
      </c>
      <c r="K1420">
        <v>1290551.76</v>
      </c>
      <c r="L1420" t="b">
        <f t="shared" si="87"/>
        <v>0</v>
      </c>
    </row>
    <row r="1421" spans="1:12" ht="16" x14ac:dyDescent="0.2">
      <c r="A1421" t="s">
        <v>5719</v>
      </c>
      <c r="B1421" t="s">
        <v>73</v>
      </c>
      <c r="C1421" t="s">
        <v>4025</v>
      </c>
      <c r="D1421" s="2" t="s">
        <v>22</v>
      </c>
      <c r="G1421" s="10" t="s">
        <v>2892</v>
      </c>
      <c r="H1421" t="str">
        <f t="shared" si="88"/>
        <v/>
      </c>
      <c r="I1421" t="str">
        <f t="shared" si="89"/>
        <v/>
      </c>
      <c r="J1421" t="str">
        <f t="shared" si="90"/>
        <v/>
      </c>
      <c r="L1421" t="b">
        <f t="shared" si="87"/>
        <v>1</v>
      </c>
    </row>
    <row r="1422" spans="1:12" ht="16" x14ac:dyDescent="0.2">
      <c r="A1422" t="s">
        <v>5720</v>
      </c>
      <c r="B1422" t="s">
        <v>73</v>
      </c>
      <c r="C1422" t="s">
        <v>4026</v>
      </c>
      <c r="D1422" s="2" t="s">
        <v>22</v>
      </c>
      <c r="E1422">
        <v>2025</v>
      </c>
      <c r="F1422">
        <v>2027</v>
      </c>
      <c r="G1422" s="10">
        <v>1636666.6666666667</v>
      </c>
      <c r="H1422">
        <f t="shared" si="88"/>
        <v>1636666.6666666667</v>
      </c>
      <c r="I1422" t="str">
        <f t="shared" si="89"/>
        <v/>
      </c>
      <c r="J1422" t="str">
        <f t="shared" si="90"/>
        <v/>
      </c>
      <c r="K1422">
        <v>583014.34</v>
      </c>
      <c r="L1422" t="b">
        <f t="shared" si="87"/>
        <v>0</v>
      </c>
    </row>
    <row r="1423" spans="1:12" ht="16" x14ac:dyDescent="0.2">
      <c r="A1423" t="s">
        <v>5721</v>
      </c>
      <c r="B1423" t="s">
        <v>73</v>
      </c>
      <c r="C1423" t="s">
        <v>4027</v>
      </c>
      <c r="D1423" s="2" t="s">
        <v>22</v>
      </c>
      <c r="E1423">
        <v>2025</v>
      </c>
      <c r="F1423">
        <v>2026</v>
      </c>
      <c r="G1423" s="10">
        <v>11540000</v>
      </c>
      <c r="H1423" t="str">
        <f t="shared" si="88"/>
        <v/>
      </c>
      <c r="I1423" t="str">
        <f t="shared" si="89"/>
        <v/>
      </c>
      <c r="J1423" t="str">
        <f t="shared" si="90"/>
        <v/>
      </c>
      <c r="K1423">
        <v>5828459.6900000004</v>
      </c>
      <c r="L1423" t="b">
        <f t="shared" si="87"/>
        <v>0</v>
      </c>
    </row>
    <row r="1424" spans="1:12" ht="16" x14ac:dyDescent="0.2">
      <c r="A1424" t="s">
        <v>5722</v>
      </c>
      <c r="B1424" t="s">
        <v>73</v>
      </c>
      <c r="C1424" t="s">
        <v>4028</v>
      </c>
      <c r="D1424" s="2" t="s">
        <v>22</v>
      </c>
      <c r="E1424">
        <v>2025</v>
      </c>
      <c r="F1424">
        <v>2026</v>
      </c>
      <c r="G1424" s="10">
        <v>4555000</v>
      </c>
      <c r="H1424" t="str">
        <f t="shared" si="88"/>
        <v/>
      </c>
      <c r="I1424" t="str">
        <f t="shared" si="89"/>
        <v/>
      </c>
      <c r="J1424" t="str">
        <f t="shared" si="90"/>
        <v/>
      </c>
      <c r="K1424">
        <v>1331605.74</v>
      </c>
      <c r="L1424" t="b">
        <f t="shared" si="87"/>
        <v>0</v>
      </c>
    </row>
    <row r="1425" spans="1:12" ht="16" x14ac:dyDescent="0.2">
      <c r="A1425" t="s">
        <v>5723</v>
      </c>
      <c r="B1425" t="s">
        <v>73</v>
      </c>
      <c r="C1425" t="s">
        <v>4029</v>
      </c>
      <c r="D1425" s="2" t="s">
        <v>22</v>
      </c>
      <c r="E1425">
        <v>2025</v>
      </c>
      <c r="F1425">
        <v>2026</v>
      </c>
      <c r="G1425" s="10">
        <v>4580000</v>
      </c>
      <c r="H1425" t="str">
        <f t="shared" si="88"/>
        <v/>
      </c>
      <c r="I1425" t="str">
        <f t="shared" si="89"/>
        <v/>
      </c>
      <c r="J1425" t="str">
        <f t="shared" si="90"/>
        <v/>
      </c>
      <c r="K1425">
        <v>925932.47</v>
      </c>
      <c r="L1425" t="b">
        <f t="shared" si="87"/>
        <v>0</v>
      </c>
    </row>
    <row r="1426" spans="1:12" ht="16" x14ac:dyDescent="0.2">
      <c r="A1426" t="s">
        <v>5724</v>
      </c>
      <c r="B1426" t="s">
        <v>73</v>
      </c>
      <c r="C1426" t="s">
        <v>4030</v>
      </c>
      <c r="D1426" s="2" t="s">
        <v>22</v>
      </c>
      <c r="E1426">
        <v>2025</v>
      </c>
      <c r="F1426">
        <v>2026</v>
      </c>
      <c r="G1426" s="10">
        <v>2205000</v>
      </c>
      <c r="H1426" t="str">
        <f t="shared" si="88"/>
        <v/>
      </c>
      <c r="I1426" t="str">
        <f t="shared" si="89"/>
        <v/>
      </c>
      <c r="J1426" t="str">
        <f t="shared" si="90"/>
        <v/>
      </c>
      <c r="K1426">
        <v>813381.2</v>
      </c>
      <c r="L1426" t="b">
        <f t="shared" si="87"/>
        <v>0</v>
      </c>
    </row>
    <row r="1427" spans="1:12" ht="16" x14ac:dyDescent="0.2">
      <c r="A1427" t="s">
        <v>5725</v>
      </c>
      <c r="B1427" t="s">
        <v>73</v>
      </c>
      <c r="C1427" t="s">
        <v>4031</v>
      </c>
      <c r="D1427" s="2" t="s">
        <v>22</v>
      </c>
      <c r="E1427">
        <v>2025</v>
      </c>
      <c r="F1427">
        <v>2026</v>
      </c>
      <c r="G1427" s="10">
        <v>2060000</v>
      </c>
      <c r="H1427" t="str">
        <f t="shared" si="88"/>
        <v/>
      </c>
      <c r="I1427" t="str">
        <f t="shared" si="89"/>
        <v/>
      </c>
      <c r="J1427" t="str">
        <f t="shared" si="90"/>
        <v/>
      </c>
      <c r="K1427">
        <v>321765.21999999997</v>
      </c>
      <c r="L1427" t="b">
        <f t="shared" si="87"/>
        <v>0</v>
      </c>
    </row>
    <row r="1428" spans="1:12" ht="16" x14ac:dyDescent="0.2">
      <c r="A1428" t="s">
        <v>5726</v>
      </c>
      <c r="B1428" t="s">
        <v>73</v>
      </c>
      <c r="C1428" t="s">
        <v>4032</v>
      </c>
      <c r="D1428" s="2" t="s">
        <v>22</v>
      </c>
      <c r="E1428">
        <v>2025</v>
      </c>
      <c r="F1428">
        <v>2027</v>
      </c>
      <c r="G1428" s="10">
        <v>8270000</v>
      </c>
      <c r="H1428">
        <f t="shared" si="88"/>
        <v>8270000</v>
      </c>
      <c r="I1428" t="str">
        <f t="shared" si="89"/>
        <v/>
      </c>
      <c r="J1428" t="str">
        <f t="shared" si="90"/>
        <v/>
      </c>
      <c r="K1428">
        <v>6545947.0499999998</v>
      </c>
      <c r="L1428" t="b">
        <f t="shared" si="87"/>
        <v>0</v>
      </c>
    </row>
    <row r="1429" spans="1:12" ht="16" x14ac:dyDescent="0.2">
      <c r="A1429" t="s">
        <v>5727</v>
      </c>
      <c r="B1429" t="s">
        <v>73</v>
      </c>
      <c r="C1429" t="s">
        <v>4033</v>
      </c>
      <c r="D1429" s="2" t="s">
        <v>22</v>
      </c>
      <c r="E1429">
        <v>2025</v>
      </c>
      <c r="F1429">
        <v>2026</v>
      </c>
      <c r="G1429" s="10">
        <v>4045000</v>
      </c>
      <c r="H1429" t="str">
        <f t="shared" si="88"/>
        <v/>
      </c>
      <c r="I1429" t="str">
        <f t="shared" si="89"/>
        <v/>
      </c>
      <c r="J1429" t="str">
        <f t="shared" si="90"/>
        <v/>
      </c>
      <c r="K1429">
        <v>2360002.98</v>
      </c>
      <c r="L1429" t="b">
        <f t="shared" si="87"/>
        <v>0</v>
      </c>
    </row>
    <row r="1430" spans="1:12" ht="16" x14ac:dyDescent="0.2">
      <c r="A1430" t="s">
        <v>5728</v>
      </c>
      <c r="B1430" t="s">
        <v>73</v>
      </c>
      <c r="C1430" t="s">
        <v>4034</v>
      </c>
      <c r="D1430" s="2" t="s">
        <v>22</v>
      </c>
      <c r="G1430" s="10" t="s">
        <v>2892</v>
      </c>
      <c r="H1430" t="str">
        <f t="shared" si="88"/>
        <v/>
      </c>
      <c r="I1430" t="str">
        <f t="shared" si="89"/>
        <v/>
      </c>
      <c r="J1430" t="str">
        <f t="shared" si="90"/>
        <v/>
      </c>
      <c r="L1430" t="b">
        <f t="shared" si="87"/>
        <v>1</v>
      </c>
    </row>
    <row r="1431" spans="1:12" ht="16" x14ac:dyDescent="0.2">
      <c r="A1431" t="s">
        <v>5729</v>
      </c>
      <c r="B1431" t="s">
        <v>73</v>
      </c>
      <c r="C1431" t="s">
        <v>4035</v>
      </c>
      <c r="D1431" s="2" t="s">
        <v>22</v>
      </c>
      <c r="G1431" s="10" t="s">
        <v>2892</v>
      </c>
      <c r="H1431" t="str">
        <f t="shared" si="88"/>
        <v/>
      </c>
      <c r="I1431" t="str">
        <f t="shared" si="89"/>
        <v/>
      </c>
      <c r="J1431" t="str">
        <f t="shared" si="90"/>
        <v/>
      </c>
      <c r="L1431" t="b">
        <f t="shared" si="87"/>
        <v>1</v>
      </c>
    </row>
    <row r="1432" spans="1:12" ht="16" x14ac:dyDescent="0.2">
      <c r="A1432" t="s">
        <v>5730</v>
      </c>
      <c r="B1432" t="s">
        <v>73</v>
      </c>
      <c r="C1432" t="s">
        <v>4036</v>
      </c>
      <c r="D1432" s="2" t="s">
        <v>22</v>
      </c>
      <c r="E1432">
        <v>2025</v>
      </c>
      <c r="F1432">
        <v>2026</v>
      </c>
      <c r="G1432" s="10">
        <v>2745000</v>
      </c>
      <c r="H1432" t="str">
        <f t="shared" si="88"/>
        <v/>
      </c>
      <c r="I1432" t="str">
        <f t="shared" si="89"/>
        <v/>
      </c>
      <c r="J1432" t="str">
        <f t="shared" si="90"/>
        <v/>
      </c>
      <c r="K1432">
        <v>577664.17000000004</v>
      </c>
      <c r="L1432" t="b">
        <f t="shared" si="87"/>
        <v>0</v>
      </c>
    </row>
    <row r="1433" spans="1:12" ht="16" x14ac:dyDescent="0.2">
      <c r="A1433" t="s">
        <v>5731</v>
      </c>
      <c r="B1433" t="s">
        <v>73</v>
      </c>
      <c r="C1433" t="s">
        <v>4037</v>
      </c>
      <c r="D1433" s="2" t="s">
        <v>22</v>
      </c>
      <c r="E1433">
        <v>2025</v>
      </c>
      <c r="F1433">
        <v>2028</v>
      </c>
      <c r="G1433" s="10">
        <v>12512500</v>
      </c>
      <c r="H1433">
        <f t="shared" si="88"/>
        <v>12512500</v>
      </c>
      <c r="I1433">
        <f t="shared" si="89"/>
        <v>12512500</v>
      </c>
      <c r="J1433" t="str">
        <f t="shared" si="90"/>
        <v/>
      </c>
      <c r="K1433">
        <v>18328449.449999999</v>
      </c>
      <c r="L1433" t="b">
        <f t="shared" si="87"/>
        <v>0</v>
      </c>
    </row>
    <row r="1434" spans="1:12" ht="16" x14ac:dyDescent="0.2">
      <c r="A1434" t="s">
        <v>5732</v>
      </c>
      <c r="B1434" t="s">
        <v>73</v>
      </c>
      <c r="C1434" t="s">
        <v>4038</v>
      </c>
      <c r="D1434" s="2" t="s">
        <v>22</v>
      </c>
      <c r="G1434" s="10" t="s">
        <v>2892</v>
      </c>
      <c r="H1434" t="str">
        <f t="shared" si="88"/>
        <v/>
      </c>
      <c r="I1434" t="str">
        <f t="shared" si="89"/>
        <v/>
      </c>
      <c r="J1434" t="str">
        <f t="shared" si="90"/>
        <v/>
      </c>
      <c r="L1434" t="b">
        <f t="shared" si="87"/>
        <v>1</v>
      </c>
    </row>
    <row r="1435" spans="1:12" ht="16" x14ac:dyDescent="0.2">
      <c r="A1435" t="s">
        <v>5733</v>
      </c>
      <c r="B1435" t="s">
        <v>73</v>
      </c>
      <c r="C1435" t="s">
        <v>4039</v>
      </c>
      <c r="D1435" s="2" t="s">
        <v>22</v>
      </c>
      <c r="G1435" s="10" t="s">
        <v>2892</v>
      </c>
      <c r="H1435" t="str">
        <f t="shared" si="88"/>
        <v/>
      </c>
      <c r="I1435" t="str">
        <f t="shared" si="89"/>
        <v/>
      </c>
      <c r="J1435" t="str">
        <f t="shared" si="90"/>
        <v/>
      </c>
      <c r="L1435" t="b">
        <f t="shared" si="87"/>
        <v>1</v>
      </c>
    </row>
    <row r="1436" spans="1:12" ht="16" x14ac:dyDescent="0.2">
      <c r="A1436" t="s">
        <v>5734</v>
      </c>
      <c r="B1436" t="s">
        <v>73</v>
      </c>
      <c r="C1436" t="s">
        <v>4040</v>
      </c>
      <c r="D1436" s="2" t="s">
        <v>22</v>
      </c>
      <c r="E1436">
        <v>2025</v>
      </c>
      <c r="F1436">
        <v>2028</v>
      </c>
      <c r="G1436" s="10">
        <v>11812500</v>
      </c>
      <c r="H1436">
        <f t="shared" si="88"/>
        <v>11812500</v>
      </c>
      <c r="I1436">
        <f t="shared" si="89"/>
        <v>11812500</v>
      </c>
      <c r="J1436" t="str">
        <f t="shared" si="90"/>
        <v/>
      </c>
      <c r="K1436">
        <v>19510441.289999999</v>
      </c>
      <c r="L1436" t="b">
        <f t="shared" si="87"/>
        <v>0</v>
      </c>
    </row>
    <row r="1437" spans="1:12" ht="16" x14ac:dyDescent="0.2">
      <c r="A1437" t="s">
        <v>5735</v>
      </c>
      <c r="B1437" t="s">
        <v>73</v>
      </c>
      <c r="C1437" t="s">
        <v>4041</v>
      </c>
      <c r="D1437" s="2" t="s">
        <v>22</v>
      </c>
      <c r="G1437" s="10" t="s">
        <v>2892</v>
      </c>
      <c r="H1437" t="str">
        <f t="shared" si="88"/>
        <v/>
      </c>
      <c r="I1437" t="str">
        <f t="shared" si="89"/>
        <v/>
      </c>
      <c r="J1437" t="str">
        <f t="shared" si="90"/>
        <v/>
      </c>
      <c r="L1437" t="b">
        <f t="shared" si="87"/>
        <v>1</v>
      </c>
    </row>
    <row r="1438" spans="1:12" ht="16" x14ac:dyDescent="0.2">
      <c r="A1438" t="s">
        <v>5736</v>
      </c>
      <c r="B1438" t="s">
        <v>73</v>
      </c>
      <c r="C1438" t="s">
        <v>4042</v>
      </c>
      <c r="D1438" s="2" t="s">
        <v>22</v>
      </c>
      <c r="G1438" s="10" t="s">
        <v>2892</v>
      </c>
      <c r="H1438" t="str">
        <f t="shared" si="88"/>
        <v/>
      </c>
      <c r="I1438" t="str">
        <f t="shared" si="89"/>
        <v/>
      </c>
      <c r="J1438" t="str">
        <f t="shared" si="90"/>
        <v/>
      </c>
      <c r="L1438" t="b">
        <f t="shared" si="87"/>
        <v>1</v>
      </c>
    </row>
    <row r="1439" spans="1:12" ht="16" x14ac:dyDescent="0.2">
      <c r="A1439" t="s">
        <v>5737</v>
      </c>
      <c r="B1439" t="s">
        <v>73</v>
      </c>
      <c r="C1439" t="s">
        <v>4043</v>
      </c>
      <c r="D1439" s="2" t="s">
        <v>22</v>
      </c>
      <c r="E1439">
        <v>2025</v>
      </c>
      <c r="F1439">
        <v>2026</v>
      </c>
      <c r="G1439" s="10">
        <v>4330000</v>
      </c>
      <c r="H1439" t="str">
        <f t="shared" si="88"/>
        <v/>
      </c>
      <c r="I1439" t="str">
        <f t="shared" si="89"/>
        <v/>
      </c>
      <c r="J1439" t="str">
        <f t="shared" si="90"/>
        <v/>
      </c>
      <c r="K1439">
        <v>1528037.42</v>
      </c>
      <c r="L1439" t="b">
        <f t="shared" si="87"/>
        <v>0</v>
      </c>
    </row>
    <row r="1440" spans="1:12" ht="16" x14ac:dyDescent="0.2">
      <c r="A1440" t="s">
        <v>5738</v>
      </c>
      <c r="B1440" t="s">
        <v>73</v>
      </c>
      <c r="C1440" t="s">
        <v>4044</v>
      </c>
      <c r="D1440" s="2" t="s">
        <v>22</v>
      </c>
      <c r="G1440" s="10" t="s">
        <v>2892</v>
      </c>
      <c r="H1440" t="str">
        <f t="shared" si="88"/>
        <v/>
      </c>
      <c r="I1440" t="str">
        <f t="shared" si="89"/>
        <v/>
      </c>
      <c r="J1440" t="str">
        <f t="shared" si="90"/>
        <v/>
      </c>
      <c r="L1440" t="b">
        <f t="shared" si="87"/>
        <v>1</v>
      </c>
    </row>
    <row r="1441" spans="1:12" ht="16" x14ac:dyDescent="0.2">
      <c r="A1441" t="s">
        <v>5739</v>
      </c>
      <c r="B1441" t="s">
        <v>73</v>
      </c>
      <c r="C1441" t="s">
        <v>4045</v>
      </c>
      <c r="D1441" s="2" t="s">
        <v>22</v>
      </c>
      <c r="E1441">
        <v>2025</v>
      </c>
      <c r="F1441">
        <v>2028</v>
      </c>
      <c r="G1441" s="10">
        <v>10687500</v>
      </c>
      <c r="H1441">
        <f t="shared" si="88"/>
        <v>10687500</v>
      </c>
      <c r="I1441">
        <f t="shared" si="89"/>
        <v>10687500</v>
      </c>
      <c r="J1441" t="str">
        <f t="shared" si="90"/>
        <v/>
      </c>
      <c r="K1441">
        <v>14933317.810000001</v>
      </c>
      <c r="L1441" t="b">
        <f t="shared" si="87"/>
        <v>0</v>
      </c>
    </row>
    <row r="1442" spans="1:12" ht="16" x14ac:dyDescent="0.2">
      <c r="A1442" t="s">
        <v>5740</v>
      </c>
      <c r="B1442" t="s">
        <v>73</v>
      </c>
      <c r="C1442" t="s">
        <v>4046</v>
      </c>
      <c r="D1442" s="2" t="s">
        <v>22</v>
      </c>
      <c r="E1442">
        <v>2025</v>
      </c>
      <c r="F1442">
        <v>2026</v>
      </c>
      <c r="G1442" s="10">
        <v>10760000</v>
      </c>
      <c r="H1442" t="str">
        <f t="shared" si="88"/>
        <v/>
      </c>
      <c r="I1442" t="str">
        <f t="shared" si="89"/>
        <v/>
      </c>
      <c r="J1442" t="str">
        <f t="shared" si="90"/>
        <v/>
      </c>
      <c r="K1442">
        <v>9558455.25</v>
      </c>
      <c r="L1442" t="b">
        <f t="shared" si="87"/>
        <v>0</v>
      </c>
    </row>
    <row r="1443" spans="1:12" ht="16" x14ac:dyDescent="0.2">
      <c r="A1443" t="s">
        <v>5741</v>
      </c>
      <c r="B1443" t="s">
        <v>73</v>
      </c>
      <c r="C1443" t="s">
        <v>4047</v>
      </c>
      <c r="D1443" s="2" t="s">
        <v>22</v>
      </c>
      <c r="E1443">
        <v>2025</v>
      </c>
      <c r="F1443">
        <v>2027</v>
      </c>
      <c r="G1443" s="10">
        <v>5643333.333333334</v>
      </c>
      <c r="H1443">
        <f t="shared" si="88"/>
        <v>5643333.333333334</v>
      </c>
      <c r="I1443" t="str">
        <f t="shared" si="89"/>
        <v/>
      </c>
      <c r="J1443" t="str">
        <f t="shared" si="90"/>
        <v/>
      </c>
      <c r="K1443">
        <v>1870531.53</v>
      </c>
      <c r="L1443" t="b">
        <f t="shared" ref="L1443:L1506" si="91">IF(F1443="",TRUE,FALSE)</f>
        <v>0</v>
      </c>
    </row>
    <row r="1444" spans="1:12" ht="16" x14ac:dyDescent="0.2">
      <c r="A1444" t="s">
        <v>5742</v>
      </c>
      <c r="B1444" t="s">
        <v>73</v>
      </c>
      <c r="C1444" t="s">
        <v>4048</v>
      </c>
      <c r="D1444" s="2" t="s">
        <v>22</v>
      </c>
      <c r="E1444">
        <v>2025</v>
      </c>
      <c r="F1444">
        <v>2026</v>
      </c>
      <c r="G1444" s="10">
        <v>2400000</v>
      </c>
      <c r="H1444" t="str">
        <f t="shared" si="88"/>
        <v/>
      </c>
      <c r="I1444" t="str">
        <f t="shared" si="89"/>
        <v/>
      </c>
      <c r="J1444" t="str">
        <f t="shared" si="90"/>
        <v/>
      </c>
      <c r="K1444">
        <v>465495.75</v>
      </c>
      <c r="L1444" t="b">
        <f t="shared" si="91"/>
        <v>0</v>
      </c>
    </row>
    <row r="1445" spans="1:12" ht="16" x14ac:dyDescent="0.2">
      <c r="A1445" t="s">
        <v>5743</v>
      </c>
      <c r="B1445" t="s">
        <v>73</v>
      </c>
      <c r="C1445" t="s">
        <v>4049</v>
      </c>
      <c r="D1445" s="2" t="s">
        <v>22</v>
      </c>
      <c r="E1445">
        <v>2025</v>
      </c>
      <c r="F1445">
        <v>2026</v>
      </c>
      <c r="G1445" s="10">
        <v>9100000</v>
      </c>
      <c r="H1445" t="str">
        <f t="shared" si="88"/>
        <v/>
      </c>
      <c r="I1445" t="str">
        <f t="shared" si="89"/>
        <v/>
      </c>
      <c r="J1445" t="str">
        <f t="shared" si="90"/>
        <v/>
      </c>
      <c r="K1445">
        <v>6891823.3200000003</v>
      </c>
      <c r="L1445" t="b">
        <f t="shared" si="91"/>
        <v>0</v>
      </c>
    </row>
    <row r="1446" spans="1:12" ht="16" x14ac:dyDescent="0.2">
      <c r="A1446" t="s">
        <v>5744</v>
      </c>
      <c r="B1446" t="s">
        <v>73</v>
      </c>
      <c r="C1446" t="s">
        <v>4050</v>
      </c>
      <c r="D1446" s="2" t="s">
        <v>22</v>
      </c>
      <c r="G1446" s="10" t="s">
        <v>2892</v>
      </c>
      <c r="H1446" t="str">
        <f t="shared" si="88"/>
        <v/>
      </c>
      <c r="I1446" t="str">
        <f t="shared" si="89"/>
        <v/>
      </c>
      <c r="J1446" t="str">
        <f t="shared" si="90"/>
        <v/>
      </c>
      <c r="L1446" t="b">
        <f t="shared" si="91"/>
        <v>1</v>
      </c>
    </row>
    <row r="1447" spans="1:12" ht="16" x14ac:dyDescent="0.2">
      <c r="A1447" t="s">
        <v>5745</v>
      </c>
      <c r="B1447" t="s">
        <v>73</v>
      </c>
      <c r="C1447" t="s">
        <v>4051</v>
      </c>
      <c r="D1447" s="2" t="s">
        <v>22</v>
      </c>
      <c r="E1447">
        <v>2025</v>
      </c>
      <c r="F1447">
        <v>2027</v>
      </c>
      <c r="G1447" s="10">
        <v>4786666.666666666</v>
      </c>
      <c r="H1447">
        <f t="shared" si="88"/>
        <v>4786666.666666666</v>
      </c>
      <c r="I1447" t="str">
        <f t="shared" si="89"/>
        <v/>
      </c>
      <c r="J1447" t="str">
        <f t="shared" si="90"/>
        <v/>
      </c>
      <c r="K1447">
        <v>3215435.64</v>
      </c>
      <c r="L1447" t="b">
        <f t="shared" si="91"/>
        <v>0</v>
      </c>
    </row>
    <row r="1448" spans="1:12" ht="16" x14ac:dyDescent="0.2">
      <c r="A1448" t="s">
        <v>5746</v>
      </c>
      <c r="B1448" t="s">
        <v>73</v>
      </c>
      <c r="C1448" t="s">
        <v>4052</v>
      </c>
      <c r="D1448" s="2" t="s">
        <v>22</v>
      </c>
      <c r="G1448" s="10" t="s">
        <v>2892</v>
      </c>
      <c r="H1448" t="str">
        <f t="shared" si="88"/>
        <v/>
      </c>
      <c r="I1448" t="str">
        <f t="shared" si="89"/>
        <v/>
      </c>
      <c r="J1448" t="str">
        <f t="shared" si="90"/>
        <v/>
      </c>
      <c r="L1448" t="b">
        <f t="shared" si="91"/>
        <v>1</v>
      </c>
    </row>
    <row r="1449" spans="1:12" ht="16" x14ac:dyDescent="0.2">
      <c r="A1449" t="s">
        <v>5747</v>
      </c>
      <c r="B1449" t="s">
        <v>73</v>
      </c>
      <c r="C1449" t="s">
        <v>4053</v>
      </c>
      <c r="D1449" s="2" t="s">
        <v>22</v>
      </c>
      <c r="G1449" s="10" t="s">
        <v>2892</v>
      </c>
      <c r="H1449" t="str">
        <f t="shared" si="88"/>
        <v/>
      </c>
      <c r="I1449" t="str">
        <f t="shared" si="89"/>
        <v/>
      </c>
      <c r="J1449" t="str">
        <f t="shared" si="90"/>
        <v/>
      </c>
      <c r="L1449" t="b">
        <f t="shared" si="91"/>
        <v>1</v>
      </c>
    </row>
    <row r="1450" spans="1:12" ht="16" x14ac:dyDescent="0.2">
      <c r="A1450" t="s">
        <v>5748</v>
      </c>
      <c r="B1450" t="s">
        <v>73</v>
      </c>
      <c r="C1450" t="s">
        <v>4054</v>
      </c>
      <c r="D1450" s="2" t="s">
        <v>22</v>
      </c>
      <c r="E1450">
        <v>2025</v>
      </c>
      <c r="F1450">
        <v>2026</v>
      </c>
      <c r="G1450" s="10">
        <v>1550000</v>
      </c>
      <c r="H1450" t="str">
        <f t="shared" si="88"/>
        <v/>
      </c>
      <c r="I1450" t="str">
        <f t="shared" si="89"/>
        <v/>
      </c>
      <c r="J1450" t="str">
        <f t="shared" si="90"/>
        <v/>
      </c>
      <c r="K1450">
        <v>224604.29</v>
      </c>
      <c r="L1450" t="b">
        <f t="shared" si="91"/>
        <v>0</v>
      </c>
    </row>
    <row r="1451" spans="1:12" ht="16" x14ac:dyDescent="0.2">
      <c r="A1451" t="s">
        <v>5749</v>
      </c>
      <c r="B1451" t="s">
        <v>73</v>
      </c>
      <c r="C1451" t="s">
        <v>4055</v>
      </c>
      <c r="D1451" s="2" t="s">
        <v>22</v>
      </c>
      <c r="G1451" s="10" t="s">
        <v>2892</v>
      </c>
      <c r="H1451" t="str">
        <f t="shared" si="88"/>
        <v/>
      </c>
      <c r="I1451" t="str">
        <f t="shared" si="89"/>
        <v/>
      </c>
      <c r="J1451" t="str">
        <f t="shared" si="90"/>
        <v/>
      </c>
      <c r="L1451" t="b">
        <f t="shared" si="91"/>
        <v>1</v>
      </c>
    </row>
    <row r="1452" spans="1:12" ht="16" x14ac:dyDescent="0.2">
      <c r="A1452" t="s">
        <v>5750</v>
      </c>
      <c r="B1452" t="s">
        <v>73</v>
      </c>
      <c r="C1452" t="s">
        <v>4056</v>
      </c>
      <c r="D1452" s="2" t="s">
        <v>22</v>
      </c>
      <c r="E1452">
        <v>2025</v>
      </c>
      <c r="F1452">
        <v>2027</v>
      </c>
      <c r="G1452" s="10">
        <v>2816666.6666666665</v>
      </c>
      <c r="H1452">
        <f t="shared" si="88"/>
        <v>2816666.6666666665</v>
      </c>
      <c r="I1452" t="str">
        <f t="shared" si="89"/>
        <v/>
      </c>
      <c r="J1452" t="str">
        <f t="shared" si="90"/>
        <v/>
      </c>
      <c r="K1452">
        <v>444468.53</v>
      </c>
      <c r="L1452" t="b">
        <f t="shared" si="91"/>
        <v>0</v>
      </c>
    </row>
    <row r="1453" spans="1:12" ht="16" x14ac:dyDescent="0.2">
      <c r="A1453" t="s">
        <v>5751</v>
      </c>
      <c r="B1453" t="s">
        <v>73</v>
      </c>
      <c r="C1453" t="s">
        <v>4057</v>
      </c>
      <c r="D1453" s="2" t="s">
        <v>22</v>
      </c>
      <c r="E1453">
        <v>2025</v>
      </c>
      <c r="F1453">
        <v>2027</v>
      </c>
      <c r="G1453" s="10">
        <v>10393333.333333332</v>
      </c>
      <c r="H1453">
        <f t="shared" si="88"/>
        <v>10393333.333333332</v>
      </c>
      <c r="I1453" t="str">
        <f t="shared" si="89"/>
        <v/>
      </c>
      <c r="J1453" t="str">
        <f t="shared" si="90"/>
        <v/>
      </c>
      <c r="K1453">
        <v>9862981.8699999992</v>
      </c>
      <c r="L1453" t="b">
        <f t="shared" si="91"/>
        <v>0</v>
      </c>
    </row>
    <row r="1454" spans="1:12" ht="16" x14ac:dyDescent="0.2">
      <c r="A1454" t="s">
        <v>5752</v>
      </c>
      <c r="B1454" t="s">
        <v>73</v>
      </c>
      <c r="C1454" t="s">
        <v>4058</v>
      </c>
      <c r="D1454" s="2" t="s">
        <v>22</v>
      </c>
      <c r="E1454">
        <v>2025</v>
      </c>
      <c r="F1454">
        <v>2027</v>
      </c>
      <c r="G1454" s="10">
        <v>11173333.333333334</v>
      </c>
      <c r="H1454">
        <f t="shared" si="88"/>
        <v>11173333.333333334</v>
      </c>
      <c r="I1454" t="str">
        <f t="shared" si="89"/>
        <v/>
      </c>
      <c r="J1454" t="str">
        <f t="shared" si="90"/>
        <v/>
      </c>
      <c r="K1454">
        <v>14363297.109999999</v>
      </c>
      <c r="L1454" t="b">
        <f t="shared" si="91"/>
        <v>0</v>
      </c>
    </row>
    <row r="1455" spans="1:12" ht="16" x14ac:dyDescent="0.2">
      <c r="A1455" t="s">
        <v>5753</v>
      </c>
      <c r="B1455" t="s">
        <v>73</v>
      </c>
      <c r="C1455" t="s">
        <v>4059</v>
      </c>
      <c r="D1455" s="2" t="s">
        <v>22</v>
      </c>
      <c r="E1455">
        <v>2025</v>
      </c>
      <c r="F1455">
        <v>2027</v>
      </c>
      <c r="G1455" s="10">
        <v>10960000</v>
      </c>
      <c r="H1455">
        <f t="shared" si="88"/>
        <v>10960000</v>
      </c>
      <c r="I1455" t="str">
        <f t="shared" si="89"/>
        <v/>
      </c>
      <c r="J1455" t="str">
        <f t="shared" si="90"/>
        <v/>
      </c>
      <c r="K1455">
        <v>13177244.550000001</v>
      </c>
      <c r="L1455" t="b">
        <f t="shared" si="91"/>
        <v>0</v>
      </c>
    </row>
    <row r="1456" spans="1:12" ht="16" x14ac:dyDescent="0.2">
      <c r="A1456" t="s">
        <v>5754</v>
      </c>
      <c r="B1456" t="s">
        <v>73</v>
      </c>
      <c r="C1456" t="s">
        <v>4060</v>
      </c>
      <c r="D1456" s="2" t="s">
        <v>22</v>
      </c>
      <c r="E1456">
        <v>2025</v>
      </c>
      <c r="F1456">
        <v>2026</v>
      </c>
      <c r="G1456" s="10">
        <v>4505000</v>
      </c>
      <c r="H1456" t="str">
        <f t="shared" si="88"/>
        <v/>
      </c>
      <c r="I1456" t="str">
        <f t="shared" si="89"/>
        <v/>
      </c>
      <c r="J1456" t="str">
        <f t="shared" si="90"/>
        <v/>
      </c>
      <c r="K1456">
        <v>1054185.28</v>
      </c>
      <c r="L1456" t="b">
        <f t="shared" si="91"/>
        <v>0</v>
      </c>
    </row>
    <row r="1457" spans="1:12" ht="16" x14ac:dyDescent="0.2">
      <c r="A1457" t="s">
        <v>5755</v>
      </c>
      <c r="B1457" t="s">
        <v>73</v>
      </c>
      <c r="C1457" t="s">
        <v>4061</v>
      </c>
      <c r="D1457" s="2" t="s">
        <v>22</v>
      </c>
      <c r="G1457" s="10" t="s">
        <v>2892</v>
      </c>
      <c r="H1457" t="str">
        <f t="shared" si="88"/>
        <v/>
      </c>
      <c r="I1457" t="str">
        <f t="shared" si="89"/>
        <v/>
      </c>
      <c r="J1457" t="str">
        <f t="shared" si="90"/>
        <v/>
      </c>
      <c r="L1457" t="b">
        <f t="shared" si="91"/>
        <v>1</v>
      </c>
    </row>
    <row r="1458" spans="1:12" ht="16" x14ac:dyDescent="0.2">
      <c r="A1458" t="s">
        <v>5756</v>
      </c>
      <c r="B1458" t="s">
        <v>73</v>
      </c>
      <c r="C1458" t="s">
        <v>4062</v>
      </c>
      <c r="D1458" s="2" t="s">
        <v>22</v>
      </c>
      <c r="E1458">
        <v>2025</v>
      </c>
      <c r="F1458">
        <v>2027</v>
      </c>
      <c r="G1458" s="10">
        <v>3500000</v>
      </c>
      <c r="H1458">
        <f t="shared" si="88"/>
        <v>3500000</v>
      </c>
      <c r="I1458" t="str">
        <f t="shared" si="89"/>
        <v/>
      </c>
      <c r="J1458" t="str">
        <f t="shared" si="90"/>
        <v/>
      </c>
      <c r="K1458">
        <v>2703196.41</v>
      </c>
      <c r="L1458" t="b">
        <f t="shared" si="91"/>
        <v>0</v>
      </c>
    </row>
    <row r="1459" spans="1:12" ht="16" x14ac:dyDescent="0.2">
      <c r="A1459" t="s">
        <v>5757</v>
      </c>
      <c r="B1459" t="s">
        <v>73</v>
      </c>
      <c r="C1459" t="s">
        <v>4063</v>
      </c>
      <c r="D1459" s="2" t="s">
        <v>22</v>
      </c>
      <c r="E1459">
        <v>2025</v>
      </c>
      <c r="F1459">
        <v>2027</v>
      </c>
      <c r="G1459" s="10">
        <v>1426666.6666666667</v>
      </c>
      <c r="H1459">
        <f t="shared" si="88"/>
        <v>1426666.6666666667</v>
      </c>
      <c r="I1459" t="str">
        <f t="shared" si="89"/>
        <v/>
      </c>
      <c r="J1459" t="str">
        <f t="shared" si="90"/>
        <v/>
      </c>
      <c r="K1459">
        <v>795583.87</v>
      </c>
      <c r="L1459" t="b">
        <f t="shared" si="91"/>
        <v>0</v>
      </c>
    </row>
    <row r="1460" spans="1:12" ht="16" x14ac:dyDescent="0.2">
      <c r="A1460" t="s">
        <v>5758</v>
      </c>
      <c r="B1460" t="s">
        <v>73</v>
      </c>
      <c r="C1460" t="s">
        <v>4064</v>
      </c>
      <c r="D1460" s="2" t="s">
        <v>22</v>
      </c>
      <c r="G1460" s="10" t="s">
        <v>2892</v>
      </c>
      <c r="H1460" t="str">
        <f t="shared" si="88"/>
        <v/>
      </c>
      <c r="I1460" t="str">
        <f t="shared" si="89"/>
        <v/>
      </c>
      <c r="J1460" t="str">
        <f t="shared" si="90"/>
        <v/>
      </c>
      <c r="L1460" t="b">
        <f t="shared" si="91"/>
        <v>1</v>
      </c>
    </row>
    <row r="1461" spans="1:12" ht="16" x14ac:dyDescent="0.2">
      <c r="A1461" t="s">
        <v>5759</v>
      </c>
      <c r="B1461" t="s">
        <v>73</v>
      </c>
      <c r="C1461" t="s">
        <v>4065</v>
      </c>
      <c r="D1461" s="2" t="s">
        <v>22</v>
      </c>
      <c r="E1461">
        <v>2025</v>
      </c>
      <c r="F1461">
        <v>2026</v>
      </c>
      <c r="G1461" s="10">
        <v>1480000</v>
      </c>
      <c r="H1461" t="str">
        <f t="shared" si="88"/>
        <v/>
      </c>
      <c r="I1461" t="str">
        <f t="shared" si="89"/>
        <v/>
      </c>
      <c r="J1461" t="str">
        <f t="shared" si="90"/>
        <v/>
      </c>
      <c r="K1461">
        <v>313288.71999999997</v>
      </c>
      <c r="L1461" t="b">
        <f t="shared" si="91"/>
        <v>0</v>
      </c>
    </row>
    <row r="1462" spans="1:12" ht="16" x14ac:dyDescent="0.2">
      <c r="A1462" t="s">
        <v>5760</v>
      </c>
      <c r="B1462" t="s">
        <v>73</v>
      </c>
      <c r="C1462" t="s">
        <v>4066</v>
      </c>
      <c r="D1462" s="2" t="s">
        <v>22</v>
      </c>
      <c r="E1462">
        <v>2025</v>
      </c>
      <c r="F1462">
        <v>2026</v>
      </c>
      <c r="G1462" s="10">
        <v>2220000</v>
      </c>
      <c r="H1462" t="str">
        <f t="shared" si="88"/>
        <v/>
      </c>
      <c r="I1462" t="str">
        <f t="shared" si="89"/>
        <v/>
      </c>
      <c r="J1462" t="str">
        <f t="shared" si="90"/>
        <v/>
      </c>
      <c r="K1462">
        <v>1035553.66</v>
      </c>
      <c r="L1462" t="b">
        <f t="shared" si="91"/>
        <v>0</v>
      </c>
    </row>
    <row r="1463" spans="1:12" ht="16" x14ac:dyDescent="0.2">
      <c r="A1463" t="s">
        <v>5761</v>
      </c>
      <c r="B1463" t="s">
        <v>73</v>
      </c>
      <c r="C1463" t="s">
        <v>4067</v>
      </c>
      <c r="D1463" s="2" t="s">
        <v>22</v>
      </c>
      <c r="E1463">
        <v>2025</v>
      </c>
      <c r="F1463">
        <v>2026</v>
      </c>
      <c r="G1463" s="10">
        <v>5620000</v>
      </c>
      <c r="H1463" t="str">
        <f t="shared" si="88"/>
        <v/>
      </c>
      <c r="I1463" t="str">
        <f t="shared" si="89"/>
        <v/>
      </c>
      <c r="J1463" t="str">
        <f t="shared" si="90"/>
        <v/>
      </c>
      <c r="K1463">
        <v>3572802.99</v>
      </c>
      <c r="L1463" t="b">
        <f t="shared" si="91"/>
        <v>0</v>
      </c>
    </row>
    <row r="1464" spans="1:12" ht="16" x14ac:dyDescent="0.2">
      <c r="A1464" t="s">
        <v>5762</v>
      </c>
      <c r="B1464" t="s">
        <v>73</v>
      </c>
      <c r="C1464" t="s">
        <v>4068</v>
      </c>
      <c r="D1464" s="2" t="s">
        <v>22</v>
      </c>
      <c r="E1464">
        <v>2025</v>
      </c>
      <c r="F1464">
        <v>2026</v>
      </c>
      <c r="G1464" s="10">
        <v>5020000</v>
      </c>
      <c r="H1464" t="str">
        <f t="shared" si="88"/>
        <v/>
      </c>
      <c r="I1464" t="str">
        <f t="shared" si="89"/>
        <v/>
      </c>
      <c r="J1464" t="str">
        <f t="shared" si="90"/>
        <v/>
      </c>
      <c r="K1464">
        <v>3022158</v>
      </c>
      <c r="L1464" t="b">
        <f t="shared" si="91"/>
        <v>0</v>
      </c>
    </row>
    <row r="1465" spans="1:12" ht="16" x14ac:dyDescent="0.2">
      <c r="A1465" t="s">
        <v>5763</v>
      </c>
      <c r="B1465" t="s">
        <v>73</v>
      </c>
      <c r="C1465" t="s">
        <v>4069</v>
      </c>
      <c r="D1465" s="2" t="s">
        <v>22</v>
      </c>
      <c r="E1465">
        <v>2025</v>
      </c>
      <c r="F1465">
        <v>2026</v>
      </c>
      <c r="G1465" s="10">
        <v>10150000</v>
      </c>
      <c r="H1465" t="str">
        <f t="shared" si="88"/>
        <v/>
      </c>
      <c r="I1465" t="str">
        <f t="shared" si="89"/>
        <v/>
      </c>
      <c r="J1465" t="str">
        <f t="shared" si="90"/>
        <v/>
      </c>
      <c r="K1465">
        <v>7530735.3399999999</v>
      </c>
      <c r="L1465" t="b">
        <f t="shared" si="91"/>
        <v>0</v>
      </c>
    </row>
    <row r="1466" spans="1:12" ht="16" x14ac:dyDescent="0.2">
      <c r="A1466" t="s">
        <v>5764</v>
      </c>
      <c r="B1466" t="s">
        <v>73</v>
      </c>
      <c r="C1466" t="s">
        <v>4070</v>
      </c>
      <c r="D1466" s="2" t="s">
        <v>22</v>
      </c>
      <c r="G1466" s="10" t="s">
        <v>2892</v>
      </c>
      <c r="H1466" t="str">
        <f t="shared" si="88"/>
        <v/>
      </c>
      <c r="I1466" t="str">
        <f t="shared" si="89"/>
        <v/>
      </c>
      <c r="J1466" t="str">
        <f t="shared" si="90"/>
        <v/>
      </c>
      <c r="L1466" t="b">
        <f t="shared" si="91"/>
        <v>1</v>
      </c>
    </row>
    <row r="1467" spans="1:12" ht="16" x14ac:dyDescent="0.2">
      <c r="A1467" t="s">
        <v>5765</v>
      </c>
      <c r="B1467" t="s">
        <v>73</v>
      </c>
      <c r="C1467" t="s">
        <v>4071</v>
      </c>
      <c r="D1467" s="2" t="s">
        <v>22</v>
      </c>
      <c r="E1467">
        <v>2025</v>
      </c>
      <c r="F1467">
        <v>2026</v>
      </c>
      <c r="G1467" s="10">
        <v>4400000</v>
      </c>
      <c r="H1467" t="str">
        <f t="shared" si="88"/>
        <v/>
      </c>
      <c r="I1467" t="str">
        <f t="shared" si="89"/>
        <v/>
      </c>
      <c r="J1467" t="str">
        <f t="shared" si="90"/>
        <v/>
      </c>
      <c r="K1467">
        <v>991969.27</v>
      </c>
      <c r="L1467" t="b">
        <f t="shared" si="91"/>
        <v>0</v>
      </c>
    </row>
    <row r="1468" spans="1:12" ht="16" x14ac:dyDescent="0.2">
      <c r="A1468" t="s">
        <v>5766</v>
      </c>
      <c r="B1468" t="s">
        <v>73</v>
      </c>
      <c r="C1468" t="s">
        <v>4072</v>
      </c>
      <c r="D1468" s="2" t="s">
        <v>22</v>
      </c>
      <c r="G1468" s="10" t="s">
        <v>2892</v>
      </c>
      <c r="H1468" t="str">
        <f t="shared" si="88"/>
        <v/>
      </c>
      <c r="I1468" t="str">
        <f t="shared" si="89"/>
        <v/>
      </c>
      <c r="J1468" t="str">
        <f t="shared" si="90"/>
        <v/>
      </c>
      <c r="L1468" t="b">
        <f t="shared" si="91"/>
        <v>1</v>
      </c>
    </row>
    <row r="1469" spans="1:12" ht="16" x14ac:dyDescent="0.2">
      <c r="A1469" t="s">
        <v>5767</v>
      </c>
      <c r="B1469" t="s">
        <v>73</v>
      </c>
      <c r="C1469" t="s">
        <v>4073</v>
      </c>
      <c r="D1469" s="2" t="s">
        <v>22</v>
      </c>
      <c r="E1469">
        <v>2025</v>
      </c>
      <c r="F1469">
        <v>2026</v>
      </c>
      <c r="G1469" s="10">
        <v>8620000</v>
      </c>
      <c r="H1469" t="str">
        <f t="shared" si="88"/>
        <v/>
      </c>
      <c r="I1469" t="str">
        <f t="shared" si="89"/>
        <v/>
      </c>
      <c r="J1469" t="str">
        <f t="shared" si="90"/>
        <v/>
      </c>
      <c r="K1469">
        <v>5089675.66</v>
      </c>
      <c r="L1469" t="b">
        <f t="shared" si="91"/>
        <v>0</v>
      </c>
    </row>
    <row r="1470" spans="1:12" ht="16" x14ac:dyDescent="0.2">
      <c r="A1470" t="s">
        <v>5768</v>
      </c>
      <c r="B1470" t="s">
        <v>73</v>
      </c>
      <c r="C1470" t="s">
        <v>4074</v>
      </c>
      <c r="D1470" s="2" t="s">
        <v>22</v>
      </c>
      <c r="E1470">
        <v>2025</v>
      </c>
      <c r="F1470">
        <v>2026</v>
      </c>
      <c r="G1470" s="10">
        <v>3890000</v>
      </c>
      <c r="H1470" t="str">
        <f t="shared" si="88"/>
        <v/>
      </c>
      <c r="I1470" t="str">
        <f t="shared" si="89"/>
        <v/>
      </c>
      <c r="J1470" t="str">
        <f t="shared" si="90"/>
        <v/>
      </c>
      <c r="K1470">
        <v>1098412.68</v>
      </c>
      <c r="L1470" t="b">
        <f t="shared" si="91"/>
        <v>0</v>
      </c>
    </row>
    <row r="1471" spans="1:12" ht="16" x14ac:dyDescent="0.2">
      <c r="A1471" t="s">
        <v>5769</v>
      </c>
      <c r="B1471" t="s">
        <v>73</v>
      </c>
      <c r="C1471" t="s">
        <v>4075</v>
      </c>
      <c r="D1471" s="2" t="s">
        <v>22</v>
      </c>
      <c r="E1471">
        <v>2025</v>
      </c>
      <c r="F1471">
        <v>2027</v>
      </c>
      <c r="G1471" s="10">
        <v>4770000</v>
      </c>
      <c r="H1471">
        <f t="shared" si="88"/>
        <v>4770000</v>
      </c>
      <c r="I1471" t="str">
        <f t="shared" si="89"/>
        <v/>
      </c>
      <c r="J1471" t="str">
        <f t="shared" si="90"/>
        <v/>
      </c>
      <c r="K1471">
        <v>1933803.3</v>
      </c>
      <c r="L1471" t="b">
        <f t="shared" si="91"/>
        <v>0</v>
      </c>
    </row>
    <row r="1472" spans="1:12" ht="16" x14ac:dyDescent="0.2">
      <c r="A1472" t="s">
        <v>5770</v>
      </c>
      <c r="B1472" t="s">
        <v>73</v>
      </c>
      <c r="C1472" t="s">
        <v>4076</v>
      </c>
      <c r="D1472" s="2" t="s">
        <v>25</v>
      </c>
      <c r="E1472">
        <v>2025</v>
      </c>
      <c r="F1472">
        <v>2028</v>
      </c>
      <c r="G1472" s="10">
        <v>19000000</v>
      </c>
      <c r="H1472">
        <f t="shared" si="88"/>
        <v>19000000</v>
      </c>
      <c r="I1472">
        <f t="shared" si="89"/>
        <v>19000000</v>
      </c>
      <c r="J1472" t="str">
        <f t="shared" si="90"/>
        <v/>
      </c>
      <c r="K1472">
        <v>21343354.690000001</v>
      </c>
      <c r="L1472" t="b">
        <f t="shared" si="91"/>
        <v>0</v>
      </c>
    </row>
    <row r="1473" spans="1:12" ht="16" x14ac:dyDescent="0.2">
      <c r="A1473" t="s">
        <v>5771</v>
      </c>
      <c r="B1473" t="s">
        <v>73</v>
      </c>
      <c r="C1473" t="s">
        <v>4077</v>
      </c>
      <c r="D1473" s="2" t="s">
        <v>25</v>
      </c>
      <c r="G1473" s="10" t="s">
        <v>2892</v>
      </c>
      <c r="H1473" t="str">
        <f t="shared" si="88"/>
        <v/>
      </c>
      <c r="I1473" t="str">
        <f t="shared" si="89"/>
        <v/>
      </c>
      <c r="J1473" t="str">
        <f t="shared" si="90"/>
        <v/>
      </c>
      <c r="L1473" t="b">
        <f t="shared" si="91"/>
        <v>1</v>
      </c>
    </row>
    <row r="1474" spans="1:12" ht="16" x14ac:dyDescent="0.2">
      <c r="A1474" t="s">
        <v>5772</v>
      </c>
      <c r="B1474" t="s">
        <v>73</v>
      </c>
      <c r="C1474" t="s">
        <v>4078</v>
      </c>
      <c r="D1474" s="2" t="s">
        <v>25</v>
      </c>
      <c r="E1474">
        <v>2025</v>
      </c>
      <c r="F1474">
        <v>2026</v>
      </c>
      <c r="G1474" s="10">
        <v>5615000</v>
      </c>
      <c r="H1474" t="str">
        <f t="shared" si="88"/>
        <v/>
      </c>
      <c r="I1474" t="str">
        <f t="shared" si="89"/>
        <v/>
      </c>
      <c r="J1474" t="str">
        <f t="shared" si="90"/>
        <v/>
      </c>
      <c r="K1474">
        <v>2866029.85</v>
      </c>
      <c r="L1474" t="b">
        <f t="shared" si="91"/>
        <v>0</v>
      </c>
    </row>
    <row r="1475" spans="1:12" ht="16" x14ac:dyDescent="0.2">
      <c r="A1475" t="s">
        <v>5773</v>
      </c>
      <c r="B1475" t="s">
        <v>73</v>
      </c>
      <c r="C1475" t="s">
        <v>4079</v>
      </c>
      <c r="D1475" s="2" t="s">
        <v>25</v>
      </c>
      <c r="E1475">
        <v>2025</v>
      </c>
      <c r="F1475">
        <v>2026</v>
      </c>
      <c r="G1475" s="10">
        <v>5595000</v>
      </c>
      <c r="H1475" t="str">
        <f t="shared" si="88"/>
        <v/>
      </c>
      <c r="I1475" t="str">
        <f t="shared" si="89"/>
        <v/>
      </c>
      <c r="J1475" t="str">
        <f t="shared" si="90"/>
        <v/>
      </c>
      <c r="K1475">
        <v>2363398.88</v>
      </c>
      <c r="L1475" t="b">
        <f t="shared" si="91"/>
        <v>0</v>
      </c>
    </row>
    <row r="1476" spans="1:12" ht="16" x14ac:dyDescent="0.2">
      <c r="A1476" t="s">
        <v>5774</v>
      </c>
      <c r="B1476" t="s">
        <v>73</v>
      </c>
      <c r="C1476" t="s">
        <v>4080</v>
      </c>
      <c r="D1476" s="2" t="s">
        <v>25</v>
      </c>
      <c r="G1476" s="10" t="s">
        <v>2892</v>
      </c>
      <c r="H1476" t="str">
        <f t="shared" ref="H1476:H1539" si="92">IF(F1476&gt;=2027,G1476,"")</f>
        <v/>
      </c>
      <c r="I1476" t="str">
        <f t="shared" ref="I1476:I1539" si="93">IF(F1476&gt;=2028,G1476,"")</f>
        <v/>
      </c>
      <c r="J1476" t="str">
        <f t="shared" ref="J1476:J1539" si="94">IF(F1476&gt;=2029,G1476,"")</f>
        <v/>
      </c>
      <c r="L1476" t="b">
        <f t="shared" si="91"/>
        <v>1</v>
      </c>
    </row>
    <row r="1477" spans="1:12" ht="16" x14ac:dyDescent="0.2">
      <c r="A1477" t="s">
        <v>5775</v>
      </c>
      <c r="B1477" t="s">
        <v>73</v>
      </c>
      <c r="C1477" t="s">
        <v>4081</v>
      </c>
      <c r="D1477" s="2" t="s">
        <v>25</v>
      </c>
      <c r="E1477">
        <v>2026</v>
      </c>
      <c r="F1477">
        <v>2028</v>
      </c>
      <c r="G1477" s="10">
        <v>8154999.9999999991</v>
      </c>
      <c r="H1477">
        <f t="shared" si="92"/>
        <v>8154999.9999999991</v>
      </c>
      <c r="I1477">
        <f t="shared" si="93"/>
        <v>8154999.9999999991</v>
      </c>
      <c r="J1477" t="str">
        <f t="shared" si="94"/>
        <v/>
      </c>
      <c r="K1477">
        <v>6622123.3300000001</v>
      </c>
      <c r="L1477" t="b">
        <f t="shared" si="91"/>
        <v>0</v>
      </c>
    </row>
    <row r="1478" spans="1:12" ht="16" x14ac:dyDescent="0.2">
      <c r="A1478" t="s">
        <v>5776</v>
      </c>
      <c r="B1478" t="s">
        <v>73</v>
      </c>
      <c r="C1478" t="s">
        <v>4082</v>
      </c>
      <c r="D1478" s="2" t="s">
        <v>25</v>
      </c>
      <c r="E1478">
        <v>2025</v>
      </c>
      <c r="F1478">
        <v>2026</v>
      </c>
      <c r="G1478" s="10">
        <v>6500000</v>
      </c>
      <c r="H1478" t="str">
        <f t="shared" si="92"/>
        <v/>
      </c>
      <c r="I1478" t="str">
        <f t="shared" si="93"/>
        <v/>
      </c>
      <c r="J1478" t="str">
        <f t="shared" si="94"/>
        <v/>
      </c>
      <c r="K1478">
        <v>4384558.4800000004</v>
      </c>
      <c r="L1478" t="b">
        <f t="shared" si="91"/>
        <v>0</v>
      </c>
    </row>
    <row r="1479" spans="1:12" ht="16" x14ac:dyDescent="0.2">
      <c r="A1479" t="s">
        <v>5777</v>
      </c>
      <c r="B1479" t="s">
        <v>73</v>
      </c>
      <c r="C1479" t="s">
        <v>4083</v>
      </c>
      <c r="D1479" s="2" t="s">
        <v>25</v>
      </c>
      <c r="G1479" s="10" t="s">
        <v>2892</v>
      </c>
      <c r="H1479" t="str">
        <f t="shared" si="92"/>
        <v/>
      </c>
      <c r="I1479" t="str">
        <f t="shared" si="93"/>
        <v/>
      </c>
      <c r="J1479" t="str">
        <f t="shared" si="94"/>
        <v/>
      </c>
      <c r="L1479" t="b">
        <f t="shared" si="91"/>
        <v>1</v>
      </c>
    </row>
    <row r="1480" spans="1:12" ht="16" x14ac:dyDescent="0.2">
      <c r="A1480" t="s">
        <v>5778</v>
      </c>
      <c r="B1480" t="s">
        <v>73</v>
      </c>
      <c r="C1480" t="s">
        <v>4084</v>
      </c>
      <c r="D1480" s="2" t="s">
        <v>25</v>
      </c>
      <c r="E1480">
        <v>2025</v>
      </c>
      <c r="F1480">
        <v>2026</v>
      </c>
      <c r="G1480" s="10">
        <v>3245000</v>
      </c>
      <c r="H1480" t="str">
        <f t="shared" si="92"/>
        <v/>
      </c>
      <c r="I1480" t="str">
        <f t="shared" si="93"/>
        <v/>
      </c>
      <c r="J1480" t="str">
        <f t="shared" si="94"/>
        <v/>
      </c>
      <c r="K1480">
        <v>1806848.19</v>
      </c>
      <c r="L1480" t="b">
        <f t="shared" si="91"/>
        <v>0</v>
      </c>
    </row>
    <row r="1481" spans="1:12" ht="16" x14ac:dyDescent="0.2">
      <c r="A1481" t="s">
        <v>5779</v>
      </c>
      <c r="B1481" t="s">
        <v>73</v>
      </c>
      <c r="C1481" t="s">
        <v>4085</v>
      </c>
      <c r="D1481" s="2" t="s">
        <v>25</v>
      </c>
      <c r="E1481">
        <v>2025</v>
      </c>
      <c r="F1481">
        <v>2026</v>
      </c>
      <c r="G1481" s="10">
        <v>2040000</v>
      </c>
      <c r="H1481" t="str">
        <f t="shared" si="92"/>
        <v/>
      </c>
      <c r="I1481" t="str">
        <f t="shared" si="93"/>
        <v/>
      </c>
      <c r="J1481" t="str">
        <f t="shared" si="94"/>
        <v/>
      </c>
      <c r="K1481">
        <v>47800.65</v>
      </c>
      <c r="L1481" t="b">
        <f t="shared" si="91"/>
        <v>0</v>
      </c>
    </row>
    <row r="1482" spans="1:12" ht="16" x14ac:dyDescent="0.2">
      <c r="A1482" t="s">
        <v>5780</v>
      </c>
      <c r="B1482" t="s">
        <v>73</v>
      </c>
      <c r="C1482" t="s">
        <v>4086</v>
      </c>
      <c r="D1482" s="2" t="s">
        <v>25</v>
      </c>
      <c r="E1482">
        <v>2025</v>
      </c>
      <c r="F1482">
        <v>2027</v>
      </c>
      <c r="G1482" s="10">
        <v>19510000</v>
      </c>
      <c r="H1482">
        <f t="shared" si="92"/>
        <v>19510000</v>
      </c>
      <c r="I1482" t="str">
        <f t="shared" si="93"/>
        <v/>
      </c>
      <c r="J1482" t="str">
        <f t="shared" si="94"/>
        <v/>
      </c>
      <c r="K1482">
        <v>32041458.93</v>
      </c>
      <c r="L1482" t="b">
        <f t="shared" si="91"/>
        <v>0</v>
      </c>
    </row>
    <row r="1483" spans="1:12" ht="16" x14ac:dyDescent="0.2">
      <c r="A1483" t="s">
        <v>5781</v>
      </c>
      <c r="B1483" t="s">
        <v>73</v>
      </c>
      <c r="C1483" t="s">
        <v>4087</v>
      </c>
      <c r="D1483" s="2" t="s">
        <v>25</v>
      </c>
      <c r="E1483">
        <v>2025</v>
      </c>
      <c r="F1483">
        <v>2026</v>
      </c>
      <c r="G1483" s="10">
        <v>4790000</v>
      </c>
      <c r="H1483" t="str">
        <f t="shared" si="92"/>
        <v/>
      </c>
      <c r="I1483" t="str">
        <f t="shared" si="93"/>
        <v/>
      </c>
      <c r="J1483" t="str">
        <f t="shared" si="94"/>
        <v/>
      </c>
      <c r="K1483">
        <v>1614306.53</v>
      </c>
      <c r="L1483" t="b">
        <f t="shared" si="91"/>
        <v>0</v>
      </c>
    </row>
    <row r="1484" spans="1:12" ht="16" x14ac:dyDescent="0.2">
      <c r="A1484" t="s">
        <v>5782</v>
      </c>
      <c r="B1484" t="s">
        <v>73</v>
      </c>
      <c r="C1484" t="s">
        <v>4088</v>
      </c>
      <c r="D1484" s="2" t="s">
        <v>25</v>
      </c>
      <c r="E1484">
        <v>2025</v>
      </c>
      <c r="F1484">
        <v>2026</v>
      </c>
      <c r="G1484" s="10">
        <v>5040000</v>
      </c>
      <c r="H1484" t="str">
        <f t="shared" si="92"/>
        <v/>
      </c>
      <c r="I1484" t="str">
        <f t="shared" si="93"/>
        <v/>
      </c>
      <c r="J1484" t="str">
        <f t="shared" si="94"/>
        <v/>
      </c>
      <c r="K1484">
        <v>1697780</v>
      </c>
      <c r="L1484" t="b">
        <f t="shared" si="91"/>
        <v>0</v>
      </c>
    </row>
    <row r="1485" spans="1:12" ht="16" x14ac:dyDescent="0.2">
      <c r="A1485" t="s">
        <v>5783</v>
      </c>
      <c r="B1485" t="s">
        <v>73</v>
      </c>
      <c r="C1485" t="s">
        <v>4089</v>
      </c>
      <c r="D1485" s="2" t="s">
        <v>25</v>
      </c>
      <c r="E1485">
        <v>2025</v>
      </c>
      <c r="F1485">
        <v>2027</v>
      </c>
      <c r="G1485" s="10">
        <v>5240000</v>
      </c>
      <c r="H1485">
        <f t="shared" si="92"/>
        <v>5240000</v>
      </c>
      <c r="I1485" t="str">
        <f t="shared" si="93"/>
        <v/>
      </c>
      <c r="J1485" t="str">
        <f t="shared" si="94"/>
        <v/>
      </c>
      <c r="K1485">
        <v>3352763.51</v>
      </c>
      <c r="L1485" t="b">
        <f t="shared" si="91"/>
        <v>0</v>
      </c>
    </row>
    <row r="1486" spans="1:12" ht="16" x14ac:dyDescent="0.2">
      <c r="A1486" t="s">
        <v>5784</v>
      </c>
      <c r="B1486" t="s">
        <v>73</v>
      </c>
      <c r="C1486" t="s">
        <v>4090</v>
      </c>
      <c r="D1486" s="2" t="s">
        <v>25</v>
      </c>
      <c r="E1486">
        <v>2025</v>
      </c>
      <c r="F1486">
        <v>2026</v>
      </c>
      <c r="G1486" s="10">
        <v>2630000</v>
      </c>
      <c r="H1486" t="str">
        <f t="shared" si="92"/>
        <v/>
      </c>
      <c r="I1486" t="str">
        <f t="shared" si="93"/>
        <v/>
      </c>
      <c r="J1486" t="str">
        <f t="shared" si="94"/>
        <v/>
      </c>
      <c r="K1486">
        <v>478368.75</v>
      </c>
      <c r="L1486" t="b">
        <f t="shared" si="91"/>
        <v>0</v>
      </c>
    </row>
    <row r="1487" spans="1:12" ht="16" x14ac:dyDescent="0.2">
      <c r="A1487" t="s">
        <v>5785</v>
      </c>
      <c r="B1487" t="s">
        <v>73</v>
      </c>
      <c r="C1487" t="s">
        <v>4091</v>
      </c>
      <c r="D1487" s="2" t="s">
        <v>25</v>
      </c>
      <c r="G1487" s="10" t="s">
        <v>2892</v>
      </c>
      <c r="H1487" t="str">
        <f t="shared" si="92"/>
        <v/>
      </c>
      <c r="I1487" t="str">
        <f t="shared" si="93"/>
        <v/>
      </c>
      <c r="J1487" t="str">
        <f t="shared" si="94"/>
        <v/>
      </c>
      <c r="L1487" t="b">
        <f t="shared" si="91"/>
        <v>1</v>
      </c>
    </row>
    <row r="1488" spans="1:12" ht="16" x14ac:dyDescent="0.2">
      <c r="A1488" t="s">
        <v>5786</v>
      </c>
      <c r="B1488" t="s">
        <v>73</v>
      </c>
      <c r="C1488" t="s">
        <v>4092</v>
      </c>
      <c r="D1488" s="2" t="s">
        <v>25</v>
      </c>
      <c r="E1488">
        <v>2025</v>
      </c>
      <c r="F1488">
        <v>2027</v>
      </c>
      <c r="G1488" s="10">
        <v>8126666.666666667</v>
      </c>
      <c r="H1488">
        <f t="shared" si="92"/>
        <v>8126666.666666667</v>
      </c>
      <c r="I1488" t="str">
        <f t="shared" si="93"/>
        <v/>
      </c>
      <c r="J1488" t="str">
        <f t="shared" si="94"/>
        <v/>
      </c>
      <c r="K1488">
        <v>8613743.5899999999</v>
      </c>
      <c r="L1488" t="b">
        <f t="shared" si="91"/>
        <v>0</v>
      </c>
    </row>
    <row r="1489" spans="1:12" ht="16" x14ac:dyDescent="0.2">
      <c r="A1489" t="s">
        <v>5787</v>
      </c>
      <c r="B1489" t="s">
        <v>73</v>
      </c>
      <c r="C1489" t="s">
        <v>4093</v>
      </c>
      <c r="D1489" s="2" t="s">
        <v>25</v>
      </c>
      <c r="G1489" s="10" t="s">
        <v>2892</v>
      </c>
      <c r="H1489" t="str">
        <f t="shared" si="92"/>
        <v/>
      </c>
      <c r="I1489" t="str">
        <f t="shared" si="93"/>
        <v/>
      </c>
      <c r="J1489" t="str">
        <f t="shared" si="94"/>
        <v/>
      </c>
      <c r="L1489" t="b">
        <f t="shared" si="91"/>
        <v>1</v>
      </c>
    </row>
    <row r="1490" spans="1:12" ht="16" x14ac:dyDescent="0.2">
      <c r="A1490" t="s">
        <v>5788</v>
      </c>
      <c r="B1490" t="s">
        <v>73</v>
      </c>
      <c r="C1490" t="s">
        <v>4094</v>
      </c>
      <c r="D1490" s="2" t="s">
        <v>25</v>
      </c>
      <c r="E1490">
        <v>2025</v>
      </c>
      <c r="F1490">
        <v>2026</v>
      </c>
      <c r="G1490" s="10">
        <v>5145000</v>
      </c>
      <c r="H1490" t="str">
        <f t="shared" si="92"/>
        <v/>
      </c>
      <c r="I1490" t="str">
        <f t="shared" si="93"/>
        <v/>
      </c>
      <c r="J1490" t="str">
        <f t="shared" si="94"/>
        <v/>
      </c>
      <c r="K1490">
        <v>3072634.73</v>
      </c>
      <c r="L1490" t="b">
        <f t="shared" si="91"/>
        <v>0</v>
      </c>
    </row>
    <row r="1491" spans="1:12" ht="16" x14ac:dyDescent="0.2">
      <c r="A1491" t="s">
        <v>5789</v>
      </c>
      <c r="B1491" t="s">
        <v>73</v>
      </c>
      <c r="C1491" t="s">
        <v>4095</v>
      </c>
      <c r="D1491" s="2" t="s">
        <v>25</v>
      </c>
      <c r="G1491" s="10" t="s">
        <v>2892</v>
      </c>
      <c r="H1491" t="str">
        <f t="shared" si="92"/>
        <v/>
      </c>
      <c r="I1491" t="str">
        <f t="shared" si="93"/>
        <v/>
      </c>
      <c r="J1491" t="str">
        <f t="shared" si="94"/>
        <v/>
      </c>
      <c r="L1491" t="b">
        <f t="shared" si="91"/>
        <v>1</v>
      </c>
    </row>
    <row r="1492" spans="1:12" ht="16" x14ac:dyDescent="0.2">
      <c r="A1492" t="s">
        <v>5790</v>
      </c>
      <c r="B1492" t="s">
        <v>73</v>
      </c>
      <c r="C1492" t="s">
        <v>4096</v>
      </c>
      <c r="D1492" s="2" t="s">
        <v>25</v>
      </c>
      <c r="E1492">
        <v>2025</v>
      </c>
      <c r="F1492">
        <v>2028</v>
      </c>
      <c r="G1492" s="10">
        <v>11062500</v>
      </c>
      <c r="H1492">
        <f t="shared" si="92"/>
        <v>11062500</v>
      </c>
      <c r="I1492">
        <f t="shared" si="93"/>
        <v>11062500</v>
      </c>
      <c r="J1492" t="str">
        <f t="shared" si="94"/>
        <v/>
      </c>
      <c r="K1492">
        <v>16382619.52</v>
      </c>
      <c r="L1492" t="b">
        <f t="shared" si="91"/>
        <v>0</v>
      </c>
    </row>
    <row r="1493" spans="1:12" ht="16" x14ac:dyDescent="0.2">
      <c r="A1493" t="s">
        <v>5791</v>
      </c>
      <c r="B1493" t="s">
        <v>73</v>
      </c>
      <c r="C1493" t="s">
        <v>4097</v>
      </c>
      <c r="D1493" s="2" t="s">
        <v>25</v>
      </c>
      <c r="E1493">
        <v>2025</v>
      </c>
      <c r="F1493">
        <v>2027</v>
      </c>
      <c r="G1493" s="10">
        <v>9666666.666666666</v>
      </c>
      <c r="H1493">
        <f t="shared" si="92"/>
        <v>9666666.666666666</v>
      </c>
      <c r="I1493" t="str">
        <f t="shared" si="93"/>
        <v/>
      </c>
      <c r="J1493" t="str">
        <f t="shared" si="94"/>
        <v/>
      </c>
      <c r="K1493">
        <v>7559315.0300000003</v>
      </c>
      <c r="L1493" t="b">
        <f t="shared" si="91"/>
        <v>0</v>
      </c>
    </row>
    <row r="1494" spans="1:12" ht="16" x14ac:dyDescent="0.2">
      <c r="A1494" t="s">
        <v>5792</v>
      </c>
      <c r="B1494" t="s">
        <v>73</v>
      </c>
      <c r="C1494" t="s">
        <v>4098</v>
      </c>
      <c r="D1494" s="2" t="s">
        <v>25</v>
      </c>
      <c r="G1494" s="10" t="s">
        <v>2892</v>
      </c>
      <c r="H1494" t="str">
        <f t="shared" si="92"/>
        <v/>
      </c>
      <c r="I1494" t="str">
        <f t="shared" si="93"/>
        <v/>
      </c>
      <c r="J1494" t="str">
        <f t="shared" si="94"/>
        <v/>
      </c>
      <c r="L1494" t="b">
        <f t="shared" si="91"/>
        <v>1</v>
      </c>
    </row>
    <row r="1495" spans="1:12" ht="16" x14ac:dyDescent="0.2">
      <c r="A1495" t="s">
        <v>5793</v>
      </c>
      <c r="B1495" t="s">
        <v>73</v>
      </c>
      <c r="C1495" t="s">
        <v>4099</v>
      </c>
      <c r="D1495" s="2" t="s">
        <v>25</v>
      </c>
      <c r="E1495">
        <v>2025</v>
      </c>
      <c r="F1495">
        <v>2026</v>
      </c>
      <c r="G1495" s="10">
        <v>1620000</v>
      </c>
      <c r="H1495" t="str">
        <f t="shared" si="92"/>
        <v/>
      </c>
      <c r="I1495" t="str">
        <f t="shared" si="93"/>
        <v/>
      </c>
      <c r="J1495" t="str">
        <f t="shared" si="94"/>
        <v/>
      </c>
      <c r="K1495">
        <v>303077.03000000003</v>
      </c>
      <c r="L1495" t="b">
        <f t="shared" si="91"/>
        <v>0</v>
      </c>
    </row>
    <row r="1496" spans="1:12" ht="16" x14ac:dyDescent="0.2">
      <c r="A1496" t="s">
        <v>5794</v>
      </c>
      <c r="B1496" t="s">
        <v>73</v>
      </c>
      <c r="C1496" t="s">
        <v>4100</v>
      </c>
      <c r="D1496" s="2" t="s">
        <v>25</v>
      </c>
      <c r="E1496">
        <v>2025</v>
      </c>
      <c r="F1496">
        <v>2027</v>
      </c>
      <c r="G1496" s="10">
        <v>5030000</v>
      </c>
      <c r="H1496">
        <f t="shared" si="92"/>
        <v>5030000</v>
      </c>
      <c r="I1496" t="str">
        <f t="shared" si="93"/>
        <v/>
      </c>
      <c r="J1496" t="str">
        <f t="shared" si="94"/>
        <v/>
      </c>
      <c r="K1496">
        <v>2926383.46</v>
      </c>
      <c r="L1496" t="b">
        <f t="shared" si="91"/>
        <v>0</v>
      </c>
    </row>
    <row r="1497" spans="1:12" ht="16" x14ac:dyDescent="0.2">
      <c r="A1497" t="s">
        <v>5795</v>
      </c>
      <c r="B1497" t="s">
        <v>73</v>
      </c>
      <c r="C1497" t="s">
        <v>4101</v>
      </c>
      <c r="D1497" s="2" t="s">
        <v>25</v>
      </c>
      <c r="E1497">
        <v>2025</v>
      </c>
      <c r="F1497">
        <v>2026</v>
      </c>
      <c r="G1497" s="10">
        <v>10550000</v>
      </c>
      <c r="H1497" t="str">
        <f t="shared" si="92"/>
        <v/>
      </c>
      <c r="I1497" t="str">
        <f t="shared" si="93"/>
        <v/>
      </c>
      <c r="J1497" t="str">
        <f t="shared" si="94"/>
        <v/>
      </c>
      <c r="K1497">
        <v>9118609.0500000007</v>
      </c>
      <c r="L1497" t="b">
        <f t="shared" si="91"/>
        <v>0</v>
      </c>
    </row>
    <row r="1498" spans="1:12" ht="16" x14ac:dyDescent="0.2">
      <c r="A1498" t="s">
        <v>5796</v>
      </c>
      <c r="B1498" t="s">
        <v>73</v>
      </c>
      <c r="C1498" t="s">
        <v>4102</v>
      </c>
      <c r="D1498" s="2" t="s">
        <v>25</v>
      </c>
      <c r="G1498" s="10" t="s">
        <v>2892</v>
      </c>
      <c r="H1498" t="str">
        <f t="shared" si="92"/>
        <v/>
      </c>
      <c r="I1498" t="str">
        <f t="shared" si="93"/>
        <v/>
      </c>
      <c r="J1498" t="str">
        <f t="shared" si="94"/>
        <v/>
      </c>
      <c r="L1498" t="b">
        <f t="shared" si="91"/>
        <v>1</v>
      </c>
    </row>
    <row r="1499" spans="1:12" ht="16" x14ac:dyDescent="0.2">
      <c r="A1499" t="s">
        <v>5797</v>
      </c>
      <c r="B1499" t="s">
        <v>73</v>
      </c>
      <c r="C1499" t="s">
        <v>4103</v>
      </c>
      <c r="D1499" s="2" t="s">
        <v>25</v>
      </c>
      <c r="E1499">
        <v>2025</v>
      </c>
      <c r="F1499">
        <v>2028</v>
      </c>
      <c r="G1499" s="10">
        <v>4992500</v>
      </c>
      <c r="H1499">
        <f t="shared" si="92"/>
        <v>4992500</v>
      </c>
      <c r="I1499">
        <f t="shared" si="93"/>
        <v>4992500</v>
      </c>
      <c r="J1499" t="str">
        <f t="shared" si="94"/>
        <v/>
      </c>
      <c r="K1499">
        <v>3605539.77</v>
      </c>
      <c r="L1499" t="b">
        <f t="shared" si="91"/>
        <v>0</v>
      </c>
    </row>
    <row r="1500" spans="1:12" ht="16" x14ac:dyDescent="0.2">
      <c r="A1500" t="s">
        <v>5798</v>
      </c>
      <c r="B1500" t="s">
        <v>73</v>
      </c>
      <c r="C1500" t="s">
        <v>4104</v>
      </c>
      <c r="D1500" s="2" t="s">
        <v>25</v>
      </c>
      <c r="G1500" s="10" t="s">
        <v>2892</v>
      </c>
      <c r="H1500" t="str">
        <f t="shared" si="92"/>
        <v/>
      </c>
      <c r="I1500" t="str">
        <f t="shared" si="93"/>
        <v/>
      </c>
      <c r="J1500" t="str">
        <f t="shared" si="94"/>
        <v/>
      </c>
      <c r="L1500" t="b">
        <f t="shared" si="91"/>
        <v>1</v>
      </c>
    </row>
    <row r="1501" spans="1:12" ht="16" x14ac:dyDescent="0.2">
      <c r="A1501" t="s">
        <v>5799</v>
      </c>
      <c r="B1501" t="s">
        <v>73</v>
      </c>
      <c r="C1501" t="s">
        <v>4105</v>
      </c>
      <c r="D1501" s="2" t="s">
        <v>25</v>
      </c>
      <c r="E1501">
        <v>2025</v>
      </c>
      <c r="F1501">
        <v>2028</v>
      </c>
      <c r="G1501" s="10">
        <v>9407500</v>
      </c>
      <c r="H1501">
        <f t="shared" si="92"/>
        <v>9407500</v>
      </c>
      <c r="I1501">
        <f t="shared" si="93"/>
        <v>9407500</v>
      </c>
      <c r="J1501" t="str">
        <f t="shared" si="94"/>
        <v/>
      </c>
      <c r="K1501">
        <v>16070990.970000001</v>
      </c>
      <c r="L1501" t="b">
        <f t="shared" si="91"/>
        <v>0</v>
      </c>
    </row>
    <row r="1502" spans="1:12" ht="16" x14ac:dyDescent="0.2">
      <c r="A1502" t="s">
        <v>5800</v>
      </c>
      <c r="B1502" t="s">
        <v>73</v>
      </c>
      <c r="C1502" t="s">
        <v>4106</v>
      </c>
      <c r="D1502" s="2" t="s">
        <v>25</v>
      </c>
      <c r="E1502">
        <v>2025</v>
      </c>
      <c r="F1502">
        <v>2026</v>
      </c>
      <c r="G1502" s="10">
        <v>5175000</v>
      </c>
      <c r="H1502" t="str">
        <f t="shared" si="92"/>
        <v/>
      </c>
      <c r="I1502" t="str">
        <f t="shared" si="93"/>
        <v/>
      </c>
      <c r="J1502" t="str">
        <f t="shared" si="94"/>
        <v/>
      </c>
      <c r="K1502">
        <v>2018258.19</v>
      </c>
      <c r="L1502" t="b">
        <f t="shared" si="91"/>
        <v>0</v>
      </c>
    </row>
    <row r="1503" spans="1:12" ht="16" x14ac:dyDescent="0.2">
      <c r="A1503" t="s">
        <v>5801</v>
      </c>
      <c r="B1503" t="s">
        <v>73</v>
      </c>
      <c r="C1503" t="s">
        <v>4107</v>
      </c>
      <c r="D1503" s="2" t="s">
        <v>25</v>
      </c>
      <c r="E1503">
        <v>2025</v>
      </c>
      <c r="F1503">
        <v>2026</v>
      </c>
      <c r="G1503" s="10">
        <v>4450000</v>
      </c>
      <c r="H1503" t="str">
        <f t="shared" si="92"/>
        <v/>
      </c>
      <c r="I1503" t="str">
        <f t="shared" si="93"/>
        <v/>
      </c>
      <c r="J1503" t="str">
        <f t="shared" si="94"/>
        <v/>
      </c>
      <c r="K1503">
        <v>2048891.03</v>
      </c>
      <c r="L1503" t="b">
        <f t="shared" si="91"/>
        <v>0</v>
      </c>
    </row>
    <row r="1504" spans="1:12" ht="16" x14ac:dyDescent="0.2">
      <c r="A1504" t="s">
        <v>5802</v>
      </c>
      <c r="B1504" t="s">
        <v>73</v>
      </c>
      <c r="C1504" t="s">
        <v>4108</v>
      </c>
      <c r="D1504" s="2" t="s">
        <v>25</v>
      </c>
      <c r="G1504" s="10" t="s">
        <v>2892</v>
      </c>
      <c r="H1504" t="str">
        <f t="shared" si="92"/>
        <v/>
      </c>
      <c r="I1504" t="str">
        <f t="shared" si="93"/>
        <v/>
      </c>
      <c r="J1504" t="str">
        <f t="shared" si="94"/>
        <v/>
      </c>
      <c r="L1504" t="b">
        <f t="shared" si="91"/>
        <v>1</v>
      </c>
    </row>
    <row r="1505" spans="1:12" ht="16" x14ac:dyDescent="0.2">
      <c r="A1505" t="s">
        <v>5803</v>
      </c>
      <c r="B1505" t="s">
        <v>73</v>
      </c>
      <c r="C1505" t="s">
        <v>4109</v>
      </c>
      <c r="D1505" s="2" t="s">
        <v>25</v>
      </c>
      <c r="G1505" s="10" t="s">
        <v>2892</v>
      </c>
      <c r="H1505" t="str">
        <f t="shared" si="92"/>
        <v/>
      </c>
      <c r="I1505" t="str">
        <f t="shared" si="93"/>
        <v/>
      </c>
      <c r="J1505" t="str">
        <f t="shared" si="94"/>
        <v/>
      </c>
      <c r="L1505" t="b">
        <f t="shared" si="91"/>
        <v>1</v>
      </c>
    </row>
    <row r="1506" spans="1:12" ht="16" x14ac:dyDescent="0.2">
      <c r="A1506" t="s">
        <v>5804</v>
      </c>
      <c r="B1506" t="s">
        <v>73</v>
      </c>
      <c r="C1506" t="s">
        <v>4110</v>
      </c>
      <c r="D1506" s="2" t="s">
        <v>25</v>
      </c>
      <c r="G1506" s="10" t="s">
        <v>2892</v>
      </c>
      <c r="H1506" t="str">
        <f t="shared" si="92"/>
        <v/>
      </c>
      <c r="I1506" t="str">
        <f t="shared" si="93"/>
        <v/>
      </c>
      <c r="J1506" t="str">
        <f t="shared" si="94"/>
        <v/>
      </c>
      <c r="L1506" t="b">
        <f t="shared" si="91"/>
        <v>1</v>
      </c>
    </row>
    <row r="1507" spans="1:12" ht="16" x14ac:dyDescent="0.2">
      <c r="A1507" t="s">
        <v>5805</v>
      </c>
      <c r="B1507" t="s">
        <v>73</v>
      </c>
      <c r="C1507" t="s">
        <v>4111</v>
      </c>
      <c r="D1507" s="2" t="s">
        <v>25</v>
      </c>
      <c r="G1507" s="10" t="s">
        <v>2892</v>
      </c>
      <c r="H1507" t="str">
        <f t="shared" si="92"/>
        <v/>
      </c>
      <c r="I1507" t="str">
        <f t="shared" si="93"/>
        <v/>
      </c>
      <c r="J1507" t="str">
        <f t="shared" si="94"/>
        <v/>
      </c>
      <c r="L1507" t="b">
        <f t="shared" ref="L1507:L1570" si="95">IF(F1507="",TRUE,FALSE)</f>
        <v>1</v>
      </c>
    </row>
    <row r="1508" spans="1:12" ht="16" x14ac:dyDescent="0.2">
      <c r="A1508" t="s">
        <v>5806</v>
      </c>
      <c r="B1508" t="s">
        <v>73</v>
      </c>
      <c r="C1508" t="s">
        <v>4112</v>
      </c>
      <c r="D1508" s="2" t="s">
        <v>25</v>
      </c>
      <c r="E1508">
        <v>2025</v>
      </c>
      <c r="F1508">
        <v>2028</v>
      </c>
      <c r="G1508" s="10">
        <v>16200000</v>
      </c>
      <c r="H1508">
        <f t="shared" si="92"/>
        <v>16200000</v>
      </c>
      <c r="I1508">
        <f t="shared" si="93"/>
        <v>16200000</v>
      </c>
      <c r="J1508" t="str">
        <f t="shared" si="94"/>
        <v/>
      </c>
      <c r="K1508">
        <v>27955897.84</v>
      </c>
      <c r="L1508" t="b">
        <f t="shared" si="95"/>
        <v>0</v>
      </c>
    </row>
    <row r="1509" spans="1:12" ht="16" x14ac:dyDescent="0.2">
      <c r="A1509" t="s">
        <v>5807</v>
      </c>
      <c r="B1509" t="s">
        <v>73</v>
      </c>
      <c r="C1509" t="s">
        <v>4113</v>
      </c>
      <c r="D1509" s="2" t="s">
        <v>25</v>
      </c>
      <c r="E1509">
        <v>2025</v>
      </c>
      <c r="F1509">
        <v>2026</v>
      </c>
      <c r="G1509" s="10">
        <v>6270000</v>
      </c>
      <c r="H1509" t="str">
        <f t="shared" si="92"/>
        <v/>
      </c>
      <c r="I1509" t="str">
        <f t="shared" si="93"/>
        <v/>
      </c>
      <c r="J1509" t="str">
        <f t="shared" si="94"/>
        <v/>
      </c>
      <c r="K1509">
        <v>1642644.35</v>
      </c>
      <c r="L1509" t="b">
        <f t="shared" si="95"/>
        <v>0</v>
      </c>
    </row>
    <row r="1510" spans="1:12" ht="16" x14ac:dyDescent="0.2">
      <c r="A1510" t="s">
        <v>5808</v>
      </c>
      <c r="B1510" t="s">
        <v>73</v>
      </c>
      <c r="C1510" t="s">
        <v>4114</v>
      </c>
      <c r="D1510" s="2" t="s">
        <v>25</v>
      </c>
      <c r="E1510">
        <v>2025</v>
      </c>
      <c r="F1510">
        <v>2026</v>
      </c>
      <c r="G1510" s="10">
        <v>5600000</v>
      </c>
      <c r="H1510" t="str">
        <f t="shared" si="92"/>
        <v/>
      </c>
      <c r="I1510" t="str">
        <f t="shared" si="93"/>
        <v/>
      </c>
      <c r="J1510" t="str">
        <f t="shared" si="94"/>
        <v/>
      </c>
      <c r="K1510">
        <v>3193501.78</v>
      </c>
      <c r="L1510" t="b">
        <f t="shared" si="95"/>
        <v>0</v>
      </c>
    </row>
    <row r="1511" spans="1:12" ht="16" x14ac:dyDescent="0.2">
      <c r="A1511" t="s">
        <v>5809</v>
      </c>
      <c r="B1511" t="s">
        <v>73</v>
      </c>
      <c r="C1511" t="s">
        <v>4115</v>
      </c>
      <c r="D1511" s="2" t="s">
        <v>25</v>
      </c>
      <c r="G1511" s="10" t="s">
        <v>2892</v>
      </c>
      <c r="H1511" t="str">
        <f t="shared" si="92"/>
        <v/>
      </c>
      <c r="I1511" t="str">
        <f t="shared" si="93"/>
        <v/>
      </c>
      <c r="J1511" t="str">
        <f t="shared" si="94"/>
        <v/>
      </c>
      <c r="L1511" t="b">
        <f t="shared" si="95"/>
        <v>1</v>
      </c>
    </row>
    <row r="1512" spans="1:12" ht="16" x14ac:dyDescent="0.2">
      <c r="A1512" t="s">
        <v>5810</v>
      </c>
      <c r="B1512" t="s">
        <v>73</v>
      </c>
      <c r="C1512" t="s">
        <v>4116</v>
      </c>
      <c r="D1512" s="2" t="s">
        <v>25</v>
      </c>
      <c r="E1512">
        <v>2025</v>
      </c>
      <c r="F1512">
        <v>2027</v>
      </c>
      <c r="G1512" s="10">
        <v>5230000</v>
      </c>
      <c r="H1512">
        <f t="shared" si="92"/>
        <v>5230000</v>
      </c>
      <c r="I1512" t="str">
        <f t="shared" si="93"/>
        <v/>
      </c>
      <c r="J1512" t="str">
        <f t="shared" si="94"/>
        <v/>
      </c>
      <c r="K1512">
        <v>3440786.2</v>
      </c>
      <c r="L1512" t="b">
        <f t="shared" si="95"/>
        <v>0</v>
      </c>
    </row>
    <row r="1513" spans="1:12" ht="16" x14ac:dyDescent="0.2">
      <c r="A1513" t="s">
        <v>5811</v>
      </c>
      <c r="B1513" t="s">
        <v>73</v>
      </c>
      <c r="C1513" t="s">
        <v>4117</v>
      </c>
      <c r="D1513" s="2" t="s">
        <v>25</v>
      </c>
      <c r="G1513" s="10" t="s">
        <v>2892</v>
      </c>
      <c r="H1513" t="str">
        <f t="shared" si="92"/>
        <v/>
      </c>
      <c r="I1513" t="str">
        <f t="shared" si="93"/>
        <v/>
      </c>
      <c r="J1513" t="str">
        <f t="shared" si="94"/>
        <v/>
      </c>
      <c r="L1513" t="b">
        <f t="shared" si="95"/>
        <v>1</v>
      </c>
    </row>
    <row r="1514" spans="1:12" ht="16" x14ac:dyDescent="0.2">
      <c r="A1514" t="s">
        <v>5812</v>
      </c>
      <c r="B1514" t="s">
        <v>73</v>
      </c>
      <c r="C1514" t="s">
        <v>4118</v>
      </c>
      <c r="D1514" s="2" t="s">
        <v>25</v>
      </c>
      <c r="E1514">
        <v>2025</v>
      </c>
      <c r="F1514">
        <v>2027</v>
      </c>
      <c r="G1514" s="10">
        <v>8610000</v>
      </c>
      <c r="H1514">
        <f t="shared" si="92"/>
        <v>8610000</v>
      </c>
      <c r="I1514" t="str">
        <f t="shared" si="93"/>
        <v/>
      </c>
      <c r="J1514" t="str">
        <f t="shared" si="94"/>
        <v/>
      </c>
      <c r="K1514">
        <v>6574232.9400000004</v>
      </c>
      <c r="L1514" t="b">
        <f t="shared" si="95"/>
        <v>0</v>
      </c>
    </row>
    <row r="1515" spans="1:12" ht="16" x14ac:dyDescent="0.2">
      <c r="A1515" t="s">
        <v>5813</v>
      </c>
      <c r="B1515" t="s">
        <v>73</v>
      </c>
      <c r="C1515" t="s">
        <v>4119</v>
      </c>
      <c r="D1515" s="2" t="s">
        <v>25</v>
      </c>
      <c r="E1515">
        <v>2025</v>
      </c>
      <c r="F1515">
        <v>2026</v>
      </c>
      <c r="G1515" s="10">
        <v>3260000</v>
      </c>
      <c r="H1515" t="str">
        <f t="shared" si="92"/>
        <v/>
      </c>
      <c r="I1515" t="str">
        <f t="shared" si="93"/>
        <v/>
      </c>
      <c r="J1515" t="str">
        <f t="shared" si="94"/>
        <v/>
      </c>
      <c r="K1515">
        <v>1605948.57</v>
      </c>
      <c r="L1515" t="b">
        <f t="shared" si="95"/>
        <v>0</v>
      </c>
    </row>
    <row r="1516" spans="1:12" ht="16" x14ac:dyDescent="0.2">
      <c r="A1516" t="s">
        <v>5814</v>
      </c>
      <c r="B1516" t="s">
        <v>73</v>
      </c>
      <c r="C1516" t="s">
        <v>4120</v>
      </c>
      <c r="D1516" s="2" t="s">
        <v>25</v>
      </c>
      <c r="G1516" s="10" t="s">
        <v>2892</v>
      </c>
      <c r="H1516" t="str">
        <f t="shared" si="92"/>
        <v/>
      </c>
      <c r="I1516" t="str">
        <f t="shared" si="93"/>
        <v/>
      </c>
      <c r="J1516" t="str">
        <f t="shared" si="94"/>
        <v/>
      </c>
      <c r="L1516" t="b">
        <f t="shared" si="95"/>
        <v>1</v>
      </c>
    </row>
    <row r="1517" spans="1:12" ht="16" x14ac:dyDescent="0.2">
      <c r="A1517" t="s">
        <v>5815</v>
      </c>
      <c r="B1517" t="s">
        <v>73</v>
      </c>
      <c r="C1517" t="s">
        <v>4121</v>
      </c>
      <c r="D1517" s="2" t="s">
        <v>25</v>
      </c>
      <c r="E1517">
        <v>2025</v>
      </c>
      <c r="F1517">
        <v>2026</v>
      </c>
      <c r="G1517" s="10">
        <v>5310000</v>
      </c>
      <c r="H1517" t="str">
        <f t="shared" si="92"/>
        <v/>
      </c>
      <c r="I1517" t="str">
        <f t="shared" si="93"/>
        <v/>
      </c>
      <c r="J1517" t="str">
        <f t="shared" si="94"/>
        <v/>
      </c>
      <c r="K1517">
        <v>4174933.38</v>
      </c>
      <c r="L1517" t="b">
        <f t="shared" si="95"/>
        <v>0</v>
      </c>
    </row>
    <row r="1518" spans="1:12" ht="16" x14ac:dyDescent="0.2">
      <c r="A1518" t="s">
        <v>5816</v>
      </c>
      <c r="B1518" t="s">
        <v>73</v>
      </c>
      <c r="C1518" t="s">
        <v>4122</v>
      </c>
      <c r="D1518" s="2" t="s">
        <v>25</v>
      </c>
      <c r="E1518">
        <v>2025</v>
      </c>
      <c r="F1518">
        <v>2026</v>
      </c>
      <c r="G1518" s="10">
        <v>1455000</v>
      </c>
      <c r="H1518" t="str">
        <f t="shared" si="92"/>
        <v/>
      </c>
      <c r="I1518" t="str">
        <f t="shared" si="93"/>
        <v/>
      </c>
      <c r="J1518" t="str">
        <f t="shared" si="94"/>
        <v/>
      </c>
      <c r="K1518">
        <v>561013.67000000004</v>
      </c>
      <c r="L1518" t="b">
        <f t="shared" si="95"/>
        <v>0</v>
      </c>
    </row>
    <row r="1519" spans="1:12" ht="16" x14ac:dyDescent="0.2">
      <c r="A1519" t="s">
        <v>5817</v>
      </c>
      <c r="B1519" t="s">
        <v>73</v>
      </c>
      <c r="C1519" t="s">
        <v>4123</v>
      </c>
      <c r="D1519" s="2" t="s">
        <v>25</v>
      </c>
      <c r="E1519">
        <v>2025</v>
      </c>
      <c r="F1519">
        <v>2026</v>
      </c>
      <c r="G1519" s="10">
        <v>3915000</v>
      </c>
      <c r="H1519" t="str">
        <f t="shared" si="92"/>
        <v/>
      </c>
      <c r="I1519" t="str">
        <f t="shared" si="93"/>
        <v/>
      </c>
      <c r="J1519" t="str">
        <f t="shared" si="94"/>
        <v/>
      </c>
      <c r="K1519">
        <v>2290174.54</v>
      </c>
      <c r="L1519" t="b">
        <f t="shared" si="95"/>
        <v>0</v>
      </c>
    </row>
    <row r="1520" spans="1:12" ht="16" x14ac:dyDescent="0.2">
      <c r="A1520" t="s">
        <v>5818</v>
      </c>
      <c r="B1520" t="s">
        <v>73</v>
      </c>
      <c r="C1520" t="s">
        <v>4124</v>
      </c>
      <c r="D1520" s="2" t="s">
        <v>25</v>
      </c>
      <c r="G1520" s="10" t="s">
        <v>2892</v>
      </c>
      <c r="H1520" t="str">
        <f t="shared" si="92"/>
        <v/>
      </c>
      <c r="I1520" t="str">
        <f t="shared" si="93"/>
        <v/>
      </c>
      <c r="J1520" t="str">
        <f t="shared" si="94"/>
        <v/>
      </c>
      <c r="L1520" t="b">
        <f t="shared" si="95"/>
        <v>1</v>
      </c>
    </row>
    <row r="1521" spans="1:12" ht="16" x14ac:dyDescent="0.2">
      <c r="A1521" t="s">
        <v>5819</v>
      </c>
      <c r="B1521" t="s">
        <v>73</v>
      </c>
      <c r="C1521" t="s">
        <v>4125</v>
      </c>
      <c r="D1521" s="2" t="s">
        <v>25</v>
      </c>
      <c r="E1521">
        <v>2025</v>
      </c>
      <c r="F1521">
        <v>2027</v>
      </c>
      <c r="G1521" s="10">
        <v>3743333.3333333335</v>
      </c>
      <c r="H1521">
        <f t="shared" si="92"/>
        <v>3743333.3333333335</v>
      </c>
      <c r="I1521" t="str">
        <f t="shared" si="93"/>
        <v/>
      </c>
      <c r="J1521" t="str">
        <f t="shared" si="94"/>
        <v/>
      </c>
      <c r="K1521">
        <v>1309604</v>
      </c>
      <c r="L1521" t="b">
        <f t="shared" si="95"/>
        <v>0</v>
      </c>
    </row>
    <row r="1522" spans="1:12" ht="16" x14ac:dyDescent="0.2">
      <c r="A1522" t="s">
        <v>5820</v>
      </c>
      <c r="B1522" t="s">
        <v>73</v>
      </c>
      <c r="C1522" t="s">
        <v>4126</v>
      </c>
      <c r="D1522" s="2" t="s">
        <v>25</v>
      </c>
      <c r="E1522">
        <v>2025</v>
      </c>
      <c r="F1522">
        <v>2026</v>
      </c>
      <c r="G1522" s="10">
        <v>4010000</v>
      </c>
      <c r="H1522" t="str">
        <f t="shared" si="92"/>
        <v/>
      </c>
      <c r="I1522" t="str">
        <f t="shared" si="93"/>
        <v/>
      </c>
      <c r="J1522" t="str">
        <f t="shared" si="94"/>
        <v/>
      </c>
      <c r="K1522">
        <v>1335887.49</v>
      </c>
      <c r="L1522" t="b">
        <f t="shared" si="95"/>
        <v>0</v>
      </c>
    </row>
    <row r="1523" spans="1:12" ht="16" x14ac:dyDescent="0.2">
      <c r="A1523" t="s">
        <v>5821</v>
      </c>
      <c r="B1523" t="s">
        <v>73</v>
      </c>
      <c r="C1523" t="s">
        <v>4127</v>
      </c>
      <c r="D1523" s="2" t="s">
        <v>150</v>
      </c>
      <c r="E1523">
        <v>2025</v>
      </c>
      <c r="F1523">
        <v>2028</v>
      </c>
      <c r="G1523" s="10">
        <v>10055000</v>
      </c>
      <c r="H1523">
        <f t="shared" si="92"/>
        <v>10055000</v>
      </c>
      <c r="I1523">
        <f t="shared" si="93"/>
        <v>10055000</v>
      </c>
      <c r="J1523" t="str">
        <f t="shared" si="94"/>
        <v/>
      </c>
      <c r="K1523">
        <v>17169837.550000001</v>
      </c>
      <c r="L1523" t="b">
        <f t="shared" si="95"/>
        <v>0</v>
      </c>
    </row>
    <row r="1524" spans="1:12" ht="16" x14ac:dyDescent="0.2">
      <c r="A1524" t="s">
        <v>5822</v>
      </c>
      <c r="B1524" t="s">
        <v>73</v>
      </c>
      <c r="C1524" t="s">
        <v>4128</v>
      </c>
      <c r="D1524" s="2" t="s">
        <v>150</v>
      </c>
      <c r="E1524">
        <v>2025</v>
      </c>
      <c r="F1524">
        <v>2026</v>
      </c>
      <c r="G1524" s="10">
        <v>8369999.9999999991</v>
      </c>
      <c r="H1524" t="str">
        <f t="shared" si="92"/>
        <v/>
      </c>
      <c r="I1524" t="str">
        <f t="shared" si="93"/>
        <v/>
      </c>
      <c r="J1524" t="str">
        <f t="shared" si="94"/>
        <v/>
      </c>
      <c r="K1524">
        <v>1698551.46</v>
      </c>
      <c r="L1524" t="b">
        <f t="shared" si="95"/>
        <v>0</v>
      </c>
    </row>
    <row r="1525" spans="1:12" ht="16" x14ac:dyDescent="0.2">
      <c r="A1525" t="s">
        <v>5823</v>
      </c>
      <c r="B1525" t="s">
        <v>73</v>
      </c>
      <c r="C1525" t="s">
        <v>4129</v>
      </c>
      <c r="D1525" s="2" t="s">
        <v>150</v>
      </c>
      <c r="E1525">
        <v>2025</v>
      </c>
      <c r="F1525">
        <v>2026</v>
      </c>
      <c r="G1525" s="10">
        <v>6540000</v>
      </c>
      <c r="H1525" t="str">
        <f t="shared" si="92"/>
        <v/>
      </c>
      <c r="I1525" t="str">
        <f t="shared" si="93"/>
        <v/>
      </c>
      <c r="J1525" t="str">
        <f t="shared" si="94"/>
        <v/>
      </c>
      <c r="K1525">
        <v>3848695.11</v>
      </c>
      <c r="L1525" t="b">
        <f t="shared" si="95"/>
        <v>0</v>
      </c>
    </row>
    <row r="1526" spans="1:12" ht="16" x14ac:dyDescent="0.2">
      <c r="A1526" t="s">
        <v>5824</v>
      </c>
      <c r="B1526" t="s">
        <v>73</v>
      </c>
      <c r="C1526" t="s">
        <v>4130</v>
      </c>
      <c r="D1526" s="2" t="s">
        <v>150</v>
      </c>
      <c r="G1526" s="10" t="s">
        <v>2892</v>
      </c>
      <c r="H1526" t="str">
        <f t="shared" si="92"/>
        <v/>
      </c>
      <c r="I1526" t="str">
        <f t="shared" si="93"/>
        <v/>
      </c>
      <c r="J1526" t="str">
        <f t="shared" si="94"/>
        <v/>
      </c>
      <c r="L1526" t="b">
        <f t="shared" si="95"/>
        <v>1</v>
      </c>
    </row>
    <row r="1527" spans="1:12" ht="16" x14ac:dyDescent="0.2">
      <c r="A1527" t="s">
        <v>5825</v>
      </c>
      <c r="B1527" t="s">
        <v>73</v>
      </c>
      <c r="C1527" t="s">
        <v>4131</v>
      </c>
      <c r="D1527" s="2" t="s">
        <v>150</v>
      </c>
      <c r="E1527">
        <v>2025</v>
      </c>
      <c r="F1527">
        <v>2026</v>
      </c>
      <c r="G1527" s="10">
        <v>2160000</v>
      </c>
      <c r="H1527" t="str">
        <f t="shared" si="92"/>
        <v/>
      </c>
      <c r="I1527" t="str">
        <f t="shared" si="93"/>
        <v/>
      </c>
      <c r="J1527" t="str">
        <f t="shared" si="94"/>
        <v/>
      </c>
      <c r="K1527">
        <v>586944.39</v>
      </c>
      <c r="L1527" t="b">
        <f t="shared" si="95"/>
        <v>0</v>
      </c>
    </row>
    <row r="1528" spans="1:12" ht="16" x14ac:dyDescent="0.2">
      <c r="A1528" t="s">
        <v>5826</v>
      </c>
      <c r="B1528" t="s">
        <v>73</v>
      </c>
      <c r="C1528" t="s">
        <v>4132</v>
      </c>
      <c r="D1528" s="2" t="s">
        <v>150</v>
      </c>
      <c r="E1528">
        <v>2025</v>
      </c>
      <c r="F1528">
        <v>2027</v>
      </c>
      <c r="G1528" s="10">
        <v>10156666.666666666</v>
      </c>
      <c r="H1528">
        <f t="shared" si="92"/>
        <v>10156666.666666666</v>
      </c>
      <c r="I1528" t="str">
        <f t="shared" si="93"/>
        <v/>
      </c>
      <c r="J1528" t="str">
        <f t="shared" si="94"/>
        <v/>
      </c>
      <c r="K1528">
        <v>12682847.779999999</v>
      </c>
      <c r="L1528" t="b">
        <f t="shared" si="95"/>
        <v>0</v>
      </c>
    </row>
    <row r="1529" spans="1:12" ht="16" x14ac:dyDescent="0.2">
      <c r="A1529" t="s">
        <v>5827</v>
      </c>
      <c r="B1529" t="s">
        <v>73</v>
      </c>
      <c r="C1529" t="s">
        <v>4133</v>
      </c>
      <c r="D1529" s="2" t="s">
        <v>150</v>
      </c>
      <c r="G1529" s="10" t="s">
        <v>2892</v>
      </c>
      <c r="H1529" t="str">
        <f t="shared" si="92"/>
        <v/>
      </c>
      <c r="I1529" t="str">
        <f t="shared" si="93"/>
        <v/>
      </c>
      <c r="J1529" t="str">
        <f t="shared" si="94"/>
        <v/>
      </c>
      <c r="L1529" t="b">
        <f t="shared" si="95"/>
        <v>1</v>
      </c>
    </row>
    <row r="1530" spans="1:12" ht="16" x14ac:dyDescent="0.2">
      <c r="A1530" t="s">
        <v>5828</v>
      </c>
      <c r="B1530" t="s">
        <v>73</v>
      </c>
      <c r="C1530" t="s">
        <v>4134</v>
      </c>
      <c r="D1530" s="2" t="s">
        <v>150</v>
      </c>
      <c r="E1530">
        <v>2025</v>
      </c>
      <c r="F1530">
        <v>2026</v>
      </c>
      <c r="G1530" s="10">
        <v>3990000</v>
      </c>
      <c r="H1530" t="str">
        <f t="shared" si="92"/>
        <v/>
      </c>
      <c r="I1530" t="str">
        <f t="shared" si="93"/>
        <v/>
      </c>
      <c r="J1530" t="str">
        <f t="shared" si="94"/>
        <v/>
      </c>
      <c r="K1530">
        <v>1778739.74</v>
      </c>
      <c r="L1530" t="b">
        <f t="shared" si="95"/>
        <v>0</v>
      </c>
    </row>
    <row r="1531" spans="1:12" ht="16" x14ac:dyDescent="0.2">
      <c r="A1531" t="s">
        <v>5829</v>
      </c>
      <c r="B1531" t="s">
        <v>73</v>
      </c>
      <c r="C1531" t="s">
        <v>4135</v>
      </c>
      <c r="D1531" s="2" t="s">
        <v>150</v>
      </c>
      <c r="G1531" s="10" t="s">
        <v>2892</v>
      </c>
      <c r="H1531" t="str">
        <f t="shared" si="92"/>
        <v/>
      </c>
      <c r="I1531" t="str">
        <f t="shared" si="93"/>
        <v/>
      </c>
      <c r="J1531" t="str">
        <f t="shared" si="94"/>
        <v/>
      </c>
      <c r="L1531" t="b">
        <f t="shared" si="95"/>
        <v>1</v>
      </c>
    </row>
    <row r="1532" spans="1:12" ht="16" x14ac:dyDescent="0.2">
      <c r="A1532" t="s">
        <v>5830</v>
      </c>
      <c r="B1532" t="s">
        <v>73</v>
      </c>
      <c r="C1532" t="s">
        <v>4136</v>
      </c>
      <c r="D1532" s="2" t="s">
        <v>150</v>
      </c>
      <c r="G1532" s="10" t="s">
        <v>2892</v>
      </c>
      <c r="H1532" t="str">
        <f t="shared" si="92"/>
        <v/>
      </c>
      <c r="I1532" t="str">
        <f t="shared" si="93"/>
        <v/>
      </c>
      <c r="J1532" t="str">
        <f t="shared" si="94"/>
        <v/>
      </c>
      <c r="L1532" t="b">
        <f t="shared" si="95"/>
        <v>1</v>
      </c>
    </row>
    <row r="1533" spans="1:12" ht="16" x14ac:dyDescent="0.2">
      <c r="A1533" t="s">
        <v>5831</v>
      </c>
      <c r="B1533" t="s">
        <v>73</v>
      </c>
      <c r="C1533" t="s">
        <v>4137</v>
      </c>
      <c r="D1533" s="2" t="s">
        <v>150</v>
      </c>
      <c r="E1533">
        <v>2025</v>
      </c>
      <c r="F1533">
        <v>2027</v>
      </c>
      <c r="G1533" s="10">
        <v>3156666.6666666665</v>
      </c>
      <c r="H1533">
        <f t="shared" si="92"/>
        <v>3156666.6666666665</v>
      </c>
      <c r="I1533" t="str">
        <f t="shared" si="93"/>
        <v/>
      </c>
      <c r="J1533" t="str">
        <f t="shared" si="94"/>
        <v/>
      </c>
      <c r="K1533">
        <v>971428.15</v>
      </c>
      <c r="L1533" t="b">
        <f t="shared" si="95"/>
        <v>0</v>
      </c>
    </row>
    <row r="1534" spans="1:12" ht="16" x14ac:dyDescent="0.2">
      <c r="A1534" t="s">
        <v>5832</v>
      </c>
      <c r="B1534" t="s">
        <v>73</v>
      </c>
      <c r="C1534" t="s">
        <v>4138</v>
      </c>
      <c r="D1534" s="2" t="s">
        <v>150</v>
      </c>
      <c r="E1534">
        <v>2025</v>
      </c>
      <c r="F1534">
        <v>2026</v>
      </c>
      <c r="G1534" s="10">
        <v>8220000.0000000009</v>
      </c>
      <c r="H1534" t="str">
        <f t="shared" si="92"/>
        <v/>
      </c>
      <c r="I1534" t="str">
        <f t="shared" si="93"/>
        <v/>
      </c>
      <c r="J1534" t="str">
        <f t="shared" si="94"/>
        <v/>
      </c>
      <c r="K1534">
        <v>4327090.66</v>
      </c>
      <c r="L1534" t="b">
        <f t="shared" si="95"/>
        <v>0</v>
      </c>
    </row>
    <row r="1535" spans="1:12" ht="16" x14ac:dyDescent="0.2">
      <c r="A1535" t="s">
        <v>5833</v>
      </c>
      <c r="B1535" t="s">
        <v>73</v>
      </c>
      <c r="C1535" t="s">
        <v>4139</v>
      </c>
      <c r="D1535" s="2" t="s">
        <v>150</v>
      </c>
      <c r="G1535" s="10" t="s">
        <v>2892</v>
      </c>
      <c r="H1535" t="str">
        <f t="shared" si="92"/>
        <v/>
      </c>
      <c r="I1535" t="str">
        <f t="shared" si="93"/>
        <v/>
      </c>
      <c r="J1535" t="str">
        <f t="shared" si="94"/>
        <v/>
      </c>
      <c r="L1535" t="b">
        <f t="shared" si="95"/>
        <v>1</v>
      </c>
    </row>
    <row r="1536" spans="1:12" ht="16" x14ac:dyDescent="0.2">
      <c r="A1536" t="s">
        <v>5834</v>
      </c>
      <c r="B1536" t="s">
        <v>73</v>
      </c>
      <c r="C1536" t="s">
        <v>4140</v>
      </c>
      <c r="D1536" s="2" t="s">
        <v>150</v>
      </c>
      <c r="E1536">
        <v>2025</v>
      </c>
      <c r="F1536">
        <v>2027</v>
      </c>
      <c r="G1536" s="10">
        <v>1976666.6666666665</v>
      </c>
      <c r="H1536">
        <f t="shared" si="92"/>
        <v>1976666.6666666665</v>
      </c>
      <c r="I1536" t="str">
        <f t="shared" si="93"/>
        <v/>
      </c>
      <c r="J1536" t="str">
        <f t="shared" si="94"/>
        <v/>
      </c>
      <c r="K1536">
        <v>836703.5</v>
      </c>
      <c r="L1536" t="b">
        <f t="shared" si="95"/>
        <v>0</v>
      </c>
    </row>
    <row r="1537" spans="1:12" ht="16" x14ac:dyDescent="0.2">
      <c r="A1537" t="s">
        <v>5835</v>
      </c>
      <c r="B1537" t="s">
        <v>73</v>
      </c>
      <c r="C1537" t="s">
        <v>4141</v>
      </c>
      <c r="D1537" s="2" t="s">
        <v>150</v>
      </c>
      <c r="E1537">
        <v>2025</v>
      </c>
      <c r="F1537">
        <v>2026</v>
      </c>
      <c r="G1537" s="10">
        <v>12140000</v>
      </c>
      <c r="H1537" t="str">
        <f t="shared" si="92"/>
        <v/>
      </c>
      <c r="I1537" t="str">
        <f t="shared" si="93"/>
        <v/>
      </c>
      <c r="J1537" t="str">
        <f t="shared" si="94"/>
        <v/>
      </c>
      <c r="K1537">
        <v>8840738.7200000007</v>
      </c>
      <c r="L1537" t="b">
        <f t="shared" si="95"/>
        <v>0</v>
      </c>
    </row>
    <row r="1538" spans="1:12" ht="16" x14ac:dyDescent="0.2">
      <c r="A1538" t="s">
        <v>5836</v>
      </c>
      <c r="B1538" t="s">
        <v>73</v>
      </c>
      <c r="C1538" t="s">
        <v>4142</v>
      </c>
      <c r="D1538" s="2" t="s">
        <v>150</v>
      </c>
      <c r="E1538">
        <v>2025</v>
      </c>
      <c r="F1538">
        <v>2027</v>
      </c>
      <c r="G1538" s="10">
        <v>10049999.999999998</v>
      </c>
      <c r="H1538">
        <f t="shared" si="92"/>
        <v>10049999.999999998</v>
      </c>
      <c r="I1538" t="str">
        <f t="shared" si="93"/>
        <v/>
      </c>
      <c r="J1538" t="str">
        <f t="shared" si="94"/>
        <v/>
      </c>
      <c r="K1538">
        <v>11110855.039999999</v>
      </c>
      <c r="L1538" t="b">
        <f t="shared" si="95"/>
        <v>0</v>
      </c>
    </row>
    <row r="1539" spans="1:12" ht="16" x14ac:dyDescent="0.2">
      <c r="A1539" t="s">
        <v>5837</v>
      </c>
      <c r="B1539" t="s">
        <v>73</v>
      </c>
      <c r="C1539" t="s">
        <v>4143</v>
      </c>
      <c r="D1539" s="2" t="s">
        <v>150</v>
      </c>
      <c r="G1539" s="10" t="s">
        <v>2892</v>
      </c>
      <c r="H1539" t="str">
        <f t="shared" si="92"/>
        <v/>
      </c>
      <c r="I1539" t="str">
        <f t="shared" si="93"/>
        <v/>
      </c>
      <c r="J1539" t="str">
        <f t="shared" si="94"/>
        <v/>
      </c>
      <c r="L1539" t="b">
        <f t="shared" si="95"/>
        <v>1</v>
      </c>
    </row>
    <row r="1540" spans="1:12" ht="16" x14ac:dyDescent="0.2">
      <c r="A1540" t="s">
        <v>5838</v>
      </c>
      <c r="B1540" t="s">
        <v>73</v>
      </c>
      <c r="C1540" t="s">
        <v>4144</v>
      </c>
      <c r="D1540" s="2" t="s">
        <v>150</v>
      </c>
      <c r="G1540" s="10" t="s">
        <v>2892</v>
      </c>
      <c r="H1540" t="str">
        <f t="shared" ref="H1540:H1603" si="96">IF(F1540&gt;=2027,G1540,"")</f>
        <v/>
      </c>
      <c r="I1540" t="str">
        <f t="shared" ref="I1540:I1603" si="97">IF(F1540&gt;=2028,G1540,"")</f>
        <v/>
      </c>
      <c r="J1540" t="str">
        <f t="shared" ref="J1540:J1603" si="98">IF(F1540&gt;=2029,G1540,"")</f>
        <v/>
      </c>
      <c r="L1540" t="b">
        <f t="shared" si="95"/>
        <v>1</v>
      </c>
    </row>
    <row r="1541" spans="1:12" ht="16" x14ac:dyDescent="0.2">
      <c r="A1541" t="s">
        <v>5839</v>
      </c>
      <c r="B1541" t="s">
        <v>73</v>
      </c>
      <c r="C1541" t="s">
        <v>4145</v>
      </c>
      <c r="D1541" s="2" t="s">
        <v>150</v>
      </c>
      <c r="G1541" s="10" t="s">
        <v>2892</v>
      </c>
      <c r="H1541" t="str">
        <f t="shared" si="96"/>
        <v/>
      </c>
      <c r="I1541" t="str">
        <f t="shared" si="97"/>
        <v/>
      </c>
      <c r="J1541" t="str">
        <f t="shared" si="98"/>
        <v/>
      </c>
      <c r="L1541" t="b">
        <f t="shared" si="95"/>
        <v>1</v>
      </c>
    </row>
    <row r="1542" spans="1:12" ht="16" x14ac:dyDescent="0.2">
      <c r="A1542" t="s">
        <v>5840</v>
      </c>
      <c r="B1542" t="s">
        <v>73</v>
      </c>
      <c r="C1542" t="s">
        <v>4146</v>
      </c>
      <c r="D1542" s="2" t="s">
        <v>150</v>
      </c>
      <c r="E1542">
        <v>2025</v>
      </c>
      <c r="F1542">
        <v>2026</v>
      </c>
      <c r="G1542" s="10">
        <v>1850000</v>
      </c>
      <c r="H1542" t="str">
        <f t="shared" si="96"/>
        <v/>
      </c>
      <c r="I1542" t="str">
        <f t="shared" si="97"/>
        <v/>
      </c>
      <c r="J1542" t="str">
        <f t="shared" si="98"/>
        <v/>
      </c>
      <c r="K1542">
        <v>159029.81</v>
      </c>
      <c r="L1542" t="b">
        <f t="shared" si="95"/>
        <v>0</v>
      </c>
    </row>
    <row r="1543" spans="1:12" ht="16" x14ac:dyDescent="0.2">
      <c r="A1543" t="s">
        <v>5841</v>
      </c>
      <c r="B1543" t="s">
        <v>73</v>
      </c>
      <c r="C1543" t="s">
        <v>4147</v>
      </c>
      <c r="D1543" s="2" t="s">
        <v>150</v>
      </c>
      <c r="E1543">
        <v>2025</v>
      </c>
      <c r="F1543">
        <v>2026</v>
      </c>
      <c r="G1543" s="10">
        <v>1825000</v>
      </c>
      <c r="H1543" t="str">
        <f t="shared" si="96"/>
        <v/>
      </c>
      <c r="I1543" t="str">
        <f t="shared" si="97"/>
        <v/>
      </c>
      <c r="J1543" t="str">
        <f t="shared" si="98"/>
        <v/>
      </c>
      <c r="K1543">
        <v>44046.1</v>
      </c>
      <c r="L1543" t="b">
        <f t="shared" si="95"/>
        <v>0</v>
      </c>
    </row>
    <row r="1544" spans="1:12" ht="16" x14ac:dyDescent="0.2">
      <c r="A1544" t="s">
        <v>5842</v>
      </c>
      <c r="B1544" t="s">
        <v>73</v>
      </c>
      <c r="C1544" t="s">
        <v>4148</v>
      </c>
      <c r="D1544" s="2" t="s">
        <v>150</v>
      </c>
      <c r="E1544">
        <v>2025</v>
      </c>
      <c r="F1544">
        <v>2026</v>
      </c>
      <c r="G1544" s="10">
        <v>7930000</v>
      </c>
      <c r="H1544" t="str">
        <f t="shared" si="96"/>
        <v/>
      </c>
      <c r="I1544" t="str">
        <f t="shared" si="97"/>
        <v/>
      </c>
      <c r="J1544" t="str">
        <f t="shared" si="98"/>
        <v/>
      </c>
      <c r="K1544">
        <v>6519255.5199999996</v>
      </c>
      <c r="L1544" t="b">
        <f t="shared" si="95"/>
        <v>0</v>
      </c>
    </row>
    <row r="1545" spans="1:12" ht="16" x14ac:dyDescent="0.2">
      <c r="A1545" t="s">
        <v>5843</v>
      </c>
      <c r="B1545" t="s">
        <v>73</v>
      </c>
      <c r="C1545" t="s">
        <v>4149</v>
      </c>
      <c r="D1545" s="2" t="s">
        <v>150</v>
      </c>
      <c r="E1545">
        <v>2025</v>
      </c>
      <c r="F1545">
        <v>2026</v>
      </c>
      <c r="G1545" s="10">
        <v>7240000</v>
      </c>
      <c r="H1545" t="str">
        <f t="shared" si="96"/>
        <v/>
      </c>
      <c r="I1545" t="str">
        <f t="shared" si="97"/>
        <v/>
      </c>
      <c r="J1545" t="str">
        <f t="shared" si="98"/>
        <v/>
      </c>
      <c r="K1545">
        <v>3741020.34</v>
      </c>
      <c r="L1545" t="b">
        <f t="shared" si="95"/>
        <v>0</v>
      </c>
    </row>
    <row r="1546" spans="1:12" ht="16" x14ac:dyDescent="0.2">
      <c r="A1546" t="s">
        <v>5844</v>
      </c>
      <c r="B1546" t="s">
        <v>73</v>
      </c>
      <c r="C1546" t="s">
        <v>4150</v>
      </c>
      <c r="D1546" s="2" t="s">
        <v>150</v>
      </c>
      <c r="E1546">
        <v>2025</v>
      </c>
      <c r="F1546">
        <v>2026</v>
      </c>
      <c r="G1546" s="10">
        <v>5865000</v>
      </c>
      <c r="H1546" t="str">
        <f t="shared" si="96"/>
        <v/>
      </c>
      <c r="I1546" t="str">
        <f t="shared" si="97"/>
        <v/>
      </c>
      <c r="J1546" t="str">
        <f t="shared" si="98"/>
        <v/>
      </c>
      <c r="K1546">
        <v>2400532.5</v>
      </c>
      <c r="L1546" t="b">
        <f t="shared" si="95"/>
        <v>0</v>
      </c>
    </row>
    <row r="1547" spans="1:12" ht="16" x14ac:dyDescent="0.2">
      <c r="A1547" t="s">
        <v>5845</v>
      </c>
      <c r="B1547" t="s">
        <v>73</v>
      </c>
      <c r="C1547" t="s">
        <v>4151</v>
      </c>
      <c r="D1547" s="2" t="s">
        <v>150</v>
      </c>
      <c r="E1547">
        <v>2025</v>
      </c>
      <c r="F1547">
        <v>2028</v>
      </c>
      <c r="G1547" s="10">
        <v>10472500</v>
      </c>
      <c r="H1547">
        <f t="shared" si="96"/>
        <v>10472500</v>
      </c>
      <c r="I1547">
        <f t="shared" si="97"/>
        <v>10472500</v>
      </c>
      <c r="J1547" t="str">
        <f t="shared" si="98"/>
        <v/>
      </c>
      <c r="K1547">
        <v>18060885.920000002</v>
      </c>
      <c r="L1547" t="b">
        <f t="shared" si="95"/>
        <v>0</v>
      </c>
    </row>
    <row r="1548" spans="1:12" ht="16" x14ac:dyDescent="0.2">
      <c r="A1548" t="s">
        <v>5846</v>
      </c>
      <c r="B1548" t="s">
        <v>73</v>
      </c>
      <c r="C1548" t="s">
        <v>4152</v>
      </c>
      <c r="D1548" s="2" t="s">
        <v>150</v>
      </c>
      <c r="E1548">
        <v>2025</v>
      </c>
      <c r="F1548">
        <v>2027</v>
      </c>
      <c r="G1548" s="10">
        <v>10153333.333333334</v>
      </c>
      <c r="H1548">
        <f t="shared" si="96"/>
        <v>10153333.333333334</v>
      </c>
      <c r="I1548" t="str">
        <f t="shared" si="97"/>
        <v/>
      </c>
      <c r="J1548" t="str">
        <f t="shared" si="98"/>
        <v/>
      </c>
      <c r="K1548">
        <v>8678320.4800000004</v>
      </c>
      <c r="L1548" t="b">
        <f t="shared" si="95"/>
        <v>0</v>
      </c>
    </row>
    <row r="1549" spans="1:12" ht="16" x14ac:dyDescent="0.2">
      <c r="A1549" t="s">
        <v>5847</v>
      </c>
      <c r="B1549" t="s">
        <v>73</v>
      </c>
      <c r="C1549" t="s">
        <v>4153</v>
      </c>
      <c r="D1549" s="2" t="s">
        <v>150</v>
      </c>
      <c r="G1549" s="10" t="s">
        <v>2892</v>
      </c>
      <c r="H1549" t="str">
        <f t="shared" si="96"/>
        <v/>
      </c>
      <c r="I1549" t="str">
        <f t="shared" si="97"/>
        <v/>
      </c>
      <c r="J1549" t="str">
        <f t="shared" si="98"/>
        <v/>
      </c>
      <c r="L1549" t="b">
        <f t="shared" si="95"/>
        <v>1</v>
      </c>
    </row>
    <row r="1550" spans="1:12" ht="16" x14ac:dyDescent="0.2">
      <c r="A1550" t="s">
        <v>5848</v>
      </c>
      <c r="B1550" t="s">
        <v>73</v>
      </c>
      <c r="C1550" t="s">
        <v>4154</v>
      </c>
      <c r="D1550" s="2" t="s">
        <v>150</v>
      </c>
      <c r="E1550">
        <v>2025</v>
      </c>
      <c r="F1550">
        <v>2027</v>
      </c>
      <c r="G1550" s="10">
        <v>6250000</v>
      </c>
      <c r="H1550">
        <f t="shared" si="96"/>
        <v>6250000</v>
      </c>
      <c r="I1550" t="str">
        <f t="shared" si="97"/>
        <v/>
      </c>
      <c r="J1550" t="str">
        <f t="shared" si="98"/>
        <v/>
      </c>
      <c r="K1550">
        <v>4351206.82</v>
      </c>
      <c r="L1550" t="b">
        <f t="shared" si="95"/>
        <v>0</v>
      </c>
    </row>
    <row r="1551" spans="1:12" ht="16" x14ac:dyDescent="0.2">
      <c r="A1551" t="s">
        <v>5849</v>
      </c>
      <c r="B1551" t="s">
        <v>73</v>
      </c>
      <c r="C1551" t="s">
        <v>4155</v>
      </c>
      <c r="D1551" s="2" t="s">
        <v>150</v>
      </c>
      <c r="E1551">
        <v>2025</v>
      </c>
      <c r="F1551">
        <v>2026</v>
      </c>
      <c r="G1551" s="10">
        <v>4240000</v>
      </c>
      <c r="H1551" t="str">
        <f t="shared" si="96"/>
        <v/>
      </c>
      <c r="I1551" t="str">
        <f t="shared" si="97"/>
        <v/>
      </c>
      <c r="J1551" t="str">
        <f t="shared" si="98"/>
        <v/>
      </c>
      <c r="K1551">
        <v>1850224.03</v>
      </c>
      <c r="L1551" t="b">
        <f t="shared" si="95"/>
        <v>0</v>
      </c>
    </row>
    <row r="1552" spans="1:12" ht="16" x14ac:dyDescent="0.2">
      <c r="A1552" t="s">
        <v>5850</v>
      </c>
      <c r="B1552" t="s">
        <v>73</v>
      </c>
      <c r="C1552" t="s">
        <v>4156</v>
      </c>
      <c r="D1552" s="2" t="s">
        <v>150</v>
      </c>
      <c r="G1552" s="10" t="s">
        <v>2892</v>
      </c>
      <c r="H1552" t="str">
        <f t="shared" si="96"/>
        <v/>
      </c>
      <c r="I1552" t="str">
        <f t="shared" si="97"/>
        <v/>
      </c>
      <c r="J1552" t="str">
        <f t="shared" si="98"/>
        <v/>
      </c>
      <c r="L1552" t="b">
        <f t="shared" si="95"/>
        <v>1</v>
      </c>
    </row>
    <row r="1553" spans="1:12" ht="16" x14ac:dyDescent="0.2">
      <c r="A1553" t="s">
        <v>5851</v>
      </c>
      <c r="B1553" t="s">
        <v>73</v>
      </c>
      <c r="C1553" t="s">
        <v>4157</v>
      </c>
      <c r="D1553" s="2" t="s">
        <v>150</v>
      </c>
      <c r="G1553" s="10" t="s">
        <v>2892</v>
      </c>
      <c r="H1553" t="str">
        <f t="shared" si="96"/>
        <v/>
      </c>
      <c r="I1553" t="str">
        <f t="shared" si="97"/>
        <v/>
      </c>
      <c r="J1553" t="str">
        <f t="shared" si="98"/>
        <v/>
      </c>
      <c r="L1553" t="b">
        <f t="shared" si="95"/>
        <v>1</v>
      </c>
    </row>
    <row r="1554" spans="1:12" ht="16" x14ac:dyDescent="0.2">
      <c r="A1554" t="s">
        <v>5852</v>
      </c>
      <c r="B1554" t="s">
        <v>73</v>
      </c>
      <c r="C1554" t="s">
        <v>4158</v>
      </c>
      <c r="D1554" s="2" t="s">
        <v>150</v>
      </c>
      <c r="E1554">
        <v>2026</v>
      </c>
      <c r="F1554">
        <v>2027</v>
      </c>
      <c r="G1554" s="10">
        <v>9300000</v>
      </c>
      <c r="H1554">
        <f t="shared" si="96"/>
        <v>9300000</v>
      </c>
      <c r="I1554" t="str">
        <f t="shared" si="97"/>
        <v/>
      </c>
      <c r="J1554" t="str">
        <f t="shared" si="98"/>
        <v/>
      </c>
      <c r="K1554">
        <v>3469557.27</v>
      </c>
      <c r="L1554" t="b">
        <f t="shared" si="95"/>
        <v>0</v>
      </c>
    </row>
    <row r="1555" spans="1:12" ht="16" x14ac:dyDescent="0.2">
      <c r="A1555" t="s">
        <v>5853</v>
      </c>
      <c r="B1555" t="s">
        <v>73</v>
      </c>
      <c r="C1555" t="s">
        <v>4159</v>
      </c>
      <c r="D1555" s="2" t="s">
        <v>150</v>
      </c>
      <c r="E1555">
        <v>2025</v>
      </c>
      <c r="F1555">
        <v>2026</v>
      </c>
      <c r="G1555" s="10">
        <v>5335000</v>
      </c>
      <c r="H1555" t="str">
        <f t="shared" si="96"/>
        <v/>
      </c>
      <c r="I1555" t="str">
        <f t="shared" si="97"/>
        <v/>
      </c>
      <c r="J1555" t="str">
        <f t="shared" si="98"/>
        <v/>
      </c>
      <c r="K1555">
        <v>1475665.55</v>
      </c>
      <c r="L1555" t="b">
        <f t="shared" si="95"/>
        <v>0</v>
      </c>
    </row>
    <row r="1556" spans="1:12" ht="16" x14ac:dyDescent="0.2">
      <c r="A1556" t="s">
        <v>5854</v>
      </c>
      <c r="B1556" t="s">
        <v>73</v>
      </c>
      <c r="C1556" t="s">
        <v>4160</v>
      </c>
      <c r="D1556" s="2" t="s">
        <v>150</v>
      </c>
      <c r="E1556">
        <v>2025</v>
      </c>
      <c r="F1556">
        <v>2026</v>
      </c>
      <c r="G1556" s="10">
        <v>9375000</v>
      </c>
      <c r="H1556" t="str">
        <f t="shared" si="96"/>
        <v/>
      </c>
      <c r="I1556" t="str">
        <f t="shared" si="97"/>
        <v/>
      </c>
      <c r="J1556" t="str">
        <f t="shared" si="98"/>
        <v/>
      </c>
      <c r="K1556">
        <v>6760300.0499999998</v>
      </c>
      <c r="L1556" t="b">
        <f t="shared" si="95"/>
        <v>0</v>
      </c>
    </row>
    <row r="1557" spans="1:12" ht="16" x14ac:dyDescent="0.2">
      <c r="A1557" t="s">
        <v>5855</v>
      </c>
      <c r="B1557" t="s">
        <v>73</v>
      </c>
      <c r="C1557" t="s">
        <v>4161</v>
      </c>
      <c r="D1557" s="2" t="s">
        <v>150</v>
      </c>
      <c r="E1557">
        <v>2025</v>
      </c>
      <c r="F1557">
        <v>2027</v>
      </c>
      <c r="G1557" s="10">
        <v>9043333.3333333321</v>
      </c>
      <c r="H1557">
        <f t="shared" si="96"/>
        <v>9043333.3333333321</v>
      </c>
      <c r="I1557" t="str">
        <f t="shared" si="97"/>
        <v/>
      </c>
      <c r="J1557" t="str">
        <f t="shared" si="98"/>
        <v/>
      </c>
      <c r="K1557">
        <v>10666816.109999999</v>
      </c>
      <c r="L1557" t="b">
        <f t="shared" si="95"/>
        <v>0</v>
      </c>
    </row>
    <row r="1558" spans="1:12" ht="16" x14ac:dyDescent="0.2">
      <c r="A1558" t="s">
        <v>5856</v>
      </c>
      <c r="B1558" t="s">
        <v>73</v>
      </c>
      <c r="C1558" t="s">
        <v>4162</v>
      </c>
      <c r="D1558" s="2" t="s">
        <v>150</v>
      </c>
      <c r="E1558">
        <v>2025</v>
      </c>
      <c r="F1558">
        <v>2027</v>
      </c>
      <c r="G1558" s="10">
        <v>10706666.666666666</v>
      </c>
      <c r="H1558">
        <f t="shared" si="96"/>
        <v>10706666.666666666</v>
      </c>
      <c r="I1558" t="str">
        <f t="shared" si="97"/>
        <v/>
      </c>
      <c r="J1558" t="str">
        <f t="shared" si="98"/>
        <v/>
      </c>
      <c r="K1558">
        <v>8322307.7699999996</v>
      </c>
      <c r="L1558" t="b">
        <f t="shared" si="95"/>
        <v>0</v>
      </c>
    </row>
    <row r="1559" spans="1:12" ht="16" x14ac:dyDescent="0.2">
      <c r="A1559" t="s">
        <v>5857</v>
      </c>
      <c r="B1559" t="s">
        <v>73</v>
      </c>
      <c r="C1559" t="s">
        <v>4163</v>
      </c>
      <c r="D1559" s="2" t="s">
        <v>150</v>
      </c>
      <c r="E1559">
        <v>2025</v>
      </c>
      <c r="F1559">
        <v>2027</v>
      </c>
      <c r="G1559" s="10">
        <v>4683333.333333334</v>
      </c>
      <c r="H1559">
        <f t="shared" si="96"/>
        <v>4683333.333333334</v>
      </c>
      <c r="I1559" t="str">
        <f t="shared" si="97"/>
        <v/>
      </c>
      <c r="J1559" t="str">
        <f t="shared" si="98"/>
        <v/>
      </c>
      <c r="K1559">
        <v>3621727.53</v>
      </c>
      <c r="L1559" t="b">
        <f t="shared" si="95"/>
        <v>0</v>
      </c>
    </row>
    <row r="1560" spans="1:12" ht="16" x14ac:dyDescent="0.2">
      <c r="A1560" t="s">
        <v>5858</v>
      </c>
      <c r="B1560" t="s">
        <v>73</v>
      </c>
      <c r="C1560" t="s">
        <v>4164</v>
      </c>
      <c r="D1560" s="2" t="s">
        <v>150</v>
      </c>
      <c r="E1560">
        <v>2026</v>
      </c>
      <c r="F1560">
        <v>2029</v>
      </c>
      <c r="G1560" s="10">
        <v>4743333.333333333</v>
      </c>
      <c r="H1560">
        <f t="shared" si="96"/>
        <v>4743333.333333333</v>
      </c>
      <c r="I1560">
        <f t="shared" si="97"/>
        <v>4743333.333333333</v>
      </c>
      <c r="J1560">
        <f t="shared" si="98"/>
        <v>4743333.333333333</v>
      </c>
      <c r="K1560">
        <v>2273441.63</v>
      </c>
      <c r="L1560" t="b">
        <f t="shared" si="95"/>
        <v>0</v>
      </c>
    </row>
    <row r="1561" spans="1:12" ht="16" x14ac:dyDescent="0.2">
      <c r="A1561" t="s">
        <v>5859</v>
      </c>
      <c r="B1561" t="s">
        <v>73</v>
      </c>
      <c r="C1561" t="s">
        <v>4165</v>
      </c>
      <c r="D1561" s="2" t="s">
        <v>150</v>
      </c>
      <c r="G1561" s="10" t="s">
        <v>2892</v>
      </c>
      <c r="H1561" t="str">
        <f t="shared" si="96"/>
        <v/>
      </c>
      <c r="I1561" t="str">
        <f t="shared" si="97"/>
        <v/>
      </c>
      <c r="J1561" t="str">
        <f t="shared" si="98"/>
        <v/>
      </c>
      <c r="L1561" t="b">
        <f t="shared" si="95"/>
        <v>1</v>
      </c>
    </row>
    <row r="1562" spans="1:12" ht="16" x14ac:dyDescent="0.2">
      <c r="A1562" t="s">
        <v>5860</v>
      </c>
      <c r="B1562" t="s">
        <v>73</v>
      </c>
      <c r="C1562" t="s">
        <v>4166</v>
      </c>
      <c r="D1562" s="2" t="s">
        <v>150</v>
      </c>
      <c r="E1562">
        <v>2025</v>
      </c>
      <c r="F1562">
        <v>2026</v>
      </c>
      <c r="G1562" s="10">
        <v>2470000</v>
      </c>
      <c r="H1562" t="str">
        <f t="shared" si="96"/>
        <v/>
      </c>
      <c r="I1562" t="str">
        <f t="shared" si="97"/>
        <v/>
      </c>
      <c r="J1562" t="str">
        <f t="shared" si="98"/>
        <v/>
      </c>
      <c r="K1562">
        <v>719487.02</v>
      </c>
      <c r="L1562" t="b">
        <f t="shared" si="95"/>
        <v>0</v>
      </c>
    </row>
    <row r="1563" spans="1:12" ht="16" x14ac:dyDescent="0.2">
      <c r="A1563" t="s">
        <v>5861</v>
      </c>
      <c r="B1563" t="s">
        <v>73</v>
      </c>
      <c r="C1563" t="s">
        <v>4167</v>
      </c>
      <c r="D1563" s="2" t="s">
        <v>150</v>
      </c>
      <c r="E1563">
        <v>2025</v>
      </c>
      <c r="F1563">
        <v>2027</v>
      </c>
      <c r="G1563" s="10">
        <v>8493333.333333334</v>
      </c>
      <c r="H1563">
        <f t="shared" si="96"/>
        <v>8493333.333333334</v>
      </c>
      <c r="I1563" t="str">
        <f t="shared" si="97"/>
        <v/>
      </c>
      <c r="J1563" t="str">
        <f t="shared" si="98"/>
        <v/>
      </c>
      <c r="K1563">
        <v>10773382.59</v>
      </c>
      <c r="L1563" t="b">
        <f t="shared" si="95"/>
        <v>0</v>
      </c>
    </row>
    <row r="1564" spans="1:12" ht="16" x14ac:dyDescent="0.2">
      <c r="A1564" t="s">
        <v>5862</v>
      </c>
      <c r="B1564" t="s">
        <v>73</v>
      </c>
      <c r="C1564" t="s">
        <v>4168</v>
      </c>
      <c r="D1564" s="2" t="s">
        <v>150</v>
      </c>
      <c r="G1564" s="10" t="s">
        <v>2892</v>
      </c>
      <c r="H1564" t="str">
        <f t="shared" si="96"/>
        <v/>
      </c>
      <c r="I1564" t="str">
        <f t="shared" si="97"/>
        <v/>
      </c>
      <c r="J1564" t="str">
        <f t="shared" si="98"/>
        <v/>
      </c>
      <c r="L1564" t="b">
        <f t="shared" si="95"/>
        <v>1</v>
      </c>
    </row>
    <row r="1565" spans="1:12" ht="16" x14ac:dyDescent="0.2">
      <c r="A1565" t="s">
        <v>5863</v>
      </c>
      <c r="B1565" t="s">
        <v>73</v>
      </c>
      <c r="C1565" t="s">
        <v>4169</v>
      </c>
      <c r="D1565" s="2" t="s">
        <v>150</v>
      </c>
      <c r="E1565">
        <v>2025</v>
      </c>
      <c r="F1565">
        <v>2026</v>
      </c>
      <c r="G1565" s="10">
        <v>1600000</v>
      </c>
      <c r="H1565" t="str">
        <f t="shared" si="96"/>
        <v/>
      </c>
      <c r="I1565" t="str">
        <f t="shared" si="97"/>
        <v/>
      </c>
      <c r="J1565" t="str">
        <f t="shared" si="98"/>
        <v/>
      </c>
      <c r="K1565">
        <v>495070.34</v>
      </c>
      <c r="L1565" t="b">
        <f t="shared" si="95"/>
        <v>0</v>
      </c>
    </row>
    <row r="1566" spans="1:12" ht="16" x14ac:dyDescent="0.2">
      <c r="A1566" t="s">
        <v>5864</v>
      </c>
      <c r="B1566" t="s">
        <v>73</v>
      </c>
      <c r="C1566" t="s">
        <v>4170</v>
      </c>
      <c r="D1566" s="2" t="s">
        <v>150</v>
      </c>
      <c r="E1566">
        <v>2025</v>
      </c>
      <c r="F1566">
        <v>2026</v>
      </c>
      <c r="G1566" s="10">
        <v>4845000</v>
      </c>
      <c r="H1566" t="str">
        <f t="shared" si="96"/>
        <v/>
      </c>
      <c r="I1566" t="str">
        <f t="shared" si="97"/>
        <v/>
      </c>
      <c r="J1566" t="str">
        <f t="shared" si="98"/>
        <v/>
      </c>
      <c r="K1566">
        <v>1890978.87</v>
      </c>
      <c r="L1566" t="b">
        <f t="shared" si="95"/>
        <v>0</v>
      </c>
    </row>
    <row r="1567" spans="1:12" ht="16" x14ac:dyDescent="0.2">
      <c r="A1567" t="s">
        <v>5865</v>
      </c>
      <c r="B1567" t="s">
        <v>73</v>
      </c>
      <c r="C1567" t="s">
        <v>4171</v>
      </c>
      <c r="D1567" s="2" t="s">
        <v>150</v>
      </c>
      <c r="G1567" s="10" t="s">
        <v>2892</v>
      </c>
      <c r="H1567" t="str">
        <f t="shared" si="96"/>
        <v/>
      </c>
      <c r="I1567" t="str">
        <f t="shared" si="97"/>
        <v/>
      </c>
      <c r="J1567" t="str">
        <f t="shared" si="98"/>
        <v/>
      </c>
      <c r="L1567" t="b">
        <f t="shared" si="95"/>
        <v>1</v>
      </c>
    </row>
    <row r="1568" spans="1:12" ht="16" x14ac:dyDescent="0.2">
      <c r="A1568" t="s">
        <v>5866</v>
      </c>
      <c r="B1568" t="s">
        <v>73</v>
      </c>
      <c r="C1568" t="s">
        <v>4172</v>
      </c>
      <c r="D1568" s="2" t="s">
        <v>150</v>
      </c>
      <c r="E1568">
        <v>2025</v>
      </c>
      <c r="F1568">
        <v>2026</v>
      </c>
      <c r="G1568" s="10">
        <v>2035000.0000000002</v>
      </c>
      <c r="H1568" t="str">
        <f t="shared" si="96"/>
        <v/>
      </c>
      <c r="I1568" t="str">
        <f t="shared" si="97"/>
        <v/>
      </c>
      <c r="J1568" t="str">
        <f t="shared" si="98"/>
        <v/>
      </c>
      <c r="K1568">
        <v>640105.25</v>
      </c>
      <c r="L1568" t="b">
        <f t="shared" si="95"/>
        <v>0</v>
      </c>
    </row>
    <row r="1569" spans="1:12" ht="16" x14ac:dyDescent="0.2">
      <c r="A1569" t="s">
        <v>5867</v>
      </c>
      <c r="B1569" t="s">
        <v>73</v>
      </c>
      <c r="C1569" t="s">
        <v>4173</v>
      </c>
      <c r="D1569" s="2" t="s">
        <v>150</v>
      </c>
      <c r="G1569" s="10" t="s">
        <v>2892</v>
      </c>
      <c r="H1569" t="str">
        <f t="shared" si="96"/>
        <v/>
      </c>
      <c r="I1569" t="str">
        <f t="shared" si="97"/>
        <v/>
      </c>
      <c r="J1569" t="str">
        <f t="shared" si="98"/>
        <v/>
      </c>
      <c r="L1569" t="b">
        <f t="shared" si="95"/>
        <v>1</v>
      </c>
    </row>
    <row r="1570" spans="1:12" ht="16" x14ac:dyDescent="0.2">
      <c r="A1570" t="s">
        <v>5868</v>
      </c>
      <c r="B1570" t="s">
        <v>73</v>
      </c>
      <c r="C1570" t="s">
        <v>4174</v>
      </c>
      <c r="D1570" s="2" t="s">
        <v>150</v>
      </c>
      <c r="E1570">
        <v>2025</v>
      </c>
      <c r="F1570">
        <v>2027</v>
      </c>
      <c r="G1570" s="10">
        <v>7556666.6666666679</v>
      </c>
      <c r="H1570">
        <f t="shared" si="96"/>
        <v>7556666.6666666679</v>
      </c>
      <c r="I1570" t="str">
        <f t="shared" si="97"/>
        <v/>
      </c>
      <c r="J1570" t="str">
        <f t="shared" si="98"/>
        <v/>
      </c>
      <c r="K1570">
        <v>10007606.130000001</v>
      </c>
      <c r="L1570" t="b">
        <f t="shared" si="95"/>
        <v>0</v>
      </c>
    </row>
    <row r="1571" spans="1:12" ht="16" x14ac:dyDescent="0.2">
      <c r="A1571" t="s">
        <v>5869</v>
      </c>
      <c r="B1571" t="s">
        <v>73</v>
      </c>
      <c r="C1571" t="s">
        <v>4175</v>
      </c>
      <c r="D1571" s="2" t="s">
        <v>150</v>
      </c>
      <c r="G1571" s="10" t="s">
        <v>2892</v>
      </c>
      <c r="H1571" t="str">
        <f t="shared" si="96"/>
        <v/>
      </c>
      <c r="I1571" t="str">
        <f t="shared" si="97"/>
        <v/>
      </c>
      <c r="J1571" t="str">
        <f t="shared" si="98"/>
        <v/>
      </c>
      <c r="L1571" t="b">
        <f t="shared" ref="L1571:L1634" si="99">IF(F1571="",TRUE,FALSE)</f>
        <v>1</v>
      </c>
    </row>
    <row r="1572" spans="1:12" ht="16" x14ac:dyDescent="0.2">
      <c r="A1572" t="s">
        <v>5870</v>
      </c>
      <c r="B1572" t="s">
        <v>73</v>
      </c>
      <c r="C1572" t="s">
        <v>4176</v>
      </c>
      <c r="D1572" s="2" t="s">
        <v>150</v>
      </c>
      <c r="E1572">
        <v>2026</v>
      </c>
      <c r="F1572">
        <v>2028</v>
      </c>
      <c r="G1572" s="10">
        <v>9465000</v>
      </c>
      <c r="H1572">
        <f t="shared" si="96"/>
        <v>9465000</v>
      </c>
      <c r="I1572">
        <f t="shared" si="97"/>
        <v>9465000</v>
      </c>
      <c r="J1572" t="str">
        <f t="shared" si="98"/>
        <v/>
      </c>
      <c r="K1572">
        <v>8173283.79</v>
      </c>
      <c r="L1572" t="b">
        <f t="shared" si="99"/>
        <v>0</v>
      </c>
    </row>
    <row r="1573" spans="1:12" ht="16" x14ac:dyDescent="0.2">
      <c r="A1573" t="s">
        <v>5871</v>
      </c>
      <c r="B1573" t="s">
        <v>73</v>
      </c>
      <c r="C1573" t="s">
        <v>4177</v>
      </c>
      <c r="D1573" s="2" t="s">
        <v>150</v>
      </c>
      <c r="E1573">
        <v>2025</v>
      </c>
      <c r="F1573">
        <v>2026</v>
      </c>
      <c r="G1573" s="10">
        <v>2755000</v>
      </c>
      <c r="H1573" t="str">
        <f t="shared" si="96"/>
        <v/>
      </c>
      <c r="I1573" t="str">
        <f t="shared" si="97"/>
        <v/>
      </c>
      <c r="J1573" t="str">
        <f t="shared" si="98"/>
        <v/>
      </c>
      <c r="K1573">
        <v>318158.61</v>
      </c>
      <c r="L1573" t="b">
        <f t="shared" si="99"/>
        <v>0</v>
      </c>
    </row>
    <row r="1574" spans="1:12" ht="16" x14ac:dyDescent="0.2">
      <c r="A1574" t="s">
        <v>5872</v>
      </c>
      <c r="B1574" t="s">
        <v>73</v>
      </c>
      <c r="C1574" t="s">
        <v>4178</v>
      </c>
      <c r="D1574" s="2" t="s">
        <v>150</v>
      </c>
      <c r="E1574">
        <v>2025</v>
      </c>
      <c r="F1574">
        <v>2027</v>
      </c>
      <c r="G1574" s="10">
        <v>7853333.333333333</v>
      </c>
      <c r="H1574">
        <f t="shared" si="96"/>
        <v>7853333.333333333</v>
      </c>
      <c r="I1574" t="str">
        <f t="shared" si="97"/>
        <v/>
      </c>
      <c r="J1574" t="str">
        <f t="shared" si="98"/>
        <v/>
      </c>
      <c r="K1574">
        <v>7179933.0800000001</v>
      </c>
      <c r="L1574" t="b">
        <f t="shared" si="99"/>
        <v>0</v>
      </c>
    </row>
    <row r="1575" spans="1:12" ht="16" x14ac:dyDescent="0.2">
      <c r="A1575" t="s">
        <v>5873</v>
      </c>
      <c r="B1575" t="s">
        <v>73</v>
      </c>
      <c r="C1575" t="s">
        <v>4179</v>
      </c>
      <c r="D1575" s="2" t="s">
        <v>150</v>
      </c>
      <c r="E1575">
        <v>2025</v>
      </c>
      <c r="F1575">
        <v>2027</v>
      </c>
      <c r="G1575" s="10">
        <v>7000000</v>
      </c>
      <c r="H1575">
        <f t="shared" si="96"/>
        <v>7000000</v>
      </c>
      <c r="I1575" t="str">
        <f t="shared" si="97"/>
        <v/>
      </c>
      <c r="J1575" t="str">
        <f t="shared" si="98"/>
        <v/>
      </c>
      <c r="K1575">
        <v>6490492.1799999997</v>
      </c>
      <c r="L1575" t="b">
        <f t="shared" si="99"/>
        <v>0</v>
      </c>
    </row>
    <row r="1576" spans="1:12" ht="16" x14ac:dyDescent="0.2">
      <c r="A1576" t="s">
        <v>5874</v>
      </c>
      <c r="B1576" t="s">
        <v>73</v>
      </c>
      <c r="C1576" t="s">
        <v>4180</v>
      </c>
      <c r="D1576" s="2" t="s">
        <v>151</v>
      </c>
      <c r="E1576">
        <v>2025</v>
      </c>
      <c r="F1576">
        <v>2027</v>
      </c>
      <c r="G1576" s="10">
        <v>5676666.666666667</v>
      </c>
      <c r="H1576">
        <f t="shared" si="96"/>
        <v>5676666.666666667</v>
      </c>
      <c r="I1576" t="str">
        <f t="shared" si="97"/>
        <v/>
      </c>
      <c r="J1576" t="str">
        <f t="shared" si="98"/>
        <v/>
      </c>
      <c r="K1576">
        <v>3966976.15</v>
      </c>
      <c r="L1576" t="b">
        <f t="shared" si="99"/>
        <v>0</v>
      </c>
    </row>
    <row r="1577" spans="1:12" ht="16" x14ac:dyDescent="0.2">
      <c r="A1577" t="s">
        <v>5875</v>
      </c>
      <c r="B1577" t="s">
        <v>73</v>
      </c>
      <c r="C1577" t="s">
        <v>4181</v>
      </c>
      <c r="D1577" s="2" t="s">
        <v>151</v>
      </c>
      <c r="E1577">
        <v>2025</v>
      </c>
      <c r="F1577">
        <v>2027</v>
      </c>
      <c r="G1577" s="10">
        <v>14026666.666666666</v>
      </c>
      <c r="H1577">
        <f t="shared" si="96"/>
        <v>14026666.666666666</v>
      </c>
      <c r="I1577" t="str">
        <f t="shared" si="97"/>
        <v/>
      </c>
      <c r="J1577" t="str">
        <f t="shared" si="98"/>
        <v/>
      </c>
      <c r="K1577">
        <v>23162884.57</v>
      </c>
      <c r="L1577" t="b">
        <f t="shared" si="99"/>
        <v>0</v>
      </c>
    </row>
    <row r="1578" spans="1:12" ht="16" x14ac:dyDescent="0.2">
      <c r="A1578" t="s">
        <v>5876</v>
      </c>
      <c r="B1578" t="s">
        <v>73</v>
      </c>
      <c r="C1578" t="s">
        <v>4182</v>
      </c>
      <c r="D1578" s="2" t="s">
        <v>151</v>
      </c>
      <c r="E1578">
        <v>2025</v>
      </c>
      <c r="F1578">
        <v>2026</v>
      </c>
      <c r="G1578" s="10">
        <v>4040000</v>
      </c>
      <c r="H1578" t="str">
        <f t="shared" si="96"/>
        <v/>
      </c>
      <c r="I1578" t="str">
        <f t="shared" si="97"/>
        <v/>
      </c>
      <c r="J1578" t="str">
        <f t="shared" si="98"/>
        <v/>
      </c>
      <c r="K1578">
        <v>1318731.17</v>
      </c>
      <c r="L1578" t="b">
        <f t="shared" si="99"/>
        <v>0</v>
      </c>
    </row>
    <row r="1579" spans="1:12" ht="16" x14ac:dyDescent="0.2">
      <c r="A1579" t="s">
        <v>5877</v>
      </c>
      <c r="B1579" t="s">
        <v>73</v>
      </c>
      <c r="C1579" t="s">
        <v>4183</v>
      </c>
      <c r="D1579" s="2" t="s">
        <v>151</v>
      </c>
      <c r="E1579">
        <v>2025</v>
      </c>
      <c r="F1579">
        <v>2026</v>
      </c>
      <c r="G1579" s="10">
        <v>2625000</v>
      </c>
      <c r="H1579" t="str">
        <f t="shared" si="96"/>
        <v/>
      </c>
      <c r="I1579" t="str">
        <f t="shared" si="97"/>
        <v/>
      </c>
      <c r="J1579" t="str">
        <f t="shared" si="98"/>
        <v/>
      </c>
      <c r="K1579">
        <v>1268140.8400000001</v>
      </c>
      <c r="L1579" t="b">
        <f t="shared" si="99"/>
        <v>0</v>
      </c>
    </row>
    <row r="1580" spans="1:12" ht="16" x14ac:dyDescent="0.2">
      <c r="A1580" t="s">
        <v>5878</v>
      </c>
      <c r="B1580" t="s">
        <v>73</v>
      </c>
      <c r="C1580" t="s">
        <v>4184</v>
      </c>
      <c r="D1580" s="2" t="s">
        <v>151</v>
      </c>
      <c r="G1580" s="10" t="s">
        <v>2892</v>
      </c>
      <c r="H1580" t="str">
        <f t="shared" si="96"/>
        <v/>
      </c>
      <c r="I1580" t="str">
        <f t="shared" si="97"/>
        <v/>
      </c>
      <c r="J1580" t="str">
        <f t="shared" si="98"/>
        <v/>
      </c>
      <c r="L1580" t="b">
        <f t="shared" si="99"/>
        <v>1</v>
      </c>
    </row>
    <row r="1581" spans="1:12" ht="16" x14ac:dyDescent="0.2">
      <c r="A1581" t="s">
        <v>5879</v>
      </c>
      <c r="B1581" t="s">
        <v>73</v>
      </c>
      <c r="C1581" t="s">
        <v>4185</v>
      </c>
      <c r="D1581" s="2" t="s">
        <v>151</v>
      </c>
      <c r="E1581">
        <v>2025</v>
      </c>
      <c r="F1581">
        <v>2026</v>
      </c>
      <c r="G1581" s="10">
        <v>1805000</v>
      </c>
      <c r="H1581" t="str">
        <f t="shared" si="96"/>
        <v/>
      </c>
      <c r="I1581" t="str">
        <f t="shared" si="97"/>
        <v/>
      </c>
      <c r="J1581" t="str">
        <f t="shared" si="98"/>
        <v/>
      </c>
      <c r="K1581">
        <v>243799.37</v>
      </c>
      <c r="L1581" t="b">
        <f t="shared" si="99"/>
        <v>0</v>
      </c>
    </row>
    <row r="1582" spans="1:12" ht="16" x14ac:dyDescent="0.2">
      <c r="A1582" t="s">
        <v>5880</v>
      </c>
      <c r="B1582" t="s">
        <v>73</v>
      </c>
      <c r="C1582" t="s">
        <v>4186</v>
      </c>
      <c r="D1582" s="2" t="s">
        <v>151</v>
      </c>
      <c r="E1582">
        <v>2025</v>
      </c>
      <c r="F1582">
        <v>2028</v>
      </c>
      <c r="G1582" s="10">
        <v>15407500</v>
      </c>
      <c r="H1582">
        <f t="shared" si="96"/>
        <v>15407500</v>
      </c>
      <c r="I1582">
        <f t="shared" si="97"/>
        <v>15407500</v>
      </c>
      <c r="J1582" t="str">
        <f t="shared" si="98"/>
        <v/>
      </c>
      <c r="K1582">
        <v>25501122.859999999</v>
      </c>
      <c r="L1582" t="b">
        <f t="shared" si="99"/>
        <v>0</v>
      </c>
    </row>
    <row r="1583" spans="1:12" ht="16" x14ac:dyDescent="0.2">
      <c r="A1583" t="s">
        <v>5881</v>
      </c>
      <c r="B1583" t="s">
        <v>73</v>
      </c>
      <c r="C1583" t="s">
        <v>4187</v>
      </c>
      <c r="D1583" s="2" t="s">
        <v>151</v>
      </c>
      <c r="E1583">
        <v>2025</v>
      </c>
      <c r="F1583">
        <v>2027</v>
      </c>
      <c r="G1583" s="10">
        <v>11380000</v>
      </c>
      <c r="H1583">
        <f t="shared" si="96"/>
        <v>11380000</v>
      </c>
      <c r="I1583" t="str">
        <f t="shared" si="97"/>
        <v/>
      </c>
      <c r="J1583" t="str">
        <f t="shared" si="98"/>
        <v/>
      </c>
      <c r="K1583">
        <v>12013479.74</v>
      </c>
      <c r="L1583" t="b">
        <f t="shared" si="99"/>
        <v>0</v>
      </c>
    </row>
    <row r="1584" spans="1:12" ht="16" x14ac:dyDescent="0.2">
      <c r="A1584" t="s">
        <v>5882</v>
      </c>
      <c r="B1584" t="s">
        <v>73</v>
      </c>
      <c r="C1584" t="s">
        <v>4188</v>
      </c>
      <c r="D1584" s="2" t="s">
        <v>151</v>
      </c>
      <c r="E1584">
        <v>2025</v>
      </c>
      <c r="F1584">
        <v>2026</v>
      </c>
      <c r="G1584" s="10">
        <v>6340000</v>
      </c>
      <c r="H1584" t="str">
        <f t="shared" si="96"/>
        <v/>
      </c>
      <c r="I1584" t="str">
        <f t="shared" si="97"/>
        <v/>
      </c>
      <c r="J1584" t="str">
        <f t="shared" si="98"/>
        <v/>
      </c>
      <c r="K1584">
        <v>2603714.2200000002</v>
      </c>
      <c r="L1584" t="b">
        <f t="shared" si="99"/>
        <v>0</v>
      </c>
    </row>
    <row r="1585" spans="1:12" ht="16" x14ac:dyDescent="0.2">
      <c r="A1585" t="s">
        <v>5883</v>
      </c>
      <c r="B1585" t="s">
        <v>73</v>
      </c>
      <c r="C1585" t="s">
        <v>4189</v>
      </c>
      <c r="D1585" s="2" t="s">
        <v>151</v>
      </c>
      <c r="E1585">
        <v>2025</v>
      </c>
      <c r="F1585">
        <v>2026</v>
      </c>
      <c r="G1585" s="10">
        <v>5115000</v>
      </c>
      <c r="H1585" t="str">
        <f t="shared" si="96"/>
        <v/>
      </c>
      <c r="I1585" t="str">
        <f t="shared" si="97"/>
        <v/>
      </c>
      <c r="J1585" t="str">
        <f t="shared" si="98"/>
        <v/>
      </c>
      <c r="K1585">
        <v>1328289</v>
      </c>
      <c r="L1585" t="b">
        <f t="shared" si="99"/>
        <v>0</v>
      </c>
    </row>
    <row r="1586" spans="1:12" ht="16" x14ac:dyDescent="0.2">
      <c r="A1586" t="s">
        <v>5884</v>
      </c>
      <c r="B1586" t="s">
        <v>73</v>
      </c>
      <c r="C1586" t="s">
        <v>4190</v>
      </c>
      <c r="D1586" s="2" t="s">
        <v>151</v>
      </c>
      <c r="E1586">
        <v>2025</v>
      </c>
      <c r="F1586">
        <v>2026</v>
      </c>
      <c r="G1586" s="10">
        <v>2780000</v>
      </c>
      <c r="H1586" t="str">
        <f t="shared" si="96"/>
        <v/>
      </c>
      <c r="I1586" t="str">
        <f t="shared" si="97"/>
        <v/>
      </c>
      <c r="J1586" t="str">
        <f t="shared" si="98"/>
        <v/>
      </c>
      <c r="K1586">
        <v>142432.68</v>
      </c>
      <c r="L1586" t="b">
        <f t="shared" si="99"/>
        <v>0</v>
      </c>
    </row>
    <row r="1587" spans="1:12" ht="16" x14ac:dyDescent="0.2">
      <c r="A1587" t="s">
        <v>5885</v>
      </c>
      <c r="B1587" t="s">
        <v>73</v>
      </c>
      <c r="C1587" t="s">
        <v>4191</v>
      </c>
      <c r="D1587" s="2" t="s">
        <v>151</v>
      </c>
      <c r="G1587" s="10" t="s">
        <v>2892</v>
      </c>
      <c r="H1587" t="str">
        <f t="shared" si="96"/>
        <v/>
      </c>
      <c r="I1587" t="str">
        <f t="shared" si="97"/>
        <v/>
      </c>
      <c r="J1587" t="str">
        <f t="shared" si="98"/>
        <v/>
      </c>
      <c r="L1587" t="b">
        <f t="shared" si="99"/>
        <v>1</v>
      </c>
    </row>
    <row r="1588" spans="1:12" ht="16" x14ac:dyDescent="0.2">
      <c r="A1588" t="s">
        <v>5886</v>
      </c>
      <c r="B1588" t="s">
        <v>73</v>
      </c>
      <c r="C1588" t="s">
        <v>4192</v>
      </c>
      <c r="D1588" s="2" t="s">
        <v>151</v>
      </c>
      <c r="E1588">
        <v>2025</v>
      </c>
      <c r="F1588">
        <v>2027</v>
      </c>
      <c r="G1588" s="10">
        <v>1936666.6666666665</v>
      </c>
      <c r="H1588">
        <f t="shared" si="96"/>
        <v>1936666.6666666665</v>
      </c>
      <c r="I1588" t="str">
        <f t="shared" si="97"/>
        <v/>
      </c>
      <c r="J1588" t="str">
        <f t="shared" si="98"/>
        <v/>
      </c>
      <c r="K1588">
        <v>54542.12</v>
      </c>
      <c r="L1588" t="b">
        <f t="shared" si="99"/>
        <v>0</v>
      </c>
    </row>
    <row r="1589" spans="1:12" ht="16" x14ac:dyDescent="0.2">
      <c r="A1589" t="s">
        <v>5887</v>
      </c>
      <c r="B1589" t="s">
        <v>73</v>
      </c>
      <c r="C1589" t="s">
        <v>4193</v>
      </c>
      <c r="D1589" s="2" t="s">
        <v>151</v>
      </c>
      <c r="E1589">
        <v>2025</v>
      </c>
      <c r="F1589">
        <v>2026</v>
      </c>
      <c r="G1589" s="10">
        <v>1390000</v>
      </c>
      <c r="H1589" t="str">
        <f t="shared" si="96"/>
        <v/>
      </c>
      <c r="I1589" t="str">
        <f t="shared" si="97"/>
        <v/>
      </c>
      <c r="J1589" t="str">
        <f t="shared" si="98"/>
        <v/>
      </c>
      <c r="K1589">
        <v>214340.24</v>
      </c>
      <c r="L1589" t="b">
        <f t="shared" si="99"/>
        <v>0</v>
      </c>
    </row>
    <row r="1590" spans="1:12" ht="16" x14ac:dyDescent="0.2">
      <c r="A1590" t="s">
        <v>5888</v>
      </c>
      <c r="B1590" t="s">
        <v>73</v>
      </c>
      <c r="C1590" t="s">
        <v>4194</v>
      </c>
      <c r="D1590" s="2" t="s">
        <v>151</v>
      </c>
      <c r="G1590" s="10" t="s">
        <v>2892</v>
      </c>
      <c r="H1590" t="str">
        <f t="shared" si="96"/>
        <v/>
      </c>
      <c r="I1590" t="str">
        <f t="shared" si="97"/>
        <v/>
      </c>
      <c r="J1590" t="str">
        <f t="shared" si="98"/>
        <v/>
      </c>
      <c r="L1590" t="b">
        <f t="shared" si="99"/>
        <v>1</v>
      </c>
    </row>
    <row r="1591" spans="1:12" ht="16" x14ac:dyDescent="0.2">
      <c r="A1591" t="s">
        <v>5889</v>
      </c>
      <c r="B1591" t="s">
        <v>73</v>
      </c>
      <c r="C1591" t="s">
        <v>4195</v>
      </c>
      <c r="D1591" s="2" t="s">
        <v>151</v>
      </c>
      <c r="E1591">
        <v>2025</v>
      </c>
      <c r="F1591">
        <v>2026</v>
      </c>
      <c r="G1591" s="10">
        <v>11300000</v>
      </c>
      <c r="H1591" t="str">
        <f t="shared" si="96"/>
        <v/>
      </c>
      <c r="I1591" t="str">
        <f t="shared" si="97"/>
        <v/>
      </c>
      <c r="J1591" t="str">
        <f t="shared" si="98"/>
        <v/>
      </c>
      <c r="K1591">
        <v>10165953.310000001</v>
      </c>
      <c r="L1591" t="b">
        <f t="shared" si="99"/>
        <v>0</v>
      </c>
    </row>
    <row r="1592" spans="1:12" ht="16" x14ac:dyDescent="0.2">
      <c r="A1592" t="s">
        <v>5890</v>
      </c>
      <c r="B1592" t="s">
        <v>73</v>
      </c>
      <c r="C1592" t="s">
        <v>4196</v>
      </c>
      <c r="D1592" s="2" t="s">
        <v>151</v>
      </c>
      <c r="G1592" s="10" t="s">
        <v>2892</v>
      </c>
      <c r="H1592" t="str">
        <f t="shared" si="96"/>
        <v/>
      </c>
      <c r="I1592" t="str">
        <f t="shared" si="97"/>
        <v/>
      </c>
      <c r="J1592" t="str">
        <f t="shared" si="98"/>
        <v/>
      </c>
      <c r="L1592" t="b">
        <f t="shared" si="99"/>
        <v>1</v>
      </c>
    </row>
    <row r="1593" spans="1:12" ht="16" x14ac:dyDescent="0.2">
      <c r="A1593" t="s">
        <v>5891</v>
      </c>
      <c r="B1593" t="s">
        <v>73</v>
      </c>
      <c r="C1593" t="s">
        <v>4197</v>
      </c>
      <c r="D1593" s="2" t="s">
        <v>151</v>
      </c>
      <c r="G1593" s="10" t="s">
        <v>2892</v>
      </c>
      <c r="H1593" t="str">
        <f t="shared" si="96"/>
        <v/>
      </c>
      <c r="I1593" t="str">
        <f t="shared" si="97"/>
        <v/>
      </c>
      <c r="J1593" t="str">
        <f t="shared" si="98"/>
        <v/>
      </c>
      <c r="L1593" t="b">
        <f t="shared" si="99"/>
        <v>1</v>
      </c>
    </row>
    <row r="1594" spans="1:12" ht="16" x14ac:dyDescent="0.2">
      <c r="A1594" t="s">
        <v>5892</v>
      </c>
      <c r="B1594" t="s">
        <v>73</v>
      </c>
      <c r="C1594" t="s">
        <v>4198</v>
      </c>
      <c r="D1594" s="2" t="s">
        <v>151</v>
      </c>
      <c r="E1594">
        <v>2025</v>
      </c>
      <c r="F1594">
        <v>2027</v>
      </c>
      <c r="G1594" s="10">
        <v>10240000</v>
      </c>
      <c r="H1594">
        <f t="shared" si="96"/>
        <v>10240000</v>
      </c>
      <c r="I1594" t="str">
        <f t="shared" si="97"/>
        <v/>
      </c>
      <c r="J1594" t="str">
        <f t="shared" si="98"/>
        <v/>
      </c>
      <c r="K1594">
        <v>10508954.140000001</v>
      </c>
      <c r="L1594" t="b">
        <f t="shared" si="99"/>
        <v>0</v>
      </c>
    </row>
    <row r="1595" spans="1:12" ht="16" x14ac:dyDescent="0.2">
      <c r="A1595" t="s">
        <v>5893</v>
      </c>
      <c r="B1595" t="s">
        <v>73</v>
      </c>
      <c r="C1595" t="s">
        <v>4199</v>
      </c>
      <c r="D1595" s="2" t="s">
        <v>151</v>
      </c>
      <c r="G1595" s="10" t="s">
        <v>2892</v>
      </c>
      <c r="H1595" t="str">
        <f t="shared" si="96"/>
        <v/>
      </c>
      <c r="I1595" t="str">
        <f t="shared" si="97"/>
        <v/>
      </c>
      <c r="J1595" t="str">
        <f t="shared" si="98"/>
        <v/>
      </c>
      <c r="L1595" t="b">
        <f t="shared" si="99"/>
        <v>1</v>
      </c>
    </row>
    <row r="1596" spans="1:12" ht="16" x14ac:dyDescent="0.2">
      <c r="A1596" t="s">
        <v>5894</v>
      </c>
      <c r="B1596" t="s">
        <v>73</v>
      </c>
      <c r="C1596" t="s">
        <v>4200</v>
      </c>
      <c r="D1596" s="2" t="s">
        <v>151</v>
      </c>
      <c r="E1596">
        <v>2025</v>
      </c>
      <c r="F1596">
        <v>2026</v>
      </c>
      <c r="G1596" s="10">
        <v>9935000</v>
      </c>
      <c r="H1596" t="str">
        <f t="shared" si="96"/>
        <v/>
      </c>
      <c r="I1596" t="str">
        <f t="shared" si="97"/>
        <v/>
      </c>
      <c r="J1596" t="str">
        <f t="shared" si="98"/>
        <v/>
      </c>
      <c r="K1596">
        <v>7606144.1399999997</v>
      </c>
      <c r="L1596" t="b">
        <f t="shared" si="99"/>
        <v>0</v>
      </c>
    </row>
    <row r="1597" spans="1:12" ht="16" x14ac:dyDescent="0.2">
      <c r="A1597" t="s">
        <v>5895</v>
      </c>
      <c r="B1597" t="s">
        <v>73</v>
      </c>
      <c r="C1597" t="s">
        <v>4201</v>
      </c>
      <c r="D1597" s="2" t="s">
        <v>151</v>
      </c>
      <c r="G1597" s="10" t="s">
        <v>2892</v>
      </c>
      <c r="H1597" t="str">
        <f t="shared" si="96"/>
        <v/>
      </c>
      <c r="I1597" t="str">
        <f t="shared" si="97"/>
        <v/>
      </c>
      <c r="J1597" t="str">
        <f t="shared" si="98"/>
        <v/>
      </c>
      <c r="L1597" t="b">
        <f t="shared" si="99"/>
        <v>1</v>
      </c>
    </row>
    <row r="1598" spans="1:12" ht="16" x14ac:dyDescent="0.2">
      <c r="A1598" t="s">
        <v>5896</v>
      </c>
      <c r="B1598" t="s">
        <v>73</v>
      </c>
      <c r="C1598" t="s">
        <v>4202</v>
      </c>
      <c r="D1598" s="2" t="s">
        <v>151</v>
      </c>
      <c r="E1598">
        <v>2025</v>
      </c>
      <c r="F1598">
        <v>2027</v>
      </c>
      <c r="G1598" s="10">
        <v>9110000</v>
      </c>
      <c r="H1598">
        <f t="shared" si="96"/>
        <v>9110000</v>
      </c>
      <c r="I1598" t="str">
        <f t="shared" si="97"/>
        <v/>
      </c>
      <c r="J1598" t="str">
        <f t="shared" si="98"/>
        <v/>
      </c>
      <c r="K1598">
        <v>8431297.5399999991</v>
      </c>
      <c r="L1598" t="b">
        <f t="shared" si="99"/>
        <v>0</v>
      </c>
    </row>
    <row r="1599" spans="1:12" ht="16" x14ac:dyDescent="0.2">
      <c r="A1599" t="s">
        <v>5897</v>
      </c>
      <c r="B1599" t="s">
        <v>73</v>
      </c>
      <c r="C1599" t="s">
        <v>4203</v>
      </c>
      <c r="D1599" s="2" t="s">
        <v>151</v>
      </c>
      <c r="E1599">
        <v>2025</v>
      </c>
      <c r="F1599">
        <v>2027</v>
      </c>
      <c r="G1599" s="10">
        <v>2470000</v>
      </c>
      <c r="H1599">
        <f t="shared" si="96"/>
        <v>2470000</v>
      </c>
      <c r="I1599" t="str">
        <f t="shared" si="97"/>
        <v/>
      </c>
      <c r="J1599" t="str">
        <f t="shared" si="98"/>
        <v/>
      </c>
      <c r="K1599">
        <v>242720.31</v>
      </c>
      <c r="L1599" t="b">
        <f t="shared" si="99"/>
        <v>0</v>
      </c>
    </row>
    <row r="1600" spans="1:12" ht="16" x14ac:dyDescent="0.2">
      <c r="A1600" t="s">
        <v>5898</v>
      </c>
      <c r="B1600" t="s">
        <v>73</v>
      </c>
      <c r="C1600" t="s">
        <v>4204</v>
      </c>
      <c r="D1600" s="2" t="s">
        <v>151</v>
      </c>
      <c r="E1600">
        <v>2025</v>
      </c>
      <c r="F1600">
        <v>2028</v>
      </c>
      <c r="G1600" s="10">
        <v>9987500</v>
      </c>
      <c r="H1600">
        <f t="shared" si="96"/>
        <v>9987500</v>
      </c>
      <c r="I1600">
        <f t="shared" si="97"/>
        <v>9987500</v>
      </c>
      <c r="J1600" t="str">
        <f t="shared" si="98"/>
        <v/>
      </c>
      <c r="K1600">
        <v>12281155.32</v>
      </c>
      <c r="L1600" t="b">
        <f t="shared" si="99"/>
        <v>0</v>
      </c>
    </row>
    <row r="1601" spans="1:12" ht="16" x14ac:dyDescent="0.2">
      <c r="A1601" t="s">
        <v>5899</v>
      </c>
      <c r="B1601" t="s">
        <v>73</v>
      </c>
      <c r="C1601" t="s">
        <v>4205</v>
      </c>
      <c r="D1601" s="2" t="s">
        <v>151</v>
      </c>
      <c r="E1601">
        <v>2025</v>
      </c>
      <c r="F1601">
        <v>2029</v>
      </c>
      <c r="G1601" s="10">
        <v>13732000</v>
      </c>
      <c r="H1601">
        <f t="shared" si="96"/>
        <v>13732000</v>
      </c>
      <c r="I1601">
        <f t="shared" si="97"/>
        <v>13732000</v>
      </c>
      <c r="J1601">
        <f t="shared" si="98"/>
        <v>13732000</v>
      </c>
      <c r="K1601">
        <v>30335698.940000001</v>
      </c>
      <c r="L1601" t="b">
        <f t="shared" si="99"/>
        <v>0</v>
      </c>
    </row>
    <row r="1602" spans="1:12" ht="16" x14ac:dyDescent="0.2">
      <c r="A1602" t="s">
        <v>5900</v>
      </c>
      <c r="B1602" t="s">
        <v>73</v>
      </c>
      <c r="C1602" t="s">
        <v>4206</v>
      </c>
      <c r="D1602" s="2" t="s">
        <v>151</v>
      </c>
      <c r="G1602" s="10" t="s">
        <v>2892</v>
      </c>
      <c r="H1602" t="str">
        <f t="shared" si="96"/>
        <v/>
      </c>
      <c r="I1602" t="str">
        <f t="shared" si="97"/>
        <v/>
      </c>
      <c r="J1602" t="str">
        <f t="shared" si="98"/>
        <v/>
      </c>
      <c r="L1602" t="b">
        <f t="shared" si="99"/>
        <v>1</v>
      </c>
    </row>
    <row r="1603" spans="1:12" ht="16" x14ac:dyDescent="0.2">
      <c r="A1603" t="s">
        <v>5901</v>
      </c>
      <c r="B1603" t="s">
        <v>73</v>
      </c>
      <c r="C1603" t="s">
        <v>4207</v>
      </c>
      <c r="D1603" s="2" t="s">
        <v>151</v>
      </c>
      <c r="E1603">
        <v>2025</v>
      </c>
      <c r="F1603">
        <v>2027</v>
      </c>
      <c r="G1603" s="10">
        <v>6236666.666666667</v>
      </c>
      <c r="H1603">
        <f t="shared" si="96"/>
        <v>6236666.666666667</v>
      </c>
      <c r="I1603" t="str">
        <f t="shared" si="97"/>
        <v/>
      </c>
      <c r="J1603" t="str">
        <f t="shared" si="98"/>
        <v/>
      </c>
      <c r="K1603">
        <v>4198436.4000000004</v>
      </c>
      <c r="L1603" t="b">
        <f t="shared" si="99"/>
        <v>0</v>
      </c>
    </row>
    <row r="1604" spans="1:12" ht="16" x14ac:dyDescent="0.2">
      <c r="A1604" t="s">
        <v>5902</v>
      </c>
      <c r="B1604" t="s">
        <v>73</v>
      </c>
      <c r="C1604" t="s">
        <v>4208</v>
      </c>
      <c r="D1604" s="2" t="s">
        <v>151</v>
      </c>
      <c r="E1604">
        <v>2025</v>
      </c>
      <c r="F1604">
        <v>2027</v>
      </c>
      <c r="G1604" s="10">
        <v>2756666.6666666665</v>
      </c>
      <c r="H1604">
        <f t="shared" ref="H1604:H1667" si="100">IF(F1604&gt;=2027,G1604,"")</f>
        <v>2756666.6666666665</v>
      </c>
      <c r="I1604" t="str">
        <f t="shared" ref="I1604:I1667" si="101">IF(F1604&gt;=2028,G1604,"")</f>
        <v/>
      </c>
      <c r="J1604" t="str">
        <f t="shared" ref="J1604:J1667" si="102">IF(F1604&gt;=2029,G1604,"")</f>
        <v/>
      </c>
      <c r="K1604">
        <v>702578.58</v>
      </c>
      <c r="L1604" t="b">
        <f t="shared" si="99"/>
        <v>0</v>
      </c>
    </row>
    <row r="1605" spans="1:12" ht="16" x14ac:dyDescent="0.2">
      <c r="A1605" t="s">
        <v>5903</v>
      </c>
      <c r="B1605" t="s">
        <v>73</v>
      </c>
      <c r="C1605" t="s">
        <v>4209</v>
      </c>
      <c r="D1605" s="2" t="s">
        <v>151</v>
      </c>
      <c r="E1605">
        <v>2025</v>
      </c>
      <c r="F1605">
        <v>2028</v>
      </c>
      <c r="G1605" s="10">
        <v>10417500</v>
      </c>
      <c r="H1605">
        <f t="shared" si="100"/>
        <v>10417500</v>
      </c>
      <c r="I1605">
        <f t="shared" si="101"/>
        <v>10417500</v>
      </c>
      <c r="J1605" t="str">
        <f t="shared" si="102"/>
        <v/>
      </c>
      <c r="K1605">
        <v>16432252.880000001</v>
      </c>
      <c r="L1605" t="b">
        <f t="shared" si="99"/>
        <v>0</v>
      </c>
    </row>
    <row r="1606" spans="1:12" ht="16" x14ac:dyDescent="0.2">
      <c r="A1606" t="s">
        <v>5904</v>
      </c>
      <c r="B1606" t="s">
        <v>73</v>
      </c>
      <c r="C1606" t="s">
        <v>4210</v>
      </c>
      <c r="D1606" s="2" t="s">
        <v>151</v>
      </c>
      <c r="G1606" s="10" t="s">
        <v>2892</v>
      </c>
      <c r="H1606" t="str">
        <f t="shared" si="100"/>
        <v/>
      </c>
      <c r="I1606" t="str">
        <f t="shared" si="101"/>
        <v/>
      </c>
      <c r="J1606" t="str">
        <f t="shared" si="102"/>
        <v/>
      </c>
      <c r="L1606" t="b">
        <f t="shared" si="99"/>
        <v>1</v>
      </c>
    </row>
    <row r="1607" spans="1:12" ht="16" x14ac:dyDescent="0.2">
      <c r="A1607" t="s">
        <v>5905</v>
      </c>
      <c r="B1607" t="s">
        <v>73</v>
      </c>
      <c r="C1607" t="s">
        <v>4211</v>
      </c>
      <c r="D1607" s="2" t="s">
        <v>151</v>
      </c>
      <c r="E1607">
        <v>2026</v>
      </c>
      <c r="F1607">
        <v>2029</v>
      </c>
      <c r="G1607" s="10">
        <v>4616666.666666666</v>
      </c>
      <c r="H1607">
        <f t="shared" si="100"/>
        <v>4616666.666666666</v>
      </c>
      <c r="I1607">
        <f t="shared" si="101"/>
        <v>4616666.666666666</v>
      </c>
      <c r="J1607">
        <f t="shared" si="102"/>
        <v>4616666.666666666</v>
      </c>
      <c r="K1607">
        <v>1815160</v>
      </c>
      <c r="L1607" t="b">
        <f t="shared" si="99"/>
        <v>0</v>
      </c>
    </row>
    <row r="1608" spans="1:12" ht="16" x14ac:dyDescent="0.2">
      <c r="A1608" t="s">
        <v>5906</v>
      </c>
      <c r="B1608" t="s">
        <v>73</v>
      </c>
      <c r="C1608" t="s">
        <v>4212</v>
      </c>
      <c r="D1608" s="2" t="s">
        <v>151</v>
      </c>
      <c r="E1608">
        <v>2025</v>
      </c>
      <c r="F1608">
        <v>2027</v>
      </c>
      <c r="G1608" s="10">
        <v>5906666.666666666</v>
      </c>
      <c r="H1608">
        <f t="shared" si="100"/>
        <v>5906666.666666666</v>
      </c>
      <c r="I1608" t="str">
        <f t="shared" si="101"/>
        <v/>
      </c>
      <c r="J1608" t="str">
        <f t="shared" si="102"/>
        <v/>
      </c>
      <c r="K1608">
        <v>2851918.1</v>
      </c>
      <c r="L1608" t="b">
        <f t="shared" si="99"/>
        <v>0</v>
      </c>
    </row>
    <row r="1609" spans="1:12" ht="16" x14ac:dyDescent="0.2">
      <c r="A1609" t="s">
        <v>5907</v>
      </c>
      <c r="B1609" t="s">
        <v>73</v>
      </c>
      <c r="C1609" t="s">
        <v>4213</v>
      </c>
      <c r="D1609" s="2" t="s">
        <v>151</v>
      </c>
      <c r="G1609" s="10" t="s">
        <v>2892</v>
      </c>
      <c r="H1609" t="str">
        <f t="shared" si="100"/>
        <v/>
      </c>
      <c r="I1609" t="str">
        <f t="shared" si="101"/>
        <v/>
      </c>
      <c r="J1609" t="str">
        <f t="shared" si="102"/>
        <v/>
      </c>
      <c r="L1609" t="b">
        <f t="shared" si="99"/>
        <v>1</v>
      </c>
    </row>
    <row r="1610" spans="1:12" ht="16" x14ac:dyDescent="0.2">
      <c r="A1610" t="s">
        <v>5908</v>
      </c>
      <c r="B1610" t="s">
        <v>73</v>
      </c>
      <c r="C1610" t="s">
        <v>4214</v>
      </c>
      <c r="D1610" s="2" t="s">
        <v>151</v>
      </c>
      <c r="E1610">
        <v>2025</v>
      </c>
      <c r="F1610">
        <v>2026</v>
      </c>
      <c r="G1610" s="10">
        <v>2220000</v>
      </c>
      <c r="H1610" t="str">
        <f t="shared" si="100"/>
        <v/>
      </c>
      <c r="I1610" t="str">
        <f t="shared" si="101"/>
        <v/>
      </c>
      <c r="J1610" t="str">
        <f t="shared" si="102"/>
        <v/>
      </c>
      <c r="K1610">
        <v>598779.65</v>
      </c>
      <c r="L1610" t="b">
        <f t="shared" si="99"/>
        <v>0</v>
      </c>
    </row>
    <row r="1611" spans="1:12" ht="16" x14ac:dyDescent="0.2">
      <c r="A1611" t="s">
        <v>5909</v>
      </c>
      <c r="B1611" t="s">
        <v>73</v>
      </c>
      <c r="C1611" t="s">
        <v>4215</v>
      </c>
      <c r="D1611" s="2" t="s">
        <v>151</v>
      </c>
      <c r="G1611" s="10" t="s">
        <v>2892</v>
      </c>
      <c r="H1611" t="str">
        <f t="shared" si="100"/>
        <v/>
      </c>
      <c r="I1611" t="str">
        <f t="shared" si="101"/>
        <v/>
      </c>
      <c r="J1611" t="str">
        <f t="shared" si="102"/>
        <v/>
      </c>
      <c r="L1611" t="b">
        <f t="shared" si="99"/>
        <v>1</v>
      </c>
    </row>
    <row r="1612" spans="1:12" ht="16" x14ac:dyDescent="0.2">
      <c r="A1612" t="s">
        <v>5910</v>
      </c>
      <c r="B1612" t="s">
        <v>73</v>
      </c>
      <c r="C1612" t="s">
        <v>4216</v>
      </c>
      <c r="D1612" s="2" t="s">
        <v>151</v>
      </c>
      <c r="G1612" s="10" t="s">
        <v>2892</v>
      </c>
      <c r="H1612" t="str">
        <f t="shared" si="100"/>
        <v/>
      </c>
      <c r="I1612" t="str">
        <f t="shared" si="101"/>
        <v/>
      </c>
      <c r="J1612" t="str">
        <f t="shared" si="102"/>
        <v/>
      </c>
      <c r="L1612" t="b">
        <f t="shared" si="99"/>
        <v>1</v>
      </c>
    </row>
    <row r="1613" spans="1:12" ht="16" x14ac:dyDescent="0.2">
      <c r="A1613" t="s">
        <v>5911</v>
      </c>
      <c r="B1613" t="s">
        <v>73</v>
      </c>
      <c r="C1613" t="s">
        <v>4217</v>
      </c>
      <c r="D1613" s="2" t="s">
        <v>151</v>
      </c>
      <c r="E1613">
        <v>2025</v>
      </c>
      <c r="F1613">
        <v>2026</v>
      </c>
      <c r="G1613" s="10">
        <v>4255000</v>
      </c>
      <c r="H1613" t="str">
        <f t="shared" si="100"/>
        <v/>
      </c>
      <c r="I1613" t="str">
        <f t="shared" si="101"/>
        <v/>
      </c>
      <c r="J1613" t="str">
        <f t="shared" si="102"/>
        <v/>
      </c>
      <c r="K1613">
        <v>2171354.4900000002</v>
      </c>
      <c r="L1613" t="b">
        <f t="shared" si="99"/>
        <v>0</v>
      </c>
    </row>
    <row r="1614" spans="1:12" ht="16" x14ac:dyDescent="0.2">
      <c r="A1614" t="s">
        <v>5912</v>
      </c>
      <c r="B1614" t="s">
        <v>73</v>
      </c>
      <c r="C1614" t="s">
        <v>4218</v>
      </c>
      <c r="D1614" s="2" t="s">
        <v>151</v>
      </c>
      <c r="E1614">
        <v>2025</v>
      </c>
      <c r="F1614">
        <v>2026</v>
      </c>
      <c r="G1614" s="10">
        <v>9155000</v>
      </c>
      <c r="H1614" t="str">
        <f t="shared" si="100"/>
        <v/>
      </c>
      <c r="I1614" t="str">
        <f t="shared" si="101"/>
        <v/>
      </c>
      <c r="J1614" t="str">
        <f t="shared" si="102"/>
        <v/>
      </c>
      <c r="K1614">
        <v>6163434.9199999999</v>
      </c>
      <c r="L1614" t="b">
        <f t="shared" si="99"/>
        <v>0</v>
      </c>
    </row>
    <row r="1615" spans="1:12" ht="16" x14ac:dyDescent="0.2">
      <c r="A1615" t="s">
        <v>5913</v>
      </c>
      <c r="B1615" t="s">
        <v>73</v>
      </c>
      <c r="C1615" t="s">
        <v>4219</v>
      </c>
      <c r="D1615" s="2" t="s">
        <v>151</v>
      </c>
      <c r="E1615">
        <v>2025</v>
      </c>
      <c r="F1615">
        <v>2027</v>
      </c>
      <c r="G1615" s="10">
        <v>10979999.999999998</v>
      </c>
      <c r="H1615">
        <f t="shared" si="100"/>
        <v>10979999.999999998</v>
      </c>
      <c r="I1615" t="str">
        <f t="shared" si="101"/>
        <v/>
      </c>
      <c r="J1615" t="str">
        <f t="shared" si="102"/>
        <v/>
      </c>
      <c r="K1615">
        <v>11330128.890000001</v>
      </c>
      <c r="L1615" t="b">
        <f t="shared" si="99"/>
        <v>0</v>
      </c>
    </row>
    <row r="1616" spans="1:12" ht="16" x14ac:dyDescent="0.2">
      <c r="A1616" t="s">
        <v>5914</v>
      </c>
      <c r="B1616" t="s">
        <v>73</v>
      </c>
      <c r="C1616" t="s">
        <v>4220</v>
      </c>
      <c r="D1616" s="2" t="s">
        <v>151</v>
      </c>
      <c r="E1616">
        <v>2025</v>
      </c>
      <c r="F1616">
        <v>2026</v>
      </c>
      <c r="G1616" s="10">
        <v>4865000</v>
      </c>
      <c r="H1616" t="str">
        <f t="shared" si="100"/>
        <v/>
      </c>
      <c r="I1616" t="str">
        <f t="shared" si="101"/>
        <v/>
      </c>
      <c r="J1616" t="str">
        <f t="shared" si="102"/>
        <v/>
      </c>
      <c r="K1616">
        <v>1971310.51</v>
      </c>
      <c r="L1616" t="b">
        <f t="shared" si="99"/>
        <v>0</v>
      </c>
    </row>
    <row r="1617" spans="1:12" ht="16" x14ac:dyDescent="0.2">
      <c r="A1617" t="s">
        <v>5915</v>
      </c>
      <c r="B1617" t="s">
        <v>73</v>
      </c>
      <c r="C1617" t="s">
        <v>4221</v>
      </c>
      <c r="D1617" s="2" t="s">
        <v>151</v>
      </c>
      <c r="G1617" s="10" t="s">
        <v>2892</v>
      </c>
      <c r="H1617" t="str">
        <f t="shared" si="100"/>
        <v/>
      </c>
      <c r="I1617" t="str">
        <f t="shared" si="101"/>
        <v/>
      </c>
      <c r="J1617" t="str">
        <f t="shared" si="102"/>
        <v/>
      </c>
      <c r="L1617" t="b">
        <f t="shared" si="99"/>
        <v>1</v>
      </c>
    </row>
    <row r="1618" spans="1:12" ht="16" x14ac:dyDescent="0.2">
      <c r="A1618" t="s">
        <v>5916</v>
      </c>
      <c r="B1618" t="s">
        <v>73</v>
      </c>
      <c r="C1618" t="s">
        <v>4222</v>
      </c>
      <c r="D1618" s="2" t="s">
        <v>151</v>
      </c>
      <c r="E1618">
        <v>2025</v>
      </c>
      <c r="F1618">
        <v>2026</v>
      </c>
      <c r="G1618" s="10">
        <v>2495000</v>
      </c>
      <c r="H1618" t="str">
        <f t="shared" si="100"/>
        <v/>
      </c>
      <c r="I1618" t="str">
        <f t="shared" si="101"/>
        <v/>
      </c>
      <c r="J1618" t="str">
        <f t="shared" si="102"/>
        <v/>
      </c>
      <c r="K1618">
        <v>237260.13</v>
      </c>
      <c r="L1618" t="b">
        <f t="shared" si="99"/>
        <v>0</v>
      </c>
    </row>
    <row r="1619" spans="1:12" ht="16" x14ac:dyDescent="0.2">
      <c r="A1619" t="s">
        <v>5917</v>
      </c>
      <c r="B1619" t="s">
        <v>73</v>
      </c>
      <c r="C1619" t="s">
        <v>4223</v>
      </c>
      <c r="D1619" s="2" t="s">
        <v>151</v>
      </c>
      <c r="E1619">
        <v>2025</v>
      </c>
      <c r="F1619">
        <v>2027</v>
      </c>
      <c r="G1619" s="10">
        <v>9046666.666666666</v>
      </c>
      <c r="H1619">
        <f t="shared" si="100"/>
        <v>9046666.666666666</v>
      </c>
      <c r="I1619" t="str">
        <f t="shared" si="101"/>
        <v/>
      </c>
      <c r="J1619" t="str">
        <f t="shared" si="102"/>
        <v/>
      </c>
      <c r="K1619">
        <v>6921058.2999999998</v>
      </c>
      <c r="L1619" t="b">
        <f t="shared" si="99"/>
        <v>0</v>
      </c>
    </row>
    <row r="1620" spans="1:12" ht="16" x14ac:dyDescent="0.2">
      <c r="A1620" t="s">
        <v>5918</v>
      </c>
      <c r="B1620" t="s">
        <v>73</v>
      </c>
      <c r="C1620" t="s">
        <v>4224</v>
      </c>
      <c r="D1620" s="2" t="s">
        <v>151</v>
      </c>
      <c r="G1620" s="10" t="s">
        <v>2892</v>
      </c>
      <c r="H1620" t="str">
        <f t="shared" si="100"/>
        <v/>
      </c>
      <c r="I1620" t="str">
        <f t="shared" si="101"/>
        <v/>
      </c>
      <c r="J1620" t="str">
        <f t="shared" si="102"/>
        <v/>
      </c>
      <c r="L1620" t="b">
        <f t="shared" si="99"/>
        <v>1</v>
      </c>
    </row>
    <row r="1621" spans="1:12" ht="16" x14ac:dyDescent="0.2">
      <c r="A1621" t="s">
        <v>5919</v>
      </c>
      <c r="B1621" t="s">
        <v>73</v>
      </c>
      <c r="C1621" t="s">
        <v>4225</v>
      </c>
      <c r="D1621" s="2" t="s">
        <v>151</v>
      </c>
      <c r="E1621">
        <v>2025</v>
      </c>
      <c r="F1621">
        <v>2026</v>
      </c>
      <c r="G1621" s="10">
        <v>3280000</v>
      </c>
      <c r="H1621" t="str">
        <f t="shared" si="100"/>
        <v/>
      </c>
      <c r="I1621" t="str">
        <f t="shared" si="101"/>
        <v/>
      </c>
      <c r="J1621" t="str">
        <f t="shared" si="102"/>
        <v/>
      </c>
      <c r="K1621">
        <v>1283836.77</v>
      </c>
      <c r="L1621" t="b">
        <f t="shared" si="99"/>
        <v>0</v>
      </c>
    </row>
    <row r="1622" spans="1:12" ht="16" x14ac:dyDescent="0.2">
      <c r="A1622" t="s">
        <v>5920</v>
      </c>
      <c r="B1622" t="s">
        <v>73</v>
      </c>
      <c r="C1622" t="s">
        <v>4226</v>
      </c>
      <c r="D1622" s="2" t="s">
        <v>151</v>
      </c>
      <c r="G1622" s="10" t="s">
        <v>2892</v>
      </c>
      <c r="H1622" t="str">
        <f t="shared" si="100"/>
        <v/>
      </c>
      <c r="I1622" t="str">
        <f t="shared" si="101"/>
        <v/>
      </c>
      <c r="J1622" t="str">
        <f t="shared" si="102"/>
        <v/>
      </c>
      <c r="L1622" t="b">
        <f t="shared" si="99"/>
        <v>1</v>
      </c>
    </row>
    <row r="1623" spans="1:12" ht="16" x14ac:dyDescent="0.2">
      <c r="A1623" t="s">
        <v>5921</v>
      </c>
      <c r="B1623" t="s">
        <v>73</v>
      </c>
      <c r="C1623" t="s">
        <v>4227</v>
      </c>
      <c r="D1623" s="2" t="s">
        <v>151</v>
      </c>
      <c r="E1623">
        <v>2025</v>
      </c>
      <c r="F1623">
        <v>2027</v>
      </c>
      <c r="G1623" s="10">
        <v>1920000</v>
      </c>
      <c r="H1623">
        <f t="shared" si="100"/>
        <v>1920000</v>
      </c>
      <c r="I1623" t="str">
        <f t="shared" si="101"/>
        <v/>
      </c>
      <c r="J1623" t="str">
        <f t="shared" si="102"/>
        <v/>
      </c>
      <c r="K1623">
        <v>332723.8</v>
      </c>
      <c r="L1623" t="b">
        <f t="shared" si="99"/>
        <v>0</v>
      </c>
    </row>
    <row r="1624" spans="1:12" ht="16" x14ac:dyDescent="0.2">
      <c r="A1624" t="s">
        <v>5922</v>
      </c>
      <c r="B1624" t="s">
        <v>73</v>
      </c>
      <c r="C1624" t="s">
        <v>4228</v>
      </c>
      <c r="D1624" s="2" t="s">
        <v>151</v>
      </c>
      <c r="E1624">
        <v>2025</v>
      </c>
      <c r="F1624">
        <v>2026</v>
      </c>
      <c r="G1624" s="10">
        <v>4760000</v>
      </c>
      <c r="H1624" t="str">
        <f t="shared" si="100"/>
        <v/>
      </c>
      <c r="I1624" t="str">
        <f t="shared" si="101"/>
        <v/>
      </c>
      <c r="J1624" t="str">
        <f t="shared" si="102"/>
        <v/>
      </c>
      <c r="K1624">
        <v>3769915.26</v>
      </c>
      <c r="L1624" t="b">
        <f t="shared" si="99"/>
        <v>0</v>
      </c>
    </row>
    <row r="1625" spans="1:12" ht="16" x14ac:dyDescent="0.2">
      <c r="A1625" t="s">
        <v>5923</v>
      </c>
      <c r="B1625" t="s">
        <v>73</v>
      </c>
      <c r="C1625" t="s">
        <v>4229</v>
      </c>
      <c r="D1625" s="2" t="s">
        <v>151</v>
      </c>
      <c r="E1625">
        <v>2025</v>
      </c>
      <c r="F1625">
        <v>2026</v>
      </c>
      <c r="G1625" s="10">
        <v>2705000</v>
      </c>
      <c r="H1625" t="str">
        <f t="shared" si="100"/>
        <v/>
      </c>
      <c r="I1625" t="str">
        <f t="shared" si="101"/>
        <v/>
      </c>
      <c r="J1625" t="str">
        <f t="shared" si="102"/>
        <v/>
      </c>
      <c r="K1625">
        <v>1578768.07</v>
      </c>
      <c r="L1625" t="b">
        <f t="shared" si="99"/>
        <v>0</v>
      </c>
    </row>
    <row r="1626" spans="1:12" ht="16" x14ac:dyDescent="0.2">
      <c r="A1626" t="s">
        <v>5924</v>
      </c>
      <c r="B1626" t="s">
        <v>73</v>
      </c>
      <c r="C1626" t="s">
        <v>4230</v>
      </c>
      <c r="D1626" s="2" t="s">
        <v>151</v>
      </c>
      <c r="E1626">
        <v>2025</v>
      </c>
      <c r="F1626">
        <v>2026</v>
      </c>
      <c r="G1626" s="10">
        <v>1945000</v>
      </c>
      <c r="H1626" t="str">
        <f t="shared" si="100"/>
        <v/>
      </c>
      <c r="I1626" t="str">
        <f t="shared" si="101"/>
        <v/>
      </c>
      <c r="J1626" t="str">
        <f t="shared" si="102"/>
        <v/>
      </c>
      <c r="K1626">
        <v>867631.41</v>
      </c>
      <c r="L1626" t="b">
        <f t="shared" si="99"/>
        <v>0</v>
      </c>
    </row>
    <row r="1627" spans="1:12" ht="16" x14ac:dyDescent="0.2">
      <c r="A1627" t="s">
        <v>5925</v>
      </c>
      <c r="B1627" t="s">
        <v>73</v>
      </c>
      <c r="C1627" t="s">
        <v>4231</v>
      </c>
      <c r="D1627" s="2" t="s">
        <v>151</v>
      </c>
      <c r="G1627" s="10" t="s">
        <v>2892</v>
      </c>
      <c r="H1627" t="str">
        <f t="shared" si="100"/>
        <v/>
      </c>
      <c r="I1627" t="str">
        <f t="shared" si="101"/>
        <v/>
      </c>
      <c r="J1627" t="str">
        <f t="shared" si="102"/>
        <v/>
      </c>
      <c r="L1627" t="b">
        <f t="shared" si="99"/>
        <v>1</v>
      </c>
    </row>
    <row r="1628" spans="1:12" ht="16" x14ac:dyDescent="0.2">
      <c r="A1628" t="s">
        <v>5926</v>
      </c>
      <c r="B1628" t="s">
        <v>73</v>
      </c>
      <c r="C1628" t="s">
        <v>4232</v>
      </c>
      <c r="D1628" s="2" t="s">
        <v>151</v>
      </c>
      <c r="E1628">
        <v>2025</v>
      </c>
      <c r="F1628">
        <v>2027</v>
      </c>
      <c r="G1628" s="10">
        <v>3600000</v>
      </c>
      <c r="H1628">
        <f t="shared" si="100"/>
        <v>3600000</v>
      </c>
      <c r="I1628" t="str">
        <f t="shared" si="101"/>
        <v/>
      </c>
      <c r="J1628" t="str">
        <f t="shared" si="102"/>
        <v/>
      </c>
      <c r="K1628">
        <v>2161255.13</v>
      </c>
      <c r="L1628" t="b">
        <f t="shared" si="99"/>
        <v>0</v>
      </c>
    </row>
    <row r="1629" spans="1:12" ht="16" x14ac:dyDescent="0.2">
      <c r="A1629" t="s">
        <v>5927</v>
      </c>
      <c r="B1629" t="s">
        <v>73</v>
      </c>
      <c r="C1629" t="s">
        <v>4233</v>
      </c>
      <c r="D1629" s="2" t="s">
        <v>151</v>
      </c>
      <c r="G1629" s="10" t="s">
        <v>2892</v>
      </c>
      <c r="H1629" t="str">
        <f t="shared" si="100"/>
        <v/>
      </c>
      <c r="I1629" t="str">
        <f t="shared" si="101"/>
        <v/>
      </c>
      <c r="J1629" t="str">
        <f t="shared" si="102"/>
        <v/>
      </c>
      <c r="L1629" t="b">
        <f t="shared" si="99"/>
        <v>1</v>
      </c>
    </row>
    <row r="1630" spans="1:12" ht="16" x14ac:dyDescent="0.2">
      <c r="A1630" t="s">
        <v>5928</v>
      </c>
      <c r="B1630" t="s">
        <v>73</v>
      </c>
      <c r="C1630" t="s">
        <v>4234</v>
      </c>
      <c r="D1630" s="2" t="s">
        <v>151</v>
      </c>
      <c r="E1630">
        <v>2025</v>
      </c>
      <c r="F1630">
        <v>2026</v>
      </c>
      <c r="G1630" s="10">
        <v>3710000</v>
      </c>
      <c r="H1630" t="str">
        <f t="shared" si="100"/>
        <v/>
      </c>
      <c r="I1630" t="str">
        <f t="shared" si="101"/>
        <v/>
      </c>
      <c r="J1630" t="str">
        <f t="shared" si="102"/>
        <v/>
      </c>
      <c r="K1630">
        <v>2206595.64</v>
      </c>
      <c r="L1630" t="b">
        <f t="shared" si="99"/>
        <v>0</v>
      </c>
    </row>
    <row r="1631" spans="1:12" ht="16" x14ac:dyDescent="0.2">
      <c r="A1631" t="s">
        <v>5929</v>
      </c>
      <c r="B1631" t="s">
        <v>73</v>
      </c>
      <c r="C1631" t="s">
        <v>4235</v>
      </c>
      <c r="D1631" s="2" t="s">
        <v>151</v>
      </c>
      <c r="E1631">
        <v>2025</v>
      </c>
      <c r="F1631">
        <v>2026</v>
      </c>
      <c r="G1631" s="10">
        <v>4535000</v>
      </c>
      <c r="H1631" t="str">
        <f t="shared" si="100"/>
        <v/>
      </c>
      <c r="I1631" t="str">
        <f t="shared" si="101"/>
        <v/>
      </c>
      <c r="J1631" t="str">
        <f t="shared" si="102"/>
        <v/>
      </c>
      <c r="K1631">
        <v>2084274.9</v>
      </c>
      <c r="L1631" t="b">
        <f t="shared" si="99"/>
        <v>0</v>
      </c>
    </row>
    <row r="1632" spans="1:12" ht="16" x14ac:dyDescent="0.2">
      <c r="A1632" t="s">
        <v>5930</v>
      </c>
      <c r="B1632" t="s">
        <v>73</v>
      </c>
      <c r="C1632" t="s">
        <v>4236</v>
      </c>
      <c r="D1632" s="2" t="s">
        <v>152</v>
      </c>
      <c r="E1632">
        <v>2025</v>
      </c>
      <c r="F1632">
        <v>2028</v>
      </c>
      <c r="G1632" s="10">
        <v>14157500</v>
      </c>
      <c r="H1632">
        <f t="shared" si="100"/>
        <v>14157500</v>
      </c>
      <c r="I1632">
        <f t="shared" si="101"/>
        <v>14157500</v>
      </c>
      <c r="J1632" t="str">
        <f t="shared" si="102"/>
        <v/>
      </c>
      <c r="K1632">
        <v>16385665.1</v>
      </c>
      <c r="L1632" t="b">
        <f t="shared" si="99"/>
        <v>0</v>
      </c>
    </row>
    <row r="1633" spans="1:12" ht="16" x14ac:dyDescent="0.2">
      <c r="A1633" t="s">
        <v>5931</v>
      </c>
      <c r="B1633" t="s">
        <v>73</v>
      </c>
      <c r="C1633" t="s">
        <v>4237</v>
      </c>
      <c r="D1633" s="2" t="s">
        <v>152</v>
      </c>
      <c r="E1633">
        <v>2025</v>
      </c>
      <c r="F1633">
        <v>2026</v>
      </c>
      <c r="G1633" s="10">
        <v>5830000</v>
      </c>
      <c r="H1633" t="str">
        <f t="shared" si="100"/>
        <v/>
      </c>
      <c r="I1633" t="str">
        <f t="shared" si="101"/>
        <v/>
      </c>
      <c r="J1633" t="str">
        <f t="shared" si="102"/>
        <v/>
      </c>
      <c r="K1633">
        <v>1460131.55</v>
      </c>
      <c r="L1633" t="b">
        <f t="shared" si="99"/>
        <v>0</v>
      </c>
    </row>
    <row r="1634" spans="1:12" ht="16" x14ac:dyDescent="0.2">
      <c r="A1634" t="s">
        <v>5932</v>
      </c>
      <c r="B1634" t="s">
        <v>73</v>
      </c>
      <c r="C1634" t="s">
        <v>4238</v>
      </c>
      <c r="D1634" s="2" t="s">
        <v>152</v>
      </c>
      <c r="E1634">
        <v>2025</v>
      </c>
      <c r="F1634">
        <v>2026</v>
      </c>
      <c r="G1634" s="10">
        <v>3590000</v>
      </c>
      <c r="H1634" t="str">
        <f t="shared" si="100"/>
        <v/>
      </c>
      <c r="I1634" t="str">
        <f t="shared" si="101"/>
        <v/>
      </c>
      <c r="J1634" t="str">
        <f t="shared" si="102"/>
        <v/>
      </c>
      <c r="K1634">
        <v>1450000.9</v>
      </c>
      <c r="L1634" t="b">
        <f t="shared" si="99"/>
        <v>0</v>
      </c>
    </row>
    <row r="1635" spans="1:12" ht="16" x14ac:dyDescent="0.2">
      <c r="A1635" t="s">
        <v>5933</v>
      </c>
      <c r="B1635" t="s">
        <v>73</v>
      </c>
      <c r="C1635" t="s">
        <v>4239</v>
      </c>
      <c r="D1635" s="2" t="s">
        <v>152</v>
      </c>
      <c r="G1635" s="10" t="s">
        <v>2892</v>
      </c>
      <c r="H1635" t="str">
        <f t="shared" si="100"/>
        <v/>
      </c>
      <c r="I1635" t="str">
        <f t="shared" si="101"/>
        <v/>
      </c>
      <c r="J1635" t="str">
        <f t="shared" si="102"/>
        <v/>
      </c>
      <c r="L1635" t="b">
        <f t="shared" ref="L1635:L1698" si="103">IF(F1635="",TRUE,FALSE)</f>
        <v>1</v>
      </c>
    </row>
    <row r="1636" spans="1:12" ht="16" x14ac:dyDescent="0.2">
      <c r="A1636" t="s">
        <v>5934</v>
      </c>
      <c r="B1636" t="s">
        <v>73</v>
      </c>
      <c r="C1636" t="s">
        <v>4240</v>
      </c>
      <c r="D1636" s="2" t="s">
        <v>152</v>
      </c>
      <c r="E1636">
        <v>2025</v>
      </c>
      <c r="F1636">
        <v>2027</v>
      </c>
      <c r="G1636" s="10">
        <v>11846666.666666666</v>
      </c>
      <c r="H1636">
        <f t="shared" si="100"/>
        <v>11846666.666666666</v>
      </c>
      <c r="I1636" t="str">
        <f t="shared" si="101"/>
        <v/>
      </c>
      <c r="J1636" t="str">
        <f t="shared" si="102"/>
        <v/>
      </c>
      <c r="K1636">
        <v>11884883.68</v>
      </c>
      <c r="L1636" t="b">
        <f t="shared" si="103"/>
        <v>0</v>
      </c>
    </row>
    <row r="1637" spans="1:12" ht="16" x14ac:dyDescent="0.2">
      <c r="A1637" t="s">
        <v>5935</v>
      </c>
      <c r="B1637" t="s">
        <v>73</v>
      </c>
      <c r="C1637" t="s">
        <v>4241</v>
      </c>
      <c r="D1637" s="2" t="s">
        <v>152</v>
      </c>
      <c r="E1637">
        <v>2025</v>
      </c>
      <c r="F1637">
        <v>2026</v>
      </c>
      <c r="G1637" s="10">
        <v>5905000</v>
      </c>
      <c r="H1637" t="str">
        <f t="shared" si="100"/>
        <v/>
      </c>
      <c r="I1637" t="str">
        <f t="shared" si="101"/>
        <v/>
      </c>
      <c r="J1637" t="str">
        <f t="shared" si="102"/>
        <v/>
      </c>
      <c r="K1637">
        <v>1279292.45</v>
      </c>
      <c r="L1637" t="b">
        <f t="shared" si="103"/>
        <v>0</v>
      </c>
    </row>
    <row r="1638" spans="1:12" ht="16" x14ac:dyDescent="0.2">
      <c r="A1638" t="s">
        <v>5936</v>
      </c>
      <c r="B1638" t="s">
        <v>73</v>
      </c>
      <c r="C1638" t="s">
        <v>4242</v>
      </c>
      <c r="D1638" s="2" t="s">
        <v>152</v>
      </c>
      <c r="E1638">
        <v>2026</v>
      </c>
      <c r="F1638">
        <v>2027</v>
      </c>
      <c r="G1638" s="10">
        <v>5920000</v>
      </c>
      <c r="H1638">
        <f t="shared" si="100"/>
        <v>5920000</v>
      </c>
      <c r="I1638" t="str">
        <f t="shared" si="101"/>
        <v/>
      </c>
      <c r="J1638" t="str">
        <f t="shared" si="102"/>
        <v/>
      </c>
      <c r="K1638">
        <v>1354856.88</v>
      </c>
      <c r="L1638" t="b">
        <f t="shared" si="103"/>
        <v>0</v>
      </c>
    </row>
    <row r="1639" spans="1:12" ht="16" x14ac:dyDescent="0.2">
      <c r="A1639" t="s">
        <v>5937</v>
      </c>
      <c r="B1639" t="s">
        <v>73</v>
      </c>
      <c r="C1639" t="s">
        <v>4243</v>
      </c>
      <c r="D1639" s="2" t="s">
        <v>152</v>
      </c>
      <c r="G1639" s="10" t="s">
        <v>2892</v>
      </c>
      <c r="H1639" t="str">
        <f t="shared" si="100"/>
        <v/>
      </c>
      <c r="I1639" t="str">
        <f t="shared" si="101"/>
        <v/>
      </c>
      <c r="J1639" t="str">
        <f t="shared" si="102"/>
        <v/>
      </c>
      <c r="L1639" t="b">
        <f t="shared" si="103"/>
        <v>1</v>
      </c>
    </row>
    <row r="1640" spans="1:12" ht="16" x14ac:dyDescent="0.2">
      <c r="A1640" t="s">
        <v>5938</v>
      </c>
      <c r="B1640" t="s">
        <v>73</v>
      </c>
      <c r="C1640" t="s">
        <v>4244</v>
      </c>
      <c r="D1640" s="2" t="s">
        <v>152</v>
      </c>
      <c r="G1640" s="10" t="s">
        <v>2892</v>
      </c>
      <c r="H1640" t="str">
        <f t="shared" si="100"/>
        <v/>
      </c>
      <c r="I1640" t="str">
        <f t="shared" si="101"/>
        <v/>
      </c>
      <c r="J1640" t="str">
        <f t="shared" si="102"/>
        <v/>
      </c>
      <c r="L1640" t="b">
        <f t="shared" si="103"/>
        <v>1</v>
      </c>
    </row>
    <row r="1641" spans="1:12" ht="16" x14ac:dyDescent="0.2">
      <c r="A1641" t="s">
        <v>5939</v>
      </c>
      <c r="B1641" t="s">
        <v>73</v>
      </c>
      <c r="C1641" t="s">
        <v>4245</v>
      </c>
      <c r="D1641" s="2" t="s">
        <v>152</v>
      </c>
      <c r="E1641">
        <v>2025</v>
      </c>
      <c r="F1641">
        <v>2027</v>
      </c>
      <c r="G1641" s="10">
        <v>3110000</v>
      </c>
      <c r="H1641">
        <f t="shared" si="100"/>
        <v>3110000</v>
      </c>
      <c r="I1641" t="str">
        <f t="shared" si="101"/>
        <v/>
      </c>
      <c r="J1641" t="str">
        <f t="shared" si="102"/>
        <v/>
      </c>
      <c r="K1641">
        <v>1651040.15</v>
      </c>
      <c r="L1641" t="b">
        <f t="shared" si="103"/>
        <v>0</v>
      </c>
    </row>
    <row r="1642" spans="1:12" ht="16" x14ac:dyDescent="0.2">
      <c r="A1642" t="s">
        <v>5940</v>
      </c>
      <c r="B1642" t="s">
        <v>73</v>
      </c>
      <c r="C1642" t="s">
        <v>4246</v>
      </c>
      <c r="D1642" s="2" t="s">
        <v>152</v>
      </c>
      <c r="G1642" s="10" t="s">
        <v>2892</v>
      </c>
      <c r="H1642" t="str">
        <f t="shared" si="100"/>
        <v/>
      </c>
      <c r="I1642" t="str">
        <f t="shared" si="101"/>
        <v/>
      </c>
      <c r="J1642" t="str">
        <f t="shared" si="102"/>
        <v/>
      </c>
      <c r="L1642" t="b">
        <f t="shared" si="103"/>
        <v>1</v>
      </c>
    </row>
    <row r="1643" spans="1:12" ht="16" x14ac:dyDescent="0.2">
      <c r="A1643" t="s">
        <v>5941</v>
      </c>
      <c r="B1643" t="s">
        <v>73</v>
      </c>
      <c r="C1643" t="s">
        <v>4247</v>
      </c>
      <c r="D1643" s="2" t="s">
        <v>152</v>
      </c>
      <c r="E1643">
        <v>2025</v>
      </c>
      <c r="F1643">
        <v>2027</v>
      </c>
      <c r="G1643" s="10">
        <v>2336666.6666666665</v>
      </c>
      <c r="H1643">
        <f t="shared" si="100"/>
        <v>2336666.6666666665</v>
      </c>
      <c r="I1643" t="str">
        <f t="shared" si="101"/>
        <v/>
      </c>
      <c r="J1643" t="str">
        <f t="shared" si="102"/>
        <v/>
      </c>
      <c r="K1643">
        <v>5515.44</v>
      </c>
      <c r="L1643" t="b">
        <f t="shared" si="103"/>
        <v>0</v>
      </c>
    </row>
    <row r="1644" spans="1:12" ht="16" x14ac:dyDescent="0.2">
      <c r="A1644" t="s">
        <v>5942</v>
      </c>
      <c r="B1644" t="s">
        <v>73</v>
      </c>
      <c r="C1644" t="s">
        <v>4248</v>
      </c>
      <c r="D1644" s="2" t="s">
        <v>152</v>
      </c>
      <c r="E1644">
        <v>2026</v>
      </c>
      <c r="F1644">
        <v>2028</v>
      </c>
      <c r="G1644" s="10">
        <v>15780000</v>
      </c>
      <c r="H1644">
        <f t="shared" si="100"/>
        <v>15780000</v>
      </c>
      <c r="I1644">
        <f t="shared" si="101"/>
        <v>15780000</v>
      </c>
      <c r="J1644" t="str">
        <f t="shared" si="102"/>
        <v/>
      </c>
      <c r="K1644">
        <v>13481252.539999999</v>
      </c>
      <c r="L1644" t="b">
        <f t="shared" si="103"/>
        <v>0</v>
      </c>
    </row>
    <row r="1645" spans="1:12" ht="16" x14ac:dyDescent="0.2">
      <c r="A1645" t="s">
        <v>5943</v>
      </c>
      <c r="B1645" t="s">
        <v>73</v>
      </c>
      <c r="C1645" t="s">
        <v>4249</v>
      </c>
      <c r="D1645" s="2" t="s">
        <v>152</v>
      </c>
      <c r="E1645">
        <v>2025</v>
      </c>
      <c r="F1645">
        <v>2027</v>
      </c>
      <c r="G1645" s="10">
        <v>7200000</v>
      </c>
      <c r="H1645">
        <f t="shared" si="100"/>
        <v>7200000</v>
      </c>
      <c r="I1645" t="str">
        <f t="shared" si="101"/>
        <v/>
      </c>
      <c r="J1645" t="str">
        <f t="shared" si="102"/>
        <v/>
      </c>
      <c r="K1645">
        <v>9392260.1400000006</v>
      </c>
      <c r="L1645" t="b">
        <f t="shared" si="103"/>
        <v>0</v>
      </c>
    </row>
    <row r="1646" spans="1:12" ht="16" x14ac:dyDescent="0.2">
      <c r="A1646" t="s">
        <v>5944</v>
      </c>
      <c r="B1646" t="s">
        <v>73</v>
      </c>
      <c r="C1646" t="s">
        <v>4250</v>
      </c>
      <c r="D1646" s="2" t="s">
        <v>152</v>
      </c>
      <c r="G1646" s="10" t="s">
        <v>2892</v>
      </c>
      <c r="H1646" t="str">
        <f t="shared" si="100"/>
        <v/>
      </c>
      <c r="I1646" t="str">
        <f t="shared" si="101"/>
        <v/>
      </c>
      <c r="J1646" t="str">
        <f t="shared" si="102"/>
        <v/>
      </c>
      <c r="L1646" t="b">
        <f t="shared" si="103"/>
        <v>1</v>
      </c>
    </row>
    <row r="1647" spans="1:12" ht="16" x14ac:dyDescent="0.2">
      <c r="A1647" t="s">
        <v>5945</v>
      </c>
      <c r="B1647" t="s">
        <v>73</v>
      </c>
      <c r="C1647" t="s">
        <v>4251</v>
      </c>
      <c r="D1647" s="2" t="s">
        <v>152</v>
      </c>
      <c r="E1647">
        <v>2025</v>
      </c>
      <c r="F1647">
        <v>2027</v>
      </c>
      <c r="G1647" s="10">
        <v>1786666.6666666667</v>
      </c>
      <c r="H1647">
        <f t="shared" si="100"/>
        <v>1786666.6666666667</v>
      </c>
      <c r="I1647" t="str">
        <f t="shared" si="101"/>
        <v/>
      </c>
      <c r="J1647" t="str">
        <f t="shared" si="102"/>
        <v/>
      </c>
      <c r="K1647">
        <v>348852.49</v>
      </c>
      <c r="L1647" t="b">
        <f t="shared" si="103"/>
        <v>0</v>
      </c>
    </row>
    <row r="1648" spans="1:12" ht="16" x14ac:dyDescent="0.2">
      <c r="A1648" t="s">
        <v>5946</v>
      </c>
      <c r="B1648" t="s">
        <v>73</v>
      </c>
      <c r="C1648" t="s">
        <v>4252</v>
      </c>
      <c r="D1648" s="2" t="s">
        <v>152</v>
      </c>
      <c r="E1648">
        <v>2025</v>
      </c>
      <c r="F1648">
        <v>2027</v>
      </c>
      <c r="G1648" s="10">
        <v>5423333.333333333</v>
      </c>
      <c r="H1648">
        <f t="shared" si="100"/>
        <v>5423333.333333333</v>
      </c>
      <c r="I1648" t="str">
        <f t="shared" si="101"/>
        <v/>
      </c>
      <c r="J1648" t="str">
        <f t="shared" si="102"/>
        <v/>
      </c>
      <c r="K1648">
        <v>3037606.68</v>
      </c>
      <c r="L1648" t="b">
        <f t="shared" si="103"/>
        <v>0</v>
      </c>
    </row>
    <row r="1649" spans="1:12" ht="16" x14ac:dyDescent="0.2">
      <c r="A1649" t="s">
        <v>5947</v>
      </c>
      <c r="B1649" t="s">
        <v>73</v>
      </c>
      <c r="C1649" t="s">
        <v>4253</v>
      </c>
      <c r="D1649" s="2" t="s">
        <v>152</v>
      </c>
      <c r="E1649">
        <v>2025</v>
      </c>
      <c r="F1649">
        <v>2027</v>
      </c>
      <c r="G1649" s="10">
        <v>5693333.3333333321</v>
      </c>
      <c r="H1649">
        <f t="shared" si="100"/>
        <v>5693333.3333333321</v>
      </c>
      <c r="I1649" t="str">
        <f t="shared" si="101"/>
        <v/>
      </c>
      <c r="J1649" t="str">
        <f t="shared" si="102"/>
        <v/>
      </c>
      <c r="K1649">
        <v>3730916.12</v>
      </c>
      <c r="L1649" t="b">
        <f t="shared" si="103"/>
        <v>0</v>
      </c>
    </row>
    <row r="1650" spans="1:12" ht="16" x14ac:dyDescent="0.2">
      <c r="A1650" t="s">
        <v>5948</v>
      </c>
      <c r="B1650" t="s">
        <v>73</v>
      </c>
      <c r="C1650" t="s">
        <v>4254</v>
      </c>
      <c r="D1650" s="2" t="s">
        <v>152</v>
      </c>
      <c r="E1650">
        <v>2025</v>
      </c>
      <c r="F1650">
        <v>2026</v>
      </c>
      <c r="G1650" s="10">
        <v>4630000</v>
      </c>
      <c r="H1650" t="str">
        <f t="shared" si="100"/>
        <v/>
      </c>
      <c r="I1650" t="str">
        <f t="shared" si="101"/>
        <v/>
      </c>
      <c r="J1650" t="str">
        <f t="shared" si="102"/>
        <v/>
      </c>
      <c r="K1650">
        <v>1106876.99</v>
      </c>
      <c r="L1650" t="b">
        <f t="shared" si="103"/>
        <v>0</v>
      </c>
    </row>
    <row r="1651" spans="1:12" ht="16" x14ac:dyDescent="0.2">
      <c r="A1651" t="s">
        <v>5949</v>
      </c>
      <c r="B1651" t="s">
        <v>73</v>
      </c>
      <c r="C1651" t="s">
        <v>4255</v>
      </c>
      <c r="D1651" s="2" t="s">
        <v>152</v>
      </c>
      <c r="E1651">
        <v>2025</v>
      </c>
      <c r="F1651">
        <v>2026</v>
      </c>
      <c r="G1651" s="10">
        <v>4575000</v>
      </c>
      <c r="H1651" t="str">
        <f t="shared" si="100"/>
        <v/>
      </c>
      <c r="I1651" t="str">
        <f t="shared" si="101"/>
        <v/>
      </c>
      <c r="J1651" t="str">
        <f t="shared" si="102"/>
        <v/>
      </c>
      <c r="K1651">
        <v>1902594.21</v>
      </c>
      <c r="L1651" t="b">
        <f t="shared" si="103"/>
        <v>0</v>
      </c>
    </row>
    <row r="1652" spans="1:12" ht="16" x14ac:dyDescent="0.2">
      <c r="A1652" t="s">
        <v>5950</v>
      </c>
      <c r="B1652" t="s">
        <v>73</v>
      </c>
      <c r="C1652" t="s">
        <v>4256</v>
      </c>
      <c r="D1652" s="2" t="s">
        <v>152</v>
      </c>
      <c r="E1652">
        <v>2025</v>
      </c>
      <c r="F1652">
        <v>2026</v>
      </c>
      <c r="G1652" s="10">
        <v>1715000</v>
      </c>
      <c r="H1652" t="str">
        <f t="shared" si="100"/>
        <v/>
      </c>
      <c r="I1652" t="str">
        <f t="shared" si="101"/>
        <v/>
      </c>
      <c r="J1652" t="str">
        <f t="shared" si="102"/>
        <v/>
      </c>
      <c r="K1652">
        <v>508705.12</v>
      </c>
      <c r="L1652" t="b">
        <f t="shared" si="103"/>
        <v>0</v>
      </c>
    </row>
    <row r="1653" spans="1:12" ht="16" x14ac:dyDescent="0.2">
      <c r="A1653" t="s">
        <v>5951</v>
      </c>
      <c r="B1653" t="s">
        <v>73</v>
      </c>
      <c r="C1653" t="s">
        <v>4257</v>
      </c>
      <c r="D1653" s="2" t="s">
        <v>152</v>
      </c>
      <c r="G1653" s="10" t="s">
        <v>2892</v>
      </c>
      <c r="H1653" t="str">
        <f t="shared" si="100"/>
        <v/>
      </c>
      <c r="I1653" t="str">
        <f t="shared" si="101"/>
        <v/>
      </c>
      <c r="J1653" t="str">
        <f t="shared" si="102"/>
        <v/>
      </c>
      <c r="L1653" t="b">
        <f t="shared" si="103"/>
        <v>1</v>
      </c>
    </row>
    <row r="1654" spans="1:12" ht="16" x14ac:dyDescent="0.2">
      <c r="A1654" t="s">
        <v>5952</v>
      </c>
      <c r="B1654" t="s">
        <v>73</v>
      </c>
      <c r="C1654" t="s">
        <v>4258</v>
      </c>
      <c r="D1654" s="2" t="s">
        <v>152</v>
      </c>
      <c r="E1654">
        <v>2025</v>
      </c>
      <c r="F1654">
        <v>2026</v>
      </c>
      <c r="G1654" s="10">
        <v>2045000</v>
      </c>
      <c r="H1654" t="str">
        <f t="shared" si="100"/>
        <v/>
      </c>
      <c r="I1654" t="str">
        <f t="shared" si="101"/>
        <v/>
      </c>
      <c r="J1654" t="str">
        <f t="shared" si="102"/>
        <v/>
      </c>
      <c r="K1654">
        <v>713126.02</v>
      </c>
      <c r="L1654" t="b">
        <f t="shared" si="103"/>
        <v>0</v>
      </c>
    </row>
    <row r="1655" spans="1:12" ht="16" x14ac:dyDescent="0.2">
      <c r="A1655" t="s">
        <v>5953</v>
      </c>
      <c r="B1655" t="s">
        <v>73</v>
      </c>
      <c r="C1655" t="s">
        <v>4259</v>
      </c>
      <c r="D1655" s="2" t="s">
        <v>152</v>
      </c>
      <c r="E1655">
        <v>2025</v>
      </c>
      <c r="F1655">
        <v>2028</v>
      </c>
      <c r="G1655" s="10">
        <v>12635000</v>
      </c>
      <c r="H1655">
        <f t="shared" si="100"/>
        <v>12635000</v>
      </c>
      <c r="I1655">
        <f t="shared" si="101"/>
        <v>12635000</v>
      </c>
      <c r="J1655" t="str">
        <f t="shared" si="102"/>
        <v/>
      </c>
      <c r="K1655">
        <v>15891690.720000001</v>
      </c>
      <c r="L1655" t="b">
        <f t="shared" si="103"/>
        <v>0</v>
      </c>
    </row>
    <row r="1656" spans="1:12" ht="16" x14ac:dyDescent="0.2">
      <c r="A1656" t="s">
        <v>5954</v>
      </c>
      <c r="B1656" t="s">
        <v>73</v>
      </c>
      <c r="C1656" t="s">
        <v>4260</v>
      </c>
      <c r="D1656" s="2" t="s">
        <v>152</v>
      </c>
      <c r="E1656">
        <v>2025</v>
      </c>
      <c r="F1656">
        <v>2026</v>
      </c>
      <c r="G1656" s="10">
        <v>5990000</v>
      </c>
      <c r="H1656" t="str">
        <f t="shared" si="100"/>
        <v/>
      </c>
      <c r="I1656" t="str">
        <f t="shared" si="101"/>
        <v/>
      </c>
      <c r="J1656" t="str">
        <f t="shared" si="102"/>
        <v/>
      </c>
      <c r="K1656">
        <v>2866611.38</v>
      </c>
      <c r="L1656" t="b">
        <f t="shared" si="103"/>
        <v>0</v>
      </c>
    </row>
    <row r="1657" spans="1:12" ht="16" x14ac:dyDescent="0.2">
      <c r="A1657" t="s">
        <v>5955</v>
      </c>
      <c r="B1657" t="s">
        <v>73</v>
      </c>
      <c r="C1657" t="s">
        <v>4261</v>
      </c>
      <c r="D1657" s="2" t="s">
        <v>152</v>
      </c>
      <c r="E1657">
        <v>2025</v>
      </c>
      <c r="F1657">
        <v>2027</v>
      </c>
      <c r="G1657" s="10">
        <v>5943333.3333333321</v>
      </c>
      <c r="H1657">
        <f t="shared" si="100"/>
        <v>5943333.3333333321</v>
      </c>
      <c r="I1657" t="str">
        <f t="shared" si="101"/>
        <v/>
      </c>
      <c r="J1657" t="str">
        <f t="shared" si="102"/>
        <v/>
      </c>
      <c r="K1657">
        <v>5300332.25</v>
      </c>
      <c r="L1657" t="b">
        <f t="shared" si="103"/>
        <v>0</v>
      </c>
    </row>
    <row r="1658" spans="1:12" ht="16" x14ac:dyDescent="0.2">
      <c r="A1658" t="s">
        <v>5956</v>
      </c>
      <c r="B1658" t="s">
        <v>73</v>
      </c>
      <c r="C1658" t="s">
        <v>4262</v>
      </c>
      <c r="D1658" s="2" t="s">
        <v>152</v>
      </c>
      <c r="E1658">
        <v>2025</v>
      </c>
      <c r="F1658">
        <v>2026</v>
      </c>
      <c r="G1658" s="10">
        <v>2945000</v>
      </c>
      <c r="H1658" t="str">
        <f t="shared" si="100"/>
        <v/>
      </c>
      <c r="I1658" t="str">
        <f t="shared" si="101"/>
        <v/>
      </c>
      <c r="J1658" t="str">
        <f t="shared" si="102"/>
        <v/>
      </c>
      <c r="K1658">
        <v>1020697.45</v>
      </c>
      <c r="L1658" t="b">
        <f t="shared" si="103"/>
        <v>0</v>
      </c>
    </row>
    <row r="1659" spans="1:12" ht="16" x14ac:dyDescent="0.2">
      <c r="A1659" t="s">
        <v>5957</v>
      </c>
      <c r="B1659" t="s">
        <v>73</v>
      </c>
      <c r="C1659" t="s">
        <v>4263</v>
      </c>
      <c r="D1659" s="2" t="s">
        <v>152</v>
      </c>
      <c r="G1659" s="10" t="s">
        <v>2892</v>
      </c>
      <c r="H1659" t="str">
        <f t="shared" si="100"/>
        <v/>
      </c>
      <c r="I1659" t="str">
        <f t="shared" si="101"/>
        <v/>
      </c>
      <c r="J1659" t="str">
        <f t="shared" si="102"/>
        <v/>
      </c>
      <c r="L1659" t="b">
        <f t="shared" si="103"/>
        <v>1</v>
      </c>
    </row>
    <row r="1660" spans="1:12" ht="16" x14ac:dyDescent="0.2">
      <c r="A1660" t="s">
        <v>5958</v>
      </c>
      <c r="B1660" t="s">
        <v>73</v>
      </c>
      <c r="C1660" t="s">
        <v>4264</v>
      </c>
      <c r="D1660" s="2" t="s">
        <v>152</v>
      </c>
      <c r="E1660">
        <v>2025</v>
      </c>
      <c r="F1660">
        <v>2026</v>
      </c>
      <c r="G1660" s="10">
        <v>10010000</v>
      </c>
      <c r="H1660" t="str">
        <f t="shared" si="100"/>
        <v/>
      </c>
      <c r="I1660" t="str">
        <f t="shared" si="101"/>
        <v/>
      </c>
      <c r="J1660" t="str">
        <f t="shared" si="102"/>
        <v/>
      </c>
      <c r="K1660">
        <v>7062041.9500000002</v>
      </c>
      <c r="L1660" t="b">
        <f t="shared" si="103"/>
        <v>0</v>
      </c>
    </row>
    <row r="1661" spans="1:12" ht="16" x14ac:dyDescent="0.2">
      <c r="A1661" t="s">
        <v>5959</v>
      </c>
      <c r="B1661" t="s">
        <v>73</v>
      </c>
      <c r="C1661" t="s">
        <v>4265</v>
      </c>
      <c r="D1661" s="2" t="s">
        <v>152</v>
      </c>
      <c r="E1661">
        <v>2026</v>
      </c>
      <c r="F1661">
        <v>2030</v>
      </c>
      <c r="G1661" s="10">
        <v>5285000</v>
      </c>
      <c r="H1661">
        <f t="shared" si="100"/>
        <v>5285000</v>
      </c>
      <c r="I1661">
        <f t="shared" si="101"/>
        <v>5285000</v>
      </c>
      <c r="J1661">
        <f t="shared" si="102"/>
        <v>5285000</v>
      </c>
      <c r="K1661">
        <v>3616934.71</v>
      </c>
      <c r="L1661" t="b">
        <f t="shared" si="103"/>
        <v>0</v>
      </c>
    </row>
    <row r="1662" spans="1:12" ht="16" x14ac:dyDescent="0.2">
      <c r="A1662" t="s">
        <v>5960</v>
      </c>
      <c r="B1662" t="s">
        <v>73</v>
      </c>
      <c r="C1662" t="s">
        <v>4266</v>
      </c>
      <c r="D1662" s="2" t="s">
        <v>152</v>
      </c>
      <c r="E1662">
        <v>2025</v>
      </c>
      <c r="F1662">
        <v>2026</v>
      </c>
      <c r="G1662" s="10">
        <v>6405000</v>
      </c>
      <c r="H1662" t="str">
        <f t="shared" si="100"/>
        <v/>
      </c>
      <c r="I1662" t="str">
        <f t="shared" si="101"/>
        <v/>
      </c>
      <c r="J1662" t="str">
        <f t="shared" si="102"/>
        <v/>
      </c>
      <c r="K1662">
        <v>3459415.34</v>
      </c>
      <c r="L1662" t="b">
        <f t="shared" si="103"/>
        <v>0</v>
      </c>
    </row>
    <row r="1663" spans="1:12" ht="16" x14ac:dyDescent="0.2">
      <c r="A1663" t="s">
        <v>5961</v>
      </c>
      <c r="B1663" t="s">
        <v>73</v>
      </c>
      <c r="C1663" t="s">
        <v>4267</v>
      </c>
      <c r="D1663" s="2" t="s">
        <v>152</v>
      </c>
      <c r="E1663">
        <v>2026</v>
      </c>
      <c r="F1663">
        <v>2028</v>
      </c>
      <c r="G1663" s="10">
        <v>8655000</v>
      </c>
      <c r="H1663">
        <f t="shared" si="100"/>
        <v>8655000</v>
      </c>
      <c r="I1663">
        <f t="shared" si="101"/>
        <v>8655000</v>
      </c>
      <c r="J1663" t="str">
        <f t="shared" si="102"/>
        <v/>
      </c>
      <c r="K1663">
        <v>6988606.0899999999</v>
      </c>
      <c r="L1663" t="b">
        <f t="shared" si="103"/>
        <v>0</v>
      </c>
    </row>
    <row r="1664" spans="1:12" ht="16" x14ac:dyDescent="0.2">
      <c r="A1664" t="s">
        <v>5962</v>
      </c>
      <c r="B1664" t="s">
        <v>73</v>
      </c>
      <c r="C1664" t="s">
        <v>4268</v>
      </c>
      <c r="D1664" s="2" t="s">
        <v>152</v>
      </c>
      <c r="G1664" s="10" t="s">
        <v>2892</v>
      </c>
      <c r="H1664" t="str">
        <f t="shared" si="100"/>
        <v/>
      </c>
      <c r="I1664" t="str">
        <f t="shared" si="101"/>
        <v/>
      </c>
      <c r="J1664" t="str">
        <f t="shared" si="102"/>
        <v/>
      </c>
      <c r="L1664" t="b">
        <f t="shared" si="103"/>
        <v>1</v>
      </c>
    </row>
    <row r="1665" spans="1:12" ht="16" x14ac:dyDescent="0.2">
      <c r="A1665" t="s">
        <v>5963</v>
      </c>
      <c r="B1665" t="s">
        <v>73</v>
      </c>
      <c r="C1665" t="s">
        <v>4269</v>
      </c>
      <c r="D1665" s="2" t="s">
        <v>152</v>
      </c>
      <c r="E1665">
        <v>2025</v>
      </c>
      <c r="F1665">
        <v>2026</v>
      </c>
      <c r="G1665" s="10">
        <v>6480000</v>
      </c>
      <c r="H1665" t="str">
        <f t="shared" si="100"/>
        <v/>
      </c>
      <c r="I1665" t="str">
        <f t="shared" si="101"/>
        <v/>
      </c>
      <c r="J1665" t="str">
        <f t="shared" si="102"/>
        <v/>
      </c>
      <c r="K1665">
        <v>1355987.68</v>
      </c>
      <c r="L1665" t="b">
        <f t="shared" si="103"/>
        <v>0</v>
      </c>
    </row>
    <row r="1666" spans="1:12" ht="16" x14ac:dyDescent="0.2">
      <c r="A1666" t="s">
        <v>5964</v>
      </c>
      <c r="B1666" t="s">
        <v>73</v>
      </c>
      <c r="C1666" t="s">
        <v>4270</v>
      </c>
      <c r="D1666" s="2" t="s">
        <v>152</v>
      </c>
      <c r="G1666" s="10" t="s">
        <v>2892</v>
      </c>
      <c r="H1666" t="str">
        <f t="shared" si="100"/>
        <v/>
      </c>
      <c r="I1666" t="str">
        <f t="shared" si="101"/>
        <v/>
      </c>
      <c r="J1666" t="str">
        <f t="shared" si="102"/>
        <v/>
      </c>
      <c r="L1666" t="b">
        <f t="shared" si="103"/>
        <v>1</v>
      </c>
    </row>
    <row r="1667" spans="1:12" ht="16" x14ac:dyDescent="0.2">
      <c r="A1667" t="s">
        <v>5965</v>
      </c>
      <c r="B1667" t="s">
        <v>73</v>
      </c>
      <c r="C1667" t="s">
        <v>4271</v>
      </c>
      <c r="D1667" s="2" t="s">
        <v>152</v>
      </c>
      <c r="E1667">
        <v>2025</v>
      </c>
      <c r="F1667">
        <v>2026</v>
      </c>
      <c r="G1667" s="10">
        <v>4285000</v>
      </c>
      <c r="H1667" t="str">
        <f t="shared" si="100"/>
        <v/>
      </c>
      <c r="I1667" t="str">
        <f t="shared" si="101"/>
        <v/>
      </c>
      <c r="J1667" t="str">
        <f t="shared" si="102"/>
        <v/>
      </c>
      <c r="K1667">
        <v>1110210.8400000001</v>
      </c>
      <c r="L1667" t="b">
        <f t="shared" si="103"/>
        <v>0</v>
      </c>
    </row>
    <row r="1668" spans="1:12" ht="16" x14ac:dyDescent="0.2">
      <c r="A1668" t="s">
        <v>5966</v>
      </c>
      <c r="B1668" t="s">
        <v>73</v>
      </c>
      <c r="C1668" t="s">
        <v>4272</v>
      </c>
      <c r="D1668" s="2" t="s">
        <v>152</v>
      </c>
      <c r="E1668">
        <v>2025</v>
      </c>
      <c r="F1668">
        <v>2027</v>
      </c>
      <c r="G1668" s="10">
        <v>6609999.9999999991</v>
      </c>
      <c r="H1668">
        <f t="shared" ref="H1668:H1731" si="104">IF(F1668&gt;=2027,G1668,"")</f>
        <v>6609999.9999999991</v>
      </c>
      <c r="I1668" t="str">
        <f t="shared" ref="I1668:I1731" si="105">IF(F1668&gt;=2028,G1668,"")</f>
        <v/>
      </c>
      <c r="J1668" t="str">
        <f t="shared" ref="J1668:J1731" si="106">IF(F1668&gt;=2029,G1668,"")</f>
        <v/>
      </c>
      <c r="K1668">
        <v>2340919.42</v>
      </c>
      <c r="L1668" t="b">
        <f t="shared" si="103"/>
        <v>0</v>
      </c>
    </row>
    <row r="1669" spans="1:12" ht="16" x14ac:dyDescent="0.2">
      <c r="A1669" t="s">
        <v>5967</v>
      </c>
      <c r="B1669" t="s">
        <v>73</v>
      </c>
      <c r="C1669" t="s">
        <v>4273</v>
      </c>
      <c r="D1669" s="2" t="s">
        <v>152</v>
      </c>
      <c r="E1669">
        <v>2025</v>
      </c>
      <c r="F1669">
        <v>2028</v>
      </c>
      <c r="G1669" s="10">
        <v>7247500</v>
      </c>
      <c r="H1669">
        <f t="shared" si="104"/>
        <v>7247500</v>
      </c>
      <c r="I1669">
        <f t="shared" si="105"/>
        <v>7247500</v>
      </c>
      <c r="J1669" t="str">
        <f t="shared" si="106"/>
        <v/>
      </c>
      <c r="K1669">
        <v>7553685.5999999996</v>
      </c>
      <c r="L1669" t="b">
        <f t="shared" si="103"/>
        <v>0</v>
      </c>
    </row>
    <row r="1670" spans="1:12" ht="16" x14ac:dyDescent="0.2">
      <c r="A1670" t="s">
        <v>5968</v>
      </c>
      <c r="B1670" t="s">
        <v>73</v>
      </c>
      <c r="C1670" t="s">
        <v>4274</v>
      </c>
      <c r="D1670" s="2" t="s">
        <v>152</v>
      </c>
      <c r="E1670">
        <v>2026</v>
      </c>
      <c r="F1670">
        <v>2028</v>
      </c>
      <c r="G1670" s="10">
        <v>4230000</v>
      </c>
      <c r="H1670">
        <f t="shared" si="104"/>
        <v>4230000</v>
      </c>
      <c r="I1670">
        <f t="shared" si="105"/>
        <v>4230000</v>
      </c>
      <c r="J1670" t="str">
        <f t="shared" si="106"/>
        <v/>
      </c>
      <c r="K1670">
        <v>2405286.2799999998</v>
      </c>
      <c r="L1670" t="b">
        <f t="shared" si="103"/>
        <v>0</v>
      </c>
    </row>
    <row r="1671" spans="1:12" ht="16" x14ac:dyDescent="0.2">
      <c r="A1671" t="s">
        <v>5969</v>
      </c>
      <c r="B1671" t="s">
        <v>73</v>
      </c>
      <c r="C1671" t="s">
        <v>4275</v>
      </c>
      <c r="D1671" s="2" t="s">
        <v>152</v>
      </c>
      <c r="E1671">
        <v>2025</v>
      </c>
      <c r="F1671">
        <v>2026</v>
      </c>
      <c r="G1671" s="10">
        <v>4255000</v>
      </c>
      <c r="H1671" t="str">
        <f t="shared" si="104"/>
        <v/>
      </c>
      <c r="I1671" t="str">
        <f t="shared" si="105"/>
        <v/>
      </c>
      <c r="J1671" t="str">
        <f t="shared" si="106"/>
        <v/>
      </c>
      <c r="K1671">
        <v>1005921.65</v>
      </c>
      <c r="L1671" t="b">
        <f t="shared" si="103"/>
        <v>0</v>
      </c>
    </row>
    <row r="1672" spans="1:12" ht="16" x14ac:dyDescent="0.2">
      <c r="A1672" t="s">
        <v>5970</v>
      </c>
      <c r="B1672" t="s">
        <v>73</v>
      </c>
      <c r="C1672" t="s">
        <v>4276</v>
      </c>
      <c r="D1672" s="2" t="s">
        <v>152</v>
      </c>
      <c r="E1672">
        <v>2025</v>
      </c>
      <c r="F1672">
        <v>2026</v>
      </c>
      <c r="G1672" s="10">
        <v>2495000</v>
      </c>
      <c r="H1672" t="str">
        <f t="shared" si="104"/>
        <v/>
      </c>
      <c r="I1672" t="str">
        <f t="shared" si="105"/>
        <v/>
      </c>
      <c r="J1672" t="str">
        <f t="shared" si="106"/>
        <v/>
      </c>
      <c r="K1672">
        <v>968424.67</v>
      </c>
      <c r="L1672" t="b">
        <f t="shared" si="103"/>
        <v>0</v>
      </c>
    </row>
    <row r="1673" spans="1:12" ht="16" x14ac:dyDescent="0.2">
      <c r="A1673" t="s">
        <v>5971</v>
      </c>
      <c r="B1673" t="s">
        <v>73</v>
      </c>
      <c r="C1673" t="s">
        <v>4277</v>
      </c>
      <c r="D1673" s="2" t="s">
        <v>152</v>
      </c>
      <c r="E1673">
        <v>2025</v>
      </c>
      <c r="F1673">
        <v>2026</v>
      </c>
      <c r="G1673" s="10">
        <v>1675000</v>
      </c>
      <c r="H1673" t="str">
        <f t="shared" si="104"/>
        <v/>
      </c>
      <c r="I1673" t="str">
        <f t="shared" si="105"/>
        <v/>
      </c>
      <c r="J1673" t="str">
        <f t="shared" si="106"/>
        <v/>
      </c>
      <c r="K1673">
        <v>243352.43</v>
      </c>
      <c r="L1673" t="b">
        <f t="shared" si="103"/>
        <v>0</v>
      </c>
    </row>
    <row r="1674" spans="1:12" ht="16" x14ac:dyDescent="0.2">
      <c r="A1674" t="s">
        <v>5972</v>
      </c>
      <c r="B1674" t="s">
        <v>73</v>
      </c>
      <c r="C1674" t="s">
        <v>4278</v>
      </c>
      <c r="D1674" s="2" t="s">
        <v>152</v>
      </c>
      <c r="E1674">
        <v>2026</v>
      </c>
      <c r="F1674">
        <v>2028</v>
      </c>
      <c r="G1674" s="10">
        <v>5460000</v>
      </c>
      <c r="H1674">
        <f t="shared" si="104"/>
        <v>5460000</v>
      </c>
      <c r="I1674">
        <f t="shared" si="105"/>
        <v>5460000</v>
      </c>
      <c r="J1674" t="str">
        <f t="shared" si="106"/>
        <v/>
      </c>
      <c r="K1674">
        <v>3380135.06</v>
      </c>
      <c r="L1674" t="b">
        <f t="shared" si="103"/>
        <v>0</v>
      </c>
    </row>
    <row r="1675" spans="1:12" ht="16" x14ac:dyDescent="0.2">
      <c r="A1675" t="s">
        <v>5973</v>
      </c>
      <c r="B1675" t="s">
        <v>73</v>
      </c>
      <c r="C1675" t="s">
        <v>4279</v>
      </c>
      <c r="D1675" s="2" t="s">
        <v>152</v>
      </c>
      <c r="E1675">
        <v>2025</v>
      </c>
      <c r="F1675">
        <v>2026</v>
      </c>
      <c r="G1675" s="10">
        <v>2395000</v>
      </c>
      <c r="H1675" t="str">
        <f t="shared" si="104"/>
        <v/>
      </c>
      <c r="I1675" t="str">
        <f t="shared" si="105"/>
        <v/>
      </c>
      <c r="J1675" t="str">
        <f t="shared" si="106"/>
        <v/>
      </c>
      <c r="K1675">
        <v>1137778.46</v>
      </c>
      <c r="L1675" t="b">
        <f t="shared" si="103"/>
        <v>0</v>
      </c>
    </row>
    <row r="1676" spans="1:12" ht="16" x14ac:dyDescent="0.2">
      <c r="A1676" t="s">
        <v>5974</v>
      </c>
      <c r="B1676" t="s">
        <v>73</v>
      </c>
      <c r="C1676" t="s">
        <v>4280</v>
      </c>
      <c r="D1676" s="2" t="s">
        <v>152</v>
      </c>
      <c r="E1676">
        <v>2025</v>
      </c>
      <c r="F1676">
        <v>2027</v>
      </c>
      <c r="G1676" s="10">
        <v>4583333.333333333</v>
      </c>
      <c r="H1676">
        <f t="shared" si="104"/>
        <v>4583333.333333333</v>
      </c>
      <c r="I1676" t="str">
        <f t="shared" si="105"/>
        <v/>
      </c>
      <c r="J1676" t="str">
        <f t="shared" si="106"/>
        <v/>
      </c>
      <c r="K1676">
        <v>5213299.2</v>
      </c>
      <c r="L1676" t="b">
        <f t="shared" si="103"/>
        <v>0</v>
      </c>
    </row>
    <row r="1677" spans="1:12" ht="16" x14ac:dyDescent="0.2">
      <c r="A1677" t="s">
        <v>5975</v>
      </c>
      <c r="B1677" t="s">
        <v>73</v>
      </c>
      <c r="C1677" t="s">
        <v>4281</v>
      </c>
      <c r="D1677" s="2" t="s">
        <v>152</v>
      </c>
      <c r="G1677" s="10" t="s">
        <v>2892</v>
      </c>
      <c r="H1677" t="str">
        <f t="shared" si="104"/>
        <v/>
      </c>
      <c r="I1677" t="str">
        <f t="shared" si="105"/>
        <v/>
      </c>
      <c r="J1677" t="str">
        <f t="shared" si="106"/>
        <v/>
      </c>
      <c r="L1677" t="b">
        <f t="shared" si="103"/>
        <v>1</v>
      </c>
    </row>
    <row r="1678" spans="1:12" ht="16" x14ac:dyDescent="0.2">
      <c r="A1678" t="s">
        <v>5976</v>
      </c>
      <c r="B1678" t="s">
        <v>73</v>
      </c>
      <c r="C1678" t="s">
        <v>4282</v>
      </c>
      <c r="D1678" s="2" t="s">
        <v>152</v>
      </c>
      <c r="E1678">
        <v>2025</v>
      </c>
      <c r="F1678">
        <v>2026</v>
      </c>
      <c r="G1678" s="10">
        <v>7850000</v>
      </c>
      <c r="H1678" t="str">
        <f t="shared" si="104"/>
        <v/>
      </c>
      <c r="I1678" t="str">
        <f t="shared" si="105"/>
        <v/>
      </c>
      <c r="J1678" t="str">
        <f t="shared" si="106"/>
        <v/>
      </c>
      <c r="K1678">
        <v>5840306.7300000004</v>
      </c>
      <c r="L1678" t="b">
        <f t="shared" si="103"/>
        <v>0</v>
      </c>
    </row>
    <row r="1679" spans="1:12" ht="16" x14ac:dyDescent="0.2">
      <c r="A1679" t="s">
        <v>5977</v>
      </c>
      <c r="B1679" t="s">
        <v>73</v>
      </c>
      <c r="C1679" t="s">
        <v>4283</v>
      </c>
      <c r="D1679" s="2" t="s">
        <v>152</v>
      </c>
      <c r="E1679">
        <v>2026</v>
      </c>
      <c r="F1679">
        <v>2030</v>
      </c>
      <c r="G1679" s="10">
        <v>8970000</v>
      </c>
      <c r="H1679">
        <f t="shared" si="104"/>
        <v>8970000</v>
      </c>
      <c r="I1679">
        <f t="shared" si="105"/>
        <v>8970000</v>
      </c>
      <c r="J1679">
        <f t="shared" si="106"/>
        <v>8970000</v>
      </c>
      <c r="K1679">
        <v>11759887.25</v>
      </c>
      <c r="L1679" t="b">
        <f t="shared" si="103"/>
        <v>0</v>
      </c>
    </row>
    <row r="1680" spans="1:12" ht="16" x14ac:dyDescent="0.2">
      <c r="A1680" t="s">
        <v>5978</v>
      </c>
      <c r="B1680" t="s">
        <v>73</v>
      </c>
      <c r="C1680" t="s">
        <v>4284</v>
      </c>
      <c r="D1680" s="2" t="s">
        <v>152</v>
      </c>
      <c r="G1680" s="10" t="s">
        <v>2892</v>
      </c>
      <c r="H1680" t="str">
        <f t="shared" si="104"/>
        <v/>
      </c>
      <c r="I1680" t="str">
        <f t="shared" si="105"/>
        <v/>
      </c>
      <c r="J1680" t="str">
        <f t="shared" si="106"/>
        <v/>
      </c>
      <c r="L1680" t="b">
        <f t="shared" si="103"/>
        <v>1</v>
      </c>
    </row>
    <row r="1681" spans="1:12" ht="16" x14ac:dyDescent="0.2">
      <c r="A1681" t="s">
        <v>5979</v>
      </c>
      <c r="B1681" t="s">
        <v>73</v>
      </c>
      <c r="C1681" t="s">
        <v>4285</v>
      </c>
      <c r="D1681" s="2" t="s">
        <v>152</v>
      </c>
      <c r="G1681" s="10" t="s">
        <v>2892</v>
      </c>
      <c r="H1681" t="str">
        <f t="shared" si="104"/>
        <v/>
      </c>
      <c r="I1681" t="str">
        <f t="shared" si="105"/>
        <v/>
      </c>
      <c r="J1681" t="str">
        <f t="shared" si="106"/>
        <v/>
      </c>
      <c r="L1681" t="b">
        <f t="shared" si="103"/>
        <v>1</v>
      </c>
    </row>
    <row r="1682" spans="1:12" ht="16" x14ac:dyDescent="0.2">
      <c r="A1682" t="s">
        <v>5980</v>
      </c>
      <c r="B1682" t="s">
        <v>73</v>
      </c>
      <c r="C1682" t="s">
        <v>4286</v>
      </c>
      <c r="D1682" s="2" t="s">
        <v>152</v>
      </c>
      <c r="G1682" s="10" t="s">
        <v>2892</v>
      </c>
      <c r="H1682" t="str">
        <f t="shared" si="104"/>
        <v/>
      </c>
      <c r="I1682" t="str">
        <f t="shared" si="105"/>
        <v/>
      </c>
      <c r="J1682" t="str">
        <f t="shared" si="106"/>
        <v/>
      </c>
      <c r="L1682" t="b">
        <f t="shared" si="103"/>
        <v>1</v>
      </c>
    </row>
    <row r="1683" spans="1:12" ht="16" x14ac:dyDescent="0.2">
      <c r="A1683" t="s">
        <v>5981</v>
      </c>
      <c r="B1683" t="s">
        <v>73</v>
      </c>
      <c r="C1683" t="s">
        <v>4287</v>
      </c>
      <c r="D1683" s="2" t="s">
        <v>152</v>
      </c>
      <c r="G1683" s="10" t="s">
        <v>2892</v>
      </c>
      <c r="H1683" t="str">
        <f t="shared" si="104"/>
        <v/>
      </c>
      <c r="I1683" t="str">
        <f t="shared" si="105"/>
        <v/>
      </c>
      <c r="J1683" t="str">
        <f t="shared" si="106"/>
        <v/>
      </c>
      <c r="L1683" t="b">
        <f t="shared" si="103"/>
        <v>1</v>
      </c>
    </row>
    <row r="1684" spans="1:12" ht="16" x14ac:dyDescent="0.2">
      <c r="A1684" t="s">
        <v>5982</v>
      </c>
      <c r="B1684" t="s">
        <v>73</v>
      </c>
      <c r="C1684" t="s">
        <v>4288</v>
      </c>
      <c r="D1684" s="2" t="s">
        <v>152</v>
      </c>
      <c r="G1684" s="10" t="s">
        <v>2892</v>
      </c>
      <c r="H1684" t="str">
        <f t="shared" si="104"/>
        <v/>
      </c>
      <c r="I1684" t="str">
        <f t="shared" si="105"/>
        <v/>
      </c>
      <c r="J1684" t="str">
        <f t="shared" si="106"/>
        <v/>
      </c>
      <c r="L1684" t="b">
        <f t="shared" si="103"/>
        <v>1</v>
      </c>
    </row>
    <row r="1685" spans="1:12" ht="16" x14ac:dyDescent="0.2">
      <c r="A1685" t="s">
        <v>5983</v>
      </c>
      <c r="B1685" t="s">
        <v>73</v>
      </c>
      <c r="C1685" t="s">
        <v>4289</v>
      </c>
      <c r="D1685" s="2" t="s">
        <v>153</v>
      </c>
      <c r="E1685">
        <v>2025</v>
      </c>
      <c r="F1685">
        <v>2027</v>
      </c>
      <c r="G1685" s="10">
        <v>5609999.9999999991</v>
      </c>
      <c r="H1685">
        <f t="shared" si="104"/>
        <v>5609999.9999999991</v>
      </c>
      <c r="I1685" t="str">
        <f t="shared" si="105"/>
        <v/>
      </c>
      <c r="J1685" t="str">
        <f t="shared" si="106"/>
        <v/>
      </c>
      <c r="K1685">
        <v>1878937.18</v>
      </c>
      <c r="L1685" t="b">
        <f t="shared" si="103"/>
        <v>0</v>
      </c>
    </row>
    <row r="1686" spans="1:12" ht="16" x14ac:dyDescent="0.2">
      <c r="A1686" t="s">
        <v>5984</v>
      </c>
      <c r="B1686" t="s">
        <v>73</v>
      </c>
      <c r="C1686" t="s">
        <v>4290</v>
      </c>
      <c r="D1686" s="2" t="s">
        <v>153</v>
      </c>
      <c r="G1686" s="10" t="s">
        <v>2892</v>
      </c>
      <c r="H1686" t="str">
        <f t="shared" si="104"/>
        <v/>
      </c>
      <c r="I1686" t="str">
        <f t="shared" si="105"/>
        <v/>
      </c>
      <c r="J1686" t="str">
        <f t="shared" si="106"/>
        <v/>
      </c>
      <c r="L1686" t="b">
        <f t="shared" si="103"/>
        <v>1</v>
      </c>
    </row>
    <row r="1687" spans="1:12" ht="16" x14ac:dyDescent="0.2">
      <c r="A1687" t="s">
        <v>5985</v>
      </c>
      <c r="B1687" t="s">
        <v>73</v>
      </c>
      <c r="C1687" t="s">
        <v>4291</v>
      </c>
      <c r="D1687" s="2" t="s">
        <v>153</v>
      </c>
      <c r="E1687">
        <v>2025</v>
      </c>
      <c r="F1687">
        <v>2026</v>
      </c>
      <c r="G1687" s="10">
        <v>2365000</v>
      </c>
      <c r="H1687" t="str">
        <f t="shared" si="104"/>
        <v/>
      </c>
      <c r="I1687" t="str">
        <f t="shared" si="105"/>
        <v/>
      </c>
      <c r="J1687" t="str">
        <f t="shared" si="106"/>
        <v/>
      </c>
      <c r="K1687">
        <v>687894.25</v>
      </c>
      <c r="L1687" t="b">
        <f t="shared" si="103"/>
        <v>0</v>
      </c>
    </row>
    <row r="1688" spans="1:12" ht="16" x14ac:dyDescent="0.2">
      <c r="A1688" t="s">
        <v>5986</v>
      </c>
      <c r="B1688" t="s">
        <v>73</v>
      </c>
      <c r="C1688" t="s">
        <v>4292</v>
      </c>
      <c r="D1688" s="2" t="s">
        <v>153</v>
      </c>
      <c r="G1688" s="10" t="s">
        <v>2892</v>
      </c>
      <c r="H1688" t="str">
        <f t="shared" si="104"/>
        <v/>
      </c>
      <c r="I1688" t="str">
        <f t="shared" si="105"/>
        <v/>
      </c>
      <c r="J1688" t="str">
        <f t="shared" si="106"/>
        <v/>
      </c>
      <c r="L1688" t="b">
        <f t="shared" si="103"/>
        <v>1</v>
      </c>
    </row>
    <row r="1689" spans="1:12" ht="16" x14ac:dyDescent="0.2">
      <c r="A1689" t="s">
        <v>5987</v>
      </c>
      <c r="B1689" t="s">
        <v>73</v>
      </c>
      <c r="C1689" t="s">
        <v>4293</v>
      </c>
      <c r="D1689" s="2" t="s">
        <v>153</v>
      </c>
      <c r="G1689" s="10" t="s">
        <v>2892</v>
      </c>
      <c r="H1689" t="str">
        <f t="shared" si="104"/>
        <v/>
      </c>
      <c r="I1689" t="str">
        <f t="shared" si="105"/>
        <v/>
      </c>
      <c r="J1689" t="str">
        <f t="shared" si="106"/>
        <v/>
      </c>
      <c r="L1689" t="b">
        <f t="shared" si="103"/>
        <v>1</v>
      </c>
    </row>
    <row r="1690" spans="1:12" ht="16" x14ac:dyDescent="0.2">
      <c r="A1690" t="s">
        <v>5988</v>
      </c>
      <c r="B1690" t="s">
        <v>73</v>
      </c>
      <c r="C1690" t="s">
        <v>4294</v>
      </c>
      <c r="D1690" s="2" t="s">
        <v>153</v>
      </c>
      <c r="G1690" s="10" t="s">
        <v>2892</v>
      </c>
      <c r="H1690" t="str">
        <f t="shared" si="104"/>
        <v/>
      </c>
      <c r="I1690" t="str">
        <f t="shared" si="105"/>
        <v/>
      </c>
      <c r="J1690" t="str">
        <f t="shared" si="106"/>
        <v/>
      </c>
      <c r="L1690" t="b">
        <f t="shared" si="103"/>
        <v>1</v>
      </c>
    </row>
    <row r="1691" spans="1:12" ht="16" x14ac:dyDescent="0.2">
      <c r="A1691" t="s">
        <v>5989</v>
      </c>
      <c r="B1691" t="s">
        <v>73</v>
      </c>
      <c r="C1691" t="s">
        <v>4295</v>
      </c>
      <c r="D1691" s="2" t="s">
        <v>153</v>
      </c>
      <c r="E1691">
        <v>2025</v>
      </c>
      <c r="F1691">
        <v>2026</v>
      </c>
      <c r="G1691" s="10">
        <v>1785000</v>
      </c>
      <c r="H1691" t="str">
        <f t="shared" si="104"/>
        <v/>
      </c>
      <c r="I1691" t="str">
        <f t="shared" si="105"/>
        <v/>
      </c>
      <c r="J1691" t="str">
        <f t="shared" si="106"/>
        <v/>
      </c>
      <c r="K1691">
        <v>465878.84</v>
      </c>
      <c r="L1691" t="b">
        <f t="shared" si="103"/>
        <v>0</v>
      </c>
    </row>
    <row r="1692" spans="1:12" ht="16" x14ac:dyDescent="0.2">
      <c r="A1692" t="s">
        <v>5990</v>
      </c>
      <c r="B1692" t="s">
        <v>73</v>
      </c>
      <c r="C1692" t="s">
        <v>4296</v>
      </c>
      <c r="D1692" s="2" t="s">
        <v>153</v>
      </c>
      <c r="E1692">
        <v>2025</v>
      </c>
      <c r="F1692">
        <v>2027</v>
      </c>
      <c r="G1692" s="10">
        <v>1363333.3333333333</v>
      </c>
      <c r="H1692">
        <f t="shared" si="104"/>
        <v>1363333.3333333333</v>
      </c>
      <c r="I1692" t="str">
        <f t="shared" si="105"/>
        <v/>
      </c>
      <c r="J1692" t="str">
        <f t="shared" si="106"/>
        <v/>
      </c>
      <c r="K1692">
        <v>70406.73</v>
      </c>
      <c r="L1692" t="b">
        <f t="shared" si="103"/>
        <v>0</v>
      </c>
    </row>
    <row r="1693" spans="1:12" ht="16" x14ac:dyDescent="0.2">
      <c r="A1693" t="s">
        <v>5991</v>
      </c>
      <c r="B1693" t="s">
        <v>73</v>
      </c>
      <c r="C1693" t="s">
        <v>4297</v>
      </c>
      <c r="D1693" s="2" t="s">
        <v>153</v>
      </c>
      <c r="E1693">
        <v>2025</v>
      </c>
      <c r="F1693">
        <v>2027</v>
      </c>
      <c r="G1693" s="10">
        <v>20300000</v>
      </c>
      <c r="H1693">
        <f t="shared" si="104"/>
        <v>20300000</v>
      </c>
      <c r="I1693" t="str">
        <f t="shared" si="105"/>
        <v/>
      </c>
      <c r="J1693" t="str">
        <f t="shared" si="106"/>
        <v/>
      </c>
      <c r="K1693">
        <v>27779505.010000002</v>
      </c>
      <c r="L1693" t="b">
        <f t="shared" si="103"/>
        <v>0</v>
      </c>
    </row>
    <row r="1694" spans="1:12" ht="16" x14ac:dyDescent="0.2">
      <c r="A1694" t="s">
        <v>5992</v>
      </c>
      <c r="B1694" t="s">
        <v>73</v>
      </c>
      <c r="C1694" t="s">
        <v>4298</v>
      </c>
      <c r="D1694" s="2" t="s">
        <v>153</v>
      </c>
      <c r="E1694">
        <v>2025</v>
      </c>
      <c r="F1694">
        <v>2027</v>
      </c>
      <c r="G1694" s="10">
        <v>11313333.333333332</v>
      </c>
      <c r="H1694">
        <f t="shared" si="104"/>
        <v>11313333.333333332</v>
      </c>
      <c r="I1694" t="str">
        <f t="shared" si="105"/>
        <v/>
      </c>
      <c r="J1694" t="str">
        <f t="shared" si="106"/>
        <v/>
      </c>
      <c r="K1694">
        <v>9777442.4399999995</v>
      </c>
      <c r="L1694" t="b">
        <f t="shared" si="103"/>
        <v>0</v>
      </c>
    </row>
    <row r="1695" spans="1:12" ht="16" x14ac:dyDescent="0.2">
      <c r="A1695" t="s">
        <v>5993</v>
      </c>
      <c r="B1695" t="s">
        <v>73</v>
      </c>
      <c r="C1695" t="s">
        <v>4299</v>
      </c>
      <c r="D1695" s="2" t="s">
        <v>153</v>
      </c>
      <c r="E1695">
        <v>2025</v>
      </c>
      <c r="F1695">
        <v>2026</v>
      </c>
      <c r="G1695" s="10">
        <v>5455000</v>
      </c>
      <c r="H1695" t="str">
        <f t="shared" si="104"/>
        <v/>
      </c>
      <c r="I1695" t="str">
        <f t="shared" si="105"/>
        <v/>
      </c>
      <c r="J1695" t="str">
        <f t="shared" si="106"/>
        <v/>
      </c>
      <c r="K1695">
        <v>1629678.67</v>
      </c>
      <c r="L1695" t="b">
        <f t="shared" si="103"/>
        <v>0</v>
      </c>
    </row>
    <row r="1696" spans="1:12" ht="16" x14ac:dyDescent="0.2">
      <c r="A1696" t="s">
        <v>5994</v>
      </c>
      <c r="B1696" t="s">
        <v>73</v>
      </c>
      <c r="C1696" t="s">
        <v>4300</v>
      </c>
      <c r="D1696" s="2" t="s">
        <v>153</v>
      </c>
      <c r="E1696">
        <v>2025</v>
      </c>
      <c r="F1696">
        <v>2026</v>
      </c>
      <c r="G1696" s="10">
        <v>2775000</v>
      </c>
      <c r="H1696" t="str">
        <f t="shared" si="104"/>
        <v/>
      </c>
      <c r="I1696" t="str">
        <f t="shared" si="105"/>
        <v/>
      </c>
      <c r="J1696" t="str">
        <f t="shared" si="106"/>
        <v/>
      </c>
      <c r="K1696">
        <v>9846.39</v>
      </c>
      <c r="L1696" t="b">
        <f t="shared" si="103"/>
        <v>0</v>
      </c>
    </row>
    <row r="1697" spans="1:12" ht="16" x14ac:dyDescent="0.2">
      <c r="A1697" t="s">
        <v>5995</v>
      </c>
      <c r="B1697" t="s">
        <v>73</v>
      </c>
      <c r="C1697" t="s">
        <v>4301</v>
      </c>
      <c r="D1697" s="2" t="s">
        <v>153</v>
      </c>
      <c r="G1697" s="10" t="s">
        <v>2892</v>
      </c>
      <c r="H1697" t="str">
        <f t="shared" si="104"/>
        <v/>
      </c>
      <c r="I1697" t="str">
        <f t="shared" si="105"/>
        <v/>
      </c>
      <c r="J1697" t="str">
        <f t="shared" si="106"/>
        <v/>
      </c>
      <c r="L1697" t="b">
        <f t="shared" si="103"/>
        <v>1</v>
      </c>
    </row>
    <row r="1698" spans="1:12" ht="16" x14ac:dyDescent="0.2">
      <c r="A1698" t="s">
        <v>5996</v>
      </c>
      <c r="B1698" t="s">
        <v>73</v>
      </c>
      <c r="C1698" t="s">
        <v>4302</v>
      </c>
      <c r="D1698" s="2" t="s">
        <v>153</v>
      </c>
      <c r="E1698">
        <v>2025</v>
      </c>
      <c r="F1698">
        <v>2026</v>
      </c>
      <c r="G1698" s="10">
        <v>15315000</v>
      </c>
      <c r="H1698" t="str">
        <f t="shared" si="104"/>
        <v/>
      </c>
      <c r="I1698" t="str">
        <f t="shared" si="105"/>
        <v/>
      </c>
      <c r="J1698" t="str">
        <f t="shared" si="106"/>
        <v/>
      </c>
      <c r="K1698">
        <v>15014161.390000001</v>
      </c>
      <c r="L1698" t="b">
        <f t="shared" si="103"/>
        <v>0</v>
      </c>
    </row>
    <row r="1699" spans="1:12" ht="16" x14ac:dyDescent="0.2">
      <c r="A1699" t="s">
        <v>5997</v>
      </c>
      <c r="B1699" t="s">
        <v>73</v>
      </c>
      <c r="C1699" t="s">
        <v>4303</v>
      </c>
      <c r="D1699" s="2" t="s">
        <v>153</v>
      </c>
      <c r="E1699">
        <v>2025</v>
      </c>
      <c r="F1699">
        <v>2026</v>
      </c>
      <c r="G1699" s="10">
        <v>4755000</v>
      </c>
      <c r="H1699" t="str">
        <f t="shared" si="104"/>
        <v/>
      </c>
      <c r="I1699" t="str">
        <f t="shared" si="105"/>
        <v/>
      </c>
      <c r="J1699" t="str">
        <f t="shared" si="106"/>
        <v/>
      </c>
      <c r="K1699">
        <v>1792434.39</v>
      </c>
      <c r="L1699" t="b">
        <f t="shared" ref="L1699:L1762" si="107">IF(F1699="",TRUE,FALSE)</f>
        <v>0</v>
      </c>
    </row>
    <row r="1700" spans="1:12" ht="16" x14ac:dyDescent="0.2">
      <c r="A1700" t="s">
        <v>5998</v>
      </c>
      <c r="B1700" t="s">
        <v>73</v>
      </c>
      <c r="C1700" t="s">
        <v>4304</v>
      </c>
      <c r="D1700" s="2" t="s">
        <v>153</v>
      </c>
      <c r="G1700" s="10" t="s">
        <v>2892</v>
      </c>
      <c r="H1700" t="str">
        <f t="shared" si="104"/>
        <v/>
      </c>
      <c r="I1700" t="str">
        <f t="shared" si="105"/>
        <v/>
      </c>
      <c r="J1700" t="str">
        <f t="shared" si="106"/>
        <v/>
      </c>
      <c r="L1700" t="b">
        <f t="shared" si="107"/>
        <v>1</v>
      </c>
    </row>
    <row r="1701" spans="1:12" ht="16" x14ac:dyDescent="0.2">
      <c r="A1701" t="s">
        <v>5999</v>
      </c>
      <c r="B1701" t="s">
        <v>73</v>
      </c>
      <c r="C1701" t="s">
        <v>4305</v>
      </c>
      <c r="D1701" s="2" t="s">
        <v>153</v>
      </c>
      <c r="E1701">
        <v>2025</v>
      </c>
      <c r="F1701">
        <v>2027</v>
      </c>
      <c r="G1701" s="10">
        <v>11396666.666666666</v>
      </c>
      <c r="H1701">
        <f t="shared" si="104"/>
        <v>11396666.666666666</v>
      </c>
      <c r="I1701" t="str">
        <f t="shared" si="105"/>
        <v/>
      </c>
      <c r="J1701" t="str">
        <f t="shared" si="106"/>
        <v/>
      </c>
      <c r="K1701">
        <v>14648840.289999999</v>
      </c>
      <c r="L1701" t="b">
        <f t="shared" si="107"/>
        <v>0</v>
      </c>
    </row>
    <row r="1702" spans="1:12" ht="16" x14ac:dyDescent="0.2">
      <c r="A1702" t="s">
        <v>6000</v>
      </c>
      <c r="B1702" t="s">
        <v>73</v>
      </c>
      <c r="C1702" t="s">
        <v>4306</v>
      </c>
      <c r="D1702" s="2" t="s">
        <v>153</v>
      </c>
      <c r="G1702" s="10" t="s">
        <v>2892</v>
      </c>
      <c r="H1702" t="str">
        <f t="shared" si="104"/>
        <v/>
      </c>
      <c r="I1702" t="str">
        <f t="shared" si="105"/>
        <v/>
      </c>
      <c r="J1702" t="str">
        <f t="shared" si="106"/>
        <v/>
      </c>
      <c r="L1702" t="b">
        <f t="shared" si="107"/>
        <v>1</v>
      </c>
    </row>
    <row r="1703" spans="1:12" ht="16" x14ac:dyDescent="0.2">
      <c r="A1703" t="s">
        <v>6001</v>
      </c>
      <c r="B1703" t="s">
        <v>73</v>
      </c>
      <c r="C1703" t="s">
        <v>4307</v>
      </c>
      <c r="D1703" s="2" t="s">
        <v>153</v>
      </c>
      <c r="E1703">
        <v>2026</v>
      </c>
      <c r="F1703">
        <v>2029</v>
      </c>
      <c r="G1703" s="10">
        <v>11370000</v>
      </c>
      <c r="H1703">
        <f t="shared" si="104"/>
        <v>11370000</v>
      </c>
      <c r="I1703">
        <f t="shared" si="105"/>
        <v>11370000</v>
      </c>
      <c r="J1703">
        <f t="shared" si="106"/>
        <v>11370000</v>
      </c>
      <c r="K1703">
        <v>12849418.65</v>
      </c>
      <c r="L1703" t="b">
        <f t="shared" si="107"/>
        <v>0</v>
      </c>
    </row>
    <row r="1704" spans="1:12" ht="16" x14ac:dyDescent="0.2">
      <c r="A1704" t="s">
        <v>6002</v>
      </c>
      <c r="B1704" t="s">
        <v>73</v>
      </c>
      <c r="C1704" t="s">
        <v>4308</v>
      </c>
      <c r="D1704" s="2" t="s">
        <v>153</v>
      </c>
      <c r="G1704" s="10" t="s">
        <v>2892</v>
      </c>
      <c r="H1704" t="str">
        <f t="shared" si="104"/>
        <v/>
      </c>
      <c r="I1704" t="str">
        <f t="shared" si="105"/>
        <v/>
      </c>
      <c r="J1704" t="str">
        <f t="shared" si="106"/>
        <v/>
      </c>
      <c r="L1704" t="b">
        <f t="shared" si="107"/>
        <v>1</v>
      </c>
    </row>
    <row r="1705" spans="1:12" ht="16" x14ac:dyDescent="0.2">
      <c r="A1705" t="s">
        <v>6003</v>
      </c>
      <c r="B1705" t="s">
        <v>73</v>
      </c>
      <c r="C1705" t="s">
        <v>4309</v>
      </c>
      <c r="D1705" s="2" t="s">
        <v>153</v>
      </c>
      <c r="E1705">
        <v>2025</v>
      </c>
      <c r="F1705">
        <v>2027</v>
      </c>
      <c r="G1705" s="10">
        <v>2430000</v>
      </c>
      <c r="H1705">
        <f t="shared" si="104"/>
        <v>2430000</v>
      </c>
      <c r="I1705" t="str">
        <f t="shared" si="105"/>
        <v/>
      </c>
      <c r="J1705" t="str">
        <f t="shared" si="106"/>
        <v/>
      </c>
      <c r="K1705">
        <v>356278.54</v>
      </c>
      <c r="L1705" t="b">
        <f t="shared" si="107"/>
        <v>0</v>
      </c>
    </row>
    <row r="1706" spans="1:12" ht="16" x14ac:dyDescent="0.2">
      <c r="A1706" t="s">
        <v>6004</v>
      </c>
      <c r="B1706" t="s">
        <v>73</v>
      </c>
      <c r="C1706" t="s">
        <v>4310</v>
      </c>
      <c r="D1706" s="2" t="s">
        <v>153</v>
      </c>
      <c r="E1706">
        <v>2025</v>
      </c>
      <c r="F1706">
        <v>2026</v>
      </c>
      <c r="G1706" s="10">
        <v>8195000</v>
      </c>
      <c r="H1706" t="str">
        <f t="shared" si="104"/>
        <v/>
      </c>
      <c r="I1706" t="str">
        <f t="shared" si="105"/>
        <v/>
      </c>
      <c r="J1706" t="str">
        <f t="shared" si="106"/>
        <v/>
      </c>
      <c r="K1706">
        <v>5986075.9500000002</v>
      </c>
      <c r="L1706" t="b">
        <f t="shared" si="107"/>
        <v>0</v>
      </c>
    </row>
    <row r="1707" spans="1:12" ht="16" x14ac:dyDescent="0.2">
      <c r="A1707" t="s">
        <v>6005</v>
      </c>
      <c r="B1707" t="s">
        <v>73</v>
      </c>
      <c r="C1707" t="s">
        <v>4311</v>
      </c>
      <c r="D1707" s="2" t="s">
        <v>153</v>
      </c>
      <c r="G1707" s="10" t="s">
        <v>2892</v>
      </c>
      <c r="H1707" t="str">
        <f t="shared" si="104"/>
        <v/>
      </c>
      <c r="I1707" t="str">
        <f t="shared" si="105"/>
        <v/>
      </c>
      <c r="J1707" t="str">
        <f t="shared" si="106"/>
        <v/>
      </c>
      <c r="L1707" t="b">
        <f t="shared" si="107"/>
        <v>1</v>
      </c>
    </row>
    <row r="1708" spans="1:12" ht="16" x14ac:dyDescent="0.2">
      <c r="A1708" t="s">
        <v>6006</v>
      </c>
      <c r="B1708" t="s">
        <v>73</v>
      </c>
      <c r="C1708" t="s">
        <v>4312</v>
      </c>
      <c r="D1708" s="2" t="s">
        <v>153</v>
      </c>
      <c r="E1708">
        <v>2025</v>
      </c>
      <c r="F1708">
        <v>2026</v>
      </c>
      <c r="G1708" s="10">
        <v>2320000</v>
      </c>
      <c r="H1708" t="str">
        <f t="shared" si="104"/>
        <v/>
      </c>
      <c r="I1708" t="str">
        <f t="shared" si="105"/>
        <v/>
      </c>
      <c r="J1708" t="str">
        <f t="shared" si="106"/>
        <v/>
      </c>
      <c r="K1708">
        <v>606701.93000000005</v>
      </c>
      <c r="L1708" t="b">
        <f t="shared" si="107"/>
        <v>0</v>
      </c>
    </row>
    <row r="1709" spans="1:12" ht="16" x14ac:dyDescent="0.2">
      <c r="A1709" t="s">
        <v>6007</v>
      </c>
      <c r="B1709" t="s">
        <v>73</v>
      </c>
      <c r="C1709" t="s">
        <v>4313</v>
      </c>
      <c r="D1709" s="2" t="s">
        <v>153</v>
      </c>
      <c r="E1709">
        <v>2025</v>
      </c>
      <c r="F1709">
        <v>2026</v>
      </c>
      <c r="G1709" s="10">
        <v>9950000</v>
      </c>
      <c r="H1709" t="str">
        <f t="shared" si="104"/>
        <v/>
      </c>
      <c r="I1709" t="str">
        <f t="shared" si="105"/>
        <v/>
      </c>
      <c r="J1709" t="str">
        <f t="shared" si="106"/>
        <v/>
      </c>
      <c r="K1709">
        <v>7109526.9199999999</v>
      </c>
      <c r="L1709" t="b">
        <f t="shared" si="107"/>
        <v>0</v>
      </c>
    </row>
    <row r="1710" spans="1:12" ht="16" x14ac:dyDescent="0.2">
      <c r="A1710" t="s">
        <v>6008</v>
      </c>
      <c r="B1710" t="s">
        <v>73</v>
      </c>
      <c r="C1710" t="s">
        <v>4314</v>
      </c>
      <c r="D1710" s="2" t="s">
        <v>153</v>
      </c>
      <c r="E1710">
        <v>2025</v>
      </c>
      <c r="F1710">
        <v>2028</v>
      </c>
      <c r="G1710" s="10">
        <v>9690000</v>
      </c>
      <c r="H1710">
        <f t="shared" si="104"/>
        <v>9690000</v>
      </c>
      <c r="I1710">
        <f t="shared" si="105"/>
        <v>9690000</v>
      </c>
      <c r="J1710" t="str">
        <f t="shared" si="106"/>
        <v/>
      </c>
      <c r="K1710">
        <v>17111165.390000001</v>
      </c>
      <c r="L1710" t="b">
        <f t="shared" si="107"/>
        <v>0</v>
      </c>
    </row>
    <row r="1711" spans="1:12" ht="16" x14ac:dyDescent="0.2">
      <c r="A1711" t="s">
        <v>6009</v>
      </c>
      <c r="B1711" t="s">
        <v>73</v>
      </c>
      <c r="C1711" t="s">
        <v>4315</v>
      </c>
      <c r="D1711" s="2" t="s">
        <v>153</v>
      </c>
      <c r="E1711">
        <v>2025</v>
      </c>
      <c r="F1711">
        <v>2026</v>
      </c>
      <c r="G1711" s="10">
        <v>10615000</v>
      </c>
      <c r="H1711" t="str">
        <f t="shared" si="104"/>
        <v/>
      </c>
      <c r="I1711" t="str">
        <f t="shared" si="105"/>
        <v/>
      </c>
      <c r="J1711" t="str">
        <f t="shared" si="106"/>
        <v/>
      </c>
      <c r="K1711">
        <v>5988335.8300000001</v>
      </c>
      <c r="L1711" t="b">
        <f t="shared" si="107"/>
        <v>0</v>
      </c>
    </row>
    <row r="1712" spans="1:12" ht="16" x14ac:dyDescent="0.2">
      <c r="A1712" t="s">
        <v>6010</v>
      </c>
      <c r="B1712" t="s">
        <v>73</v>
      </c>
      <c r="C1712" t="s">
        <v>4316</v>
      </c>
      <c r="D1712" s="2" t="s">
        <v>153</v>
      </c>
      <c r="E1712">
        <v>2025</v>
      </c>
      <c r="F1712">
        <v>2026</v>
      </c>
      <c r="G1712" s="10">
        <v>5355000</v>
      </c>
      <c r="H1712" t="str">
        <f t="shared" si="104"/>
        <v/>
      </c>
      <c r="I1712" t="str">
        <f t="shared" si="105"/>
        <v/>
      </c>
      <c r="J1712" t="str">
        <f t="shared" si="106"/>
        <v/>
      </c>
      <c r="K1712">
        <v>2609733.86</v>
      </c>
      <c r="L1712" t="b">
        <f t="shared" si="107"/>
        <v>0</v>
      </c>
    </row>
    <row r="1713" spans="1:12" ht="16" x14ac:dyDescent="0.2">
      <c r="A1713" t="s">
        <v>6011</v>
      </c>
      <c r="B1713" t="s">
        <v>73</v>
      </c>
      <c r="C1713" t="s">
        <v>4317</v>
      </c>
      <c r="D1713" s="2" t="s">
        <v>153</v>
      </c>
      <c r="E1713">
        <v>2025</v>
      </c>
      <c r="F1713">
        <v>2026</v>
      </c>
      <c r="G1713" s="10">
        <v>5715000</v>
      </c>
      <c r="H1713" t="str">
        <f t="shared" si="104"/>
        <v/>
      </c>
      <c r="I1713" t="str">
        <f t="shared" si="105"/>
        <v/>
      </c>
      <c r="J1713" t="str">
        <f t="shared" si="106"/>
        <v/>
      </c>
      <c r="K1713">
        <v>2538156.62</v>
      </c>
      <c r="L1713" t="b">
        <f t="shared" si="107"/>
        <v>0</v>
      </c>
    </row>
    <row r="1714" spans="1:12" ht="16" x14ac:dyDescent="0.2">
      <c r="A1714" t="s">
        <v>6012</v>
      </c>
      <c r="B1714" t="s">
        <v>73</v>
      </c>
      <c r="C1714" t="s">
        <v>4318</v>
      </c>
      <c r="D1714" s="2" t="s">
        <v>153</v>
      </c>
      <c r="E1714">
        <v>2025</v>
      </c>
      <c r="F1714">
        <v>2026</v>
      </c>
      <c r="G1714" s="10">
        <v>3100000</v>
      </c>
      <c r="H1714" t="str">
        <f t="shared" si="104"/>
        <v/>
      </c>
      <c r="I1714" t="str">
        <f t="shared" si="105"/>
        <v/>
      </c>
      <c r="J1714" t="str">
        <f t="shared" si="106"/>
        <v/>
      </c>
      <c r="K1714">
        <v>1212559.6499999999</v>
      </c>
      <c r="L1714" t="b">
        <f t="shared" si="107"/>
        <v>0</v>
      </c>
    </row>
    <row r="1715" spans="1:12" ht="16" x14ac:dyDescent="0.2">
      <c r="A1715" t="s">
        <v>6013</v>
      </c>
      <c r="B1715" t="s">
        <v>73</v>
      </c>
      <c r="C1715" t="s">
        <v>4319</v>
      </c>
      <c r="D1715" s="2" t="s">
        <v>153</v>
      </c>
      <c r="G1715" s="10" t="s">
        <v>2892</v>
      </c>
      <c r="H1715" t="str">
        <f t="shared" si="104"/>
        <v/>
      </c>
      <c r="I1715" t="str">
        <f t="shared" si="105"/>
        <v/>
      </c>
      <c r="J1715" t="str">
        <f t="shared" si="106"/>
        <v/>
      </c>
      <c r="L1715" t="b">
        <f t="shared" si="107"/>
        <v>1</v>
      </c>
    </row>
    <row r="1716" spans="1:12" ht="16" x14ac:dyDescent="0.2">
      <c r="A1716" t="s">
        <v>6014</v>
      </c>
      <c r="B1716" t="s">
        <v>73</v>
      </c>
      <c r="C1716" t="s">
        <v>4320</v>
      </c>
      <c r="D1716" s="2" t="s">
        <v>153</v>
      </c>
      <c r="E1716">
        <v>2025</v>
      </c>
      <c r="F1716">
        <v>2027</v>
      </c>
      <c r="G1716" s="10">
        <v>2089999.9999999998</v>
      </c>
      <c r="H1716">
        <f t="shared" si="104"/>
        <v>2089999.9999999998</v>
      </c>
      <c r="I1716" t="str">
        <f t="shared" si="105"/>
        <v/>
      </c>
      <c r="J1716" t="str">
        <f t="shared" si="106"/>
        <v/>
      </c>
      <c r="K1716">
        <v>297402.65999999997</v>
      </c>
      <c r="L1716" t="b">
        <f t="shared" si="107"/>
        <v>0</v>
      </c>
    </row>
    <row r="1717" spans="1:12" ht="16" x14ac:dyDescent="0.2">
      <c r="A1717" t="s">
        <v>6015</v>
      </c>
      <c r="B1717" t="s">
        <v>73</v>
      </c>
      <c r="C1717" t="s">
        <v>4321</v>
      </c>
      <c r="D1717" s="2" t="s">
        <v>153</v>
      </c>
      <c r="E1717">
        <v>2025</v>
      </c>
      <c r="F1717">
        <v>2027</v>
      </c>
      <c r="G1717" s="10">
        <v>1586666.6666666667</v>
      </c>
      <c r="H1717">
        <f t="shared" si="104"/>
        <v>1586666.6666666667</v>
      </c>
      <c r="I1717" t="str">
        <f t="shared" si="105"/>
        <v/>
      </c>
      <c r="J1717" t="str">
        <f t="shared" si="106"/>
        <v/>
      </c>
      <c r="K1717">
        <v>137726</v>
      </c>
      <c r="L1717" t="b">
        <f t="shared" si="107"/>
        <v>0</v>
      </c>
    </row>
    <row r="1718" spans="1:12" ht="16" x14ac:dyDescent="0.2">
      <c r="A1718" t="s">
        <v>6016</v>
      </c>
      <c r="B1718" t="s">
        <v>73</v>
      </c>
      <c r="C1718" t="s">
        <v>4322</v>
      </c>
      <c r="D1718" s="2" t="s">
        <v>153</v>
      </c>
      <c r="G1718" s="10" t="s">
        <v>2892</v>
      </c>
      <c r="H1718" t="str">
        <f t="shared" si="104"/>
        <v/>
      </c>
      <c r="I1718" t="str">
        <f t="shared" si="105"/>
        <v/>
      </c>
      <c r="J1718" t="str">
        <f t="shared" si="106"/>
        <v/>
      </c>
      <c r="L1718" t="b">
        <f t="shared" si="107"/>
        <v>1</v>
      </c>
    </row>
    <row r="1719" spans="1:12" ht="16" x14ac:dyDescent="0.2">
      <c r="A1719" t="s">
        <v>6017</v>
      </c>
      <c r="B1719" t="s">
        <v>73</v>
      </c>
      <c r="C1719" t="s">
        <v>4323</v>
      </c>
      <c r="D1719" s="2" t="s">
        <v>153</v>
      </c>
      <c r="E1719">
        <v>2025</v>
      </c>
      <c r="F1719">
        <v>2026</v>
      </c>
      <c r="G1719" s="10">
        <v>5455000</v>
      </c>
      <c r="H1719" t="str">
        <f t="shared" si="104"/>
        <v/>
      </c>
      <c r="I1719" t="str">
        <f t="shared" si="105"/>
        <v/>
      </c>
      <c r="J1719" t="str">
        <f t="shared" si="106"/>
        <v/>
      </c>
      <c r="K1719">
        <v>2067160.16</v>
      </c>
      <c r="L1719" t="b">
        <f t="shared" si="107"/>
        <v>0</v>
      </c>
    </row>
    <row r="1720" spans="1:12" ht="16" x14ac:dyDescent="0.2">
      <c r="A1720" t="s">
        <v>6018</v>
      </c>
      <c r="B1720" t="s">
        <v>73</v>
      </c>
      <c r="C1720" t="s">
        <v>4324</v>
      </c>
      <c r="D1720" s="2" t="s">
        <v>153</v>
      </c>
      <c r="G1720" s="10" t="s">
        <v>2892</v>
      </c>
      <c r="H1720" t="str">
        <f t="shared" si="104"/>
        <v/>
      </c>
      <c r="I1720" t="str">
        <f t="shared" si="105"/>
        <v/>
      </c>
      <c r="J1720" t="str">
        <f t="shared" si="106"/>
        <v/>
      </c>
      <c r="L1720" t="b">
        <f t="shared" si="107"/>
        <v>1</v>
      </c>
    </row>
    <row r="1721" spans="1:12" ht="16" x14ac:dyDescent="0.2">
      <c r="A1721" t="s">
        <v>6019</v>
      </c>
      <c r="B1721" t="s">
        <v>73</v>
      </c>
      <c r="C1721" t="s">
        <v>4325</v>
      </c>
      <c r="D1721" s="2" t="s">
        <v>153</v>
      </c>
      <c r="E1721">
        <v>2025</v>
      </c>
      <c r="F1721">
        <v>2027</v>
      </c>
      <c r="G1721" s="10">
        <v>1936666.6666666665</v>
      </c>
      <c r="H1721">
        <f t="shared" si="104"/>
        <v>1936666.6666666665</v>
      </c>
      <c r="I1721" t="str">
        <f t="shared" si="105"/>
        <v/>
      </c>
      <c r="J1721" t="str">
        <f t="shared" si="106"/>
        <v/>
      </c>
      <c r="K1721">
        <v>889391.45</v>
      </c>
      <c r="L1721" t="b">
        <f t="shared" si="107"/>
        <v>0</v>
      </c>
    </row>
    <row r="1722" spans="1:12" ht="16" x14ac:dyDescent="0.2">
      <c r="A1722" t="s">
        <v>6020</v>
      </c>
      <c r="B1722" t="s">
        <v>73</v>
      </c>
      <c r="C1722" t="s">
        <v>4326</v>
      </c>
      <c r="D1722" s="2" t="s">
        <v>153</v>
      </c>
      <c r="E1722">
        <v>2025</v>
      </c>
      <c r="F1722">
        <v>2027</v>
      </c>
      <c r="G1722" s="10">
        <v>11413333.333333334</v>
      </c>
      <c r="H1722">
        <f t="shared" si="104"/>
        <v>11413333.333333334</v>
      </c>
      <c r="I1722" t="str">
        <f t="shared" si="105"/>
        <v/>
      </c>
      <c r="J1722" t="str">
        <f t="shared" si="106"/>
        <v/>
      </c>
      <c r="K1722">
        <v>14294008.6</v>
      </c>
      <c r="L1722" t="b">
        <f t="shared" si="107"/>
        <v>0</v>
      </c>
    </row>
    <row r="1723" spans="1:12" ht="16" x14ac:dyDescent="0.2">
      <c r="A1723" t="s">
        <v>6021</v>
      </c>
      <c r="B1723" t="s">
        <v>73</v>
      </c>
      <c r="C1723" t="s">
        <v>4327</v>
      </c>
      <c r="D1723" s="2" t="s">
        <v>153</v>
      </c>
      <c r="E1723">
        <v>2025</v>
      </c>
      <c r="F1723">
        <v>2027</v>
      </c>
      <c r="G1723" s="10">
        <v>5410000</v>
      </c>
      <c r="H1723">
        <f t="shared" si="104"/>
        <v>5410000</v>
      </c>
      <c r="I1723" t="str">
        <f t="shared" si="105"/>
        <v/>
      </c>
      <c r="J1723" t="str">
        <f t="shared" si="106"/>
        <v/>
      </c>
      <c r="K1723">
        <v>4228774.1399999997</v>
      </c>
      <c r="L1723" t="b">
        <f t="shared" si="107"/>
        <v>0</v>
      </c>
    </row>
    <row r="1724" spans="1:12" ht="16" x14ac:dyDescent="0.2">
      <c r="A1724" t="s">
        <v>6022</v>
      </c>
      <c r="B1724" t="s">
        <v>73</v>
      </c>
      <c r="C1724" t="s">
        <v>4328</v>
      </c>
      <c r="D1724" s="2" t="s">
        <v>153</v>
      </c>
      <c r="E1724">
        <v>2025</v>
      </c>
      <c r="F1724">
        <v>2026</v>
      </c>
      <c r="G1724" s="10">
        <v>5800000</v>
      </c>
      <c r="H1724" t="str">
        <f t="shared" si="104"/>
        <v/>
      </c>
      <c r="I1724" t="str">
        <f t="shared" si="105"/>
        <v/>
      </c>
      <c r="J1724" t="str">
        <f t="shared" si="106"/>
        <v/>
      </c>
      <c r="K1724">
        <v>3217250.7</v>
      </c>
      <c r="L1724" t="b">
        <f t="shared" si="107"/>
        <v>0</v>
      </c>
    </row>
    <row r="1725" spans="1:12" ht="16" x14ac:dyDescent="0.2">
      <c r="A1725" t="s">
        <v>6023</v>
      </c>
      <c r="B1725" t="s">
        <v>73</v>
      </c>
      <c r="C1725" t="s">
        <v>4329</v>
      </c>
      <c r="D1725" s="2" t="s">
        <v>153</v>
      </c>
      <c r="E1725">
        <v>2025</v>
      </c>
      <c r="F1725">
        <v>2027</v>
      </c>
      <c r="G1725" s="10">
        <v>1743333.3333333335</v>
      </c>
      <c r="H1725">
        <f t="shared" si="104"/>
        <v>1743333.3333333335</v>
      </c>
      <c r="I1725" t="str">
        <f t="shared" si="105"/>
        <v/>
      </c>
      <c r="J1725" t="str">
        <f t="shared" si="106"/>
        <v/>
      </c>
      <c r="K1725">
        <v>627169.16</v>
      </c>
      <c r="L1725" t="b">
        <f t="shared" si="107"/>
        <v>0</v>
      </c>
    </row>
    <row r="1726" spans="1:12" ht="16" x14ac:dyDescent="0.2">
      <c r="A1726" t="s">
        <v>6024</v>
      </c>
      <c r="B1726" t="s">
        <v>73</v>
      </c>
      <c r="C1726" t="s">
        <v>4330</v>
      </c>
      <c r="D1726" s="2" t="s">
        <v>153</v>
      </c>
      <c r="E1726">
        <v>2025</v>
      </c>
      <c r="F1726">
        <v>2026</v>
      </c>
      <c r="G1726" s="10">
        <v>3690000</v>
      </c>
      <c r="H1726" t="str">
        <f t="shared" si="104"/>
        <v/>
      </c>
      <c r="I1726" t="str">
        <f t="shared" si="105"/>
        <v/>
      </c>
      <c r="J1726" t="str">
        <f t="shared" si="106"/>
        <v/>
      </c>
      <c r="K1726">
        <v>1439965.26</v>
      </c>
      <c r="L1726" t="b">
        <f t="shared" si="107"/>
        <v>0</v>
      </c>
    </row>
    <row r="1727" spans="1:12" ht="16" x14ac:dyDescent="0.2">
      <c r="A1727" t="s">
        <v>6025</v>
      </c>
      <c r="B1727" t="s">
        <v>73</v>
      </c>
      <c r="C1727" t="s">
        <v>4331</v>
      </c>
      <c r="D1727" s="2" t="s">
        <v>153</v>
      </c>
      <c r="E1727">
        <v>2025</v>
      </c>
      <c r="F1727">
        <v>2027</v>
      </c>
      <c r="G1727" s="10">
        <v>4686666.666666667</v>
      </c>
      <c r="H1727">
        <f t="shared" si="104"/>
        <v>4686666.666666667</v>
      </c>
      <c r="I1727" t="str">
        <f t="shared" si="105"/>
        <v/>
      </c>
      <c r="J1727" t="str">
        <f t="shared" si="106"/>
        <v/>
      </c>
      <c r="K1727">
        <v>1642387.09</v>
      </c>
      <c r="L1727" t="b">
        <f t="shared" si="107"/>
        <v>0</v>
      </c>
    </row>
    <row r="1728" spans="1:12" ht="16" x14ac:dyDescent="0.2">
      <c r="A1728" t="s">
        <v>6026</v>
      </c>
      <c r="B1728" t="s">
        <v>73</v>
      </c>
      <c r="C1728" t="s">
        <v>4332</v>
      </c>
      <c r="D1728" s="2" t="s">
        <v>153</v>
      </c>
      <c r="E1728">
        <v>2025</v>
      </c>
      <c r="F1728">
        <v>2027</v>
      </c>
      <c r="G1728" s="10">
        <v>4533333.333333333</v>
      </c>
      <c r="H1728">
        <f t="shared" si="104"/>
        <v>4533333.333333333</v>
      </c>
      <c r="I1728" t="str">
        <f t="shared" si="105"/>
        <v/>
      </c>
      <c r="J1728" t="str">
        <f t="shared" si="106"/>
        <v/>
      </c>
      <c r="K1728">
        <v>3289257.04</v>
      </c>
      <c r="L1728" t="b">
        <f t="shared" si="107"/>
        <v>0</v>
      </c>
    </row>
    <row r="1729" spans="1:12" ht="16" x14ac:dyDescent="0.2">
      <c r="A1729" t="s">
        <v>6027</v>
      </c>
      <c r="B1729" t="s">
        <v>73</v>
      </c>
      <c r="C1729" t="s">
        <v>4333</v>
      </c>
      <c r="D1729" s="2" t="s">
        <v>153</v>
      </c>
      <c r="G1729" s="10" t="s">
        <v>2892</v>
      </c>
      <c r="H1729" t="str">
        <f t="shared" si="104"/>
        <v/>
      </c>
      <c r="I1729" t="str">
        <f t="shared" si="105"/>
        <v/>
      </c>
      <c r="J1729" t="str">
        <f t="shared" si="106"/>
        <v/>
      </c>
      <c r="L1729" t="b">
        <f t="shared" si="107"/>
        <v>1</v>
      </c>
    </row>
    <row r="1730" spans="1:12" ht="16" x14ac:dyDescent="0.2">
      <c r="A1730" t="s">
        <v>6028</v>
      </c>
      <c r="B1730" t="s">
        <v>73</v>
      </c>
      <c r="C1730" t="s">
        <v>4334</v>
      </c>
      <c r="D1730" s="2" t="s">
        <v>153</v>
      </c>
      <c r="G1730" s="10" t="s">
        <v>2892</v>
      </c>
      <c r="H1730" t="str">
        <f t="shared" si="104"/>
        <v/>
      </c>
      <c r="I1730" t="str">
        <f t="shared" si="105"/>
        <v/>
      </c>
      <c r="J1730" t="str">
        <f t="shared" si="106"/>
        <v/>
      </c>
      <c r="L1730" t="b">
        <f t="shared" si="107"/>
        <v>1</v>
      </c>
    </row>
    <row r="1731" spans="1:12" ht="16" x14ac:dyDescent="0.2">
      <c r="A1731" t="s">
        <v>6029</v>
      </c>
      <c r="B1731" t="s">
        <v>73</v>
      </c>
      <c r="C1731" t="s">
        <v>4335</v>
      </c>
      <c r="D1731" s="2" t="s">
        <v>153</v>
      </c>
      <c r="G1731" s="10" t="s">
        <v>2892</v>
      </c>
      <c r="H1731" t="str">
        <f t="shared" si="104"/>
        <v/>
      </c>
      <c r="I1731" t="str">
        <f t="shared" si="105"/>
        <v/>
      </c>
      <c r="J1731" t="str">
        <f t="shared" si="106"/>
        <v/>
      </c>
      <c r="L1731" t="b">
        <f t="shared" si="107"/>
        <v>1</v>
      </c>
    </row>
    <row r="1732" spans="1:12" ht="16" x14ac:dyDescent="0.2">
      <c r="A1732" t="s">
        <v>6030</v>
      </c>
      <c r="B1732" t="s">
        <v>73</v>
      </c>
      <c r="C1732" t="s">
        <v>4336</v>
      </c>
      <c r="D1732" s="2" t="s">
        <v>153</v>
      </c>
      <c r="E1732">
        <v>2025</v>
      </c>
      <c r="F1732">
        <v>2026</v>
      </c>
      <c r="G1732" s="10">
        <v>3860000</v>
      </c>
      <c r="H1732" t="str">
        <f t="shared" ref="H1732:H1795" si="108">IF(F1732&gt;=2027,G1732,"")</f>
        <v/>
      </c>
      <c r="I1732" t="str">
        <f t="shared" ref="I1732:I1795" si="109">IF(F1732&gt;=2028,G1732,"")</f>
        <v/>
      </c>
      <c r="J1732" t="str">
        <f t="shared" ref="J1732:J1795" si="110">IF(F1732&gt;=2029,G1732,"")</f>
        <v/>
      </c>
      <c r="K1732">
        <v>1513558.93</v>
      </c>
      <c r="L1732" t="b">
        <f t="shared" si="107"/>
        <v>0</v>
      </c>
    </row>
    <row r="1733" spans="1:12" ht="16" x14ac:dyDescent="0.2">
      <c r="A1733" t="s">
        <v>6031</v>
      </c>
      <c r="B1733" t="s">
        <v>73</v>
      </c>
      <c r="C1733" t="s">
        <v>4337</v>
      </c>
      <c r="D1733" s="2" t="s">
        <v>153</v>
      </c>
      <c r="G1733" s="10" t="s">
        <v>2892</v>
      </c>
      <c r="H1733" t="str">
        <f t="shared" si="108"/>
        <v/>
      </c>
      <c r="I1733" t="str">
        <f t="shared" si="109"/>
        <v/>
      </c>
      <c r="J1733" t="str">
        <f t="shared" si="110"/>
        <v/>
      </c>
      <c r="L1733" t="b">
        <f t="shared" si="107"/>
        <v>1</v>
      </c>
    </row>
    <row r="1734" spans="1:12" ht="16" x14ac:dyDescent="0.2">
      <c r="A1734" t="s">
        <v>6032</v>
      </c>
      <c r="B1734" t="s">
        <v>73</v>
      </c>
      <c r="C1734" t="s">
        <v>4338</v>
      </c>
      <c r="D1734" s="2" t="s">
        <v>153</v>
      </c>
      <c r="G1734" s="10" t="s">
        <v>2892</v>
      </c>
      <c r="H1734" t="str">
        <f t="shared" si="108"/>
        <v/>
      </c>
      <c r="I1734" t="str">
        <f t="shared" si="109"/>
        <v/>
      </c>
      <c r="J1734" t="str">
        <f t="shared" si="110"/>
        <v/>
      </c>
      <c r="L1734" t="b">
        <f t="shared" si="107"/>
        <v>1</v>
      </c>
    </row>
    <row r="1735" spans="1:12" ht="16" x14ac:dyDescent="0.2">
      <c r="A1735" t="s">
        <v>6033</v>
      </c>
      <c r="B1735" t="s">
        <v>73</v>
      </c>
      <c r="C1735" t="s">
        <v>4339</v>
      </c>
      <c r="D1735" s="2" t="s">
        <v>153</v>
      </c>
      <c r="E1735">
        <v>2025</v>
      </c>
      <c r="F1735">
        <v>2026</v>
      </c>
      <c r="G1735" s="10">
        <v>4485000</v>
      </c>
      <c r="H1735" t="str">
        <f t="shared" si="108"/>
        <v/>
      </c>
      <c r="I1735" t="str">
        <f t="shared" si="109"/>
        <v/>
      </c>
      <c r="J1735" t="str">
        <f t="shared" si="110"/>
        <v/>
      </c>
      <c r="K1735">
        <v>2364162.56</v>
      </c>
      <c r="L1735" t="b">
        <f t="shared" si="107"/>
        <v>0</v>
      </c>
    </row>
    <row r="1736" spans="1:12" ht="16" x14ac:dyDescent="0.2">
      <c r="A1736" t="s">
        <v>6034</v>
      </c>
      <c r="B1736" t="s">
        <v>73</v>
      </c>
      <c r="C1736" t="s">
        <v>4340</v>
      </c>
      <c r="D1736" s="2" t="s">
        <v>153</v>
      </c>
      <c r="E1736">
        <v>2025</v>
      </c>
      <c r="F1736">
        <v>2026</v>
      </c>
      <c r="G1736" s="10">
        <v>9215000</v>
      </c>
      <c r="H1736" t="str">
        <f t="shared" si="108"/>
        <v/>
      </c>
      <c r="I1736" t="str">
        <f t="shared" si="109"/>
        <v/>
      </c>
      <c r="J1736" t="str">
        <f t="shared" si="110"/>
        <v/>
      </c>
      <c r="K1736">
        <v>5199735.5999999996</v>
      </c>
      <c r="L1736" t="b">
        <f t="shared" si="107"/>
        <v>0</v>
      </c>
    </row>
    <row r="1737" spans="1:12" ht="16" x14ac:dyDescent="0.2">
      <c r="A1737" t="s">
        <v>6035</v>
      </c>
      <c r="B1737" t="s">
        <v>73</v>
      </c>
      <c r="C1737" t="s">
        <v>4341</v>
      </c>
      <c r="D1737" s="2" t="s">
        <v>156</v>
      </c>
      <c r="E1737">
        <v>2025</v>
      </c>
      <c r="F1737">
        <v>2029</v>
      </c>
      <c r="G1737" s="10">
        <v>11846000</v>
      </c>
      <c r="H1737">
        <f t="shared" si="108"/>
        <v>11846000</v>
      </c>
      <c r="I1737">
        <f t="shared" si="109"/>
        <v>11846000</v>
      </c>
      <c r="J1737">
        <f t="shared" si="110"/>
        <v>11846000</v>
      </c>
      <c r="K1737">
        <v>17375404.219999999</v>
      </c>
      <c r="L1737" t="b">
        <f t="shared" si="107"/>
        <v>0</v>
      </c>
    </row>
    <row r="1738" spans="1:12" ht="16" x14ac:dyDescent="0.2">
      <c r="A1738" t="s">
        <v>6036</v>
      </c>
      <c r="B1738" t="s">
        <v>73</v>
      </c>
      <c r="C1738" t="s">
        <v>4342</v>
      </c>
      <c r="D1738" s="2" t="s">
        <v>156</v>
      </c>
      <c r="G1738" s="10" t="s">
        <v>2892</v>
      </c>
      <c r="H1738" t="str">
        <f t="shared" si="108"/>
        <v/>
      </c>
      <c r="I1738" t="str">
        <f t="shared" si="109"/>
        <v/>
      </c>
      <c r="J1738" t="str">
        <f t="shared" si="110"/>
        <v/>
      </c>
      <c r="L1738" t="b">
        <f t="shared" si="107"/>
        <v>1</v>
      </c>
    </row>
    <row r="1739" spans="1:12" ht="16" x14ac:dyDescent="0.2">
      <c r="A1739" t="s">
        <v>6037</v>
      </c>
      <c r="B1739" t="s">
        <v>73</v>
      </c>
      <c r="C1739" t="s">
        <v>4343</v>
      </c>
      <c r="D1739" s="2" t="s">
        <v>156</v>
      </c>
      <c r="E1739">
        <v>2025</v>
      </c>
      <c r="F1739">
        <v>2026</v>
      </c>
      <c r="G1739" s="10">
        <v>3280000</v>
      </c>
      <c r="H1739" t="str">
        <f t="shared" si="108"/>
        <v/>
      </c>
      <c r="I1739" t="str">
        <f t="shared" si="109"/>
        <v/>
      </c>
      <c r="J1739" t="str">
        <f t="shared" si="110"/>
        <v/>
      </c>
      <c r="K1739">
        <v>258306.89</v>
      </c>
      <c r="L1739" t="b">
        <f t="shared" si="107"/>
        <v>0</v>
      </c>
    </row>
    <row r="1740" spans="1:12" ht="16" x14ac:dyDescent="0.2">
      <c r="A1740" t="s">
        <v>6038</v>
      </c>
      <c r="B1740" t="s">
        <v>73</v>
      </c>
      <c r="C1740" t="s">
        <v>4344</v>
      </c>
      <c r="D1740" s="2" t="s">
        <v>156</v>
      </c>
      <c r="E1740">
        <v>2025</v>
      </c>
      <c r="F1740">
        <v>2027</v>
      </c>
      <c r="G1740" s="10">
        <v>6566666.666666666</v>
      </c>
      <c r="H1740">
        <f t="shared" si="108"/>
        <v>6566666.666666666</v>
      </c>
      <c r="I1740" t="str">
        <f t="shared" si="109"/>
        <v/>
      </c>
      <c r="J1740" t="str">
        <f t="shared" si="110"/>
        <v/>
      </c>
      <c r="K1740">
        <v>6368783.4199999999</v>
      </c>
      <c r="L1740" t="b">
        <f t="shared" si="107"/>
        <v>0</v>
      </c>
    </row>
    <row r="1741" spans="1:12" ht="16" x14ac:dyDescent="0.2">
      <c r="A1741" t="s">
        <v>6039</v>
      </c>
      <c r="B1741" t="s">
        <v>73</v>
      </c>
      <c r="C1741" t="s">
        <v>4345</v>
      </c>
      <c r="D1741" s="2" t="s">
        <v>156</v>
      </c>
      <c r="E1741">
        <v>2025</v>
      </c>
      <c r="F1741">
        <v>2026</v>
      </c>
      <c r="G1741" s="10">
        <v>1600000</v>
      </c>
      <c r="H1741" t="str">
        <f t="shared" si="108"/>
        <v/>
      </c>
      <c r="I1741" t="str">
        <f t="shared" si="109"/>
        <v/>
      </c>
      <c r="J1741" t="str">
        <f t="shared" si="110"/>
        <v/>
      </c>
      <c r="K1741">
        <v>306954.02</v>
      </c>
      <c r="L1741" t="b">
        <f t="shared" si="107"/>
        <v>0</v>
      </c>
    </row>
    <row r="1742" spans="1:12" ht="16" x14ac:dyDescent="0.2">
      <c r="A1742" t="s">
        <v>6040</v>
      </c>
      <c r="B1742" t="s">
        <v>73</v>
      </c>
      <c r="C1742" t="s">
        <v>4346</v>
      </c>
      <c r="D1742" s="2" t="s">
        <v>156</v>
      </c>
      <c r="E1742">
        <v>2025</v>
      </c>
      <c r="F1742">
        <v>2028</v>
      </c>
      <c r="G1742" s="10">
        <v>9427500</v>
      </c>
      <c r="H1742">
        <f t="shared" si="108"/>
        <v>9427500</v>
      </c>
      <c r="I1742">
        <f t="shared" si="109"/>
        <v>9427500</v>
      </c>
      <c r="J1742" t="str">
        <f t="shared" si="110"/>
        <v/>
      </c>
      <c r="K1742">
        <v>13599686.449999999</v>
      </c>
      <c r="L1742" t="b">
        <f t="shared" si="107"/>
        <v>0</v>
      </c>
    </row>
    <row r="1743" spans="1:12" ht="16" x14ac:dyDescent="0.2">
      <c r="A1743" t="s">
        <v>6041</v>
      </c>
      <c r="B1743" t="s">
        <v>73</v>
      </c>
      <c r="C1743" t="s">
        <v>4347</v>
      </c>
      <c r="D1743" s="2" t="s">
        <v>156</v>
      </c>
      <c r="E1743">
        <v>2026</v>
      </c>
      <c r="F1743">
        <v>2030</v>
      </c>
      <c r="G1743" s="10">
        <v>5500000</v>
      </c>
      <c r="H1743">
        <f t="shared" si="108"/>
        <v>5500000</v>
      </c>
      <c r="I1743">
        <f t="shared" si="109"/>
        <v>5500000</v>
      </c>
      <c r="J1743">
        <f t="shared" si="110"/>
        <v>5500000</v>
      </c>
      <c r="K1743">
        <v>4904194.05</v>
      </c>
      <c r="L1743" t="b">
        <f t="shared" si="107"/>
        <v>0</v>
      </c>
    </row>
    <row r="1744" spans="1:12" ht="16" x14ac:dyDescent="0.2">
      <c r="A1744" t="s">
        <v>6042</v>
      </c>
      <c r="B1744" t="s">
        <v>73</v>
      </c>
      <c r="C1744" t="s">
        <v>4348</v>
      </c>
      <c r="D1744" s="2" t="s">
        <v>156</v>
      </c>
      <c r="E1744">
        <v>2025</v>
      </c>
      <c r="F1744">
        <v>2026</v>
      </c>
      <c r="G1744" s="10">
        <v>5140000</v>
      </c>
      <c r="H1744" t="str">
        <f t="shared" si="108"/>
        <v/>
      </c>
      <c r="I1744" t="str">
        <f t="shared" si="109"/>
        <v/>
      </c>
      <c r="J1744" t="str">
        <f t="shared" si="110"/>
        <v/>
      </c>
      <c r="K1744">
        <v>1474259.42</v>
      </c>
      <c r="L1744" t="b">
        <f t="shared" si="107"/>
        <v>0</v>
      </c>
    </row>
    <row r="1745" spans="1:12" ht="16" x14ac:dyDescent="0.2">
      <c r="A1745" t="s">
        <v>6043</v>
      </c>
      <c r="B1745" t="s">
        <v>73</v>
      </c>
      <c r="C1745" t="s">
        <v>4349</v>
      </c>
      <c r="D1745" s="2" t="s">
        <v>156</v>
      </c>
      <c r="E1745">
        <v>2025</v>
      </c>
      <c r="F1745">
        <v>2027</v>
      </c>
      <c r="G1745" s="10">
        <v>8893333.3333333321</v>
      </c>
      <c r="H1745">
        <f t="shared" si="108"/>
        <v>8893333.3333333321</v>
      </c>
      <c r="I1745" t="str">
        <f t="shared" si="109"/>
        <v/>
      </c>
      <c r="J1745" t="str">
        <f t="shared" si="110"/>
        <v/>
      </c>
      <c r="K1745">
        <v>11024465.130000001</v>
      </c>
      <c r="L1745" t="b">
        <f t="shared" si="107"/>
        <v>0</v>
      </c>
    </row>
    <row r="1746" spans="1:12" ht="16" x14ac:dyDescent="0.2">
      <c r="A1746" t="s">
        <v>6044</v>
      </c>
      <c r="B1746" t="s">
        <v>73</v>
      </c>
      <c r="C1746" t="s">
        <v>4350</v>
      </c>
      <c r="D1746" s="2" t="s">
        <v>156</v>
      </c>
      <c r="E1746">
        <v>2026</v>
      </c>
      <c r="F1746">
        <v>2029</v>
      </c>
      <c r="G1746" s="10">
        <v>4100000.0000000005</v>
      </c>
      <c r="H1746">
        <f t="shared" si="108"/>
        <v>4100000.0000000005</v>
      </c>
      <c r="I1746">
        <f t="shared" si="109"/>
        <v>4100000.0000000005</v>
      </c>
      <c r="J1746">
        <f t="shared" si="110"/>
        <v>4100000.0000000005</v>
      </c>
      <c r="K1746">
        <v>3599574.28</v>
      </c>
      <c r="L1746" t="b">
        <f t="shared" si="107"/>
        <v>0</v>
      </c>
    </row>
    <row r="1747" spans="1:12" ht="16" x14ac:dyDescent="0.2">
      <c r="A1747" t="s">
        <v>6045</v>
      </c>
      <c r="B1747" t="s">
        <v>73</v>
      </c>
      <c r="C1747" t="s">
        <v>4351</v>
      </c>
      <c r="D1747" s="2" t="s">
        <v>156</v>
      </c>
      <c r="E1747">
        <v>2025</v>
      </c>
      <c r="F1747">
        <v>2026</v>
      </c>
      <c r="G1747" s="10">
        <v>3825000</v>
      </c>
      <c r="H1747" t="str">
        <f t="shared" si="108"/>
        <v/>
      </c>
      <c r="I1747" t="str">
        <f t="shared" si="109"/>
        <v/>
      </c>
      <c r="J1747" t="str">
        <f t="shared" si="110"/>
        <v/>
      </c>
      <c r="K1747">
        <v>1231056.67</v>
      </c>
      <c r="L1747" t="b">
        <f t="shared" si="107"/>
        <v>0</v>
      </c>
    </row>
    <row r="1748" spans="1:12" ht="16" x14ac:dyDescent="0.2">
      <c r="A1748" t="s">
        <v>6046</v>
      </c>
      <c r="B1748" t="s">
        <v>73</v>
      </c>
      <c r="C1748" t="s">
        <v>4352</v>
      </c>
      <c r="D1748" s="2" t="s">
        <v>156</v>
      </c>
      <c r="E1748">
        <v>2025</v>
      </c>
      <c r="F1748">
        <v>2026</v>
      </c>
      <c r="G1748" s="10">
        <v>3850000</v>
      </c>
      <c r="H1748" t="str">
        <f t="shared" si="108"/>
        <v/>
      </c>
      <c r="I1748" t="str">
        <f t="shared" si="109"/>
        <v/>
      </c>
      <c r="J1748" t="str">
        <f t="shared" si="110"/>
        <v/>
      </c>
      <c r="K1748">
        <v>1490143.36</v>
      </c>
      <c r="L1748" t="b">
        <f t="shared" si="107"/>
        <v>0</v>
      </c>
    </row>
    <row r="1749" spans="1:12" ht="16" x14ac:dyDescent="0.2">
      <c r="A1749" t="s">
        <v>6047</v>
      </c>
      <c r="B1749" t="s">
        <v>73</v>
      </c>
      <c r="C1749" t="s">
        <v>4353</v>
      </c>
      <c r="D1749" s="2" t="s">
        <v>156</v>
      </c>
      <c r="G1749" s="10" t="s">
        <v>2892</v>
      </c>
      <c r="H1749" t="str">
        <f t="shared" si="108"/>
        <v/>
      </c>
      <c r="I1749" t="str">
        <f t="shared" si="109"/>
        <v/>
      </c>
      <c r="J1749" t="str">
        <f t="shared" si="110"/>
        <v/>
      </c>
      <c r="L1749" t="b">
        <f t="shared" si="107"/>
        <v>1</v>
      </c>
    </row>
    <row r="1750" spans="1:12" ht="16" x14ac:dyDescent="0.2">
      <c r="A1750" t="s">
        <v>6048</v>
      </c>
      <c r="B1750" t="s">
        <v>73</v>
      </c>
      <c r="C1750" t="s">
        <v>4354</v>
      </c>
      <c r="D1750" s="2" t="s">
        <v>156</v>
      </c>
      <c r="G1750" s="10" t="s">
        <v>2892</v>
      </c>
      <c r="H1750" t="str">
        <f t="shared" si="108"/>
        <v/>
      </c>
      <c r="I1750" t="str">
        <f t="shared" si="109"/>
        <v/>
      </c>
      <c r="J1750" t="str">
        <f t="shared" si="110"/>
        <v/>
      </c>
      <c r="L1750" t="b">
        <f t="shared" si="107"/>
        <v>1</v>
      </c>
    </row>
    <row r="1751" spans="1:12" ht="16" x14ac:dyDescent="0.2">
      <c r="A1751" t="s">
        <v>6049</v>
      </c>
      <c r="B1751" t="s">
        <v>73</v>
      </c>
      <c r="C1751" t="s">
        <v>4355</v>
      </c>
      <c r="D1751" s="2" t="s">
        <v>156</v>
      </c>
      <c r="G1751" s="10" t="s">
        <v>2892</v>
      </c>
      <c r="H1751" t="str">
        <f t="shared" si="108"/>
        <v/>
      </c>
      <c r="I1751" t="str">
        <f t="shared" si="109"/>
        <v/>
      </c>
      <c r="J1751" t="str">
        <f t="shared" si="110"/>
        <v/>
      </c>
      <c r="L1751" t="b">
        <f t="shared" si="107"/>
        <v>1</v>
      </c>
    </row>
    <row r="1752" spans="1:12" ht="16" x14ac:dyDescent="0.2">
      <c r="A1752" t="s">
        <v>6050</v>
      </c>
      <c r="B1752" t="s">
        <v>73</v>
      </c>
      <c r="C1752" t="s">
        <v>4356</v>
      </c>
      <c r="D1752" s="2" t="s">
        <v>156</v>
      </c>
      <c r="G1752" s="10" t="s">
        <v>2892</v>
      </c>
      <c r="H1752" t="str">
        <f t="shared" si="108"/>
        <v/>
      </c>
      <c r="I1752" t="str">
        <f t="shared" si="109"/>
        <v/>
      </c>
      <c r="J1752" t="str">
        <f t="shared" si="110"/>
        <v/>
      </c>
      <c r="L1752" t="b">
        <f t="shared" si="107"/>
        <v>1</v>
      </c>
    </row>
    <row r="1753" spans="1:12" ht="16" x14ac:dyDescent="0.2">
      <c r="A1753" t="s">
        <v>6051</v>
      </c>
      <c r="B1753" t="s">
        <v>73</v>
      </c>
      <c r="C1753" t="s">
        <v>4357</v>
      </c>
      <c r="D1753" s="2" t="s">
        <v>156</v>
      </c>
      <c r="G1753" s="10" t="s">
        <v>2892</v>
      </c>
      <c r="H1753" t="str">
        <f t="shared" si="108"/>
        <v/>
      </c>
      <c r="I1753" t="str">
        <f t="shared" si="109"/>
        <v/>
      </c>
      <c r="J1753" t="str">
        <f t="shared" si="110"/>
        <v/>
      </c>
      <c r="L1753" t="b">
        <f t="shared" si="107"/>
        <v>1</v>
      </c>
    </row>
    <row r="1754" spans="1:12" ht="16" x14ac:dyDescent="0.2">
      <c r="A1754" t="s">
        <v>6052</v>
      </c>
      <c r="B1754" t="s">
        <v>73</v>
      </c>
      <c r="C1754" t="s">
        <v>4358</v>
      </c>
      <c r="D1754" s="2" t="s">
        <v>156</v>
      </c>
      <c r="E1754">
        <v>2025</v>
      </c>
      <c r="F1754">
        <v>2026</v>
      </c>
      <c r="G1754" s="10">
        <v>3330000</v>
      </c>
      <c r="H1754" t="str">
        <f t="shared" si="108"/>
        <v/>
      </c>
      <c r="I1754" t="str">
        <f t="shared" si="109"/>
        <v/>
      </c>
      <c r="J1754" t="str">
        <f t="shared" si="110"/>
        <v/>
      </c>
      <c r="K1754">
        <v>1145388.23</v>
      </c>
      <c r="L1754" t="b">
        <f t="shared" si="107"/>
        <v>0</v>
      </c>
    </row>
    <row r="1755" spans="1:12" ht="16" x14ac:dyDescent="0.2">
      <c r="A1755" t="s">
        <v>6053</v>
      </c>
      <c r="B1755" t="s">
        <v>73</v>
      </c>
      <c r="C1755" t="s">
        <v>4359</v>
      </c>
      <c r="D1755" s="2" t="s">
        <v>156</v>
      </c>
      <c r="E1755">
        <v>2025</v>
      </c>
      <c r="F1755">
        <v>2027</v>
      </c>
      <c r="G1755" s="10">
        <v>4500000</v>
      </c>
      <c r="H1755">
        <f t="shared" si="108"/>
        <v>4500000</v>
      </c>
      <c r="I1755" t="str">
        <f t="shared" si="109"/>
        <v/>
      </c>
      <c r="J1755" t="str">
        <f t="shared" si="110"/>
        <v/>
      </c>
      <c r="K1755">
        <v>3675652.84</v>
      </c>
      <c r="L1755" t="b">
        <f t="shared" si="107"/>
        <v>0</v>
      </c>
    </row>
    <row r="1756" spans="1:12" ht="16" x14ac:dyDescent="0.2">
      <c r="A1756" t="s">
        <v>6054</v>
      </c>
      <c r="B1756" t="s">
        <v>73</v>
      </c>
      <c r="C1756" t="s">
        <v>4360</v>
      </c>
      <c r="D1756" s="2" t="s">
        <v>156</v>
      </c>
      <c r="E1756">
        <v>2025</v>
      </c>
      <c r="F1756">
        <v>2026</v>
      </c>
      <c r="G1756" s="10">
        <v>5210000</v>
      </c>
      <c r="H1756" t="str">
        <f t="shared" si="108"/>
        <v/>
      </c>
      <c r="I1756" t="str">
        <f t="shared" si="109"/>
        <v/>
      </c>
      <c r="J1756" t="str">
        <f t="shared" si="110"/>
        <v/>
      </c>
      <c r="K1756">
        <v>2635738.85</v>
      </c>
      <c r="L1756" t="b">
        <f t="shared" si="107"/>
        <v>0</v>
      </c>
    </row>
    <row r="1757" spans="1:12" ht="16" x14ac:dyDescent="0.2">
      <c r="A1757" t="s">
        <v>6055</v>
      </c>
      <c r="B1757" t="s">
        <v>73</v>
      </c>
      <c r="C1757" t="s">
        <v>4361</v>
      </c>
      <c r="D1757" s="2" t="s">
        <v>156</v>
      </c>
      <c r="E1757">
        <v>2025</v>
      </c>
      <c r="F1757">
        <v>2027</v>
      </c>
      <c r="G1757" s="10">
        <v>2686666.666666667</v>
      </c>
      <c r="H1757">
        <f t="shared" si="108"/>
        <v>2686666.666666667</v>
      </c>
      <c r="I1757" t="str">
        <f t="shared" si="109"/>
        <v/>
      </c>
      <c r="J1757" t="str">
        <f t="shared" si="110"/>
        <v/>
      </c>
      <c r="K1757">
        <v>1310462.22</v>
      </c>
      <c r="L1757" t="b">
        <f t="shared" si="107"/>
        <v>0</v>
      </c>
    </row>
    <row r="1758" spans="1:12" ht="16" x14ac:dyDescent="0.2">
      <c r="A1758" t="s">
        <v>6056</v>
      </c>
      <c r="B1758" t="s">
        <v>73</v>
      </c>
      <c r="C1758" t="s">
        <v>4362</v>
      </c>
      <c r="D1758" s="2" t="s">
        <v>156</v>
      </c>
      <c r="G1758" s="10" t="s">
        <v>2892</v>
      </c>
      <c r="H1758" t="str">
        <f t="shared" si="108"/>
        <v/>
      </c>
      <c r="I1758" t="str">
        <f t="shared" si="109"/>
        <v/>
      </c>
      <c r="J1758" t="str">
        <f t="shared" si="110"/>
        <v/>
      </c>
      <c r="L1758" t="b">
        <f t="shared" si="107"/>
        <v>1</v>
      </c>
    </row>
    <row r="1759" spans="1:12" ht="16" x14ac:dyDescent="0.2">
      <c r="A1759" t="s">
        <v>6057</v>
      </c>
      <c r="B1759" t="s">
        <v>73</v>
      </c>
      <c r="C1759" t="s">
        <v>4363</v>
      </c>
      <c r="D1759" s="2" t="s">
        <v>156</v>
      </c>
      <c r="E1759">
        <v>2025</v>
      </c>
      <c r="F1759">
        <v>2026</v>
      </c>
      <c r="G1759" s="10">
        <v>4605000</v>
      </c>
      <c r="H1759" t="str">
        <f t="shared" si="108"/>
        <v/>
      </c>
      <c r="I1759" t="str">
        <f t="shared" si="109"/>
        <v/>
      </c>
      <c r="J1759" t="str">
        <f t="shared" si="110"/>
        <v/>
      </c>
      <c r="K1759">
        <v>1213125.3400000001</v>
      </c>
      <c r="L1759" t="b">
        <f t="shared" si="107"/>
        <v>0</v>
      </c>
    </row>
    <row r="1760" spans="1:12" ht="16" x14ac:dyDescent="0.2">
      <c r="A1760" t="s">
        <v>6058</v>
      </c>
      <c r="B1760" t="s">
        <v>73</v>
      </c>
      <c r="C1760" t="s">
        <v>4364</v>
      </c>
      <c r="D1760" s="2" t="s">
        <v>156</v>
      </c>
      <c r="E1760">
        <v>2025</v>
      </c>
      <c r="F1760">
        <v>2026</v>
      </c>
      <c r="G1760" s="10">
        <v>2425000</v>
      </c>
      <c r="H1760" t="str">
        <f t="shared" si="108"/>
        <v/>
      </c>
      <c r="I1760" t="str">
        <f t="shared" si="109"/>
        <v/>
      </c>
      <c r="J1760" t="str">
        <f t="shared" si="110"/>
        <v/>
      </c>
      <c r="K1760">
        <v>309993.67</v>
      </c>
      <c r="L1760" t="b">
        <f t="shared" si="107"/>
        <v>0</v>
      </c>
    </row>
    <row r="1761" spans="1:12" ht="16" x14ac:dyDescent="0.2">
      <c r="A1761" t="s">
        <v>6059</v>
      </c>
      <c r="B1761" t="s">
        <v>73</v>
      </c>
      <c r="C1761" t="s">
        <v>4365</v>
      </c>
      <c r="D1761" s="2" t="s">
        <v>156</v>
      </c>
      <c r="E1761">
        <v>2025</v>
      </c>
      <c r="F1761">
        <v>2026</v>
      </c>
      <c r="G1761" s="10">
        <v>2775000</v>
      </c>
      <c r="H1761" t="str">
        <f t="shared" si="108"/>
        <v/>
      </c>
      <c r="I1761" t="str">
        <f t="shared" si="109"/>
        <v/>
      </c>
      <c r="J1761" t="str">
        <f t="shared" si="110"/>
        <v/>
      </c>
      <c r="K1761">
        <v>608132.52</v>
      </c>
      <c r="L1761" t="b">
        <f t="shared" si="107"/>
        <v>0</v>
      </c>
    </row>
    <row r="1762" spans="1:12" ht="16" x14ac:dyDescent="0.2">
      <c r="A1762" t="s">
        <v>6060</v>
      </c>
      <c r="B1762" t="s">
        <v>73</v>
      </c>
      <c r="C1762" t="s">
        <v>4366</v>
      </c>
      <c r="D1762" s="2" t="s">
        <v>156</v>
      </c>
      <c r="E1762">
        <v>2025</v>
      </c>
      <c r="F1762">
        <v>2027</v>
      </c>
      <c r="G1762" s="10">
        <v>11120000</v>
      </c>
      <c r="H1762">
        <f t="shared" si="108"/>
        <v>11120000</v>
      </c>
      <c r="I1762" t="str">
        <f t="shared" si="109"/>
        <v/>
      </c>
      <c r="J1762" t="str">
        <f t="shared" si="110"/>
        <v/>
      </c>
      <c r="K1762">
        <v>14786068.84</v>
      </c>
      <c r="L1762" t="b">
        <f t="shared" si="107"/>
        <v>0</v>
      </c>
    </row>
    <row r="1763" spans="1:12" ht="16" x14ac:dyDescent="0.2">
      <c r="A1763" t="s">
        <v>6061</v>
      </c>
      <c r="B1763" t="s">
        <v>73</v>
      </c>
      <c r="C1763" t="s">
        <v>4367</v>
      </c>
      <c r="D1763" s="2" t="s">
        <v>156</v>
      </c>
      <c r="E1763">
        <v>2025</v>
      </c>
      <c r="F1763">
        <v>2026</v>
      </c>
      <c r="G1763" s="10">
        <v>4705000</v>
      </c>
      <c r="H1763" t="str">
        <f t="shared" si="108"/>
        <v/>
      </c>
      <c r="I1763" t="str">
        <f t="shared" si="109"/>
        <v/>
      </c>
      <c r="J1763" t="str">
        <f t="shared" si="110"/>
        <v/>
      </c>
      <c r="K1763">
        <v>2526647.71</v>
      </c>
      <c r="L1763" t="b">
        <f t="shared" ref="L1763:L1826" si="111">IF(F1763="",TRUE,FALSE)</f>
        <v>0</v>
      </c>
    </row>
    <row r="1764" spans="1:12" ht="16" x14ac:dyDescent="0.2">
      <c r="A1764" t="s">
        <v>6062</v>
      </c>
      <c r="B1764" t="s">
        <v>73</v>
      </c>
      <c r="C1764" t="s">
        <v>4368</v>
      </c>
      <c r="D1764" s="2" t="s">
        <v>156</v>
      </c>
      <c r="G1764" s="10" t="s">
        <v>2892</v>
      </c>
      <c r="H1764" t="str">
        <f t="shared" si="108"/>
        <v/>
      </c>
      <c r="I1764" t="str">
        <f t="shared" si="109"/>
        <v/>
      </c>
      <c r="J1764" t="str">
        <f t="shared" si="110"/>
        <v/>
      </c>
      <c r="L1764" t="b">
        <f t="shared" si="111"/>
        <v>1</v>
      </c>
    </row>
    <row r="1765" spans="1:12" ht="16" x14ac:dyDescent="0.2">
      <c r="A1765" t="s">
        <v>6063</v>
      </c>
      <c r="B1765" t="s">
        <v>73</v>
      </c>
      <c r="C1765" t="s">
        <v>4369</v>
      </c>
      <c r="D1765" s="2" t="s">
        <v>156</v>
      </c>
      <c r="E1765">
        <v>2025</v>
      </c>
      <c r="F1765">
        <v>2027</v>
      </c>
      <c r="G1765" s="10">
        <v>6066666.666666666</v>
      </c>
      <c r="H1765">
        <f t="shared" si="108"/>
        <v>6066666.666666666</v>
      </c>
      <c r="I1765" t="str">
        <f t="shared" si="109"/>
        <v/>
      </c>
      <c r="J1765" t="str">
        <f t="shared" si="110"/>
        <v/>
      </c>
      <c r="K1765">
        <v>4609850.4400000004</v>
      </c>
      <c r="L1765" t="b">
        <f t="shared" si="111"/>
        <v>0</v>
      </c>
    </row>
    <row r="1766" spans="1:12" ht="16" x14ac:dyDescent="0.2">
      <c r="A1766" t="s">
        <v>6064</v>
      </c>
      <c r="B1766" t="s">
        <v>73</v>
      </c>
      <c r="C1766" t="s">
        <v>4370</v>
      </c>
      <c r="D1766" s="2" t="s">
        <v>156</v>
      </c>
      <c r="G1766" s="10" t="s">
        <v>2892</v>
      </c>
      <c r="H1766" t="str">
        <f t="shared" si="108"/>
        <v/>
      </c>
      <c r="I1766" t="str">
        <f t="shared" si="109"/>
        <v/>
      </c>
      <c r="J1766" t="str">
        <f t="shared" si="110"/>
        <v/>
      </c>
      <c r="L1766" t="b">
        <f t="shared" si="111"/>
        <v>1</v>
      </c>
    </row>
    <row r="1767" spans="1:12" ht="16" x14ac:dyDescent="0.2">
      <c r="A1767" t="s">
        <v>6065</v>
      </c>
      <c r="B1767" t="s">
        <v>73</v>
      </c>
      <c r="C1767" t="s">
        <v>4371</v>
      </c>
      <c r="D1767" s="2" t="s">
        <v>156</v>
      </c>
      <c r="G1767" s="10" t="s">
        <v>2892</v>
      </c>
      <c r="H1767" t="str">
        <f t="shared" si="108"/>
        <v/>
      </c>
      <c r="I1767" t="str">
        <f t="shared" si="109"/>
        <v/>
      </c>
      <c r="J1767" t="str">
        <f t="shared" si="110"/>
        <v/>
      </c>
      <c r="L1767" t="b">
        <f t="shared" si="111"/>
        <v>1</v>
      </c>
    </row>
    <row r="1768" spans="1:12" ht="16" x14ac:dyDescent="0.2">
      <c r="A1768" t="s">
        <v>6066</v>
      </c>
      <c r="B1768" t="s">
        <v>73</v>
      </c>
      <c r="C1768" t="s">
        <v>4372</v>
      </c>
      <c r="D1768" s="2" t="s">
        <v>156</v>
      </c>
      <c r="E1768">
        <v>2025</v>
      </c>
      <c r="F1768">
        <v>2027</v>
      </c>
      <c r="G1768" s="10">
        <v>9266666.6666666679</v>
      </c>
      <c r="H1768">
        <f t="shared" si="108"/>
        <v>9266666.6666666679</v>
      </c>
      <c r="I1768" t="str">
        <f t="shared" si="109"/>
        <v/>
      </c>
      <c r="J1768" t="str">
        <f t="shared" si="110"/>
        <v/>
      </c>
      <c r="K1768">
        <v>7509440.8899999997</v>
      </c>
      <c r="L1768" t="b">
        <f t="shared" si="111"/>
        <v>0</v>
      </c>
    </row>
    <row r="1769" spans="1:12" ht="16" x14ac:dyDescent="0.2">
      <c r="A1769" t="s">
        <v>6067</v>
      </c>
      <c r="B1769" t="s">
        <v>73</v>
      </c>
      <c r="C1769" t="s">
        <v>4373</v>
      </c>
      <c r="D1769" s="2" t="s">
        <v>156</v>
      </c>
      <c r="G1769" s="10" t="s">
        <v>2892</v>
      </c>
      <c r="H1769" t="str">
        <f t="shared" si="108"/>
        <v/>
      </c>
      <c r="I1769" t="str">
        <f t="shared" si="109"/>
        <v/>
      </c>
      <c r="J1769" t="str">
        <f t="shared" si="110"/>
        <v/>
      </c>
      <c r="L1769" t="b">
        <f t="shared" si="111"/>
        <v>1</v>
      </c>
    </row>
    <row r="1770" spans="1:12" ht="16" x14ac:dyDescent="0.2">
      <c r="A1770" t="s">
        <v>6068</v>
      </c>
      <c r="B1770" t="s">
        <v>73</v>
      </c>
      <c r="C1770" t="s">
        <v>4374</v>
      </c>
      <c r="D1770" s="2" t="s">
        <v>156</v>
      </c>
      <c r="E1770">
        <v>2025</v>
      </c>
      <c r="F1770">
        <v>2026</v>
      </c>
      <c r="G1770" s="10">
        <v>4305000</v>
      </c>
      <c r="H1770" t="str">
        <f t="shared" si="108"/>
        <v/>
      </c>
      <c r="I1770" t="str">
        <f t="shared" si="109"/>
        <v/>
      </c>
      <c r="J1770" t="str">
        <f t="shared" si="110"/>
        <v/>
      </c>
      <c r="K1770">
        <v>1886922.39</v>
      </c>
      <c r="L1770" t="b">
        <f t="shared" si="111"/>
        <v>0</v>
      </c>
    </row>
    <row r="1771" spans="1:12" ht="16" x14ac:dyDescent="0.2">
      <c r="A1771" t="s">
        <v>6069</v>
      </c>
      <c r="B1771" t="s">
        <v>73</v>
      </c>
      <c r="C1771" t="s">
        <v>4375</v>
      </c>
      <c r="D1771" s="2" t="s">
        <v>156</v>
      </c>
      <c r="E1771">
        <v>2025</v>
      </c>
      <c r="F1771">
        <v>2028</v>
      </c>
      <c r="G1771" s="10">
        <v>17100000</v>
      </c>
      <c r="H1771">
        <f t="shared" si="108"/>
        <v>17100000</v>
      </c>
      <c r="I1771">
        <f t="shared" si="109"/>
        <v>17100000</v>
      </c>
      <c r="J1771" t="str">
        <f t="shared" si="110"/>
        <v/>
      </c>
      <c r="K1771">
        <v>35855671.710000001</v>
      </c>
      <c r="L1771" t="b">
        <f t="shared" si="111"/>
        <v>0</v>
      </c>
    </row>
    <row r="1772" spans="1:12" ht="16" x14ac:dyDescent="0.2">
      <c r="A1772" t="s">
        <v>6070</v>
      </c>
      <c r="B1772" t="s">
        <v>73</v>
      </c>
      <c r="C1772" t="s">
        <v>4376</v>
      </c>
      <c r="D1772" s="2" t="s">
        <v>156</v>
      </c>
      <c r="E1772">
        <v>2025</v>
      </c>
      <c r="F1772">
        <v>2028</v>
      </c>
      <c r="G1772" s="10">
        <v>12082500</v>
      </c>
      <c r="H1772">
        <f t="shared" si="108"/>
        <v>12082500</v>
      </c>
      <c r="I1772">
        <f t="shared" si="109"/>
        <v>12082500</v>
      </c>
      <c r="J1772" t="str">
        <f t="shared" si="110"/>
        <v/>
      </c>
      <c r="K1772">
        <v>21331676.870000001</v>
      </c>
      <c r="L1772" t="b">
        <f t="shared" si="111"/>
        <v>0</v>
      </c>
    </row>
    <row r="1773" spans="1:12" ht="16" x14ac:dyDescent="0.2">
      <c r="A1773" t="s">
        <v>6071</v>
      </c>
      <c r="B1773" t="s">
        <v>73</v>
      </c>
      <c r="C1773" t="s">
        <v>4377</v>
      </c>
      <c r="D1773" s="2" t="s">
        <v>156</v>
      </c>
      <c r="E1773">
        <v>2025</v>
      </c>
      <c r="F1773">
        <v>2027</v>
      </c>
      <c r="G1773" s="10">
        <v>7006666.666666667</v>
      </c>
      <c r="H1773">
        <f t="shared" si="108"/>
        <v>7006666.666666667</v>
      </c>
      <c r="I1773" t="str">
        <f t="shared" si="109"/>
        <v/>
      </c>
      <c r="J1773" t="str">
        <f t="shared" si="110"/>
        <v/>
      </c>
      <c r="K1773">
        <v>5638796.0899999999</v>
      </c>
      <c r="L1773" t="b">
        <f t="shared" si="111"/>
        <v>0</v>
      </c>
    </row>
    <row r="1774" spans="1:12" ht="16" x14ac:dyDescent="0.2">
      <c r="A1774" t="s">
        <v>6072</v>
      </c>
      <c r="B1774" t="s">
        <v>73</v>
      </c>
      <c r="C1774" t="s">
        <v>4378</v>
      </c>
      <c r="D1774" s="2" t="s">
        <v>156</v>
      </c>
      <c r="E1774">
        <v>2025</v>
      </c>
      <c r="F1774">
        <v>2027</v>
      </c>
      <c r="G1774" s="10">
        <v>7303333.333333334</v>
      </c>
      <c r="H1774">
        <f t="shared" si="108"/>
        <v>7303333.333333334</v>
      </c>
      <c r="I1774" t="str">
        <f t="shared" si="109"/>
        <v/>
      </c>
      <c r="J1774" t="str">
        <f t="shared" si="110"/>
        <v/>
      </c>
      <c r="K1774">
        <v>7201224.7800000003</v>
      </c>
      <c r="L1774" t="b">
        <f t="shared" si="111"/>
        <v>0</v>
      </c>
    </row>
    <row r="1775" spans="1:12" ht="16" x14ac:dyDescent="0.2">
      <c r="A1775" t="s">
        <v>6073</v>
      </c>
      <c r="B1775" t="s">
        <v>73</v>
      </c>
      <c r="C1775" t="s">
        <v>4379</v>
      </c>
      <c r="D1775" s="2" t="s">
        <v>156</v>
      </c>
      <c r="G1775" s="10" t="s">
        <v>2892</v>
      </c>
      <c r="H1775" t="str">
        <f t="shared" si="108"/>
        <v/>
      </c>
      <c r="I1775" t="str">
        <f t="shared" si="109"/>
        <v/>
      </c>
      <c r="J1775" t="str">
        <f t="shared" si="110"/>
        <v/>
      </c>
      <c r="L1775" t="b">
        <f t="shared" si="111"/>
        <v>1</v>
      </c>
    </row>
    <row r="1776" spans="1:12" ht="16" x14ac:dyDescent="0.2">
      <c r="A1776" t="s">
        <v>6074</v>
      </c>
      <c r="B1776" t="s">
        <v>73</v>
      </c>
      <c r="C1776" t="s">
        <v>4380</v>
      </c>
      <c r="D1776" s="2" t="s">
        <v>156</v>
      </c>
      <c r="E1776">
        <v>2025</v>
      </c>
      <c r="F1776">
        <v>2027</v>
      </c>
      <c r="G1776" s="10">
        <v>4800000</v>
      </c>
      <c r="H1776">
        <f t="shared" si="108"/>
        <v>4800000</v>
      </c>
      <c r="I1776" t="str">
        <f t="shared" si="109"/>
        <v/>
      </c>
      <c r="J1776" t="str">
        <f t="shared" si="110"/>
        <v/>
      </c>
      <c r="K1776">
        <v>2803970.07</v>
      </c>
      <c r="L1776" t="b">
        <f t="shared" si="111"/>
        <v>0</v>
      </c>
    </row>
    <row r="1777" spans="1:12" ht="16" x14ac:dyDescent="0.2">
      <c r="A1777" t="s">
        <v>6075</v>
      </c>
      <c r="B1777" t="s">
        <v>73</v>
      </c>
      <c r="C1777" t="s">
        <v>4381</v>
      </c>
      <c r="D1777" s="2" t="s">
        <v>156</v>
      </c>
      <c r="E1777">
        <v>2025</v>
      </c>
      <c r="F1777">
        <v>2026</v>
      </c>
      <c r="G1777" s="10">
        <v>4440000</v>
      </c>
      <c r="H1777" t="str">
        <f t="shared" si="108"/>
        <v/>
      </c>
      <c r="I1777" t="str">
        <f t="shared" si="109"/>
        <v/>
      </c>
      <c r="J1777" t="str">
        <f t="shared" si="110"/>
        <v/>
      </c>
      <c r="K1777">
        <v>2136134.0299999998</v>
      </c>
      <c r="L1777" t="b">
        <f t="shared" si="111"/>
        <v>0</v>
      </c>
    </row>
    <row r="1778" spans="1:12" ht="16" x14ac:dyDescent="0.2">
      <c r="A1778" t="s">
        <v>6076</v>
      </c>
      <c r="B1778" t="s">
        <v>73</v>
      </c>
      <c r="C1778" t="s">
        <v>4382</v>
      </c>
      <c r="D1778" s="2" t="s">
        <v>156</v>
      </c>
      <c r="E1778">
        <v>2025</v>
      </c>
      <c r="F1778">
        <v>2026</v>
      </c>
      <c r="G1778" s="10">
        <v>2895000</v>
      </c>
      <c r="H1778" t="str">
        <f t="shared" si="108"/>
        <v/>
      </c>
      <c r="I1778" t="str">
        <f t="shared" si="109"/>
        <v/>
      </c>
      <c r="J1778" t="str">
        <f t="shared" si="110"/>
        <v/>
      </c>
      <c r="K1778">
        <v>801831.63</v>
      </c>
      <c r="L1778" t="b">
        <f t="shared" si="111"/>
        <v>0</v>
      </c>
    </row>
    <row r="1779" spans="1:12" ht="16" x14ac:dyDescent="0.2">
      <c r="A1779" t="s">
        <v>6077</v>
      </c>
      <c r="B1779" t="s">
        <v>73</v>
      </c>
      <c r="C1779" t="s">
        <v>4383</v>
      </c>
      <c r="D1779" s="2" t="s">
        <v>156</v>
      </c>
      <c r="G1779" s="10" t="s">
        <v>2892</v>
      </c>
      <c r="H1779" t="str">
        <f t="shared" si="108"/>
        <v/>
      </c>
      <c r="I1779" t="str">
        <f t="shared" si="109"/>
        <v/>
      </c>
      <c r="J1779" t="str">
        <f t="shared" si="110"/>
        <v/>
      </c>
      <c r="L1779" t="b">
        <f t="shared" si="111"/>
        <v>1</v>
      </c>
    </row>
    <row r="1780" spans="1:12" ht="16" x14ac:dyDescent="0.2">
      <c r="A1780" t="s">
        <v>6078</v>
      </c>
      <c r="B1780" t="s">
        <v>73</v>
      </c>
      <c r="C1780" t="s">
        <v>4384</v>
      </c>
      <c r="D1780" s="2" t="s">
        <v>156</v>
      </c>
      <c r="E1780">
        <v>2025</v>
      </c>
      <c r="F1780">
        <v>2026</v>
      </c>
      <c r="G1780" s="10">
        <v>935000</v>
      </c>
      <c r="H1780" t="str">
        <f t="shared" si="108"/>
        <v/>
      </c>
      <c r="I1780" t="str">
        <f t="shared" si="109"/>
        <v/>
      </c>
      <c r="J1780" t="str">
        <f t="shared" si="110"/>
        <v/>
      </c>
      <c r="K1780">
        <v>224600.67</v>
      </c>
      <c r="L1780" t="b">
        <f t="shared" si="111"/>
        <v>0</v>
      </c>
    </row>
    <row r="1781" spans="1:12" ht="16" x14ac:dyDescent="0.2">
      <c r="A1781" t="s">
        <v>6079</v>
      </c>
      <c r="B1781" t="s">
        <v>73</v>
      </c>
      <c r="C1781" t="s">
        <v>4385</v>
      </c>
      <c r="D1781" s="2" t="s">
        <v>156</v>
      </c>
      <c r="E1781">
        <v>2025</v>
      </c>
      <c r="F1781">
        <v>2027</v>
      </c>
      <c r="G1781" s="10">
        <v>833333.33333333337</v>
      </c>
      <c r="H1781">
        <f t="shared" si="108"/>
        <v>833333.33333333337</v>
      </c>
      <c r="I1781" t="str">
        <f t="shared" si="109"/>
        <v/>
      </c>
      <c r="J1781" t="str">
        <f t="shared" si="110"/>
        <v/>
      </c>
      <c r="K1781">
        <v>436025.46</v>
      </c>
      <c r="L1781" t="b">
        <f t="shared" si="111"/>
        <v>0</v>
      </c>
    </row>
    <row r="1782" spans="1:12" ht="16" x14ac:dyDescent="0.2">
      <c r="A1782" t="s">
        <v>6080</v>
      </c>
      <c r="B1782" t="s">
        <v>73</v>
      </c>
      <c r="C1782" t="s">
        <v>4386</v>
      </c>
      <c r="D1782" s="2" t="s">
        <v>156</v>
      </c>
      <c r="G1782" s="10" t="s">
        <v>2892</v>
      </c>
      <c r="H1782" t="str">
        <f t="shared" si="108"/>
        <v/>
      </c>
      <c r="I1782" t="str">
        <f t="shared" si="109"/>
        <v/>
      </c>
      <c r="J1782" t="str">
        <f t="shared" si="110"/>
        <v/>
      </c>
      <c r="L1782" t="b">
        <f t="shared" si="111"/>
        <v>1</v>
      </c>
    </row>
    <row r="1783" spans="1:12" ht="16" x14ac:dyDescent="0.2">
      <c r="A1783" t="s">
        <v>6081</v>
      </c>
      <c r="B1783" t="s">
        <v>73</v>
      </c>
      <c r="C1783" t="s">
        <v>4387</v>
      </c>
      <c r="D1783" s="2" t="s">
        <v>156</v>
      </c>
      <c r="E1783">
        <v>2025</v>
      </c>
      <c r="F1783">
        <v>2026</v>
      </c>
      <c r="G1783" s="10">
        <v>2525000</v>
      </c>
      <c r="H1783" t="str">
        <f t="shared" si="108"/>
        <v/>
      </c>
      <c r="I1783" t="str">
        <f t="shared" si="109"/>
        <v/>
      </c>
      <c r="J1783" t="str">
        <f t="shared" si="110"/>
        <v/>
      </c>
      <c r="K1783">
        <v>851175.58</v>
      </c>
      <c r="L1783" t="b">
        <f t="shared" si="111"/>
        <v>0</v>
      </c>
    </row>
    <row r="1784" spans="1:12" ht="16" x14ac:dyDescent="0.2">
      <c r="A1784" t="s">
        <v>6082</v>
      </c>
      <c r="B1784" t="s">
        <v>73</v>
      </c>
      <c r="C1784" t="s">
        <v>4388</v>
      </c>
      <c r="D1784" s="2" t="s">
        <v>156</v>
      </c>
      <c r="G1784" s="10" t="s">
        <v>2892</v>
      </c>
      <c r="H1784" t="str">
        <f t="shared" si="108"/>
        <v/>
      </c>
      <c r="I1784" t="str">
        <f t="shared" si="109"/>
        <v/>
      </c>
      <c r="J1784" t="str">
        <f t="shared" si="110"/>
        <v/>
      </c>
      <c r="L1784" t="b">
        <f t="shared" si="111"/>
        <v>1</v>
      </c>
    </row>
    <row r="1785" spans="1:12" ht="16" x14ac:dyDescent="0.2">
      <c r="A1785" t="s">
        <v>6083</v>
      </c>
      <c r="B1785" t="s">
        <v>73</v>
      </c>
      <c r="C1785" t="s">
        <v>4389</v>
      </c>
      <c r="D1785" s="2" t="s">
        <v>156</v>
      </c>
      <c r="G1785" s="10" t="s">
        <v>2892</v>
      </c>
      <c r="H1785" t="str">
        <f t="shared" si="108"/>
        <v/>
      </c>
      <c r="I1785" t="str">
        <f t="shared" si="109"/>
        <v/>
      </c>
      <c r="J1785" t="str">
        <f t="shared" si="110"/>
        <v/>
      </c>
      <c r="L1785" t="b">
        <f t="shared" si="111"/>
        <v>1</v>
      </c>
    </row>
    <row r="1786" spans="1:12" ht="16" x14ac:dyDescent="0.2">
      <c r="A1786" t="s">
        <v>6084</v>
      </c>
      <c r="B1786" t="s">
        <v>73</v>
      </c>
      <c r="C1786" t="s">
        <v>4390</v>
      </c>
      <c r="D1786" s="2" t="s">
        <v>156</v>
      </c>
      <c r="E1786">
        <v>2025</v>
      </c>
      <c r="F1786">
        <v>2026</v>
      </c>
      <c r="G1786" s="10">
        <v>8085000.0000000009</v>
      </c>
      <c r="H1786" t="str">
        <f t="shared" si="108"/>
        <v/>
      </c>
      <c r="I1786" t="str">
        <f t="shared" si="109"/>
        <v/>
      </c>
      <c r="J1786" t="str">
        <f t="shared" si="110"/>
        <v/>
      </c>
      <c r="K1786">
        <v>5282683.25</v>
      </c>
      <c r="L1786" t="b">
        <f t="shared" si="111"/>
        <v>0</v>
      </c>
    </row>
    <row r="1787" spans="1:12" ht="16" x14ac:dyDescent="0.2">
      <c r="A1787" t="s">
        <v>6085</v>
      </c>
      <c r="B1787" t="s">
        <v>73</v>
      </c>
      <c r="C1787" t="s">
        <v>4391</v>
      </c>
      <c r="D1787" s="2" t="s">
        <v>156</v>
      </c>
      <c r="E1787">
        <v>2025</v>
      </c>
      <c r="F1787">
        <v>2026</v>
      </c>
      <c r="G1787" s="10">
        <v>1595000</v>
      </c>
      <c r="H1787" t="str">
        <f t="shared" si="108"/>
        <v/>
      </c>
      <c r="I1787" t="str">
        <f t="shared" si="109"/>
        <v/>
      </c>
      <c r="J1787" t="str">
        <f t="shared" si="110"/>
        <v/>
      </c>
      <c r="K1787">
        <v>244802.09</v>
      </c>
      <c r="L1787" t="b">
        <f t="shared" si="111"/>
        <v>0</v>
      </c>
    </row>
    <row r="1788" spans="1:12" ht="16" x14ac:dyDescent="0.2">
      <c r="A1788" t="s">
        <v>6086</v>
      </c>
      <c r="B1788" t="s">
        <v>73</v>
      </c>
      <c r="C1788" t="s">
        <v>4392</v>
      </c>
      <c r="D1788" s="2" t="s">
        <v>158</v>
      </c>
      <c r="E1788">
        <v>2026</v>
      </c>
      <c r="F1788">
        <v>2028</v>
      </c>
      <c r="G1788" s="10">
        <v>5300000</v>
      </c>
      <c r="H1788">
        <f t="shared" si="108"/>
        <v>5300000</v>
      </c>
      <c r="I1788">
        <f t="shared" si="109"/>
        <v>5300000</v>
      </c>
      <c r="J1788" t="str">
        <f t="shared" si="110"/>
        <v/>
      </c>
      <c r="K1788">
        <v>2138456.42</v>
      </c>
      <c r="L1788" t="b">
        <f t="shared" si="111"/>
        <v>0</v>
      </c>
    </row>
    <row r="1789" spans="1:12" ht="16" x14ac:dyDescent="0.2">
      <c r="A1789" t="s">
        <v>6087</v>
      </c>
      <c r="B1789" t="s">
        <v>73</v>
      </c>
      <c r="C1789" t="s">
        <v>4393</v>
      </c>
      <c r="D1789" s="2" t="s">
        <v>158</v>
      </c>
      <c r="E1789">
        <v>2025</v>
      </c>
      <c r="F1789">
        <v>2028</v>
      </c>
      <c r="G1789" s="10">
        <v>7255000</v>
      </c>
      <c r="H1789">
        <f t="shared" si="108"/>
        <v>7255000</v>
      </c>
      <c r="I1789">
        <f t="shared" si="109"/>
        <v>7255000</v>
      </c>
      <c r="J1789" t="str">
        <f t="shared" si="110"/>
        <v/>
      </c>
      <c r="K1789">
        <v>4770500.03</v>
      </c>
      <c r="L1789" t="b">
        <f t="shared" si="111"/>
        <v>0</v>
      </c>
    </row>
    <row r="1790" spans="1:12" ht="16" x14ac:dyDescent="0.2">
      <c r="A1790" t="s">
        <v>6088</v>
      </c>
      <c r="B1790" t="s">
        <v>73</v>
      </c>
      <c r="C1790" t="s">
        <v>4394</v>
      </c>
      <c r="D1790" s="2" t="s">
        <v>158</v>
      </c>
      <c r="E1790">
        <v>2025</v>
      </c>
      <c r="F1790">
        <v>2026</v>
      </c>
      <c r="G1790" s="10">
        <v>6680000</v>
      </c>
      <c r="H1790" t="str">
        <f t="shared" si="108"/>
        <v/>
      </c>
      <c r="I1790" t="str">
        <f t="shared" si="109"/>
        <v/>
      </c>
      <c r="J1790" t="str">
        <f t="shared" si="110"/>
        <v/>
      </c>
      <c r="K1790">
        <v>1767898.62</v>
      </c>
      <c r="L1790" t="b">
        <f t="shared" si="111"/>
        <v>0</v>
      </c>
    </row>
    <row r="1791" spans="1:12" ht="16" x14ac:dyDescent="0.2">
      <c r="A1791" t="s">
        <v>6089</v>
      </c>
      <c r="B1791" t="s">
        <v>73</v>
      </c>
      <c r="C1791" t="s">
        <v>4395</v>
      </c>
      <c r="D1791" s="2" t="s">
        <v>158</v>
      </c>
      <c r="E1791">
        <v>2025</v>
      </c>
      <c r="F1791">
        <v>2026</v>
      </c>
      <c r="G1791" s="10">
        <v>6330000</v>
      </c>
      <c r="H1791" t="str">
        <f t="shared" si="108"/>
        <v/>
      </c>
      <c r="I1791" t="str">
        <f t="shared" si="109"/>
        <v/>
      </c>
      <c r="J1791" t="str">
        <f t="shared" si="110"/>
        <v/>
      </c>
      <c r="K1791">
        <v>1546010.05</v>
      </c>
      <c r="L1791" t="b">
        <f t="shared" si="111"/>
        <v>0</v>
      </c>
    </row>
    <row r="1792" spans="1:12" ht="16" x14ac:dyDescent="0.2">
      <c r="A1792" t="s">
        <v>6090</v>
      </c>
      <c r="B1792" t="s">
        <v>73</v>
      </c>
      <c r="C1792" t="s">
        <v>4396</v>
      </c>
      <c r="D1792" s="2" t="s">
        <v>158</v>
      </c>
      <c r="G1792" s="10" t="s">
        <v>2892</v>
      </c>
      <c r="H1792" t="str">
        <f t="shared" si="108"/>
        <v/>
      </c>
      <c r="I1792" t="str">
        <f t="shared" si="109"/>
        <v/>
      </c>
      <c r="J1792" t="str">
        <f t="shared" si="110"/>
        <v/>
      </c>
      <c r="L1792" t="b">
        <f t="shared" si="111"/>
        <v>1</v>
      </c>
    </row>
    <row r="1793" spans="1:12" ht="16" x14ac:dyDescent="0.2">
      <c r="A1793" t="s">
        <v>6091</v>
      </c>
      <c r="B1793" t="s">
        <v>73</v>
      </c>
      <c r="C1793" t="s">
        <v>4397</v>
      </c>
      <c r="D1793" s="2" t="s">
        <v>158</v>
      </c>
      <c r="E1793">
        <v>2025</v>
      </c>
      <c r="F1793">
        <v>2026</v>
      </c>
      <c r="G1793" s="10">
        <v>3235000</v>
      </c>
      <c r="H1793" t="str">
        <f t="shared" si="108"/>
        <v/>
      </c>
      <c r="I1793" t="str">
        <f t="shared" si="109"/>
        <v/>
      </c>
      <c r="J1793" t="str">
        <f t="shared" si="110"/>
        <v/>
      </c>
      <c r="K1793">
        <v>896758.95</v>
      </c>
      <c r="L1793" t="b">
        <f t="shared" si="111"/>
        <v>0</v>
      </c>
    </row>
    <row r="1794" spans="1:12" ht="16" x14ac:dyDescent="0.2">
      <c r="A1794" t="s">
        <v>6092</v>
      </c>
      <c r="B1794" t="s">
        <v>73</v>
      </c>
      <c r="C1794" t="s">
        <v>4398</v>
      </c>
      <c r="D1794" s="2" t="s">
        <v>158</v>
      </c>
      <c r="G1794" s="10" t="s">
        <v>2892</v>
      </c>
      <c r="H1794" t="str">
        <f t="shared" si="108"/>
        <v/>
      </c>
      <c r="I1794" t="str">
        <f t="shared" si="109"/>
        <v/>
      </c>
      <c r="J1794" t="str">
        <f t="shared" si="110"/>
        <v/>
      </c>
      <c r="L1794" t="b">
        <f t="shared" si="111"/>
        <v>1</v>
      </c>
    </row>
    <row r="1795" spans="1:12" ht="16" x14ac:dyDescent="0.2">
      <c r="A1795" t="s">
        <v>6093</v>
      </c>
      <c r="B1795" t="s">
        <v>73</v>
      </c>
      <c r="C1795" t="s">
        <v>4399</v>
      </c>
      <c r="D1795" s="2" t="s">
        <v>158</v>
      </c>
      <c r="E1795">
        <v>2025</v>
      </c>
      <c r="F1795">
        <v>2026</v>
      </c>
      <c r="G1795" s="10">
        <v>3495000</v>
      </c>
      <c r="H1795" t="str">
        <f t="shared" si="108"/>
        <v/>
      </c>
      <c r="I1795" t="str">
        <f t="shared" si="109"/>
        <v/>
      </c>
      <c r="J1795" t="str">
        <f t="shared" si="110"/>
        <v/>
      </c>
      <c r="K1795">
        <v>1237337.49</v>
      </c>
      <c r="L1795" t="b">
        <f t="shared" si="111"/>
        <v>0</v>
      </c>
    </row>
    <row r="1796" spans="1:12" ht="16" x14ac:dyDescent="0.2">
      <c r="A1796" t="s">
        <v>6094</v>
      </c>
      <c r="B1796" t="s">
        <v>73</v>
      </c>
      <c r="C1796" t="s">
        <v>4400</v>
      </c>
      <c r="D1796" s="2" t="s">
        <v>158</v>
      </c>
      <c r="G1796" s="10" t="s">
        <v>2892</v>
      </c>
      <c r="H1796" t="str">
        <f t="shared" ref="H1796:H1859" si="112">IF(F1796&gt;=2027,G1796,"")</f>
        <v/>
      </c>
      <c r="I1796" t="str">
        <f t="shared" ref="I1796:I1859" si="113">IF(F1796&gt;=2028,G1796,"")</f>
        <v/>
      </c>
      <c r="J1796" t="str">
        <f t="shared" ref="J1796:J1859" si="114">IF(F1796&gt;=2029,G1796,"")</f>
        <v/>
      </c>
      <c r="L1796" t="b">
        <f t="shared" si="111"/>
        <v>1</v>
      </c>
    </row>
    <row r="1797" spans="1:12" ht="16" x14ac:dyDescent="0.2">
      <c r="A1797" t="s">
        <v>6095</v>
      </c>
      <c r="B1797" t="s">
        <v>73</v>
      </c>
      <c r="C1797" t="s">
        <v>4401</v>
      </c>
      <c r="D1797" s="2" t="s">
        <v>158</v>
      </c>
      <c r="E1797">
        <v>2025</v>
      </c>
      <c r="F1797">
        <v>2026</v>
      </c>
      <c r="G1797" s="10">
        <v>5355000</v>
      </c>
      <c r="H1797" t="str">
        <f t="shared" si="112"/>
        <v/>
      </c>
      <c r="I1797" t="str">
        <f t="shared" si="113"/>
        <v/>
      </c>
      <c r="J1797" t="str">
        <f t="shared" si="114"/>
        <v/>
      </c>
      <c r="K1797">
        <v>2218610.9500000002</v>
      </c>
      <c r="L1797" t="b">
        <f t="shared" si="111"/>
        <v>0</v>
      </c>
    </row>
    <row r="1798" spans="1:12" ht="16" x14ac:dyDescent="0.2">
      <c r="A1798" t="s">
        <v>6096</v>
      </c>
      <c r="B1798" t="s">
        <v>73</v>
      </c>
      <c r="C1798" t="s">
        <v>4402</v>
      </c>
      <c r="D1798" s="2" t="s">
        <v>158</v>
      </c>
      <c r="E1798">
        <v>2025</v>
      </c>
      <c r="F1798">
        <v>2026</v>
      </c>
      <c r="G1798" s="10">
        <v>10210000</v>
      </c>
      <c r="H1798" t="str">
        <f t="shared" si="112"/>
        <v/>
      </c>
      <c r="I1798" t="str">
        <f t="shared" si="113"/>
        <v/>
      </c>
      <c r="J1798" t="str">
        <f t="shared" si="114"/>
        <v/>
      </c>
      <c r="K1798">
        <v>6351531.2199999997</v>
      </c>
      <c r="L1798" t="b">
        <f t="shared" si="111"/>
        <v>0</v>
      </c>
    </row>
    <row r="1799" spans="1:12" ht="16" x14ac:dyDescent="0.2">
      <c r="A1799" t="s">
        <v>6097</v>
      </c>
      <c r="B1799" t="s">
        <v>73</v>
      </c>
      <c r="C1799" t="s">
        <v>4403</v>
      </c>
      <c r="D1799" s="2" t="s">
        <v>158</v>
      </c>
      <c r="E1799">
        <v>2025</v>
      </c>
      <c r="F1799">
        <v>2027</v>
      </c>
      <c r="G1799" s="10">
        <v>4696666.666666666</v>
      </c>
      <c r="H1799">
        <f t="shared" si="112"/>
        <v>4696666.666666666</v>
      </c>
      <c r="I1799" t="str">
        <f t="shared" si="113"/>
        <v/>
      </c>
      <c r="J1799" t="str">
        <f t="shared" si="114"/>
        <v/>
      </c>
      <c r="K1799">
        <v>2329897.84</v>
      </c>
      <c r="L1799" t="b">
        <f t="shared" si="111"/>
        <v>0</v>
      </c>
    </row>
    <row r="1800" spans="1:12" ht="16" x14ac:dyDescent="0.2">
      <c r="A1800" t="s">
        <v>6098</v>
      </c>
      <c r="B1800" t="s">
        <v>73</v>
      </c>
      <c r="C1800" t="s">
        <v>4404</v>
      </c>
      <c r="D1800" s="2" t="s">
        <v>158</v>
      </c>
      <c r="E1800">
        <v>2025</v>
      </c>
      <c r="F1800">
        <v>2026</v>
      </c>
      <c r="G1800" s="10">
        <v>4155000.0000000005</v>
      </c>
      <c r="H1800" t="str">
        <f t="shared" si="112"/>
        <v/>
      </c>
      <c r="I1800" t="str">
        <f t="shared" si="113"/>
        <v/>
      </c>
      <c r="J1800" t="str">
        <f t="shared" si="114"/>
        <v/>
      </c>
      <c r="K1800">
        <v>2271017.79</v>
      </c>
      <c r="L1800" t="b">
        <f t="shared" si="111"/>
        <v>0</v>
      </c>
    </row>
    <row r="1801" spans="1:12" ht="16" x14ac:dyDescent="0.2">
      <c r="A1801" t="s">
        <v>6099</v>
      </c>
      <c r="B1801" t="s">
        <v>73</v>
      </c>
      <c r="C1801" t="s">
        <v>4405</v>
      </c>
      <c r="D1801" s="2" t="s">
        <v>158</v>
      </c>
      <c r="E1801">
        <v>2025</v>
      </c>
      <c r="F1801">
        <v>2027</v>
      </c>
      <c r="G1801" s="10">
        <v>2373333.3333333335</v>
      </c>
      <c r="H1801">
        <f t="shared" si="112"/>
        <v>2373333.3333333335</v>
      </c>
      <c r="I1801" t="str">
        <f t="shared" si="113"/>
        <v/>
      </c>
      <c r="J1801" t="str">
        <f t="shared" si="114"/>
        <v/>
      </c>
      <c r="K1801">
        <v>744977.4</v>
      </c>
      <c r="L1801" t="b">
        <f t="shared" si="111"/>
        <v>0</v>
      </c>
    </row>
    <row r="1802" spans="1:12" ht="16" x14ac:dyDescent="0.2">
      <c r="A1802" t="s">
        <v>6100</v>
      </c>
      <c r="B1802" t="s">
        <v>73</v>
      </c>
      <c r="C1802" t="s">
        <v>4406</v>
      </c>
      <c r="D1802" s="2" t="s">
        <v>158</v>
      </c>
      <c r="E1802">
        <v>2025</v>
      </c>
      <c r="F1802">
        <v>2026</v>
      </c>
      <c r="G1802" s="10">
        <v>2750000</v>
      </c>
      <c r="H1802" t="str">
        <f t="shared" si="112"/>
        <v/>
      </c>
      <c r="I1802" t="str">
        <f t="shared" si="113"/>
        <v/>
      </c>
      <c r="J1802" t="str">
        <f t="shared" si="114"/>
        <v/>
      </c>
      <c r="K1802">
        <v>423397.84</v>
      </c>
      <c r="L1802" t="b">
        <f t="shared" si="111"/>
        <v>0</v>
      </c>
    </row>
    <row r="1803" spans="1:12" ht="16" x14ac:dyDescent="0.2">
      <c r="A1803" t="s">
        <v>6101</v>
      </c>
      <c r="B1803" t="s">
        <v>73</v>
      </c>
      <c r="C1803" t="s">
        <v>4407</v>
      </c>
      <c r="D1803" s="2" t="s">
        <v>158</v>
      </c>
      <c r="G1803" s="10" t="s">
        <v>2892</v>
      </c>
      <c r="H1803" t="str">
        <f t="shared" si="112"/>
        <v/>
      </c>
      <c r="I1803" t="str">
        <f t="shared" si="113"/>
        <v/>
      </c>
      <c r="J1803" t="str">
        <f t="shared" si="114"/>
        <v/>
      </c>
      <c r="L1803" t="b">
        <f t="shared" si="111"/>
        <v>1</v>
      </c>
    </row>
    <row r="1804" spans="1:12" ht="16" x14ac:dyDescent="0.2">
      <c r="A1804" t="s">
        <v>6102</v>
      </c>
      <c r="B1804" t="s">
        <v>73</v>
      </c>
      <c r="C1804" t="s">
        <v>4408</v>
      </c>
      <c r="D1804" s="2" t="s">
        <v>158</v>
      </c>
      <c r="E1804">
        <v>2025</v>
      </c>
      <c r="F1804">
        <v>2027</v>
      </c>
      <c r="G1804" s="10">
        <v>3973333.333333333</v>
      </c>
      <c r="H1804">
        <f t="shared" si="112"/>
        <v>3973333.333333333</v>
      </c>
      <c r="I1804" t="str">
        <f t="shared" si="113"/>
        <v/>
      </c>
      <c r="J1804" t="str">
        <f t="shared" si="114"/>
        <v/>
      </c>
      <c r="K1804">
        <v>2402523.9</v>
      </c>
      <c r="L1804" t="b">
        <f t="shared" si="111"/>
        <v>0</v>
      </c>
    </row>
    <row r="1805" spans="1:12" ht="16" x14ac:dyDescent="0.2">
      <c r="A1805" t="s">
        <v>6103</v>
      </c>
      <c r="B1805" t="s">
        <v>73</v>
      </c>
      <c r="C1805" t="s">
        <v>4409</v>
      </c>
      <c r="D1805" s="2" t="s">
        <v>158</v>
      </c>
      <c r="E1805">
        <v>2025</v>
      </c>
      <c r="F1805">
        <v>2027</v>
      </c>
      <c r="G1805" s="10">
        <v>4383333.333333334</v>
      </c>
      <c r="H1805">
        <f t="shared" si="112"/>
        <v>4383333.333333334</v>
      </c>
      <c r="I1805" t="str">
        <f t="shared" si="113"/>
        <v/>
      </c>
      <c r="J1805" t="str">
        <f t="shared" si="114"/>
        <v/>
      </c>
      <c r="K1805">
        <v>2720367.69</v>
      </c>
      <c r="L1805" t="b">
        <f t="shared" si="111"/>
        <v>0</v>
      </c>
    </row>
    <row r="1806" spans="1:12" ht="16" x14ac:dyDescent="0.2">
      <c r="A1806" t="s">
        <v>6104</v>
      </c>
      <c r="B1806" t="s">
        <v>73</v>
      </c>
      <c r="C1806" t="s">
        <v>4410</v>
      </c>
      <c r="D1806" s="2" t="s">
        <v>158</v>
      </c>
      <c r="G1806" s="10" t="s">
        <v>2892</v>
      </c>
      <c r="H1806" t="str">
        <f t="shared" si="112"/>
        <v/>
      </c>
      <c r="I1806" t="str">
        <f t="shared" si="113"/>
        <v/>
      </c>
      <c r="J1806" t="str">
        <f t="shared" si="114"/>
        <v/>
      </c>
      <c r="L1806" t="b">
        <f t="shared" si="111"/>
        <v>1</v>
      </c>
    </row>
    <row r="1807" spans="1:12" ht="16" x14ac:dyDescent="0.2">
      <c r="A1807" t="s">
        <v>6105</v>
      </c>
      <c r="B1807" t="s">
        <v>73</v>
      </c>
      <c r="C1807" t="s">
        <v>4411</v>
      </c>
      <c r="D1807" s="2" t="s">
        <v>158</v>
      </c>
      <c r="G1807" s="10" t="s">
        <v>2892</v>
      </c>
      <c r="H1807" t="str">
        <f t="shared" si="112"/>
        <v/>
      </c>
      <c r="I1807" t="str">
        <f t="shared" si="113"/>
        <v/>
      </c>
      <c r="J1807" t="str">
        <f t="shared" si="114"/>
        <v/>
      </c>
      <c r="L1807" t="b">
        <f t="shared" si="111"/>
        <v>1</v>
      </c>
    </row>
    <row r="1808" spans="1:12" ht="16" x14ac:dyDescent="0.2">
      <c r="A1808" t="s">
        <v>6106</v>
      </c>
      <c r="B1808" t="s">
        <v>73</v>
      </c>
      <c r="C1808" t="s">
        <v>4412</v>
      </c>
      <c r="D1808" s="2" t="s">
        <v>158</v>
      </c>
      <c r="G1808" s="10" t="s">
        <v>2892</v>
      </c>
      <c r="H1808" t="str">
        <f t="shared" si="112"/>
        <v/>
      </c>
      <c r="I1808" t="str">
        <f t="shared" si="113"/>
        <v/>
      </c>
      <c r="J1808" t="str">
        <f t="shared" si="114"/>
        <v/>
      </c>
      <c r="L1808" t="b">
        <f t="shared" si="111"/>
        <v>1</v>
      </c>
    </row>
    <row r="1809" spans="1:12" ht="16" x14ac:dyDescent="0.2">
      <c r="A1809" t="s">
        <v>6107</v>
      </c>
      <c r="B1809" t="s">
        <v>73</v>
      </c>
      <c r="C1809" t="s">
        <v>4413</v>
      </c>
      <c r="D1809" s="2" t="s">
        <v>158</v>
      </c>
      <c r="E1809">
        <v>2025</v>
      </c>
      <c r="F1809">
        <v>2028</v>
      </c>
      <c r="G1809" s="10">
        <v>13537500</v>
      </c>
      <c r="H1809">
        <f t="shared" si="112"/>
        <v>13537500</v>
      </c>
      <c r="I1809">
        <f t="shared" si="113"/>
        <v>13537500</v>
      </c>
      <c r="J1809" t="str">
        <f t="shared" si="114"/>
        <v/>
      </c>
      <c r="K1809">
        <v>17258974.600000001</v>
      </c>
      <c r="L1809" t="b">
        <f t="shared" si="111"/>
        <v>0</v>
      </c>
    </row>
    <row r="1810" spans="1:12" ht="16" x14ac:dyDescent="0.2">
      <c r="A1810" t="s">
        <v>6108</v>
      </c>
      <c r="B1810" t="s">
        <v>73</v>
      </c>
      <c r="C1810" t="s">
        <v>4414</v>
      </c>
      <c r="D1810" s="2" t="s">
        <v>158</v>
      </c>
      <c r="E1810">
        <v>2026</v>
      </c>
      <c r="F1810">
        <v>2029</v>
      </c>
      <c r="G1810" s="10">
        <v>8189999.9999999991</v>
      </c>
      <c r="H1810">
        <f t="shared" si="112"/>
        <v>8189999.9999999991</v>
      </c>
      <c r="I1810">
        <f t="shared" si="113"/>
        <v>8189999.9999999991</v>
      </c>
      <c r="J1810">
        <f t="shared" si="114"/>
        <v>8189999.9999999991</v>
      </c>
      <c r="K1810">
        <v>6281996.6600000001</v>
      </c>
      <c r="L1810" t="b">
        <f t="shared" si="111"/>
        <v>0</v>
      </c>
    </row>
    <row r="1811" spans="1:12" ht="16" x14ac:dyDescent="0.2">
      <c r="A1811" t="s">
        <v>6109</v>
      </c>
      <c r="B1811" t="s">
        <v>73</v>
      </c>
      <c r="C1811" t="s">
        <v>4415</v>
      </c>
      <c r="D1811" s="2" t="s">
        <v>158</v>
      </c>
      <c r="E1811">
        <v>2025</v>
      </c>
      <c r="F1811">
        <v>2026</v>
      </c>
      <c r="G1811" s="10">
        <v>8965000</v>
      </c>
      <c r="H1811" t="str">
        <f t="shared" si="112"/>
        <v/>
      </c>
      <c r="I1811" t="str">
        <f t="shared" si="113"/>
        <v/>
      </c>
      <c r="J1811" t="str">
        <f t="shared" si="114"/>
        <v/>
      </c>
      <c r="K1811">
        <v>4774316</v>
      </c>
      <c r="L1811" t="b">
        <f t="shared" si="111"/>
        <v>0</v>
      </c>
    </row>
    <row r="1812" spans="1:12" ht="16" x14ac:dyDescent="0.2">
      <c r="A1812" t="s">
        <v>6110</v>
      </c>
      <c r="B1812" t="s">
        <v>73</v>
      </c>
      <c r="C1812" t="s">
        <v>4416</v>
      </c>
      <c r="D1812" s="2" t="s">
        <v>158</v>
      </c>
      <c r="E1812">
        <v>2025</v>
      </c>
      <c r="F1812">
        <v>2026</v>
      </c>
      <c r="G1812" s="10">
        <v>3830000</v>
      </c>
      <c r="H1812" t="str">
        <f t="shared" si="112"/>
        <v/>
      </c>
      <c r="I1812" t="str">
        <f t="shared" si="113"/>
        <v/>
      </c>
      <c r="J1812" t="str">
        <f t="shared" si="114"/>
        <v/>
      </c>
      <c r="K1812">
        <v>1412391.41</v>
      </c>
      <c r="L1812" t="b">
        <f t="shared" si="111"/>
        <v>0</v>
      </c>
    </row>
    <row r="1813" spans="1:12" ht="16" x14ac:dyDescent="0.2">
      <c r="A1813" t="s">
        <v>6111</v>
      </c>
      <c r="B1813" t="s">
        <v>73</v>
      </c>
      <c r="C1813" t="s">
        <v>4417</v>
      </c>
      <c r="D1813" s="2" t="s">
        <v>158</v>
      </c>
      <c r="G1813" s="10" t="s">
        <v>2892</v>
      </c>
      <c r="H1813" t="str">
        <f t="shared" si="112"/>
        <v/>
      </c>
      <c r="I1813" t="str">
        <f t="shared" si="113"/>
        <v/>
      </c>
      <c r="J1813" t="str">
        <f t="shared" si="114"/>
        <v/>
      </c>
      <c r="L1813" t="b">
        <f t="shared" si="111"/>
        <v>1</v>
      </c>
    </row>
    <row r="1814" spans="1:12" ht="16" x14ac:dyDescent="0.2">
      <c r="A1814" t="s">
        <v>6112</v>
      </c>
      <c r="B1814" t="s">
        <v>73</v>
      </c>
      <c r="C1814" t="s">
        <v>4418</v>
      </c>
      <c r="D1814" s="2" t="s">
        <v>158</v>
      </c>
      <c r="E1814">
        <v>2025</v>
      </c>
      <c r="F1814">
        <v>2026</v>
      </c>
      <c r="G1814" s="10">
        <v>5155000</v>
      </c>
      <c r="H1814" t="str">
        <f t="shared" si="112"/>
        <v/>
      </c>
      <c r="I1814" t="str">
        <f t="shared" si="113"/>
        <v/>
      </c>
      <c r="J1814" t="str">
        <f t="shared" si="114"/>
        <v/>
      </c>
      <c r="K1814">
        <v>1652153.61</v>
      </c>
      <c r="L1814" t="b">
        <f t="shared" si="111"/>
        <v>0</v>
      </c>
    </row>
    <row r="1815" spans="1:12" ht="16" x14ac:dyDescent="0.2">
      <c r="A1815" t="s">
        <v>6113</v>
      </c>
      <c r="B1815" t="s">
        <v>73</v>
      </c>
      <c r="C1815" t="s">
        <v>4419</v>
      </c>
      <c r="D1815" s="2" t="s">
        <v>158</v>
      </c>
      <c r="E1815">
        <v>2025</v>
      </c>
      <c r="F1815">
        <v>2027</v>
      </c>
      <c r="G1815" s="10">
        <v>5093333.333333333</v>
      </c>
      <c r="H1815">
        <f t="shared" si="112"/>
        <v>5093333.333333333</v>
      </c>
      <c r="I1815" t="str">
        <f t="shared" si="113"/>
        <v/>
      </c>
      <c r="J1815" t="str">
        <f t="shared" si="114"/>
        <v/>
      </c>
      <c r="K1815">
        <v>3687514.72</v>
      </c>
      <c r="L1815" t="b">
        <f t="shared" si="111"/>
        <v>0</v>
      </c>
    </row>
    <row r="1816" spans="1:12" ht="16" x14ac:dyDescent="0.2">
      <c r="A1816" t="s">
        <v>6114</v>
      </c>
      <c r="B1816" t="s">
        <v>73</v>
      </c>
      <c r="C1816" t="s">
        <v>4420</v>
      </c>
      <c r="D1816" s="2" t="s">
        <v>158</v>
      </c>
      <c r="E1816">
        <v>2025</v>
      </c>
      <c r="F1816">
        <v>2027</v>
      </c>
      <c r="G1816" s="10">
        <v>1790000</v>
      </c>
      <c r="H1816">
        <f t="shared" si="112"/>
        <v>1790000</v>
      </c>
      <c r="I1816" t="str">
        <f t="shared" si="113"/>
        <v/>
      </c>
      <c r="J1816" t="str">
        <f t="shared" si="114"/>
        <v/>
      </c>
      <c r="K1816">
        <v>839994.21</v>
      </c>
      <c r="L1816" t="b">
        <f t="shared" si="111"/>
        <v>0</v>
      </c>
    </row>
    <row r="1817" spans="1:12" ht="16" x14ac:dyDescent="0.2">
      <c r="A1817" t="s">
        <v>6115</v>
      </c>
      <c r="B1817" t="s">
        <v>73</v>
      </c>
      <c r="C1817" t="s">
        <v>4421</v>
      </c>
      <c r="D1817" s="2" t="s">
        <v>158</v>
      </c>
      <c r="E1817">
        <v>2025</v>
      </c>
      <c r="F1817">
        <v>2029</v>
      </c>
      <c r="G1817" s="10">
        <v>12702000</v>
      </c>
      <c r="H1817">
        <f t="shared" si="112"/>
        <v>12702000</v>
      </c>
      <c r="I1817">
        <f t="shared" si="113"/>
        <v>12702000</v>
      </c>
      <c r="J1817">
        <f t="shared" si="114"/>
        <v>12702000</v>
      </c>
      <c r="K1817">
        <v>21737889.66</v>
      </c>
      <c r="L1817" t="b">
        <f t="shared" si="111"/>
        <v>0</v>
      </c>
    </row>
    <row r="1818" spans="1:12" ht="16" x14ac:dyDescent="0.2">
      <c r="A1818" t="s">
        <v>6116</v>
      </c>
      <c r="B1818" t="s">
        <v>73</v>
      </c>
      <c r="C1818" t="s">
        <v>4422</v>
      </c>
      <c r="D1818" s="2" t="s">
        <v>158</v>
      </c>
      <c r="E1818">
        <v>2025</v>
      </c>
      <c r="F1818">
        <v>2027</v>
      </c>
      <c r="G1818" s="10">
        <v>3996666.6666666665</v>
      </c>
      <c r="H1818">
        <f t="shared" si="112"/>
        <v>3996666.6666666665</v>
      </c>
      <c r="I1818" t="str">
        <f t="shared" si="113"/>
        <v/>
      </c>
      <c r="J1818" t="str">
        <f t="shared" si="114"/>
        <v/>
      </c>
      <c r="K1818">
        <v>3471870.48</v>
      </c>
      <c r="L1818" t="b">
        <f t="shared" si="111"/>
        <v>0</v>
      </c>
    </row>
    <row r="1819" spans="1:12" ht="16" x14ac:dyDescent="0.2">
      <c r="A1819" t="s">
        <v>6117</v>
      </c>
      <c r="B1819" t="s">
        <v>73</v>
      </c>
      <c r="C1819" t="s">
        <v>4423</v>
      </c>
      <c r="D1819" s="2" t="s">
        <v>158</v>
      </c>
      <c r="E1819">
        <v>2025</v>
      </c>
      <c r="F1819">
        <v>2027</v>
      </c>
      <c r="G1819" s="10">
        <v>2543333.3333333335</v>
      </c>
      <c r="H1819">
        <f t="shared" si="112"/>
        <v>2543333.3333333335</v>
      </c>
      <c r="I1819" t="str">
        <f t="shared" si="113"/>
        <v/>
      </c>
      <c r="J1819" t="str">
        <f t="shared" si="114"/>
        <v/>
      </c>
      <c r="K1819">
        <v>408091.03</v>
      </c>
      <c r="L1819" t="b">
        <f t="shared" si="111"/>
        <v>0</v>
      </c>
    </row>
    <row r="1820" spans="1:12" ht="16" x14ac:dyDescent="0.2">
      <c r="A1820" t="s">
        <v>6118</v>
      </c>
      <c r="B1820" t="s">
        <v>73</v>
      </c>
      <c r="C1820" t="s">
        <v>4424</v>
      </c>
      <c r="D1820" s="2" t="s">
        <v>158</v>
      </c>
      <c r="E1820">
        <v>2025</v>
      </c>
      <c r="F1820">
        <v>2027</v>
      </c>
      <c r="G1820" s="10">
        <v>20910000</v>
      </c>
      <c r="H1820">
        <f t="shared" si="112"/>
        <v>20910000</v>
      </c>
      <c r="I1820" t="str">
        <f t="shared" si="113"/>
        <v/>
      </c>
      <c r="J1820" t="str">
        <f t="shared" si="114"/>
        <v/>
      </c>
      <c r="K1820">
        <v>26680545.239999998</v>
      </c>
      <c r="L1820" t="b">
        <f t="shared" si="111"/>
        <v>0</v>
      </c>
    </row>
    <row r="1821" spans="1:12" ht="16" x14ac:dyDescent="0.2">
      <c r="A1821" t="s">
        <v>6119</v>
      </c>
      <c r="B1821" t="s">
        <v>73</v>
      </c>
      <c r="C1821" t="s">
        <v>4425</v>
      </c>
      <c r="D1821" s="2" t="s">
        <v>158</v>
      </c>
      <c r="G1821" s="10" t="s">
        <v>2892</v>
      </c>
      <c r="H1821" t="str">
        <f t="shared" si="112"/>
        <v/>
      </c>
      <c r="I1821" t="str">
        <f t="shared" si="113"/>
        <v/>
      </c>
      <c r="J1821" t="str">
        <f t="shared" si="114"/>
        <v/>
      </c>
      <c r="L1821" t="b">
        <f t="shared" si="111"/>
        <v>1</v>
      </c>
    </row>
    <row r="1822" spans="1:12" ht="16" x14ac:dyDescent="0.2">
      <c r="A1822" t="s">
        <v>6120</v>
      </c>
      <c r="B1822" t="s">
        <v>73</v>
      </c>
      <c r="C1822" t="s">
        <v>4426</v>
      </c>
      <c r="D1822" s="2" t="s">
        <v>158</v>
      </c>
      <c r="E1822">
        <v>2025</v>
      </c>
      <c r="F1822">
        <v>2027</v>
      </c>
      <c r="G1822" s="10">
        <v>4656666.666666667</v>
      </c>
      <c r="H1822">
        <f t="shared" si="112"/>
        <v>4656666.666666667</v>
      </c>
      <c r="I1822" t="str">
        <f t="shared" si="113"/>
        <v/>
      </c>
      <c r="J1822" t="str">
        <f t="shared" si="114"/>
        <v/>
      </c>
      <c r="K1822">
        <v>2674196.5299999998</v>
      </c>
      <c r="L1822" t="b">
        <f t="shared" si="111"/>
        <v>0</v>
      </c>
    </row>
    <row r="1823" spans="1:12" ht="16" x14ac:dyDescent="0.2">
      <c r="A1823" t="s">
        <v>6121</v>
      </c>
      <c r="B1823" t="s">
        <v>73</v>
      </c>
      <c r="C1823" t="s">
        <v>4427</v>
      </c>
      <c r="D1823" s="2" t="s">
        <v>158</v>
      </c>
      <c r="E1823">
        <v>2025</v>
      </c>
      <c r="F1823">
        <v>2026</v>
      </c>
      <c r="G1823" s="10">
        <v>2295000</v>
      </c>
      <c r="H1823" t="str">
        <f t="shared" si="112"/>
        <v/>
      </c>
      <c r="I1823" t="str">
        <f t="shared" si="113"/>
        <v/>
      </c>
      <c r="J1823" t="str">
        <f t="shared" si="114"/>
        <v/>
      </c>
      <c r="K1823">
        <v>30649.22</v>
      </c>
      <c r="L1823" t="b">
        <f t="shared" si="111"/>
        <v>0</v>
      </c>
    </row>
    <row r="1824" spans="1:12" ht="16" x14ac:dyDescent="0.2">
      <c r="A1824" t="s">
        <v>6122</v>
      </c>
      <c r="B1824" t="s">
        <v>73</v>
      </c>
      <c r="C1824" t="s">
        <v>4428</v>
      </c>
      <c r="D1824" s="2" t="s">
        <v>158</v>
      </c>
      <c r="E1824">
        <v>2025</v>
      </c>
      <c r="F1824">
        <v>2026</v>
      </c>
      <c r="G1824" s="10">
        <v>2495000</v>
      </c>
      <c r="H1824" t="str">
        <f t="shared" si="112"/>
        <v/>
      </c>
      <c r="I1824" t="str">
        <f t="shared" si="113"/>
        <v/>
      </c>
      <c r="J1824" t="str">
        <f t="shared" si="114"/>
        <v/>
      </c>
      <c r="K1824">
        <v>718174.81</v>
      </c>
      <c r="L1824" t="b">
        <f t="shared" si="111"/>
        <v>0</v>
      </c>
    </row>
    <row r="1825" spans="1:12" ht="16" x14ac:dyDescent="0.2">
      <c r="A1825" t="s">
        <v>6123</v>
      </c>
      <c r="B1825" t="s">
        <v>73</v>
      </c>
      <c r="C1825" t="s">
        <v>4429</v>
      </c>
      <c r="D1825" s="2" t="s">
        <v>158</v>
      </c>
      <c r="E1825">
        <v>2025</v>
      </c>
      <c r="F1825">
        <v>2026</v>
      </c>
      <c r="G1825" s="10">
        <v>4620000</v>
      </c>
      <c r="H1825" t="str">
        <f t="shared" si="112"/>
        <v/>
      </c>
      <c r="I1825" t="str">
        <f t="shared" si="113"/>
        <v/>
      </c>
      <c r="J1825" t="str">
        <f t="shared" si="114"/>
        <v/>
      </c>
      <c r="K1825">
        <v>2340600.34</v>
      </c>
      <c r="L1825" t="b">
        <f t="shared" si="111"/>
        <v>0</v>
      </c>
    </row>
    <row r="1826" spans="1:12" ht="16" x14ac:dyDescent="0.2">
      <c r="A1826" t="s">
        <v>6124</v>
      </c>
      <c r="B1826" t="s">
        <v>73</v>
      </c>
      <c r="C1826" t="s">
        <v>4430</v>
      </c>
      <c r="D1826" s="2" t="s">
        <v>158</v>
      </c>
      <c r="E1826">
        <v>2025</v>
      </c>
      <c r="F1826">
        <v>2026</v>
      </c>
      <c r="G1826" s="10">
        <v>10130000</v>
      </c>
      <c r="H1826" t="str">
        <f t="shared" si="112"/>
        <v/>
      </c>
      <c r="I1826" t="str">
        <f t="shared" si="113"/>
        <v/>
      </c>
      <c r="J1826" t="str">
        <f t="shared" si="114"/>
        <v/>
      </c>
      <c r="K1826">
        <v>5403698.3099999996</v>
      </c>
      <c r="L1826" t="b">
        <f t="shared" si="111"/>
        <v>0</v>
      </c>
    </row>
    <row r="1827" spans="1:12" ht="16" x14ac:dyDescent="0.2">
      <c r="A1827" t="s">
        <v>6125</v>
      </c>
      <c r="B1827" t="s">
        <v>73</v>
      </c>
      <c r="C1827" t="s">
        <v>4431</v>
      </c>
      <c r="D1827" s="2" t="s">
        <v>158</v>
      </c>
      <c r="G1827" s="10" t="s">
        <v>2892</v>
      </c>
      <c r="H1827" t="str">
        <f t="shared" si="112"/>
        <v/>
      </c>
      <c r="I1827" t="str">
        <f t="shared" si="113"/>
        <v/>
      </c>
      <c r="J1827" t="str">
        <f t="shared" si="114"/>
        <v/>
      </c>
      <c r="L1827" t="b">
        <f t="shared" ref="L1827:L1890" si="115">IF(F1827="",TRUE,FALSE)</f>
        <v>1</v>
      </c>
    </row>
    <row r="1828" spans="1:12" ht="16" x14ac:dyDescent="0.2">
      <c r="A1828" t="s">
        <v>6126</v>
      </c>
      <c r="B1828" t="s">
        <v>73</v>
      </c>
      <c r="C1828" t="s">
        <v>4432</v>
      </c>
      <c r="D1828" s="2" t="s">
        <v>158</v>
      </c>
      <c r="E1828">
        <v>2025</v>
      </c>
      <c r="F1828">
        <v>2026</v>
      </c>
      <c r="G1828" s="10">
        <v>2005000</v>
      </c>
      <c r="H1828" t="str">
        <f t="shared" si="112"/>
        <v/>
      </c>
      <c r="I1828" t="str">
        <f t="shared" si="113"/>
        <v/>
      </c>
      <c r="J1828" t="str">
        <f t="shared" si="114"/>
        <v/>
      </c>
      <c r="K1828">
        <v>536291.51</v>
      </c>
      <c r="L1828" t="b">
        <f t="shared" si="115"/>
        <v>0</v>
      </c>
    </row>
    <row r="1829" spans="1:12" ht="16" x14ac:dyDescent="0.2">
      <c r="A1829" t="s">
        <v>6127</v>
      </c>
      <c r="B1829" t="s">
        <v>73</v>
      </c>
      <c r="C1829" t="s">
        <v>4433</v>
      </c>
      <c r="D1829" s="2" t="s">
        <v>158</v>
      </c>
      <c r="E1829">
        <v>2025</v>
      </c>
      <c r="F1829">
        <v>2028</v>
      </c>
      <c r="G1829" s="10">
        <v>12232500</v>
      </c>
      <c r="H1829">
        <f t="shared" si="112"/>
        <v>12232500</v>
      </c>
      <c r="I1829">
        <f t="shared" si="113"/>
        <v>12232500</v>
      </c>
      <c r="J1829" t="str">
        <f t="shared" si="114"/>
        <v/>
      </c>
      <c r="K1829">
        <v>13880089.15</v>
      </c>
      <c r="L1829" t="b">
        <f t="shared" si="115"/>
        <v>0</v>
      </c>
    </row>
    <row r="1830" spans="1:12" ht="16" x14ac:dyDescent="0.2">
      <c r="A1830" t="s">
        <v>6128</v>
      </c>
      <c r="B1830" t="s">
        <v>73</v>
      </c>
      <c r="C1830" t="s">
        <v>4434</v>
      </c>
      <c r="D1830" s="2" t="s">
        <v>158</v>
      </c>
      <c r="E1830">
        <v>2025</v>
      </c>
      <c r="F1830">
        <v>2027</v>
      </c>
      <c r="G1830" s="10">
        <v>11120000</v>
      </c>
      <c r="H1830">
        <f t="shared" si="112"/>
        <v>11120000</v>
      </c>
      <c r="I1830" t="str">
        <f t="shared" si="113"/>
        <v/>
      </c>
      <c r="J1830" t="str">
        <f t="shared" si="114"/>
        <v/>
      </c>
      <c r="K1830">
        <v>14096110.15</v>
      </c>
      <c r="L1830" t="b">
        <f t="shared" si="115"/>
        <v>0</v>
      </c>
    </row>
    <row r="1831" spans="1:12" ht="16" x14ac:dyDescent="0.2">
      <c r="A1831" t="s">
        <v>6129</v>
      </c>
      <c r="B1831" t="s">
        <v>73</v>
      </c>
      <c r="C1831" t="s">
        <v>4435</v>
      </c>
      <c r="D1831" s="2" t="s">
        <v>158</v>
      </c>
      <c r="E1831">
        <v>2025</v>
      </c>
      <c r="F1831">
        <v>2027</v>
      </c>
      <c r="G1831" s="10">
        <v>10336666.666666668</v>
      </c>
      <c r="H1831">
        <f t="shared" si="112"/>
        <v>10336666.666666668</v>
      </c>
      <c r="I1831" t="str">
        <f t="shared" si="113"/>
        <v/>
      </c>
      <c r="J1831" t="str">
        <f t="shared" si="114"/>
        <v/>
      </c>
      <c r="K1831">
        <v>10134016.65</v>
      </c>
      <c r="L1831" t="b">
        <f t="shared" si="115"/>
        <v>0</v>
      </c>
    </row>
    <row r="1832" spans="1:12" ht="16" x14ac:dyDescent="0.2">
      <c r="A1832" t="s">
        <v>6130</v>
      </c>
      <c r="B1832" t="s">
        <v>73</v>
      </c>
      <c r="C1832" t="s">
        <v>4436</v>
      </c>
      <c r="D1832" s="2" t="s">
        <v>158</v>
      </c>
      <c r="G1832" s="10" t="s">
        <v>2892</v>
      </c>
      <c r="H1832" t="str">
        <f t="shared" si="112"/>
        <v/>
      </c>
      <c r="I1832" t="str">
        <f t="shared" si="113"/>
        <v/>
      </c>
      <c r="J1832" t="str">
        <f t="shared" si="114"/>
        <v/>
      </c>
      <c r="L1832" t="b">
        <f t="shared" si="115"/>
        <v>1</v>
      </c>
    </row>
    <row r="1833" spans="1:12" ht="16" x14ac:dyDescent="0.2">
      <c r="A1833" t="s">
        <v>6131</v>
      </c>
      <c r="B1833" t="s">
        <v>73</v>
      </c>
      <c r="C1833" t="s">
        <v>4437</v>
      </c>
      <c r="D1833" s="2" t="s">
        <v>158</v>
      </c>
      <c r="E1833">
        <v>2025</v>
      </c>
      <c r="F1833">
        <v>2027</v>
      </c>
      <c r="G1833" s="10">
        <v>9203333.333333334</v>
      </c>
      <c r="H1833">
        <f t="shared" si="112"/>
        <v>9203333.333333334</v>
      </c>
      <c r="I1833" t="str">
        <f t="shared" si="113"/>
        <v/>
      </c>
      <c r="J1833" t="str">
        <f t="shared" si="114"/>
        <v/>
      </c>
      <c r="K1833">
        <v>9279974.5500000007</v>
      </c>
      <c r="L1833" t="b">
        <f t="shared" si="115"/>
        <v>0</v>
      </c>
    </row>
    <row r="1834" spans="1:12" ht="16" x14ac:dyDescent="0.2">
      <c r="A1834" t="s">
        <v>6132</v>
      </c>
      <c r="B1834" t="s">
        <v>73</v>
      </c>
      <c r="C1834" t="s">
        <v>4438</v>
      </c>
      <c r="D1834" s="2" t="s">
        <v>158</v>
      </c>
      <c r="E1834">
        <v>2025</v>
      </c>
      <c r="F1834">
        <v>2028</v>
      </c>
      <c r="G1834" s="10">
        <v>8975000</v>
      </c>
      <c r="H1834">
        <f t="shared" si="112"/>
        <v>8975000</v>
      </c>
      <c r="I1834">
        <f t="shared" si="113"/>
        <v>8975000</v>
      </c>
      <c r="J1834" t="str">
        <f t="shared" si="114"/>
        <v/>
      </c>
      <c r="K1834">
        <v>13035447.119999999</v>
      </c>
      <c r="L1834" t="b">
        <f t="shared" si="115"/>
        <v>0</v>
      </c>
    </row>
    <row r="1835" spans="1:12" ht="16" x14ac:dyDescent="0.2">
      <c r="A1835" t="s">
        <v>6133</v>
      </c>
      <c r="B1835" t="s">
        <v>73</v>
      </c>
      <c r="C1835" t="s">
        <v>4439</v>
      </c>
      <c r="D1835" s="2" t="s">
        <v>158</v>
      </c>
      <c r="E1835">
        <v>2025</v>
      </c>
      <c r="F1835">
        <v>2026</v>
      </c>
      <c r="G1835" s="10">
        <v>3960000</v>
      </c>
      <c r="H1835" t="str">
        <f t="shared" si="112"/>
        <v/>
      </c>
      <c r="I1835" t="str">
        <f t="shared" si="113"/>
        <v/>
      </c>
      <c r="J1835" t="str">
        <f t="shared" si="114"/>
        <v/>
      </c>
      <c r="K1835">
        <v>1503999.04</v>
      </c>
      <c r="L1835" t="b">
        <f t="shared" si="115"/>
        <v>0</v>
      </c>
    </row>
    <row r="1836" spans="1:12" ht="16" x14ac:dyDescent="0.2">
      <c r="A1836" t="s">
        <v>6134</v>
      </c>
      <c r="B1836" t="s">
        <v>73</v>
      </c>
      <c r="C1836" t="s">
        <v>4440</v>
      </c>
      <c r="D1836" s="2" t="s">
        <v>158</v>
      </c>
      <c r="G1836" s="10" t="s">
        <v>2892</v>
      </c>
      <c r="H1836" t="str">
        <f t="shared" si="112"/>
        <v/>
      </c>
      <c r="I1836" t="str">
        <f t="shared" si="113"/>
        <v/>
      </c>
      <c r="J1836" t="str">
        <f t="shared" si="114"/>
        <v/>
      </c>
      <c r="L1836" t="b">
        <f t="shared" si="115"/>
        <v>1</v>
      </c>
    </row>
    <row r="1837" spans="1:12" ht="16" x14ac:dyDescent="0.2">
      <c r="A1837" t="s">
        <v>6135</v>
      </c>
      <c r="B1837" t="s">
        <v>73</v>
      </c>
      <c r="C1837" t="s">
        <v>4441</v>
      </c>
      <c r="D1837" s="2" t="s">
        <v>158</v>
      </c>
      <c r="E1837">
        <v>2025</v>
      </c>
      <c r="F1837">
        <v>2026</v>
      </c>
      <c r="G1837" s="10">
        <v>1275000</v>
      </c>
      <c r="H1837" t="str">
        <f t="shared" si="112"/>
        <v/>
      </c>
      <c r="I1837" t="str">
        <f t="shared" si="113"/>
        <v/>
      </c>
      <c r="J1837" t="str">
        <f t="shared" si="114"/>
        <v/>
      </c>
      <c r="K1837">
        <v>452741.08</v>
      </c>
      <c r="L1837" t="b">
        <f t="shared" si="115"/>
        <v>0</v>
      </c>
    </row>
    <row r="1838" spans="1:12" ht="16" x14ac:dyDescent="0.2">
      <c r="A1838" t="s">
        <v>6136</v>
      </c>
      <c r="B1838" t="s">
        <v>73</v>
      </c>
      <c r="C1838" t="s">
        <v>4442</v>
      </c>
      <c r="D1838" s="2" t="s">
        <v>158</v>
      </c>
      <c r="G1838" s="10" t="s">
        <v>2892</v>
      </c>
      <c r="H1838" t="str">
        <f t="shared" si="112"/>
        <v/>
      </c>
      <c r="I1838" t="str">
        <f t="shared" si="113"/>
        <v/>
      </c>
      <c r="J1838" t="str">
        <f t="shared" si="114"/>
        <v/>
      </c>
      <c r="L1838" t="b">
        <f t="shared" si="115"/>
        <v>1</v>
      </c>
    </row>
    <row r="1839" spans="1:12" ht="16" x14ac:dyDescent="0.2">
      <c r="A1839" t="s">
        <v>6137</v>
      </c>
      <c r="B1839" t="s">
        <v>73</v>
      </c>
      <c r="C1839" t="s">
        <v>4443</v>
      </c>
      <c r="D1839" s="2" t="s">
        <v>158</v>
      </c>
      <c r="E1839">
        <v>2025</v>
      </c>
      <c r="F1839">
        <v>2027</v>
      </c>
      <c r="G1839" s="10">
        <v>4870000</v>
      </c>
      <c r="H1839">
        <f t="shared" si="112"/>
        <v>4870000</v>
      </c>
      <c r="I1839" t="str">
        <f t="shared" si="113"/>
        <v/>
      </c>
      <c r="J1839" t="str">
        <f t="shared" si="114"/>
        <v/>
      </c>
      <c r="K1839">
        <v>6029124.1600000001</v>
      </c>
      <c r="L1839" t="b">
        <f t="shared" si="115"/>
        <v>0</v>
      </c>
    </row>
    <row r="1840" spans="1:12" ht="16" x14ac:dyDescent="0.2">
      <c r="A1840" t="s">
        <v>6138</v>
      </c>
      <c r="B1840" t="s">
        <v>73</v>
      </c>
      <c r="C1840" t="s">
        <v>4444</v>
      </c>
      <c r="D1840" s="2" t="s">
        <v>158</v>
      </c>
      <c r="G1840" s="10" t="s">
        <v>2892</v>
      </c>
      <c r="H1840" t="str">
        <f t="shared" si="112"/>
        <v/>
      </c>
      <c r="I1840" t="str">
        <f t="shared" si="113"/>
        <v/>
      </c>
      <c r="J1840" t="str">
        <f t="shared" si="114"/>
        <v/>
      </c>
      <c r="L1840" t="b">
        <f t="shared" si="115"/>
        <v>1</v>
      </c>
    </row>
    <row r="1841" spans="1:12" ht="16" x14ac:dyDescent="0.2">
      <c r="A1841" t="s">
        <v>6139</v>
      </c>
      <c r="B1841" t="s">
        <v>73</v>
      </c>
      <c r="C1841" t="s">
        <v>4445</v>
      </c>
      <c r="D1841" s="2" t="s">
        <v>158</v>
      </c>
      <c r="E1841">
        <v>2025</v>
      </c>
      <c r="F1841">
        <v>2026</v>
      </c>
      <c r="G1841" s="10">
        <v>1760000</v>
      </c>
      <c r="H1841" t="str">
        <f t="shared" si="112"/>
        <v/>
      </c>
      <c r="I1841" t="str">
        <f t="shared" si="113"/>
        <v/>
      </c>
      <c r="J1841" t="str">
        <f t="shared" si="114"/>
        <v/>
      </c>
      <c r="K1841">
        <v>247977.96</v>
      </c>
      <c r="L1841" t="b">
        <f t="shared" si="115"/>
        <v>0</v>
      </c>
    </row>
    <row r="1842" spans="1:12" ht="16" x14ac:dyDescent="0.2">
      <c r="A1842" t="s">
        <v>6140</v>
      </c>
      <c r="B1842" t="s">
        <v>73</v>
      </c>
      <c r="C1842" t="s">
        <v>4446</v>
      </c>
      <c r="D1842" s="2" t="s">
        <v>158</v>
      </c>
      <c r="G1842" s="10" t="s">
        <v>2892</v>
      </c>
      <c r="H1842" t="str">
        <f t="shared" si="112"/>
        <v/>
      </c>
      <c r="I1842" t="str">
        <f t="shared" si="113"/>
        <v/>
      </c>
      <c r="J1842" t="str">
        <f t="shared" si="114"/>
        <v/>
      </c>
      <c r="L1842" t="b">
        <f t="shared" si="115"/>
        <v>1</v>
      </c>
    </row>
    <row r="1843" spans="1:12" ht="16" x14ac:dyDescent="0.2">
      <c r="A1843" t="s">
        <v>6141</v>
      </c>
      <c r="B1843" t="s">
        <v>73</v>
      </c>
      <c r="C1843" t="s">
        <v>4447</v>
      </c>
      <c r="D1843" s="2" t="s">
        <v>158</v>
      </c>
      <c r="E1843">
        <v>2025</v>
      </c>
      <c r="F1843">
        <v>2026</v>
      </c>
      <c r="G1843" s="10">
        <v>1445000</v>
      </c>
      <c r="H1843" t="str">
        <f t="shared" si="112"/>
        <v/>
      </c>
      <c r="I1843" t="str">
        <f t="shared" si="113"/>
        <v/>
      </c>
      <c r="J1843" t="str">
        <f t="shared" si="114"/>
        <v/>
      </c>
      <c r="K1843">
        <v>77204.59</v>
      </c>
      <c r="L1843" t="b">
        <f t="shared" si="115"/>
        <v>0</v>
      </c>
    </row>
    <row r="1844" spans="1:12" ht="16" x14ac:dyDescent="0.2">
      <c r="A1844" t="s">
        <v>6142</v>
      </c>
      <c r="B1844" t="s">
        <v>73</v>
      </c>
      <c r="C1844" t="s">
        <v>4448</v>
      </c>
      <c r="D1844" s="2" t="s">
        <v>158</v>
      </c>
      <c r="G1844" s="10" t="s">
        <v>2892</v>
      </c>
      <c r="H1844" t="str">
        <f t="shared" si="112"/>
        <v/>
      </c>
      <c r="I1844" t="str">
        <f t="shared" si="113"/>
        <v/>
      </c>
      <c r="J1844" t="str">
        <f t="shared" si="114"/>
        <v/>
      </c>
      <c r="L1844" t="b">
        <f t="shared" si="115"/>
        <v>1</v>
      </c>
    </row>
    <row r="1845" spans="1:12" ht="16" x14ac:dyDescent="0.2">
      <c r="A1845" t="s">
        <v>6143</v>
      </c>
      <c r="B1845" t="s">
        <v>73</v>
      </c>
      <c r="C1845" t="s">
        <v>4449</v>
      </c>
      <c r="D1845" s="2" t="s">
        <v>158</v>
      </c>
      <c r="E1845">
        <v>2025</v>
      </c>
      <c r="F1845">
        <v>2026</v>
      </c>
      <c r="G1845" s="10">
        <v>1590000</v>
      </c>
      <c r="H1845" t="str">
        <f t="shared" si="112"/>
        <v/>
      </c>
      <c r="I1845" t="str">
        <f t="shared" si="113"/>
        <v/>
      </c>
      <c r="J1845" t="str">
        <f t="shared" si="114"/>
        <v/>
      </c>
      <c r="K1845">
        <v>44030.23</v>
      </c>
      <c r="L1845" t="b">
        <f t="shared" si="115"/>
        <v>0</v>
      </c>
    </row>
    <row r="1846" spans="1:12" ht="16" x14ac:dyDescent="0.2">
      <c r="A1846" t="s">
        <v>6144</v>
      </c>
      <c r="B1846" t="s">
        <v>73</v>
      </c>
      <c r="C1846" t="s">
        <v>4450</v>
      </c>
      <c r="D1846" s="2" t="s">
        <v>145</v>
      </c>
      <c r="E1846">
        <v>2025</v>
      </c>
      <c r="F1846">
        <v>2027</v>
      </c>
      <c r="G1846" s="10">
        <v>13090000.000000002</v>
      </c>
      <c r="H1846">
        <f t="shared" si="112"/>
        <v>13090000.000000002</v>
      </c>
      <c r="I1846" t="str">
        <f t="shared" si="113"/>
        <v/>
      </c>
      <c r="J1846" t="str">
        <f t="shared" si="114"/>
        <v/>
      </c>
      <c r="K1846">
        <v>15252719.34</v>
      </c>
      <c r="L1846" t="b">
        <f t="shared" si="115"/>
        <v>0</v>
      </c>
    </row>
    <row r="1847" spans="1:12" ht="16" x14ac:dyDescent="0.2">
      <c r="A1847" t="s">
        <v>6145</v>
      </c>
      <c r="B1847" t="s">
        <v>73</v>
      </c>
      <c r="C1847" t="s">
        <v>4451</v>
      </c>
      <c r="D1847" s="2" t="s">
        <v>145</v>
      </c>
      <c r="G1847" s="10" t="s">
        <v>2892</v>
      </c>
      <c r="H1847" t="str">
        <f t="shared" si="112"/>
        <v/>
      </c>
      <c r="I1847" t="str">
        <f t="shared" si="113"/>
        <v/>
      </c>
      <c r="J1847" t="str">
        <f t="shared" si="114"/>
        <v/>
      </c>
      <c r="L1847" t="b">
        <f t="shared" si="115"/>
        <v>1</v>
      </c>
    </row>
    <row r="1848" spans="1:12" ht="16" x14ac:dyDescent="0.2">
      <c r="A1848" t="s">
        <v>6146</v>
      </c>
      <c r="B1848" t="s">
        <v>73</v>
      </c>
      <c r="C1848" t="s">
        <v>4452</v>
      </c>
      <c r="D1848" s="2" t="s">
        <v>145</v>
      </c>
      <c r="G1848" s="10" t="s">
        <v>2892</v>
      </c>
      <c r="H1848" t="str">
        <f t="shared" si="112"/>
        <v/>
      </c>
      <c r="I1848" t="str">
        <f t="shared" si="113"/>
        <v/>
      </c>
      <c r="J1848" t="str">
        <f t="shared" si="114"/>
        <v/>
      </c>
      <c r="L1848" t="b">
        <f t="shared" si="115"/>
        <v>1</v>
      </c>
    </row>
    <row r="1849" spans="1:12" ht="16" x14ac:dyDescent="0.2">
      <c r="A1849" t="s">
        <v>6147</v>
      </c>
      <c r="B1849" t="s">
        <v>73</v>
      </c>
      <c r="C1849" t="s">
        <v>4453</v>
      </c>
      <c r="D1849" s="2" t="s">
        <v>145</v>
      </c>
      <c r="E1849">
        <v>2025</v>
      </c>
      <c r="F1849">
        <v>2027</v>
      </c>
      <c r="G1849" s="10">
        <v>10833333.333333334</v>
      </c>
      <c r="H1849">
        <f t="shared" si="112"/>
        <v>10833333.333333334</v>
      </c>
      <c r="I1849" t="str">
        <f t="shared" si="113"/>
        <v/>
      </c>
      <c r="J1849" t="str">
        <f t="shared" si="114"/>
        <v/>
      </c>
      <c r="K1849">
        <v>13690533.18</v>
      </c>
      <c r="L1849" t="b">
        <f t="shared" si="115"/>
        <v>0</v>
      </c>
    </row>
    <row r="1850" spans="1:12" ht="16" x14ac:dyDescent="0.2">
      <c r="A1850" t="s">
        <v>6148</v>
      </c>
      <c r="B1850" t="s">
        <v>73</v>
      </c>
      <c r="C1850" t="s">
        <v>4454</v>
      </c>
      <c r="D1850" s="2" t="s">
        <v>145</v>
      </c>
      <c r="E1850">
        <v>2025</v>
      </c>
      <c r="F1850">
        <v>2026</v>
      </c>
      <c r="G1850" s="10">
        <v>3270000</v>
      </c>
      <c r="H1850" t="str">
        <f t="shared" si="112"/>
        <v/>
      </c>
      <c r="I1850" t="str">
        <f t="shared" si="113"/>
        <v/>
      </c>
      <c r="J1850" t="str">
        <f t="shared" si="114"/>
        <v/>
      </c>
      <c r="K1850">
        <v>1687451.64</v>
      </c>
      <c r="L1850" t="b">
        <f t="shared" si="115"/>
        <v>0</v>
      </c>
    </row>
    <row r="1851" spans="1:12" ht="16" x14ac:dyDescent="0.2">
      <c r="A1851" t="s">
        <v>6149</v>
      </c>
      <c r="B1851" t="s">
        <v>73</v>
      </c>
      <c r="C1851" t="s">
        <v>4455</v>
      </c>
      <c r="D1851" s="2" t="s">
        <v>145</v>
      </c>
      <c r="G1851" s="10" t="s">
        <v>2892</v>
      </c>
      <c r="H1851" t="str">
        <f t="shared" si="112"/>
        <v/>
      </c>
      <c r="I1851" t="str">
        <f t="shared" si="113"/>
        <v/>
      </c>
      <c r="J1851" t="str">
        <f t="shared" si="114"/>
        <v/>
      </c>
      <c r="L1851" t="b">
        <f t="shared" si="115"/>
        <v>1</v>
      </c>
    </row>
    <row r="1852" spans="1:12" ht="16" x14ac:dyDescent="0.2">
      <c r="A1852" t="s">
        <v>6150</v>
      </c>
      <c r="B1852" t="s">
        <v>73</v>
      </c>
      <c r="C1852" t="s">
        <v>4456</v>
      </c>
      <c r="D1852" s="2" t="s">
        <v>145</v>
      </c>
      <c r="E1852">
        <v>2025</v>
      </c>
      <c r="F1852">
        <v>2027</v>
      </c>
      <c r="G1852" s="10">
        <v>10196666.666666668</v>
      </c>
      <c r="H1852">
        <f t="shared" si="112"/>
        <v>10196666.666666668</v>
      </c>
      <c r="I1852" t="str">
        <f t="shared" si="113"/>
        <v/>
      </c>
      <c r="J1852" t="str">
        <f t="shared" si="114"/>
        <v/>
      </c>
      <c r="K1852">
        <v>8342815.9699999997</v>
      </c>
      <c r="L1852" t="b">
        <f t="shared" si="115"/>
        <v>0</v>
      </c>
    </row>
    <row r="1853" spans="1:12" ht="16" x14ac:dyDescent="0.2">
      <c r="A1853" t="s">
        <v>6151</v>
      </c>
      <c r="B1853" t="s">
        <v>73</v>
      </c>
      <c r="C1853" t="s">
        <v>4457</v>
      </c>
      <c r="D1853" s="2" t="s">
        <v>145</v>
      </c>
      <c r="G1853" s="10" t="s">
        <v>2892</v>
      </c>
      <c r="H1853" t="str">
        <f t="shared" si="112"/>
        <v/>
      </c>
      <c r="I1853" t="str">
        <f t="shared" si="113"/>
        <v/>
      </c>
      <c r="J1853" t="str">
        <f t="shared" si="114"/>
        <v/>
      </c>
      <c r="L1853" t="b">
        <f t="shared" si="115"/>
        <v>1</v>
      </c>
    </row>
    <row r="1854" spans="1:12" ht="16" x14ac:dyDescent="0.2">
      <c r="A1854" t="s">
        <v>6152</v>
      </c>
      <c r="B1854" t="s">
        <v>73</v>
      </c>
      <c r="C1854" t="s">
        <v>4458</v>
      </c>
      <c r="D1854" s="2" t="s">
        <v>145</v>
      </c>
      <c r="E1854">
        <v>2025</v>
      </c>
      <c r="F1854">
        <v>2027</v>
      </c>
      <c r="G1854" s="10">
        <v>5216666.666666667</v>
      </c>
      <c r="H1854">
        <f t="shared" si="112"/>
        <v>5216666.666666667</v>
      </c>
      <c r="I1854" t="str">
        <f t="shared" si="113"/>
        <v/>
      </c>
      <c r="J1854" t="str">
        <f t="shared" si="114"/>
        <v/>
      </c>
      <c r="K1854">
        <v>2465146.9700000002</v>
      </c>
      <c r="L1854" t="b">
        <f t="shared" si="115"/>
        <v>0</v>
      </c>
    </row>
    <row r="1855" spans="1:12" ht="16" x14ac:dyDescent="0.2">
      <c r="A1855" t="s">
        <v>6153</v>
      </c>
      <c r="B1855" t="s">
        <v>73</v>
      </c>
      <c r="C1855" t="s">
        <v>4459</v>
      </c>
      <c r="D1855" s="2" t="s">
        <v>145</v>
      </c>
      <c r="E1855">
        <v>2025</v>
      </c>
      <c r="F1855">
        <v>2026</v>
      </c>
      <c r="G1855" s="10">
        <v>6035000</v>
      </c>
      <c r="H1855" t="str">
        <f t="shared" si="112"/>
        <v/>
      </c>
      <c r="I1855" t="str">
        <f t="shared" si="113"/>
        <v/>
      </c>
      <c r="J1855" t="str">
        <f t="shared" si="114"/>
        <v/>
      </c>
      <c r="K1855">
        <v>3069427.35</v>
      </c>
      <c r="L1855" t="b">
        <f t="shared" si="115"/>
        <v>0</v>
      </c>
    </row>
    <row r="1856" spans="1:12" ht="16" x14ac:dyDescent="0.2">
      <c r="A1856" t="s">
        <v>6154</v>
      </c>
      <c r="B1856" t="s">
        <v>73</v>
      </c>
      <c r="C1856" t="s">
        <v>4460</v>
      </c>
      <c r="D1856" s="2" t="s">
        <v>145</v>
      </c>
      <c r="G1856" s="10" t="s">
        <v>2892</v>
      </c>
      <c r="H1856" t="str">
        <f t="shared" si="112"/>
        <v/>
      </c>
      <c r="I1856" t="str">
        <f t="shared" si="113"/>
        <v/>
      </c>
      <c r="J1856" t="str">
        <f t="shared" si="114"/>
        <v/>
      </c>
      <c r="L1856" t="b">
        <f t="shared" si="115"/>
        <v>1</v>
      </c>
    </row>
    <row r="1857" spans="1:12" ht="16" x14ac:dyDescent="0.2">
      <c r="A1857" t="s">
        <v>6155</v>
      </c>
      <c r="B1857" t="s">
        <v>73</v>
      </c>
      <c r="C1857" t="s">
        <v>4461</v>
      </c>
      <c r="D1857" s="2" t="s">
        <v>145</v>
      </c>
      <c r="E1857">
        <v>2025</v>
      </c>
      <c r="F1857">
        <v>2026</v>
      </c>
      <c r="G1857" s="10">
        <v>2735000</v>
      </c>
      <c r="H1857" t="str">
        <f t="shared" si="112"/>
        <v/>
      </c>
      <c r="I1857" t="str">
        <f t="shared" si="113"/>
        <v/>
      </c>
      <c r="J1857" t="str">
        <f t="shared" si="114"/>
        <v/>
      </c>
      <c r="K1857">
        <v>978877.19</v>
      </c>
      <c r="L1857" t="b">
        <f t="shared" si="115"/>
        <v>0</v>
      </c>
    </row>
    <row r="1858" spans="1:12" ht="16" x14ac:dyDescent="0.2">
      <c r="A1858" t="s">
        <v>6156</v>
      </c>
      <c r="B1858" t="s">
        <v>73</v>
      </c>
      <c r="C1858" t="s">
        <v>4462</v>
      </c>
      <c r="D1858" s="2" t="s">
        <v>145</v>
      </c>
      <c r="E1858">
        <v>2025</v>
      </c>
      <c r="F1858">
        <v>2026</v>
      </c>
      <c r="G1858" s="10">
        <v>3015000</v>
      </c>
      <c r="H1858" t="str">
        <f t="shared" si="112"/>
        <v/>
      </c>
      <c r="I1858" t="str">
        <f t="shared" si="113"/>
        <v/>
      </c>
      <c r="J1858" t="str">
        <f t="shared" si="114"/>
        <v/>
      </c>
      <c r="K1858">
        <v>1097983.78</v>
      </c>
      <c r="L1858" t="b">
        <f t="shared" si="115"/>
        <v>0</v>
      </c>
    </row>
    <row r="1859" spans="1:12" ht="16" x14ac:dyDescent="0.2">
      <c r="A1859" t="s">
        <v>6157</v>
      </c>
      <c r="B1859" t="s">
        <v>73</v>
      </c>
      <c r="C1859" t="s">
        <v>4463</v>
      </c>
      <c r="D1859" s="2" t="s">
        <v>145</v>
      </c>
      <c r="G1859" s="10" t="s">
        <v>2892</v>
      </c>
      <c r="H1859" t="str">
        <f t="shared" si="112"/>
        <v/>
      </c>
      <c r="I1859" t="str">
        <f t="shared" si="113"/>
        <v/>
      </c>
      <c r="J1859" t="str">
        <f t="shared" si="114"/>
        <v/>
      </c>
      <c r="L1859" t="b">
        <f t="shared" si="115"/>
        <v>1</v>
      </c>
    </row>
    <row r="1860" spans="1:12" ht="16" x14ac:dyDescent="0.2">
      <c r="A1860" t="s">
        <v>6158</v>
      </c>
      <c r="B1860" t="s">
        <v>73</v>
      </c>
      <c r="C1860" t="s">
        <v>4464</v>
      </c>
      <c r="D1860" s="2" t="s">
        <v>145</v>
      </c>
      <c r="E1860">
        <v>2025</v>
      </c>
      <c r="F1860">
        <v>2026</v>
      </c>
      <c r="G1860" s="10">
        <v>8625000</v>
      </c>
      <c r="H1860" t="str">
        <f t="shared" ref="H1860:H1923" si="116">IF(F1860&gt;=2027,G1860,"")</f>
        <v/>
      </c>
      <c r="I1860" t="str">
        <f t="shared" ref="I1860:I1923" si="117">IF(F1860&gt;=2028,G1860,"")</f>
        <v/>
      </c>
      <c r="J1860" t="str">
        <f t="shared" ref="J1860:J1923" si="118">IF(F1860&gt;=2029,G1860,"")</f>
        <v/>
      </c>
      <c r="K1860">
        <v>5305059.8</v>
      </c>
      <c r="L1860" t="b">
        <f t="shared" si="115"/>
        <v>0</v>
      </c>
    </row>
    <row r="1861" spans="1:12" ht="16" x14ac:dyDescent="0.2">
      <c r="A1861" t="s">
        <v>6159</v>
      </c>
      <c r="B1861" t="s">
        <v>73</v>
      </c>
      <c r="C1861" t="s">
        <v>4465</v>
      </c>
      <c r="D1861" s="2" t="s">
        <v>145</v>
      </c>
      <c r="E1861">
        <v>2025</v>
      </c>
      <c r="F1861">
        <v>2026</v>
      </c>
      <c r="G1861" s="10">
        <v>4690000</v>
      </c>
      <c r="H1861" t="str">
        <f t="shared" si="116"/>
        <v/>
      </c>
      <c r="I1861" t="str">
        <f t="shared" si="117"/>
        <v/>
      </c>
      <c r="J1861" t="str">
        <f t="shared" si="118"/>
        <v/>
      </c>
      <c r="K1861">
        <v>2786652.61</v>
      </c>
      <c r="L1861" t="b">
        <f t="shared" si="115"/>
        <v>0</v>
      </c>
    </row>
    <row r="1862" spans="1:12" ht="16" x14ac:dyDescent="0.2">
      <c r="A1862" t="s">
        <v>6160</v>
      </c>
      <c r="B1862" t="s">
        <v>73</v>
      </c>
      <c r="C1862" t="s">
        <v>4466</v>
      </c>
      <c r="D1862" s="2" t="s">
        <v>145</v>
      </c>
      <c r="E1862">
        <v>2025</v>
      </c>
      <c r="F1862">
        <v>2026</v>
      </c>
      <c r="G1862" s="10">
        <v>4059999.9999999995</v>
      </c>
      <c r="H1862" t="str">
        <f t="shared" si="116"/>
        <v/>
      </c>
      <c r="I1862" t="str">
        <f t="shared" si="117"/>
        <v/>
      </c>
      <c r="J1862" t="str">
        <f t="shared" si="118"/>
        <v/>
      </c>
      <c r="K1862">
        <v>1136451.57</v>
      </c>
      <c r="L1862" t="b">
        <f t="shared" si="115"/>
        <v>0</v>
      </c>
    </row>
    <row r="1863" spans="1:12" ht="16" x14ac:dyDescent="0.2">
      <c r="A1863" t="s">
        <v>6161</v>
      </c>
      <c r="B1863" t="s">
        <v>73</v>
      </c>
      <c r="C1863" t="s">
        <v>4467</v>
      </c>
      <c r="D1863" s="2" t="s">
        <v>145</v>
      </c>
      <c r="E1863">
        <v>2025</v>
      </c>
      <c r="F1863">
        <v>2027</v>
      </c>
      <c r="G1863" s="10">
        <v>9720000</v>
      </c>
      <c r="H1863">
        <f t="shared" si="116"/>
        <v>9720000</v>
      </c>
      <c r="I1863" t="str">
        <f t="shared" si="117"/>
        <v/>
      </c>
      <c r="J1863" t="str">
        <f t="shared" si="118"/>
        <v/>
      </c>
      <c r="K1863">
        <v>8699798.7799999993</v>
      </c>
      <c r="L1863" t="b">
        <f t="shared" si="115"/>
        <v>0</v>
      </c>
    </row>
    <row r="1864" spans="1:12" ht="16" x14ac:dyDescent="0.2">
      <c r="A1864" t="s">
        <v>6162</v>
      </c>
      <c r="B1864" t="s">
        <v>73</v>
      </c>
      <c r="C1864" t="s">
        <v>4468</v>
      </c>
      <c r="D1864" s="2" t="s">
        <v>145</v>
      </c>
      <c r="G1864" s="10" t="s">
        <v>2892</v>
      </c>
      <c r="H1864" t="str">
        <f t="shared" si="116"/>
        <v/>
      </c>
      <c r="I1864" t="str">
        <f t="shared" si="117"/>
        <v/>
      </c>
      <c r="J1864" t="str">
        <f t="shared" si="118"/>
        <v/>
      </c>
      <c r="L1864" t="b">
        <f t="shared" si="115"/>
        <v>1</v>
      </c>
    </row>
    <row r="1865" spans="1:12" ht="16" x14ac:dyDescent="0.2">
      <c r="A1865" t="s">
        <v>6163</v>
      </c>
      <c r="B1865" t="s">
        <v>73</v>
      </c>
      <c r="C1865" t="s">
        <v>4469</v>
      </c>
      <c r="D1865" s="2" t="s">
        <v>145</v>
      </c>
      <c r="E1865">
        <v>2025</v>
      </c>
      <c r="F1865">
        <v>2026</v>
      </c>
      <c r="G1865" s="10">
        <v>3965000</v>
      </c>
      <c r="H1865" t="str">
        <f t="shared" si="116"/>
        <v/>
      </c>
      <c r="I1865" t="str">
        <f t="shared" si="117"/>
        <v/>
      </c>
      <c r="J1865" t="str">
        <f t="shared" si="118"/>
        <v/>
      </c>
      <c r="K1865">
        <v>1954058.34</v>
      </c>
      <c r="L1865" t="b">
        <f t="shared" si="115"/>
        <v>0</v>
      </c>
    </row>
    <row r="1866" spans="1:12" ht="16" x14ac:dyDescent="0.2">
      <c r="A1866" t="s">
        <v>6164</v>
      </c>
      <c r="B1866" t="s">
        <v>73</v>
      </c>
      <c r="C1866" t="s">
        <v>4470</v>
      </c>
      <c r="D1866" s="2" t="s">
        <v>145</v>
      </c>
      <c r="E1866">
        <v>2025</v>
      </c>
      <c r="F1866">
        <v>2027</v>
      </c>
      <c r="G1866" s="10">
        <v>2063333.3333333335</v>
      </c>
      <c r="H1866">
        <f t="shared" si="116"/>
        <v>2063333.3333333335</v>
      </c>
      <c r="I1866" t="str">
        <f t="shared" si="117"/>
        <v/>
      </c>
      <c r="J1866" t="str">
        <f t="shared" si="118"/>
        <v/>
      </c>
      <c r="K1866">
        <v>555831.80000000005</v>
      </c>
      <c r="L1866" t="b">
        <f t="shared" si="115"/>
        <v>0</v>
      </c>
    </row>
    <row r="1867" spans="1:12" ht="16" x14ac:dyDescent="0.2">
      <c r="A1867" t="s">
        <v>6165</v>
      </c>
      <c r="B1867" t="s">
        <v>73</v>
      </c>
      <c r="C1867" t="s">
        <v>4471</v>
      </c>
      <c r="D1867" s="2" t="s">
        <v>145</v>
      </c>
      <c r="E1867">
        <v>2025</v>
      </c>
      <c r="F1867">
        <v>2026</v>
      </c>
      <c r="G1867" s="10">
        <v>9015000</v>
      </c>
      <c r="H1867" t="str">
        <f t="shared" si="116"/>
        <v/>
      </c>
      <c r="I1867" t="str">
        <f t="shared" si="117"/>
        <v/>
      </c>
      <c r="J1867" t="str">
        <f t="shared" si="118"/>
        <v/>
      </c>
      <c r="K1867">
        <v>5774984.7199999997</v>
      </c>
      <c r="L1867" t="b">
        <f t="shared" si="115"/>
        <v>0</v>
      </c>
    </row>
    <row r="1868" spans="1:12" ht="16" x14ac:dyDescent="0.2">
      <c r="A1868" t="s">
        <v>6166</v>
      </c>
      <c r="B1868" t="s">
        <v>73</v>
      </c>
      <c r="C1868" t="s">
        <v>4472</v>
      </c>
      <c r="D1868" s="2" t="s">
        <v>145</v>
      </c>
      <c r="E1868">
        <v>2025</v>
      </c>
      <c r="F1868">
        <v>2028</v>
      </c>
      <c r="G1868" s="10">
        <v>11667500</v>
      </c>
      <c r="H1868">
        <f t="shared" si="116"/>
        <v>11667500</v>
      </c>
      <c r="I1868">
        <f t="shared" si="117"/>
        <v>11667500</v>
      </c>
      <c r="J1868" t="str">
        <f t="shared" si="118"/>
        <v/>
      </c>
      <c r="K1868">
        <v>12488919.33</v>
      </c>
      <c r="L1868" t="b">
        <f t="shared" si="115"/>
        <v>0</v>
      </c>
    </row>
    <row r="1869" spans="1:12" ht="16" x14ac:dyDescent="0.2">
      <c r="A1869" t="s">
        <v>6167</v>
      </c>
      <c r="B1869" t="s">
        <v>73</v>
      </c>
      <c r="C1869" t="s">
        <v>4473</v>
      </c>
      <c r="D1869" s="2" t="s">
        <v>145</v>
      </c>
      <c r="E1869">
        <v>2026</v>
      </c>
      <c r="F1869">
        <v>2030</v>
      </c>
      <c r="G1869" s="10">
        <v>11470000</v>
      </c>
      <c r="H1869">
        <f t="shared" si="116"/>
        <v>11470000</v>
      </c>
      <c r="I1869">
        <f t="shared" si="117"/>
        <v>11470000</v>
      </c>
      <c r="J1869">
        <f t="shared" si="118"/>
        <v>11470000</v>
      </c>
      <c r="K1869">
        <v>16766624.789999999</v>
      </c>
      <c r="L1869" t="b">
        <f t="shared" si="115"/>
        <v>0</v>
      </c>
    </row>
    <row r="1870" spans="1:12" ht="16" x14ac:dyDescent="0.2">
      <c r="A1870" t="s">
        <v>6168</v>
      </c>
      <c r="B1870" t="s">
        <v>73</v>
      </c>
      <c r="C1870" t="s">
        <v>4474</v>
      </c>
      <c r="D1870" s="2" t="s">
        <v>145</v>
      </c>
      <c r="E1870">
        <v>2025</v>
      </c>
      <c r="F1870">
        <v>2028</v>
      </c>
      <c r="G1870" s="10">
        <v>4935000</v>
      </c>
      <c r="H1870">
        <f t="shared" si="116"/>
        <v>4935000</v>
      </c>
      <c r="I1870">
        <f t="shared" si="117"/>
        <v>4935000</v>
      </c>
      <c r="J1870" t="str">
        <f t="shared" si="118"/>
        <v/>
      </c>
      <c r="K1870">
        <v>4045965.58</v>
      </c>
      <c r="L1870" t="b">
        <f t="shared" si="115"/>
        <v>0</v>
      </c>
    </row>
    <row r="1871" spans="1:12" ht="16" x14ac:dyDescent="0.2">
      <c r="A1871" t="s">
        <v>6169</v>
      </c>
      <c r="B1871" t="s">
        <v>73</v>
      </c>
      <c r="C1871" t="s">
        <v>4475</v>
      </c>
      <c r="D1871" s="2" t="s">
        <v>145</v>
      </c>
      <c r="E1871">
        <v>2025</v>
      </c>
      <c r="F1871">
        <v>2027</v>
      </c>
      <c r="G1871" s="10">
        <v>5420000.0000000009</v>
      </c>
      <c r="H1871">
        <f t="shared" si="116"/>
        <v>5420000.0000000009</v>
      </c>
      <c r="I1871" t="str">
        <f t="shared" si="117"/>
        <v/>
      </c>
      <c r="J1871" t="str">
        <f t="shared" si="118"/>
        <v/>
      </c>
      <c r="K1871">
        <v>1880144.81</v>
      </c>
      <c r="L1871" t="b">
        <f t="shared" si="115"/>
        <v>0</v>
      </c>
    </row>
    <row r="1872" spans="1:12" ht="16" x14ac:dyDescent="0.2">
      <c r="A1872" t="s">
        <v>6170</v>
      </c>
      <c r="B1872" t="s">
        <v>73</v>
      </c>
      <c r="C1872" t="s">
        <v>4476</v>
      </c>
      <c r="D1872" s="2" t="s">
        <v>145</v>
      </c>
      <c r="E1872">
        <v>2025</v>
      </c>
      <c r="F1872">
        <v>2026</v>
      </c>
      <c r="G1872" s="10">
        <v>3340000</v>
      </c>
      <c r="H1872" t="str">
        <f t="shared" si="116"/>
        <v/>
      </c>
      <c r="I1872" t="str">
        <f t="shared" si="117"/>
        <v/>
      </c>
      <c r="J1872" t="str">
        <f t="shared" si="118"/>
        <v/>
      </c>
      <c r="K1872">
        <v>1217803.5900000001</v>
      </c>
      <c r="L1872" t="b">
        <f t="shared" si="115"/>
        <v>0</v>
      </c>
    </row>
    <row r="1873" spans="1:12" ht="16" x14ac:dyDescent="0.2">
      <c r="A1873" t="s">
        <v>6171</v>
      </c>
      <c r="B1873" t="s">
        <v>73</v>
      </c>
      <c r="C1873" t="s">
        <v>4477</v>
      </c>
      <c r="D1873" s="2" t="s">
        <v>145</v>
      </c>
      <c r="E1873">
        <v>2025</v>
      </c>
      <c r="F1873">
        <v>2026</v>
      </c>
      <c r="G1873" s="10">
        <v>2120000</v>
      </c>
      <c r="H1873" t="str">
        <f t="shared" si="116"/>
        <v/>
      </c>
      <c r="I1873" t="str">
        <f t="shared" si="117"/>
        <v/>
      </c>
      <c r="J1873" t="str">
        <f t="shared" si="118"/>
        <v/>
      </c>
      <c r="K1873">
        <v>566388.07999999996</v>
      </c>
      <c r="L1873" t="b">
        <f t="shared" si="115"/>
        <v>0</v>
      </c>
    </row>
    <row r="1874" spans="1:12" ht="16" x14ac:dyDescent="0.2">
      <c r="A1874" t="s">
        <v>6172</v>
      </c>
      <c r="B1874" t="s">
        <v>73</v>
      </c>
      <c r="C1874" t="s">
        <v>4478</v>
      </c>
      <c r="D1874" s="2" t="s">
        <v>145</v>
      </c>
      <c r="E1874">
        <v>2025</v>
      </c>
      <c r="F1874">
        <v>2026</v>
      </c>
      <c r="G1874" s="10">
        <v>2975000</v>
      </c>
      <c r="H1874" t="str">
        <f t="shared" si="116"/>
        <v/>
      </c>
      <c r="I1874" t="str">
        <f t="shared" si="117"/>
        <v/>
      </c>
      <c r="J1874" t="str">
        <f t="shared" si="118"/>
        <v/>
      </c>
      <c r="K1874">
        <v>119995.4</v>
      </c>
      <c r="L1874" t="b">
        <f t="shared" si="115"/>
        <v>0</v>
      </c>
    </row>
    <row r="1875" spans="1:12" ht="16" x14ac:dyDescent="0.2">
      <c r="A1875" t="s">
        <v>6173</v>
      </c>
      <c r="B1875" t="s">
        <v>73</v>
      </c>
      <c r="C1875" t="s">
        <v>4479</v>
      </c>
      <c r="D1875" s="2" t="s">
        <v>145</v>
      </c>
      <c r="E1875">
        <v>2025</v>
      </c>
      <c r="F1875">
        <v>2027</v>
      </c>
      <c r="G1875" s="10">
        <v>10013333.333333334</v>
      </c>
      <c r="H1875">
        <f t="shared" si="116"/>
        <v>10013333.333333334</v>
      </c>
      <c r="I1875" t="str">
        <f t="shared" si="117"/>
        <v/>
      </c>
      <c r="J1875" t="str">
        <f t="shared" si="118"/>
        <v/>
      </c>
      <c r="K1875">
        <v>10961528.34</v>
      </c>
      <c r="L1875" t="b">
        <f t="shared" si="115"/>
        <v>0</v>
      </c>
    </row>
    <row r="1876" spans="1:12" ht="16" x14ac:dyDescent="0.2">
      <c r="A1876" t="s">
        <v>6174</v>
      </c>
      <c r="B1876" t="s">
        <v>73</v>
      </c>
      <c r="C1876" t="s">
        <v>4480</v>
      </c>
      <c r="D1876" s="2" t="s">
        <v>145</v>
      </c>
      <c r="E1876">
        <v>2025</v>
      </c>
      <c r="F1876">
        <v>2026</v>
      </c>
      <c r="G1876" s="10">
        <v>7175000</v>
      </c>
      <c r="H1876" t="str">
        <f t="shared" si="116"/>
        <v/>
      </c>
      <c r="I1876" t="str">
        <f t="shared" si="117"/>
        <v/>
      </c>
      <c r="J1876" t="str">
        <f t="shared" si="118"/>
        <v/>
      </c>
      <c r="K1876">
        <v>1560374.07</v>
      </c>
      <c r="L1876" t="b">
        <f t="shared" si="115"/>
        <v>0</v>
      </c>
    </row>
    <row r="1877" spans="1:12" ht="16" x14ac:dyDescent="0.2">
      <c r="A1877" t="s">
        <v>6175</v>
      </c>
      <c r="B1877" t="s">
        <v>73</v>
      </c>
      <c r="C1877" t="s">
        <v>4481</v>
      </c>
      <c r="D1877" s="2" t="s">
        <v>145</v>
      </c>
      <c r="E1877">
        <v>2025</v>
      </c>
      <c r="F1877">
        <v>2026</v>
      </c>
      <c r="G1877" s="10">
        <v>1830000</v>
      </c>
      <c r="H1877" t="str">
        <f t="shared" si="116"/>
        <v/>
      </c>
      <c r="I1877" t="str">
        <f t="shared" si="117"/>
        <v/>
      </c>
      <c r="J1877" t="str">
        <f t="shared" si="118"/>
        <v/>
      </c>
      <c r="K1877">
        <v>227102.79</v>
      </c>
      <c r="L1877" t="b">
        <f t="shared" si="115"/>
        <v>0</v>
      </c>
    </row>
    <row r="1878" spans="1:12" ht="16" x14ac:dyDescent="0.2">
      <c r="A1878" t="s">
        <v>6176</v>
      </c>
      <c r="B1878" t="s">
        <v>73</v>
      </c>
      <c r="C1878" t="s">
        <v>4482</v>
      </c>
      <c r="D1878" s="2" t="s">
        <v>145</v>
      </c>
      <c r="G1878" s="10" t="s">
        <v>2892</v>
      </c>
      <c r="H1878" t="str">
        <f t="shared" si="116"/>
        <v/>
      </c>
      <c r="I1878" t="str">
        <f t="shared" si="117"/>
        <v/>
      </c>
      <c r="J1878" t="str">
        <f t="shared" si="118"/>
        <v/>
      </c>
      <c r="L1878" t="b">
        <f t="shared" si="115"/>
        <v>1</v>
      </c>
    </row>
    <row r="1879" spans="1:12" ht="16" x14ac:dyDescent="0.2">
      <c r="A1879" t="s">
        <v>6177</v>
      </c>
      <c r="B1879" t="s">
        <v>73</v>
      </c>
      <c r="C1879" t="s">
        <v>4483</v>
      </c>
      <c r="D1879" s="2" t="s">
        <v>145</v>
      </c>
      <c r="E1879">
        <v>2025</v>
      </c>
      <c r="F1879">
        <v>2026</v>
      </c>
      <c r="G1879" s="10">
        <v>9980000</v>
      </c>
      <c r="H1879" t="str">
        <f t="shared" si="116"/>
        <v/>
      </c>
      <c r="I1879" t="str">
        <f t="shared" si="117"/>
        <v/>
      </c>
      <c r="J1879" t="str">
        <f t="shared" si="118"/>
        <v/>
      </c>
      <c r="K1879">
        <v>7314494.2000000002</v>
      </c>
      <c r="L1879" t="b">
        <f t="shared" si="115"/>
        <v>0</v>
      </c>
    </row>
    <row r="1880" spans="1:12" ht="16" x14ac:dyDescent="0.2">
      <c r="A1880" t="s">
        <v>6178</v>
      </c>
      <c r="B1880" t="s">
        <v>73</v>
      </c>
      <c r="C1880" t="s">
        <v>4484</v>
      </c>
      <c r="D1880" s="2" t="s">
        <v>145</v>
      </c>
      <c r="G1880" s="10" t="s">
        <v>2892</v>
      </c>
      <c r="H1880" t="str">
        <f t="shared" si="116"/>
        <v/>
      </c>
      <c r="I1880" t="str">
        <f t="shared" si="117"/>
        <v/>
      </c>
      <c r="J1880" t="str">
        <f t="shared" si="118"/>
        <v/>
      </c>
      <c r="L1880" t="b">
        <f t="shared" si="115"/>
        <v>1</v>
      </c>
    </row>
    <row r="1881" spans="1:12" ht="16" x14ac:dyDescent="0.2">
      <c r="A1881" t="s">
        <v>6179</v>
      </c>
      <c r="B1881" t="s">
        <v>73</v>
      </c>
      <c r="C1881" t="s">
        <v>4485</v>
      </c>
      <c r="D1881" s="2" t="s">
        <v>145</v>
      </c>
      <c r="G1881" s="10" t="s">
        <v>2892</v>
      </c>
      <c r="H1881" t="str">
        <f t="shared" si="116"/>
        <v/>
      </c>
      <c r="I1881" t="str">
        <f t="shared" si="117"/>
        <v/>
      </c>
      <c r="J1881" t="str">
        <f t="shared" si="118"/>
        <v/>
      </c>
      <c r="L1881" t="b">
        <f t="shared" si="115"/>
        <v>1</v>
      </c>
    </row>
    <row r="1882" spans="1:12" ht="16" x14ac:dyDescent="0.2">
      <c r="A1882" t="s">
        <v>6180</v>
      </c>
      <c r="B1882" t="s">
        <v>73</v>
      </c>
      <c r="C1882" t="s">
        <v>4486</v>
      </c>
      <c r="D1882" s="2" t="s">
        <v>145</v>
      </c>
      <c r="E1882">
        <v>2025</v>
      </c>
      <c r="F1882">
        <v>2026</v>
      </c>
      <c r="G1882" s="10">
        <v>3845000</v>
      </c>
      <c r="H1882" t="str">
        <f t="shared" si="116"/>
        <v/>
      </c>
      <c r="I1882" t="str">
        <f t="shared" si="117"/>
        <v/>
      </c>
      <c r="J1882" t="str">
        <f t="shared" si="118"/>
        <v/>
      </c>
      <c r="K1882">
        <v>1822710.43</v>
      </c>
      <c r="L1882" t="b">
        <f t="shared" si="115"/>
        <v>0</v>
      </c>
    </row>
    <row r="1883" spans="1:12" ht="16" x14ac:dyDescent="0.2">
      <c r="A1883" t="s">
        <v>6181</v>
      </c>
      <c r="B1883" t="s">
        <v>73</v>
      </c>
      <c r="C1883" t="s">
        <v>4487</v>
      </c>
      <c r="D1883" s="2" t="s">
        <v>145</v>
      </c>
      <c r="E1883">
        <v>2025</v>
      </c>
      <c r="F1883">
        <v>2028</v>
      </c>
      <c r="G1883" s="10">
        <v>8850000</v>
      </c>
      <c r="H1883">
        <f t="shared" si="116"/>
        <v>8850000</v>
      </c>
      <c r="I1883">
        <f t="shared" si="117"/>
        <v>8850000</v>
      </c>
      <c r="J1883" t="str">
        <f t="shared" si="118"/>
        <v/>
      </c>
      <c r="K1883">
        <v>9277393.6799999997</v>
      </c>
      <c r="L1883" t="b">
        <f t="shared" si="115"/>
        <v>0</v>
      </c>
    </row>
    <row r="1884" spans="1:12" ht="16" x14ac:dyDescent="0.2">
      <c r="A1884" t="s">
        <v>6182</v>
      </c>
      <c r="B1884" t="s">
        <v>73</v>
      </c>
      <c r="C1884" t="s">
        <v>4488</v>
      </c>
      <c r="D1884" s="2" t="s">
        <v>145</v>
      </c>
      <c r="E1884">
        <v>2025</v>
      </c>
      <c r="F1884">
        <v>2027</v>
      </c>
      <c r="G1884" s="10">
        <v>7506666.666666667</v>
      </c>
      <c r="H1884">
        <f t="shared" si="116"/>
        <v>7506666.666666667</v>
      </c>
      <c r="I1884" t="str">
        <f t="shared" si="117"/>
        <v/>
      </c>
      <c r="J1884" t="str">
        <f t="shared" si="118"/>
        <v/>
      </c>
      <c r="K1884">
        <v>4094908.97</v>
      </c>
      <c r="L1884" t="b">
        <f t="shared" si="115"/>
        <v>0</v>
      </c>
    </row>
    <row r="1885" spans="1:12" ht="16" x14ac:dyDescent="0.2">
      <c r="A1885" t="s">
        <v>6183</v>
      </c>
      <c r="B1885" t="s">
        <v>73</v>
      </c>
      <c r="C1885" t="s">
        <v>4489</v>
      </c>
      <c r="D1885" s="2" t="s">
        <v>145</v>
      </c>
      <c r="E1885">
        <v>2025</v>
      </c>
      <c r="F1885">
        <v>2026</v>
      </c>
      <c r="G1885" s="10">
        <v>6070000</v>
      </c>
      <c r="H1885" t="str">
        <f t="shared" si="116"/>
        <v/>
      </c>
      <c r="I1885" t="str">
        <f t="shared" si="117"/>
        <v/>
      </c>
      <c r="J1885" t="str">
        <f t="shared" si="118"/>
        <v/>
      </c>
      <c r="K1885">
        <v>2740746.2</v>
      </c>
      <c r="L1885" t="b">
        <f t="shared" si="115"/>
        <v>0</v>
      </c>
    </row>
    <row r="1886" spans="1:12" ht="16" x14ac:dyDescent="0.2">
      <c r="A1886" t="s">
        <v>6184</v>
      </c>
      <c r="B1886" t="s">
        <v>73</v>
      </c>
      <c r="C1886" t="s">
        <v>4490</v>
      </c>
      <c r="D1886" s="2" t="s">
        <v>145</v>
      </c>
      <c r="E1886">
        <v>2025</v>
      </c>
      <c r="F1886">
        <v>2026</v>
      </c>
      <c r="G1886" s="10">
        <v>2830000</v>
      </c>
      <c r="H1886" t="str">
        <f t="shared" si="116"/>
        <v/>
      </c>
      <c r="I1886" t="str">
        <f t="shared" si="117"/>
        <v/>
      </c>
      <c r="J1886" t="str">
        <f t="shared" si="118"/>
        <v/>
      </c>
      <c r="K1886">
        <v>28260.75</v>
      </c>
      <c r="L1886" t="b">
        <f t="shared" si="115"/>
        <v>0</v>
      </c>
    </row>
    <row r="1887" spans="1:12" ht="16" x14ac:dyDescent="0.2">
      <c r="A1887" t="s">
        <v>6185</v>
      </c>
      <c r="B1887" t="s">
        <v>73</v>
      </c>
      <c r="C1887" t="s">
        <v>4491</v>
      </c>
      <c r="D1887" s="2" t="s">
        <v>145</v>
      </c>
      <c r="G1887" s="10" t="s">
        <v>2892</v>
      </c>
      <c r="H1887" t="str">
        <f t="shared" si="116"/>
        <v/>
      </c>
      <c r="I1887" t="str">
        <f t="shared" si="117"/>
        <v/>
      </c>
      <c r="J1887" t="str">
        <f t="shared" si="118"/>
        <v/>
      </c>
      <c r="L1887" t="b">
        <f t="shared" si="115"/>
        <v>1</v>
      </c>
    </row>
    <row r="1888" spans="1:12" ht="16" x14ac:dyDescent="0.2">
      <c r="A1888" t="s">
        <v>6186</v>
      </c>
      <c r="B1888" t="s">
        <v>73</v>
      </c>
      <c r="C1888" t="s">
        <v>4492</v>
      </c>
      <c r="D1888" s="2" t="s">
        <v>145</v>
      </c>
      <c r="G1888" s="10" t="s">
        <v>2892</v>
      </c>
      <c r="H1888" t="str">
        <f t="shared" si="116"/>
        <v/>
      </c>
      <c r="I1888" t="str">
        <f t="shared" si="117"/>
        <v/>
      </c>
      <c r="J1888" t="str">
        <f t="shared" si="118"/>
        <v/>
      </c>
      <c r="L1888" t="b">
        <f t="shared" si="115"/>
        <v>1</v>
      </c>
    </row>
    <row r="1889" spans="1:12" ht="16" x14ac:dyDescent="0.2">
      <c r="A1889" t="s">
        <v>6187</v>
      </c>
      <c r="B1889" t="s">
        <v>73</v>
      </c>
      <c r="C1889" t="s">
        <v>4493</v>
      </c>
      <c r="D1889" s="2" t="s">
        <v>145</v>
      </c>
      <c r="E1889">
        <v>2025</v>
      </c>
      <c r="F1889">
        <v>2026</v>
      </c>
      <c r="G1889" s="10">
        <v>3985000</v>
      </c>
      <c r="H1889" t="str">
        <f t="shared" si="116"/>
        <v/>
      </c>
      <c r="I1889" t="str">
        <f t="shared" si="117"/>
        <v/>
      </c>
      <c r="J1889" t="str">
        <f t="shared" si="118"/>
        <v/>
      </c>
      <c r="K1889">
        <v>2234473.9</v>
      </c>
      <c r="L1889" t="b">
        <f t="shared" si="115"/>
        <v>0</v>
      </c>
    </row>
    <row r="1890" spans="1:12" ht="16" x14ac:dyDescent="0.2">
      <c r="A1890" t="s">
        <v>6188</v>
      </c>
      <c r="B1890" t="s">
        <v>73</v>
      </c>
      <c r="C1890" t="s">
        <v>4494</v>
      </c>
      <c r="D1890" s="2" t="s">
        <v>145</v>
      </c>
      <c r="E1890">
        <v>2025</v>
      </c>
      <c r="F1890">
        <v>2026</v>
      </c>
      <c r="G1890" s="10">
        <v>7935000</v>
      </c>
      <c r="H1890" t="str">
        <f t="shared" si="116"/>
        <v/>
      </c>
      <c r="I1890" t="str">
        <f t="shared" si="117"/>
        <v/>
      </c>
      <c r="J1890" t="str">
        <f t="shared" si="118"/>
        <v/>
      </c>
      <c r="K1890">
        <v>5034700.99</v>
      </c>
      <c r="L1890" t="b">
        <f t="shared" si="115"/>
        <v>0</v>
      </c>
    </row>
    <row r="1891" spans="1:12" ht="16" x14ac:dyDescent="0.2">
      <c r="A1891" t="s">
        <v>6189</v>
      </c>
      <c r="B1891" t="s">
        <v>73</v>
      </c>
      <c r="C1891" t="s">
        <v>4495</v>
      </c>
      <c r="D1891" s="2" t="s">
        <v>145</v>
      </c>
      <c r="G1891" s="10" t="s">
        <v>2892</v>
      </c>
      <c r="H1891" t="str">
        <f t="shared" si="116"/>
        <v/>
      </c>
      <c r="I1891" t="str">
        <f t="shared" si="117"/>
        <v/>
      </c>
      <c r="J1891" t="str">
        <f t="shared" si="118"/>
        <v/>
      </c>
      <c r="L1891" t="b">
        <f t="shared" ref="L1891:L1954" si="119">IF(F1891="",TRUE,FALSE)</f>
        <v>1</v>
      </c>
    </row>
    <row r="1892" spans="1:12" ht="16" x14ac:dyDescent="0.2">
      <c r="A1892" t="s">
        <v>6190</v>
      </c>
      <c r="B1892" t="s">
        <v>73</v>
      </c>
      <c r="C1892" t="s">
        <v>4496</v>
      </c>
      <c r="D1892" s="2" t="s">
        <v>145</v>
      </c>
      <c r="G1892" s="10" t="s">
        <v>2892</v>
      </c>
      <c r="H1892" t="str">
        <f t="shared" si="116"/>
        <v/>
      </c>
      <c r="I1892" t="str">
        <f t="shared" si="117"/>
        <v/>
      </c>
      <c r="J1892" t="str">
        <f t="shared" si="118"/>
        <v/>
      </c>
      <c r="L1892" t="b">
        <f t="shared" si="119"/>
        <v>1</v>
      </c>
    </row>
    <row r="1893" spans="1:12" ht="16" x14ac:dyDescent="0.2">
      <c r="A1893" t="s">
        <v>6191</v>
      </c>
      <c r="B1893" t="s">
        <v>73</v>
      </c>
      <c r="C1893" t="s">
        <v>4497</v>
      </c>
      <c r="D1893" s="2" t="s">
        <v>145</v>
      </c>
      <c r="G1893" s="10" t="s">
        <v>2892</v>
      </c>
      <c r="H1893" t="str">
        <f t="shared" si="116"/>
        <v/>
      </c>
      <c r="I1893" t="str">
        <f t="shared" si="117"/>
        <v/>
      </c>
      <c r="J1893" t="str">
        <f t="shared" si="118"/>
        <v/>
      </c>
      <c r="L1893" t="b">
        <f t="shared" si="119"/>
        <v>1</v>
      </c>
    </row>
    <row r="1894" spans="1:12" ht="16" x14ac:dyDescent="0.2">
      <c r="A1894" t="s">
        <v>6192</v>
      </c>
      <c r="B1894" t="s">
        <v>73</v>
      </c>
      <c r="C1894" t="s">
        <v>4498</v>
      </c>
      <c r="D1894" s="2" t="s">
        <v>145</v>
      </c>
      <c r="E1894">
        <v>2025</v>
      </c>
      <c r="F1894">
        <v>2027</v>
      </c>
      <c r="G1894" s="10">
        <v>1056666.6666666667</v>
      </c>
      <c r="H1894">
        <f t="shared" si="116"/>
        <v>1056666.6666666667</v>
      </c>
      <c r="I1894" t="str">
        <f t="shared" si="117"/>
        <v/>
      </c>
      <c r="J1894" t="str">
        <f t="shared" si="118"/>
        <v/>
      </c>
      <c r="K1894">
        <v>530186.11</v>
      </c>
      <c r="L1894" t="b">
        <f t="shared" si="119"/>
        <v>0</v>
      </c>
    </row>
    <row r="1895" spans="1:12" ht="16" x14ac:dyDescent="0.2">
      <c r="A1895" t="s">
        <v>6193</v>
      </c>
      <c r="B1895" t="s">
        <v>73</v>
      </c>
      <c r="C1895" t="s">
        <v>4499</v>
      </c>
      <c r="D1895" s="2" t="s">
        <v>145</v>
      </c>
      <c r="E1895">
        <v>2025</v>
      </c>
      <c r="F1895">
        <v>2026</v>
      </c>
      <c r="G1895" s="10">
        <v>4105000.0000000005</v>
      </c>
      <c r="H1895" t="str">
        <f t="shared" si="116"/>
        <v/>
      </c>
      <c r="I1895" t="str">
        <f t="shared" si="117"/>
        <v/>
      </c>
      <c r="J1895" t="str">
        <f t="shared" si="118"/>
        <v/>
      </c>
      <c r="K1895">
        <v>3566502.63</v>
      </c>
      <c r="L1895" t="b">
        <f t="shared" si="119"/>
        <v>0</v>
      </c>
    </row>
    <row r="1896" spans="1:12" ht="16" x14ac:dyDescent="0.2">
      <c r="A1896" t="s">
        <v>6194</v>
      </c>
      <c r="B1896" t="s">
        <v>73</v>
      </c>
      <c r="C1896" t="s">
        <v>4500</v>
      </c>
      <c r="D1896" s="2" t="s">
        <v>145</v>
      </c>
      <c r="E1896">
        <v>2025</v>
      </c>
      <c r="F1896">
        <v>2026</v>
      </c>
      <c r="G1896" s="10">
        <v>9210000</v>
      </c>
      <c r="H1896" t="str">
        <f t="shared" si="116"/>
        <v/>
      </c>
      <c r="I1896" t="str">
        <f t="shared" si="117"/>
        <v/>
      </c>
      <c r="J1896" t="str">
        <f t="shared" si="118"/>
        <v/>
      </c>
      <c r="K1896">
        <v>5507616.3600000003</v>
      </c>
      <c r="L1896" t="b">
        <f t="shared" si="119"/>
        <v>0</v>
      </c>
    </row>
    <row r="1897" spans="1:12" ht="16" x14ac:dyDescent="0.2">
      <c r="A1897" t="s">
        <v>6195</v>
      </c>
      <c r="B1897" t="s">
        <v>73</v>
      </c>
      <c r="C1897" t="s">
        <v>4501</v>
      </c>
      <c r="D1897" s="2" t="s">
        <v>145</v>
      </c>
      <c r="G1897" s="10" t="s">
        <v>2892</v>
      </c>
      <c r="H1897" t="str">
        <f t="shared" si="116"/>
        <v/>
      </c>
      <c r="I1897" t="str">
        <f t="shared" si="117"/>
        <v/>
      </c>
      <c r="J1897" t="str">
        <f t="shared" si="118"/>
        <v/>
      </c>
      <c r="L1897" t="b">
        <f t="shared" si="119"/>
        <v>1</v>
      </c>
    </row>
    <row r="1898" spans="1:12" ht="16" x14ac:dyDescent="0.2">
      <c r="A1898" t="s">
        <v>6196</v>
      </c>
      <c r="B1898" t="s">
        <v>73</v>
      </c>
      <c r="C1898" t="s">
        <v>4502</v>
      </c>
      <c r="D1898" s="2" t="s">
        <v>145</v>
      </c>
      <c r="G1898" s="10" t="s">
        <v>2892</v>
      </c>
      <c r="H1898" t="str">
        <f t="shared" si="116"/>
        <v/>
      </c>
      <c r="I1898" t="str">
        <f t="shared" si="117"/>
        <v/>
      </c>
      <c r="J1898" t="str">
        <f t="shared" si="118"/>
        <v/>
      </c>
      <c r="L1898" t="b">
        <f t="shared" si="119"/>
        <v>1</v>
      </c>
    </row>
    <row r="1899" spans="1:12" ht="16" x14ac:dyDescent="0.2">
      <c r="A1899" t="s">
        <v>6197</v>
      </c>
      <c r="B1899" t="s">
        <v>73</v>
      </c>
      <c r="C1899" t="s">
        <v>4503</v>
      </c>
      <c r="D1899" s="2" t="s">
        <v>145</v>
      </c>
      <c r="E1899">
        <v>2025</v>
      </c>
      <c r="F1899">
        <v>2026</v>
      </c>
      <c r="G1899" s="10">
        <v>1950000</v>
      </c>
      <c r="H1899" t="str">
        <f t="shared" si="116"/>
        <v/>
      </c>
      <c r="I1899" t="str">
        <f t="shared" si="117"/>
        <v/>
      </c>
      <c r="J1899" t="str">
        <f t="shared" si="118"/>
        <v/>
      </c>
      <c r="K1899">
        <v>322240.67</v>
      </c>
      <c r="L1899" t="b">
        <f t="shared" si="119"/>
        <v>0</v>
      </c>
    </row>
    <row r="1900" spans="1:12" ht="16" x14ac:dyDescent="0.2">
      <c r="A1900" t="s">
        <v>6198</v>
      </c>
      <c r="B1900" t="s">
        <v>73</v>
      </c>
      <c r="C1900" t="s">
        <v>4504</v>
      </c>
      <c r="D1900" s="2" t="s">
        <v>145</v>
      </c>
      <c r="E1900">
        <v>2025</v>
      </c>
      <c r="F1900">
        <v>2027</v>
      </c>
      <c r="G1900" s="10">
        <v>2086666.6666666665</v>
      </c>
      <c r="H1900">
        <f t="shared" si="116"/>
        <v>2086666.6666666665</v>
      </c>
      <c r="I1900" t="str">
        <f t="shared" si="117"/>
        <v/>
      </c>
      <c r="J1900" t="str">
        <f t="shared" si="118"/>
        <v/>
      </c>
      <c r="K1900">
        <v>771252.71</v>
      </c>
      <c r="L1900" t="b">
        <f t="shared" si="119"/>
        <v>0</v>
      </c>
    </row>
    <row r="1901" spans="1:12" ht="16" x14ac:dyDescent="0.2">
      <c r="A1901" t="s">
        <v>6199</v>
      </c>
      <c r="B1901" t="s">
        <v>73</v>
      </c>
      <c r="C1901" t="s">
        <v>4505</v>
      </c>
      <c r="D1901" s="2" t="s">
        <v>145</v>
      </c>
      <c r="E1901">
        <v>2025</v>
      </c>
      <c r="F1901">
        <v>2027</v>
      </c>
      <c r="G1901" s="10">
        <v>4456666.666666666</v>
      </c>
      <c r="H1901">
        <f t="shared" si="116"/>
        <v>4456666.666666666</v>
      </c>
      <c r="I1901" t="str">
        <f t="shared" si="117"/>
        <v/>
      </c>
      <c r="J1901" t="str">
        <f t="shared" si="118"/>
        <v/>
      </c>
      <c r="K1901">
        <v>2706367.26</v>
      </c>
      <c r="L1901" t="b">
        <f t="shared" si="119"/>
        <v>0</v>
      </c>
    </row>
    <row r="1902" spans="1:12" ht="16" x14ac:dyDescent="0.2">
      <c r="A1902" t="s">
        <v>6200</v>
      </c>
      <c r="B1902" t="s">
        <v>73</v>
      </c>
      <c r="C1902" t="s">
        <v>4506</v>
      </c>
      <c r="D1902" s="2" t="s">
        <v>157</v>
      </c>
      <c r="G1902" s="10" t="s">
        <v>2892</v>
      </c>
      <c r="H1902" t="str">
        <f t="shared" si="116"/>
        <v/>
      </c>
      <c r="I1902" t="str">
        <f t="shared" si="117"/>
        <v/>
      </c>
      <c r="J1902" t="str">
        <f t="shared" si="118"/>
        <v/>
      </c>
      <c r="L1902" t="b">
        <f t="shared" si="119"/>
        <v>1</v>
      </c>
    </row>
    <row r="1903" spans="1:12" ht="16" x14ac:dyDescent="0.2">
      <c r="A1903" t="s">
        <v>6201</v>
      </c>
      <c r="B1903" t="s">
        <v>73</v>
      </c>
      <c r="C1903" t="s">
        <v>4507</v>
      </c>
      <c r="D1903" s="2" t="s">
        <v>157</v>
      </c>
      <c r="E1903">
        <v>2025</v>
      </c>
      <c r="F1903">
        <v>2027</v>
      </c>
      <c r="G1903" s="10">
        <v>9316666.666666666</v>
      </c>
      <c r="H1903">
        <f t="shared" si="116"/>
        <v>9316666.666666666</v>
      </c>
      <c r="I1903" t="str">
        <f t="shared" si="117"/>
        <v/>
      </c>
      <c r="J1903" t="str">
        <f t="shared" si="118"/>
        <v/>
      </c>
      <c r="K1903">
        <v>7183453.7000000002</v>
      </c>
      <c r="L1903" t="b">
        <f t="shared" si="119"/>
        <v>0</v>
      </c>
    </row>
    <row r="1904" spans="1:12" ht="16" x14ac:dyDescent="0.2">
      <c r="A1904" t="s">
        <v>6202</v>
      </c>
      <c r="B1904" t="s">
        <v>73</v>
      </c>
      <c r="C1904" t="s">
        <v>4508</v>
      </c>
      <c r="D1904" s="2" t="s">
        <v>157</v>
      </c>
      <c r="E1904">
        <v>2025</v>
      </c>
      <c r="F1904">
        <v>2026</v>
      </c>
      <c r="G1904" s="10">
        <v>8255000.0000000009</v>
      </c>
      <c r="H1904" t="str">
        <f t="shared" si="116"/>
        <v/>
      </c>
      <c r="I1904" t="str">
        <f t="shared" si="117"/>
        <v/>
      </c>
      <c r="J1904" t="str">
        <f t="shared" si="118"/>
        <v/>
      </c>
      <c r="K1904">
        <v>3780661.34</v>
      </c>
      <c r="L1904" t="b">
        <f t="shared" si="119"/>
        <v>0</v>
      </c>
    </row>
    <row r="1905" spans="1:12" ht="16" x14ac:dyDescent="0.2">
      <c r="A1905" t="s">
        <v>6203</v>
      </c>
      <c r="B1905" t="s">
        <v>73</v>
      </c>
      <c r="C1905" t="s">
        <v>4509</v>
      </c>
      <c r="D1905" s="2" t="s">
        <v>157</v>
      </c>
      <c r="E1905">
        <v>2025</v>
      </c>
      <c r="F1905">
        <v>2027</v>
      </c>
      <c r="G1905" s="10">
        <v>7220000</v>
      </c>
      <c r="H1905">
        <f t="shared" si="116"/>
        <v>7220000</v>
      </c>
      <c r="I1905" t="str">
        <f t="shared" si="117"/>
        <v/>
      </c>
      <c r="J1905" t="str">
        <f t="shared" si="118"/>
        <v/>
      </c>
      <c r="K1905">
        <v>5790532.4199999999</v>
      </c>
      <c r="L1905" t="b">
        <f t="shared" si="119"/>
        <v>0</v>
      </c>
    </row>
    <row r="1906" spans="1:12" ht="16" x14ac:dyDescent="0.2">
      <c r="A1906" t="s">
        <v>6204</v>
      </c>
      <c r="B1906" t="s">
        <v>73</v>
      </c>
      <c r="C1906" t="s">
        <v>4510</v>
      </c>
      <c r="D1906" s="2" t="s">
        <v>157</v>
      </c>
      <c r="G1906" s="10" t="s">
        <v>2892</v>
      </c>
      <c r="H1906" t="str">
        <f t="shared" si="116"/>
        <v/>
      </c>
      <c r="I1906" t="str">
        <f t="shared" si="117"/>
        <v/>
      </c>
      <c r="J1906" t="str">
        <f t="shared" si="118"/>
        <v/>
      </c>
      <c r="L1906" t="b">
        <f t="shared" si="119"/>
        <v>1</v>
      </c>
    </row>
    <row r="1907" spans="1:12" ht="16" x14ac:dyDescent="0.2">
      <c r="A1907" t="s">
        <v>6205</v>
      </c>
      <c r="B1907" t="s">
        <v>73</v>
      </c>
      <c r="C1907" t="s">
        <v>4511</v>
      </c>
      <c r="D1907" s="2" t="s">
        <v>157</v>
      </c>
      <c r="G1907" s="10" t="s">
        <v>2892</v>
      </c>
      <c r="H1907" t="str">
        <f t="shared" si="116"/>
        <v/>
      </c>
      <c r="I1907" t="str">
        <f t="shared" si="117"/>
        <v/>
      </c>
      <c r="J1907" t="str">
        <f t="shared" si="118"/>
        <v/>
      </c>
      <c r="L1907" t="b">
        <f t="shared" si="119"/>
        <v>1</v>
      </c>
    </row>
    <row r="1908" spans="1:12" ht="16" x14ac:dyDescent="0.2">
      <c r="A1908" t="s">
        <v>6206</v>
      </c>
      <c r="B1908" t="s">
        <v>73</v>
      </c>
      <c r="C1908" t="s">
        <v>4512</v>
      </c>
      <c r="D1908" s="2" t="s">
        <v>157</v>
      </c>
      <c r="E1908">
        <v>2025</v>
      </c>
      <c r="F1908">
        <v>2026</v>
      </c>
      <c r="G1908" s="10">
        <v>1750000</v>
      </c>
      <c r="H1908" t="str">
        <f t="shared" si="116"/>
        <v/>
      </c>
      <c r="I1908" t="str">
        <f t="shared" si="117"/>
        <v/>
      </c>
      <c r="J1908" t="str">
        <f t="shared" si="118"/>
        <v/>
      </c>
      <c r="K1908">
        <v>512711.79</v>
      </c>
      <c r="L1908" t="b">
        <f t="shared" si="119"/>
        <v>0</v>
      </c>
    </row>
    <row r="1909" spans="1:12" ht="16" x14ac:dyDescent="0.2">
      <c r="A1909" t="s">
        <v>6207</v>
      </c>
      <c r="B1909" t="s">
        <v>73</v>
      </c>
      <c r="C1909" t="s">
        <v>4513</v>
      </c>
      <c r="D1909" s="2" t="s">
        <v>157</v>
      </c>
      <c r="E1909">
        <v>2025</v>
      </c>
      <c r="F1909">
        <v>2027</v>
      </c>
      <c r="G1909" s="10">
        <v>20180000</v>
      </c>
      <c r="H1909">
        <f t="shared" si="116"/>
        <v>20180000</v>
      </c>
      <c r="I1909" t="str">
        <f t="shared" si="117"/>
        <v/>
      </c>
      <c r="J1909" t="str">
        <f t="shared" si="118"/>
        <v/>
      </c>
      <c r="K1909">
        <v>31776084.170000002</v>
      </c>
      <c r="L1909" t="b">
        <f t="shared" si="119"/>
        <v>0</v>
      </c>
    </row>
    <row r="1910" spans="1:12" ht="16" x14ac:dyDescent="0.2">
      <c r="A1910" t="s">
        <v>6208</v>
      </c>
      <c r="B1910" t="s">
        <v>73</v>
      </c>
      <c r="C1910" t="s">
        <v>4514</v>
      </c>
      <c r="D1910" s="2" t="s">
        <v>157</v>
      </c>
      <c r="E1910">
        <v>2026</v>
      </c>
      <c r="F1910">
        <v>2028</v>
      </c>
      <c r="G1910" s="10">
        <v>11555000</v>
      </c>
      <c r="H1910">
        <f t="shared" si="116"/>
        <v>11555000</v>
      </c>
      <c r="I1910">
        <f t="shared" si="117"/>
        <v>11555000</v>
      </c>
      <c r="J1910" t="str">
        <f t="shared" si="118"/>
        <v/>
      </c>
      <c r="K1910">
        <v>6017772.5300000003</v>
      </c>
      <c r="L1910" t="b">
        <f t="shared" si="119"/>
        <v>0</v>
      </c>
    </row>
    <row r="1911" spans="1:12" ht="16" x14ac:dyDescent="0.2">
      <c r="A1911" t="s">
        <v>6209</v>
      </c>
      <c r="B1911" t="s">
        <v>73</v>
      </c>
      <c r="C1911" t="s">
        <v>4515</v>
      </c>
      <c r="D1911" s="2" t="s">
        <v>157</v>
      </c>
      <c r="G1911" s="10" t="s">
        <v>2892</v>
      </c>
      <c r="H1911" t="str">
        <f t="shared" si="116"/>
        <v/>
      </c>
      <c r="I1911" t="str">
        <f t="shared" si="117"/>
        <v/>
      </c>
      <c r="J1911" t="str">
        <f t="shared" si="118"/>
        <v/>
      </c>
      <c r="L1911" t="b">
        <f t="shared" si="119"/>
        <v>1</v>
      </c>
    </row>
    <row r="1912" spans="1:12" ht="16" x14ac:dyDescent="0.2">
      <c r="A1912" t="s">
        <v>6210</v>
      </c>
      <c r="B1912" t="s">
        <v>73</v>
      </c>
      <c r="C1912" t="s">
        <v>4516</v>
      </c>
      <c r="D1912" s="2" t="s">
        <v>157</v>
      </c>
      <c r="E1912">
        <v>2025</v>
      </c>
      <c r="F1912">
        <v>2027</v>
      </c>
      <c r="G1912" s="10">
        <v>10743333.333333332</v>
      </c>
      <c r="H1912">
        <f t="shared" si="116"/>
        <v>10743333.333333332</v>
      </c>
      <c r="I1912" t="str">
        <f t="shared" si="117"/>
        <v/>
      </c>
      <c r="J1912" t="str">
        <f t="shared" si="118"/>
        <v/>
      </c>
      <c r="K1912">
        <v>9671496.7599999998</v>
      </c>
      <c r="L1912" t="b">
        <f t="shared" si="119"/>
        <v>0</v>
      </c>
    </row>
    <row r="1913" spans="1:12" ht="16" x14ac:dyDescent="0.2">
      <c r="A1913" t="s">
        <v>6211</v>
      </c>
      <c r="B1913" t="s">
        <v>73</v>
      </c>
      <c r="C1913" t="s">
        <v>4517</v>
      </c>
      <c r="D1913" s="2" t="s">
        <v>157</v>
      </c>
      <c r="E1913">
        <v>2025</v>
      </c>
      <c r="F1913">
        <v>2027</v>
      </c>
      <c r="G1913" s="10">
        <v>5600000.0000000009</v>
      </c>
      <c r="H1913">
        <f t="shared" si="116"/>
        <v>5600000.0000000009</v>
      </c>
      <c r="I1913" t="str">
        <f t="shared" si="117"/>
        <v/>
      </c>
      <c r="J1913" t="str">
        <f t="shared" si="118"/>
        <v/>
      </c>
      <c r="K1913">
        <v>2985851.08</v>
      </c>
      <c r="L1913" t="b">
        <f t="shared" si="119"/>
        <v>0</v>
      </c>
    </row>
    <row r="1914" spans="1:12" ht="16" x14ac:dyDescent="0.2">
      <c r="A1914" t="s">
        <v>6212</v>
      </c>
      <c r="B1914" t="s">
        <v>73</v>
      </c>
      <c r="C1914" t="s">
        <v>4518</v>
      </c>
      <c r="D1914" s="2" t="s">
        <v>157</v>
      </c>
      <c r="E1914">
        <v>2025</v>
      </c>
      <c r="F1914">
        <v>2026</v>
      </c>
      <c r="G1914" s="10">
        <v>4270000</v>
      </c>
      <c r="H1914" t="str">
        <f t="shared" si="116"/>
        <v/>
      </c>
      <c r="I1914" t="str">
        <f t="shared" si="117"/>
        <v/>
      </c>
      <c r="J1914" t="str">
        <f t="shared" si="118"/>
        <v/>
      </c>
      <c r="K1914">
        <v>2380797.16</v>
      </c>
      <c r="L1914" t="b">
        <f t="shared" si="119"/>
        <v>0</v>
      </c>
    </row>
    <row r="1915" spans="1:12" ht="16" x14ac:dyDescent="0.2">
      <c r="A1915" t="s">
        <v>6213</v>
      </c>
      <c r="B1915" t="s">
        <v>73</v>
      </c>
      <c r="C1915" t="s">
        <v>4519</v>
      </c>
      <c r="D1915" s="2" t="s">
        <v>157</v>
      </c>
      <c r="E1915">
        <v>2025</v>
      </c>
      <c r="F1915">
        <v>2027</v>
      </c>
      <c r="G1915" s="10">
        <v>4753333.333333333</v>
      </c>
      <c r="H1915">
        <f t="shared" si="116"/>
        <v>4753333.333333333</v>
      </c>
      <c r="I1915" t="str">
        <f t="shared" si="117"/>
        <v/>
      </c>
      <c r="J1915" t="str">
        <f t="shared" si="118"/>
        <v/>
      </c>
      <c r="K1915">
        <v>3264078.1</v>
      </c>
      <c r="L1915" t="b">
        <f t="shared" si="119"/>
        <v>0</v>
      </c>
    </row>
    <row r="1916" spans="1:12" ht="16" x14ac:dyDescent="0.2">
      <c r="A1916" t="s">
        <v>6214</v>
      </c>
      <c r="B1916" t="s">
        <v>73</v>
      </c>
      <c r="C1916" t="s">
        <v>4520</v>
      </c>
      <c r="D1916" s="2" t="s">
        <v>157</v>
      </c>
      <c r="E1916">
        <v>2025</v>
      </c>
      <c r="F1916">
        <v>2027</v>
      </c>
      <c r="G1916" s="10">
        <v>5306666.666666667</v>
      </c>
      <c r="H1916">
        <f t="shared" si="116"/>
        <v>5306666.666666667</v>
      </c>
      <c r="I1916" t="str">
        <f t="shared" si="117"/>
        <v/>
      </c>
      <c r="J1916" t="str">
        <f t="shared" si="118"/>
        <v/>
      </c>
      <c r="K1916">
        <v>2634708.11</v>
      </c>
      <c r="L1916" t="b">
        <f t="shared" si="119"/>
        <v>0</v>
      </c>
    </row>
    <row r="1917" spans="1:12" ht="16" x14ac:dyDescent="0.2">
      <c r="A1917" t="s">
        <v>6215</v>
      </c>
      <c r="B1917" t="s">
        <v>73</v>
      </c>
      <c r="C1917" t="s">
        <v>4521</v>
      </c>
      <c r="D1917" s="2" t="s">
        <v>157</v>
      </c>
      <c r="E1917">
        <v>2025</v>
      </c>
      <c r="F1917">
        <v>2026</v>
      </c>
      <c r="G1917" s="10">
        <v>1985000</v>
      </c>
      <c r="H1917" t="str">
        <f t="shared" si="116"/>
        <v/>
      </c>
      <c r="I1917" t="str">
        <f t="shared" si="117"/>
        <v/>
      </c>
      <c r="J1917" t="str">
        <f t="shared" si="118"/>
        <v/>
      </c>
      <c r="K1917">
        <v>707264.52</v>
      </c>
      <c r="L1917" t="b">
        <f t="shared" si="119"/>
        <v>0</v>
      </c>
    </row>
    <row r="1918" spans="1:12" ht="16" x14ac:dyDescent="0.2">
      <c r="A1918" t="s">
        <v>6216</v>
      </c>
      <c r="B1918" t="s">
        <v>73</v>
      </c>
      <c r="C1918" t="s">
        <v>4522</v>
      </c>
      <c r="D1918" s="2" t="s">
        <v>157</v>
      </c>
      <c r="E1918">
        <v>2025</v>
      </c>
      <c r="F1918">
        <v>2026</v>
      </c>
      <c r="G1918" s="10">
        <v>5045000</v>
      </c>
      <c r="H1918" t="str">
        <f t="shared" si="116"/>
        <v/>
      </c>
      <c r="I1918" t="str">
        <f t="shared" si="117"/>
        <v/>
      </c>
      <c r="J1918" t="str">
        <f t="shared" si="118"/>
        <v/>
      </c>
      <c r="K1918">
        <v>1994427.74</v>
      </c>
      <c r="L1918" t="b">
        <f t="shared" si="119"/>
        <v>0</v>
      </c>
    </row>
    <row r="1919" spans="1:12" ht="16" x14ac:dyDescent="0.2">
      <c r="A1919" t="s">
        <v>6217</v>
      </c>
      <c r="B1919" t="s">
        <v>73</v>
      </c>
      <c r="C1919" t="s">
        <v>4523</v>
      </c>
      <c r="D1919" s="2" t="s">
        <v>157</v>
      </c>
      <c r="G1919" s="10" t="s">
        <v>2892</v>
      </c>
      <c r="H1919" t="str">
        <f t="shared" si="116"/>
        <v/>
      </c>
      <c r="I1919" t="str">
        <f t="shared" si="117"/>
        <v/>
      </c>
      <c r="J1919" t="str">
        <f t="shared" si="118"/>
        <v/>
      </c>
      <c r="L1919" t="b">
        <f t="shared" si="119"/>
        <v>1</v>
      </c>
    </row>
    <row r="1920" spans="1:12" ht="16" x14ac:dyDescent="0.2">
      <c r="A1920" t="s">
        <v>6218</v>
      </c>
      <c r="B1920" t="s">
        <v>73</v>
      </c>
      <c r="C1920" t="s">
        <v>4524</v>
      </c>
      <c r="D1920" s="2" t="s">
        <v>157</v>
      </c>
      <c r="E1920">
        <v>2025</v>
      </c>
      <c r="F1920">
        <v>2026</v>
      </c>
      <c r="G1920" s="10">
        <v>4019999.9999999995</v>
      </c>
      <c r="H1920" t="str">
        <f t="shared" si="116"/>
        <v/>
      </c>
      <c r="I1920" t="str">
        <f t="shared" si="117"/>
        <v/>
      </c>
      <c r="J1920" t="str">
        <f t="shared" si="118"/>
        <v/>
      </c>
      <c r="K1920">
        <v>1519447.85</v>
      </c>
      <c r="L1920" t="b">
        <f t="shared" si="119"/>
        <v>0</v>
      </c>
    </row>
    <row r="1921" spans="1:12" ht="16" x14ac:dyDescent="0.2">
      <c r="A1921" t="s">
        <v>6219</v>
      </c>
      <c r="B1921" t="s">
        <v>73</v>
      </c>
      <c r="C1921" t="s">
        <v>4525</v>
      </c>
      <c r="D1921" s="2" t="s">
        <v>157</v>
      </c>
      <c r="G1921" s="10" t="s">
        <v>2892</v>
      </c>
      <c r="H1921" t="str">
        <f t="shared" si="116"/>
        <v/>
      </c>
      <c r="I1921" t="str">
        <f t="shared" si="117"/>
        <v/>
      </c>
      <c r="J1921" t="str">
        <f t="shared" si="118"/>
        <v/>
      </c>
      <c r="L1921" t="b">
        <f t="shared" si="119"/>
        <v>1</v>
      </c>
    </row>
    <row r="1922" spans="1:12" ht="16" x14ac:dyDescent="0.2">
      <c r="A1922" t="s">
        <v>6220</v>
      </c>
      <c r="B1922" t="s">
        <v>73</v>
      </c>
      <c r="C1922" t="s">
        <v>4526</v>
      </c>
      <c r="D1922" s="2" t="s">
        <v>157</v>
      </c>
      <c r="E1922">
        <v>2025</v>
      </c>
      <c r="F1922">
        <v>2027</v>
      </c>
      <c r="G1922" s="10">
        <v>4503333.333333333</v>
      </c>
      <c r="H1922">
        <f t="shared" si="116"/>
        <v>4503333.333333333</v>
      </c>
      <c r="I1922" t="str">
        <f t="shared" si="117"/>
        <v/>
      </c>
      <c r="J1922" t="str">
        <f t="shared" si="118"/>
        <v/>
      </c>
      <c r="K1922">
        <v>2038827.16</v>
      </c>
      <c r="L1922" t="b">
        <f t="shared" si="119"/>
        <v>0</v>
      </c>
    </row>
    <row r="1923" spans="1:12" ht="16" x14ac:dyDescent="0.2">
      <c r="A1923" t="s">
        <v>6221</v>
      </c>
      <c r="B1923" t="s">
        <v>73</v>
      </c>
      <c r="C1923" t="s">
        <v>4527</v>
      </c>
      <c r="D1923" s="2" t="s">
        <v>157</v>
      </c>
      <c r="E1923">
        <v>2025</v>
      </c>
      <c r="F1923">
        <v>2027</v>
      </c>
      <c r="G1923" s="10">
        <v>1633333.3333333335</v>
      </c>
      <c r="H1923">
        <f t="shared" si="116"/>
        <v>1633333.3333333335</v>
      </c>
      <c r="I1923" t="str">
        <f t="shared" si="117"/>
        <v/>
      </c>
      <c r="J1923" t="str">
        <f t="shared" si="118"/>
        <v/>
      </c>
      <c r="K1923">
        <v>82686.080000000002</v>
      </c>
      <c r="L1923" t="b">
        <f t="shared" si="119"/>
        <v>0</v>
      </c>
    </row>
    <row r="1924" spans="1:12" ht="16" x14ac:dyDescent="0.2">
      <c r="A1924" t="s">
        <v>6222</v>
      </c>
      <c r="B1924" t="s">
        <v>73</v>
      </c>
      <c r="C1924" t="s">
        <v>4528</v>
      </c>
      <c r="D1924" s="2" t="s">
        <v>157</v>
      </c>
      <c r="E1924">
        <v>2025</v>
      </c>
      <c r="F1924">
        <v>2026</v>
      </c>
      <c r="G1924" s="10">
        <v>4785000</v>
      </c>
      <c r="H1924" t="str">
        <f t="shared" ref="H1924:H1987" si="120">IF(F1924&gt;=2027,G1924,"")</f>
        <v/>
      </c>
      <c r="I1924" t="str">
        <f t="shared" ref="I1924:I1987" si="121">IF(F1924&gt;=2028,G1924,"")</f>
        <v/>
      </c>
      <c r="J1924" t="str">
        <f t="shared" ref="J1924:J1987" si="122">IF(F1924&gt;=2029,G1924,"")</f>
        <v/>
      </c>
      <c r="K1924">
        <v>2699795.96</v>
      </c>
      <c r="L1924" t="b">
        <f t="shared" si="119"/>
        <v>0</v>
      </c>
    </row>
    <row r="1925" spans="1:12" ht="16" x14ac:dyDescent="0.2">
      <c r="A1925" t="s">
        <v>6223</v>
      </c>
      <c r="B1925" t="s">
        <v>73</v>
      </c>
      <c r="C1925" t="s">
        <v>4529</v>
      </c>
      <c r="D1925" s="2" t="s">
        <v>157</v>
      </c>
      <c r="E1925">
        <v>2025</v>
      </c>
      <c r="F1925">
        <v>2027</v>
      </c>
      <c r="G1925" s="10">
        <v>8976666.666666666</v>
      </c>
      <c r="H1925">
        <f t="shared" si="120"/>
        <v>8976666.666666666</v>
      </c>
      <c r="I1925" t="str">
        <f t="shared" si="121"/>
        <v/>
      </c>
      <c r="J1925" t="str">
        <f t="shared" si="122"/>
        <v/>
      </c>
      <c r="K1925">
        <v>7133677.8600000003</v>
      </c>
      <c r="L1925" t="b">
        <f t="shared" si="119"/>
        <v>0</v>
      </c>
    </row>
    <row r="1926" spans="1:12" ht="16" x14ac:dyDescent="0.2">
      <c r="A1926" t="s">
        <v>6224</v>
      </c>
      <c r="B1926" t="s">
        <v>73</v>
      </c>
      <c r="C1926" t="s">
        <v>4530</v>
      </c>
      <c r="D1926" s="2" t="s">
        <v>157</v>
      </c>
      <c r="E1926">
        <v>2025</v>
      </c>
      <c r="F1926">
        <v>2027</v>
      </c>
      <c r="G1926" s="10">
        <v>6040000</v>
      </c>
      <c r="H1926">
        <f t="shared" si="120"/>
        <v>6040000</v>
      </c>
      <c r="I1926" t="str">
        <f t="shared" si="121"/>
        <v/>
      </c>
      <c r="J1926" t="str">
        <f t="shared" si="122"/>
        <v/>
      </c>
      <c r="K1926">
        <v>5269472.2300000004</v>
      </c>
      <c r="L1926" t="b">
        <f t="shared" si="119"/>
        <v>0</v>
      </c>
    </row>
    <row r="1927" spans="1:12" ht="16" x14ac:dyDescent="0.2">
      <c r="A1927" t="s">
        <v>6225</v>
      </c>
      <c r="B1927" t="s">
        <v>73</v>
      </c>
      <c r="C1927" t="s">
        <v>4531</v>
      </c>
      <c r="D1927" s="2" t="s">
        <v>157</v>
      </c>
      <c r="E1927">
        <v>2025</v>
      </c>
      <c r="F1927">
        <v>2026</v>
      </c>
      <c r="G1927" s="10">
        <v>5315000</v>
      </c>
      <c r="H1927" t="str">
        <f t="shared" si="120"/>
        <v/>
      </c>
      <c r="I1927" t="str">
        <f t="shared" si="121"/>
        <v/>
      </c>
      <c r="J1927" t="str">
        <f t="shared" si="122"/>
        <v/>
      </c>
      <c r="K1927">
        <v>2846316.61</v>
      </c>
      <c r="L1927" t="b">
        <f t="shared" si="119"/>
        <v>0</v>
      </c>
    </row>
    <row r="1928" spans="1:12" ht="16" x14ac:dyDescent="0.2">
      <c r="A1928" t="s">
        <v>6226</v>
      </c>
      <c r="B1928" t="s">
        <v>73</v>
      </c>
      <c r="C1928" t="s">
        <v>4532</v>
      </c>
      <c r="D1928" s="2" t="s">
        <v>157</v>
      </c>
      <c r="G1928" s="10" t="s">
        <v>2892</v>
      </c>
      <c r="H1928" t="str">
        <f t="shared" si="120"/>
        <v/>
      </c>
      <c r="I1928" t="str">
        <f t="shared" si="121"/>
        <v/>
      </c>
      <c r="J1928" t="str">
        <f t="shared" si="122"/>
        <v/>
      </c>
      <c r="L1928" t="b">
        <f t="shared" si="119"/>
        <v>1</v>
      </c>
    </row>
    <row r="1929" spans="1:12" ht="16" x14ac:dyDescent="0.2">
      <c r="A1929" t="s">
        <v>6227</v>
      </c>
      <c r="B1929" t="s">
        <v>73</v>
      </c>
      <c r="C1929" t="s">
        <v>4533</v>
      </c>
      <c r="D1929" s="2" t="s">
        <v>157</v>
      </c>
      <c r="G1929" s="10" t="s">
        <v>2892</v>
      </c>
      <c r="H1929" t="str">
        <f t="shared" si="120"/>
        <v/>
      </c>
      <c r="I1929" t="str">
        <f t="shared" si="121"/>
        <v/>
      </c>
      <c r="J1929" t="str">
        <f t="shared" si="122"/>
        <v/>
      </c>
      <c r="L1929" t="b">
        <f t="shared" si="119"/>
        <v>1</v>
      </c>
    </row>
    <row r="1930" spans="1:12" ht="16" x14ac:dyDescent="0.2">
      <c r="A1930" t="s">
        <v>6228</v>
      </c>
      <c r="B1930" t="s">
        <v>73</v>
      </c>
      <c r="C1930" t="s">
        <v>4534</v>
      </c>
      <c r="D1930" s="2" t="s">
        <v>157</v>
      </c>
      <c r="E1930">
        <v>2025</v>
      </c>
      <c r="F1930">
        <v>2026</v>
      </c>
      <c r="G1930" s="10">
        <v>2995000</v>
      </c>
      <c r="H1930" t="str">
        <f t="shared" si="120"/>
        <v/>
      </c>
      <c r="I1930" t="str">
        <f t="shared" si="121"/>
        <v/>
      </c>
      <c r="J1930" t="str">
        <f t="shared" si="122"/>
        <v/>
      </c>
      <c r="K1930">
        <v>448871.52</v>
      </c>
      <c r="L1930" t="b">
        <f t="shared" si="119"/>
        <v>0</v>
      </c>
    </row>
    <row r="1931" spans="1:12" ht="16" x14ac:dyDescent="0.2">
      <c r="A1931" t="s">
        <v>6229</v>
      </c>
      <c r="B1931" t="s">
        <v>73</v>
      </c>
      <c r="C1931" t="s">
        <v>4535</v>
      </c>
      <c r="D1931" s="2" t="s">
        <v>157</v>
      </c>
      <c r="E1931">
        <v>2025</v>
      </c>
      <c r="F1931">
        <v>2026</v>
      </c>
      <c r="G1931" s="10">
        <v>9815000</v>
      </c>
      <c r="H1931" t="str">
        <f t="shared" si="120"/>
        <v/>
      </c>
      <c r="I1931" t="str">
        <f t="shared" si="121"/>
        <v/>
      </c>
      <c r="J1931" t="str">
        <f t="shared" si="122"/>
        <v/>
      </c>
      <c r="K1931">
        <v>8732956.3399999999</v>
      </c>
      <c r="L1931" t="b">
        <f t="shared" si="119"/>
        <v>0</v>
      </c>
    </row>
    <row r="1932" spans="1:12" ht="16" x14ac:dyDescent="0.2">
      <c r="A1932" t="s">
        <v>6230</v>
      </c>
      <c r="B1932" t="s">
        <v>73</v>
      </c>
      <c r="C1932" t="s">
        <v>4536</v>
      </c>
      <c r="D1932" s="2" t="s">
        <v>157</v>
      </c>
      <c r="E1932">
        <v>2025</v>
      </c>
      <c r="F1932">
        <v>2026</v>
      </c>
      <c r="G1932" s="10">
        <v>4560000</v>
      </c>
      <c r="H1932" t="str">
        <f t="shared" si="120"/>
        <v/>
      </c>
      <c r="I1932" t="str">
        <f t="shared" si="121"/>
        <v/>
      </c>
      <c r="J1932" t="str">
        <f t="shared" si="122"/>
        <v/>
      </c>
      <c r="K1932">
        <v>2678634.89</v>
      </c>
      <c r="L1932" t="b">
        <f t="shared" si="119"/>
        <v>0</v>
      </c>
    </row>
    <row r="1933" spans="1:12" ht="16" x14ac:dyDescent="0.2">
      <c r="A1933" t="s">
        <v>6231</v>
      </c>
      <c r="B1933" t="s">
        <v>73</v>
      </c>
      <c r="C1933" t="s">
        <v>4537</v>
      </c>
      <c r="D1933" s="2" t="s">
        <v>157</v>
      </c>
      <c r="E1933">
        <v>2025</v>
      </c>
      <c r="F1933">
        <v>2026</v>
      </c>
      <c r="G1933" s="10">
        <v>6820000</v>
      </c>
      <c r="H1933" t="str">
        <f t="shared" si="120"/>
        <v/>
      </c>
      <c r="I1933" t="str">
        <f t="shared" si="121"/>
        <v/>
      </c>
      <c r="J1933" t="str">
        <f t="shared" si="122"/>
        <v/>
      </c>
      <c r="K1933">
        <v>3798401.73</v>
      </c>
      <c r="L1933" t="b">
        <f t="shared" si="119"/>
        <v>0</v>
      </c>
    </row>
    <row r="1934" spans="1:12" ht="16" x14ac:dyDescent="0.2">
      <c r="A1934" t="s">
        <v>6232</v>
      </c>
      <c r="B1934" t="s">
        <v>73</v>
      </c>
      <c r="C1934" t="s">
        <v>4538</v>
      </c>
      <c r="D1934" s="2" t="s">
        <v>157</v>
      </c>
      <c r="G1934" s="10" t="s">
        <v>2892</v>
      </c>
      <c r="H1934" t="str">
        <f t="shared" si="120"/>
        <v/>
      </c>
      <c r="I1934" t="str">
        <f t="shared" si="121"/>
        <v/>
      </c>
      <c r="J1934" t="str">
        <f t="shared" si="122"/>
        <v/>
      </c>
      <c r="L1934" t="b">
        <f t="shared" si="119"/>
        <v>1</v>
      </c>
    </row>
    <row r="1935" spans="1:12" ht="16" x14ac:dyDescent="0.2">
      <c r="A1935" t="s">
        <v>6233</v>
      </c>
      <c r="B1935" t="s">
        <v>73</v>
      </c>
      <c r="C1935" t="s">
        <v>4539</v>
      </c>
      <c r="D1935" s="2" t="s">
        <v>157</v>
      </c>
      <c r="G1935" s="10" t="s">
        <v>2892</v>
      </c>
      <c r="H1935" t="str">
        <f t="shared" si="120"/>
        <v/>
      </c>
      <c r="I1935" t="str">
        <f t="shared" si="121"/>
        <v/>
      </c>
      <c r="J1935" t="str">
        <f t="shared" si="122"/>
        <v/>
      </c>
      <c r="L1935" t="b">
        <f t="shared" si="119"/>
        <v>1</v>
      </c>
    </row>
    <row r="1936" spans="1:12" ht="16" x14ac:dyDescent="0.2">
      <c r="A1936" t="s">
        <v>6234</v>
      </c>
      <c r="B1936" t="s">
        <v>73</v>
      </c>
      <c r="C1936" t="s">
        <v>4540</v>
      </c>
      <c r="D1936" s="2" t="s">
        <v>157</v>
      </c>
      <c r="G1936" s="10" t="s">
        <v>2892</v>
      </c>
      <c r="H1936" t="str">
        <f t="shared" si="120"/>
        <v/>
      </c>
      <c r="I1936" t="str">
        <f t="shared" si="121"/>
        <v/>
      </c>
      <c r="J1936" t="str">
        <f t="shared" si="122"/>
        <v/>
      </c>
      <c r="L1936" t="b">
        <f t="shared" si="119"/>
        <v>1</v>
      </c>
    </row>
    <row r="1937" spans="1:12" ht="16" x14ac:dyDescent="0.2">
      <c r="A1937" t="s">
        <v>6235</v>
      </c>
      <c r="B1937" t="s">
        <v>73</v>
      </c>
      <c r="C1937" t="s">
        <v>4541</v>
      </c>
      <c r="D1937" s="2" t="s">
        <v>157</v>
      </c>
      <c r="E1937">
        <v>2025</v>
      </c>
      <c r="F1937">
        <v>2027</v>
      </c>
      <c r="G1937" s="10">
        <v>9813333.333333334</v>
      </c>
      <c r="H1937">
        <f t="shared" si="120"/>
        <v>9813333.333333334</v>
      </c>
      <c r="I1937" t="str">
        <f t="shared" si="121"/>
        <v/>
      </c>
      <c r="J1937" t="str">
        <f t="shared" si="122"/>
        <v/>
      </c>
      <c r="K1937">
        <v>10263521.109999999</v>
      </c>
      <c r="L1937" t="b">
        <f t="shared" si="119"/>
        <v>0</v>
      </c>
    </row>
    <row r="1938" spans="1:12" ht="16" x14ac:dyDescent="0.2">
      <c r="A1938" t="s">
        <v>6236</v>
      </c>
      <c r="B1938" t="s">
        <v>73</v>
      </c>
      <c r="C1938" t="s">
        <v>4542</v>
      </c>
      <c r="D1938" s="2" t="s">
        <v>157</v>
      </c>
      <c r="E1938">
        <v>2025</v>
      </c>
      <c r="F1938">
        <v>2027</v>
      </c>
      <c r="G1938" s="10">
        <v>11926666.666666668</v>
      </c>
      <c r="H1938">
        <f t="shared" si="120"/>
        <v>11926666.666666668</v>
      </c>
      <c r="I1938" t="str">
        <f t="shared" si="121"/>
        <v/>
      </c>
      <c r="J1938" t="str">
        <f t="shared" si="122"/>
        <v/>
      </c>
      <c r="K1938">
        <v>9420187.75</v>
      </c>
      <c r="L1938" t="b">
        <f t="shared" si="119"/>
        <v>0</v>
      </c>
    </row>
    <row r="1939" spans="1:12" ht="16" x14ac:dyDescent="0.2">
      <c r="A1939" t="s">
        <v>6237</v>
      </c>
      <c r="B1939" t="s">
        <v>73</v>
      </c>
      <c r="C1939" t="s">
        <v>4543</v>
      </c>
      <c r="D1939" s="2" t="s">
        <v>157</v>
      </c>
      <c r="E1939">
        <v>2025</v>
      </c>
      <c r="F1939">
        <v>2027</v>
      </c>
      <c r="G1939" s="10">
        <v>1946666.6666666665</v>
      </c>
      <c r="H1939">
        <f t="shared" si="120"/>
        <v>1946666.6666666665</v>
      </c>
      <c r="I1939" t="str">
        <f t="shared" si="121"/>
        <v/>
      </c>
      <c r="J1939" t="str">
        <f t="shared" si="122"/>
        <v/>
      </c>
      <c r="K1939">
        <v>59612.47</v>
      </c>
      <c r="L1939" t="b">
        <f t="shared" si="119"/>
        <v>0</v>
      </c>
    </row>
    <row r="1940" spans="1:12" ht="16" x14ac:dyDescent="0.2">
      <c r="A1940" t="s">
        <v>6238</v>
      </c>
      <c r="B1940" t="s">
        <v>73</v>
      </c>
      <c r="C1940" t="s">
        <v>4544</v>
      </c>
      <c r="D1940" s="2" t="s">
        <v>157</v>
      </c>
      <c r="E1940">
        <v>2025</v>
      </c>
      <c r="F1940">
        <v>2027</v>
      </c>
      <c r="G1940" s="10">
        <v>2796666.666666667</v>
      </c>
      <c r="H1940">
        <f t="shared" si="120"/>
        <v>2796666.666666667</v>
      </c>
      <c r="I1940" t="str">
        <f t="shared" si="121"/>
        <v/>
      </c>
      <c r="J1940" t="str">
        <f t="shared" si="122"/>
        <v/>
      </c>
      <c r="K1940">
        <v>340225.29</v>
      </c>
      <c r="L1940" t="b">
        <f t="shared" si="119"/>
        <v>0</v>
      </c>
    </row>
    <row r="1941" spans="1:12" ht="16" x14ac:dyDescent="0.2">
      <c r="A1941" t="s">
        <v>6239</v>
      </c>
      <c r="B1941" t="s">
        <v>73</v>
      </c>
      <c r="C1941" t="s">
        <v>4545</v>
      </c>
      <c r="D1941" s="2" t="s">
        <v>157</v>
      </c>
      <c r="E1941">
        <v>2025</v>
      </c>
      <c r="F1941">
        <v>2026</v>
      </c>
      <c r="G1941" s="10">
        <v>5365000</v>
      </c>
      <c r="H1941" t="str">
        <f t="shared" si="120"/>
        <v/>
      </c>
      <c r="I1941" t="str">
        <f t="shared" si="121"/>
        <v/>
      </c>
      <c r="J1941" t="str">
        <f t="shared" si="122"/>
        <v/>
      </c>
      <c r="K1941">
        <v>2631009.17</v>
      </c>
      <c r="L1941" t="b">
        <f t="shared" si="119"/>
        <v>0</v>
      </c>
    </row>
    <row r="1942" spans="1:12" ht="16" x14ac:dyDescent="0.2">
      <c r="A1942" t="s">
        <v>6240</v>
      </c>
      <c r="B1942" t="s">
        <v>73</v>
      </c>
      <c r="C1942" t="s">
        <v>4546</v>
      </c>
      <c r="D1942" s="2" t="s">
        <v>157</v>
      </c>
      <c r="G1942" s="10" t="s">
        <v>2892</v>
      </c>
      <c r="H1942" t="str">
        <f t="shared" si="120"/>
        <v/>
      </c>
      <c r="I1942" t="str">
        <f t="shared" si="121"/>
        <v/>
      </c>
      <c r="J1942" t="str">
        <f t="shared" si="122"/>
        <v/>
      </c>
      <c r="L1942" t="b">
        <f t="shared" si="119"/>
        <v>1</v>
      </c>
    </row>
    <row r="1943" spans="1:12" ht="16" x14ac:dyDescent="0.2">
      <c r="A1943" t="s">
        <v>6241</v>
      </c>
      <c r="B1943" t="s">
        <v>73</v>
      </c>
      <c r="C1943" t="s">
        <v>4547</v>
      </c>
      <c r="D1943" s="2" t="s">
        <v>157</v>
      </c>
      <c r="G1943" s="10" t="s">
        <v>2892</v>
      </c>
      <c r="H1943" t="str">
        <f t="shared" si="120"/>
        <v/>
      </c>
      <c r="I1943" t="str">
        <f t="shared" si="121"/>
        <v/>
      </c>
      <c r="J1943" t="str">
        <f t="shared" si="122"/>
        <v/>
      </c>
      <c r="L1943" t="b">
        <f t="shared" si="119"/>
        <v>1</v>
      </c>
    </row>
    <row r="1944" spans="1:12" ht="16" x14ac:dyDescent="0.2">
      <c r="A1944" t="s">
        <v>6242</v>
      </c>
      <c r="B1944" t="s">
        <v>73</v>
      </c>
      <c r="C1944" t="s">
        <v>4548</v>
      </c>
      <c r="D1944" s="2" t="s">
        <v>157</v>
      </c>
      <c r="E1944">
        <v>2025</v>
      </c>
      <c r="F1944">
        <v>2027</v>
      </c>
      <c r="G1944" s="10">
        <v>11873333.333333334</v>
      </c>
      <c r="H1944">
        <f t="shared" si="120"/>
        <v>11873333.333333334</v>
      </c>
      <c r="I1944" t="str">
        <f t="shared" si="121"/>
        <v/>
      </c>
      <c r="J1944" t="str">
        <f t="shared" si="122"/>
        <v/>
      </c>
      <c r="K1944">
        <v>13867293.68</v>
      </c>
      <c r="L1944" t="b">
        <f t="shared" si="119"/>
        <v>0</v>
      </c>
    </row>
    <row r="1945" spans="1:12" ht="16" x14ac:dyDescent="0.2">
      <c r="A1945" t="s">
        <v>6243</v>
      </c>
      <c r="B1945" t="s">
        <v>73</v>
      </c>
      <c r="C1945" t="s">
        <v>4549</v>
      </c>
      <c r="D1945" s="2" t="s">
        <v>157</v>
      </c>
      <c r="G1945" s="10" t="s">
        <v>2892</v>
      </c>
      <c r="H1945" t="str">
        <f t="shared" si="120"/>
        <v/>
      </c>
      <c r="I1945" t="str">
        <f t="shared" si="121"/>
        <v/>
      </c>
      <c r="J1945" t="str">
        <f t="shared" si="122"/>
        <v/>
      </c>
      <c r="L1945" t="b">
        <f t="shared" si="119"/>
        <v>1</v>
      </c>
    </row>
    <row r="1946" spans="1:12" ht="16" x14ac:dyDescent="0.2">
      <c r="A1946" t="s">
        <v>6244</v>
      </c>
      <c r="B1946" t="s">
        <v>73</v>
      </c>
      <c r="C1946" t="s">
        <v>4550</v>
      </c>
      <c r="D1946" s="2" t="s">
        <v>157</v>
      </c>
      <c r="E1946">
        <v>2025</v>
      </c>
      <c r="F1946">
        <v>2026</v>
      </c>
      <c r="G1946" s="10">
        <v>2305000</v>
      </c>
      <c r="H1946" t="str">
        <f t="shared" si="120"/>
        <v/>
      </c>
      <c r="I1946" t="str">
        <f t="shared" si="121"/>
        <v/>
      </c>
      <c r="J1946" t="str">
        <f t="shared" si="122"/>
        <v/>
      </c>
      <c r="K1946">
        <v>242874.93</v>
      </c>
      <c r="L1946" t="b">
        <f t="shared" si="119"/>
        <v>0</v>
      </c>
    </row>
    <row r="1947" spans="1:12" ht="16" x14ac:dyDescent="0.2">
      <c r="A1947" t="s">
        <v>6245</v>
      </c>
      <c r="B1947" t="s">
        <v>73</v>
      </c>
      <c r="C1947" t="s">
        <v>4551</v>
      </c>
      <c r="D1947" s="2" t="s">
        <v>157</v>
      </c>
      <c r="G1947" s="10" t="s">
        <v>2892</v>
      </c>
      <c r="H1947" t="str">
        <f t="shared" si="120"/>
        <v/>
      </c>
      <c r="I1947" t="str">
        <f t="shared" si="121"/>
        <v/>
      </c>
      <c r="J1947" t="str">
        <f t="shared" si="122"/>
        <v/>
      </c>
      <c r="L1947" t="b">
        <f t="shared" si="119"/>
        <v>1</v>
      </c>
    </row>
    <row r="1948" spans="1:12" ht="16" x14ac:dyDescent="0.2">
      <c r="A1948" t="s">
        <v>6246</v>
      </c>
      <c r="B1948" t="s">
        <v>73</v>
      </c>
      <c r="C1948" t="s">
        <v>4552</v>
      </c>
      <c r="D1948" s="2" t="s">
        <v>157</v>
      </c>
      <c r="E1948">
        <v>2025</v>
      </c>
      <c r="F1948">
        <v>2027</v>
      </c>
      <c r="G1948" s="10">
        <v>1313333.3333333333</v>
      </c>
      <c r="H1948">
        <f t="shared" si="120"/>
        <v>1313333.3333333333</v>
      </c>
      <c r="I1948" t="str">
        <f t="shared" si="121"/>
        <v/>
      </c>
      <c r="J1948" t="str">
        <f t="shared" si="122"/>
        <v/>
      </c>
      <c r="K1948">
        <v>102424.27</v>
      </c>
      <c r="L1948" t="b">
        <f t="shared" si="119"/>
        <v>0</v>
      </c>
    </row>
    <row r="1949" spans="1:12" ht="16" x14ac:dyDescent="0.2">
      <c r="A1949" t="s">
        <v>6247</v>
      </c>
      <c r="B1949" t="s">
        <v>73</v>
      </c>
      <c r="C1949" t="s">
        <v>4553</v>
      </c>
      <c r="D1949" s="2" t="s">
        <v>157</v>
      </c>
      <c r="E1949">
        <v>2025</v>
      </c>
      <c r="F1949">
        <v>2026</v>
      </c>
      <c r="G1949" s="10">
        <v>8270000</v>
      </c>
      <c r="H1949" t="str">
        <f t="shared" si="120"/>
        <v/>
      </c>
      <c r="I1949" t="str">
        <f t="shared" si="121"/>
        <v/>
      </c>
      <c r="J1949" t="str">
        <f t="shared" si="122"/>
        <v/>
      </c>
      <c r="K1949">
        <v>7010454</v>
      </c>
      <c r="L1949" t="b">
        <f t="shared" si="119"/>
        <v>0</v>
      </c>
    </row>
    <row r="1950" spans="1:12" ht="16" x14ac:dyDescent="0.2">
      <c r="A1950" t="s">
        <v>6248</v>
      </c>
      <c r="B1950" t="s">
        <v>73</v>
      </c>
      <c r="C1950" t="s">
        <v>4554</v>
      </c>
      <c r="D1950" s="2" t="s">
        <v>157</v>
      </c>
      <c r="G1950" s="10" t="s">
        <v>2892</v>
      </c>
      <c r="H1950" t="str">
        <f t="shared" si="120"/>
        <v/>
      </c>
      <c r="I1950" t="str">
        <f t="shared" si="121"/>
        <v/>
      </c>
      <c r="J1950" t="str">
        <f t="shared" si="122"/>
        <v/>
      </c>
      <c r="L1950" t="b">
        <f t="shared" si="119"/>
        <v>1</v>
      </c>
    </row>
    <row r="1951" spans="1:12" ht="16" x14ac:dyDescent="0.2">
      <c r="A1951" t="s">
        <v>6249</v>
      </c>
      <c r="B1951" t="s">
        <v>73</v>
      </c>
      <c r="C1951" t="s">
        <v>4555</v>
      </c>
      <c r="D1951" s="2" t="s">
        <v>157</v>
      </c>
      <c r="G1951" s="10" t="s">
        <v>2892</v>
      </c>
      <c r="H1951" t="str">
        <f t="shared" si="120"/>
        <v/>
      </c>
      <c r="I1951" t="str">
        <f t="shared" si="121"/>
        <v/>
      </c>
      <c r="J1951" t="str">
        <f t="shared" si="122"/>
        <v/>
      </c>
      <c r="L1951" t="b">
        <f t="shared" si="119"/>
        <v>1</v>
      </c>
    </row>
    <row r="1952" spans="1:12" ht="16" x14ac:dyDescent="0.2">
      <c r="A1952" t="s">
        <v>6250</v>
      </c>
      <c r="B1952" t="s">
        <v>73</v>
      </c>
      <c r="C1952" t="s">
        <v>4556</v>
      </c>
      <c r="D1952" s="2" t="s">
        <v>157</v>
      </c>
      <c r="E1952">
        <v>2025</v>
      </c>
      <c r="F1952">
        <v>2026</v>
      </c>
      <c r="G1952" s="10">
        <v>10450000</v>
      </c>
      <c r="H1952" t="str">
        <f t="shared" si="120"/>
        <v/>
      </c>
      <c r="I1952" t="str">
        <f t="shared" si="121"/>
        <v/>
      </c>
      <c r="J1952" t="str">
        <f t="shared" si="122"/>
        <v/>
      </c>
      <c r="K1952">
        <v>5378745.4400000004</v>
      </c>
      <c r="L1952" t="b">
        <f t="shared" si="119"/>
        <v>0</v>
      </c>
    </row>
    <row r="1953" spans="1:12" ht="16" x14ac:dyDescent="0.2">
      <c r="A1953" t="s">
        <v>6251</v>
      </c>
      <c r="B1953" t="s">
        <v>73</v>
      </c>
      <c r="C1953" t="s">
        <v>4557</v>
      </c>
      <c r="D1953" s="2" t="s">
        <v>157</v>
      </c>
      <c r="G1953" s="10" t="s">
        <v>2892</v>
      </c>
      <c r="H1953" t="str">
        <f t="shared" si="120"/>
        <v/>
      </c>
      <c r="I1953" t="str">
        <f t="shared" si="121"/>
        <v/>
      </c>
      <c r="J1953" t="str">
        <f t="shared" si="122"/>
        <v/>
      </c>
      <c r="L1953" t="b">
        <f t="shared" si="119"/>
        <v>1</v>
      </c>
    </row>
    <row r="1954" spans="1:12" ht="16" x14ac:dyDescent="0.2">
      <c r="A1954" t="s">
        <v>6252</v>
      </c>
      <c r="B1954" t="s">
        <v>73</v>
      </c>
      <c r="C1954" t="s">
        <v>4558</v>
      </c>
      <c r="D1954" s="2" t="s">
        <v>157</v>
      </c>
      <c r="E1954">
        <v>2025</v>
      </c>
      <c r="F1954">
        <v>2026</v>
      </c>
      <c r="G1954" s="10">
        <v>2075000.0000000002</v>
      </c>
      <c r="H1954" t="str">
        <f t="shared" si="120"/>
        <v/>
      </c>
      <c r="I1954" t="str">
        <f t="shared" si="121"/>
        <v/>
      </c>
      <c r="J1954" t="str">
        <f t="shared" si="122"/>
        <v/>
      </c>
      <c r="K1954">
        <v>412045.09</v>
      </c>
      <c r="L1954" t="b">
        <f t="shared" si="119"/>
        <v>0</v>
      </c>
    </row>
    <row r="1955" spans="1:12" ht="16" x14ac:dyDescent="0.2">
      <c r="A1955" t="s">
        <v>6253</v>
      </c>
      <c r="B1955" t="s">
        <v>73</v>
      </c>
      <c r="C1955" t="s">
        <v>4559</v>
      </c>
      <c r="D1955" s="2" t="s">
        <v>135</v>
      </c>
      <c r="E1955">
        <v>2025</v>
      </c>
      <c r="F1955">
        <v>2026</v>
      </c>
      <c r="G1955" s="10">
        <v>12880000</v>
      </c>
      <c r="H1955" t="str">
        <f t="shared" si="120"/>
        <v/>
      </c>
      <c r="I1955" t="str">
        <f t="shared" si="121"/>
        <v/>
      </c>
      <c r="J1955" t="str">
        <f t="shared" si="122"/>
        <v/>
      </c>
      <c r="K1955">
        <v>9423258.5800000001</v>
      </c>
      <c r="L1955" t="b">
        <f t="shared" ref="L1955:L2009" si="123">IF(F1955="",TRUE,FALSE)</f>
        <v>0</v>
      </c>
    </row>
    <row r="1956" spans="1:12" ht="16" x14ac:dyDescent="0.2">
      <c r="A1956" t="s">
        <v>6254</v>
      </c>
      <c r="B1956" t="s">
        <v>73</v>
      </c>
      <c r="C1956" t="s">
        <v>4560</v>
      </c>
      <c r="D1956" s="2" t="s">
        <v>135</v>
      </c>
      <c r="G1956" s="10" t="s">
        <v>2892</v>
      </c>
      <c r="H1956" t="str">
        <f t="shared" si="120"/>
        <v/>
      </c>
      <c r="I1956" t="str">
        <f t="shared" si="121"/>
        <v/>
      </c>
      <c r="J1956" t="str">
        <f t="shared" si="122"/>
        <v/>
      </c>
      <c r="L1956" t="b">
        <f t="shared" si="123"/>
        <v>1</v>
      </c>
    </row>
    <row r="1957" spans="1:12" ht="16" x14ac:dyDescent="0.2">
      <c r="A1957" t="s">
        <v>6255</v>
      </c>
      <c r="B1957" t="s">
        <v>73</v>
      </c>
      <c r="C1957" t="s">
        <v>4561</v>
      </c>
      <c r="D1957" s="2" t="s">
        <v>135</v>
      </c>
      <c r="G1957" s="10" t="s">
        <v>2892</v>
      </c>
      <c r="H1957" t="str">
        <f t="shared" si="120"/>
        <v/>
      </c>
      <c r="I1957" t="str">
        <f t="shared" si="121"/>
        <v/>
      </c>
      <c r="J1957" t="str">
        <f t="shared" si="122"/>
        <v/>
      </c>
      <c r="L1957" t="b">
        <f t="shared" si="123"/>
        <v>1</v>
      </c>
    </row>
    <row r="1958" spans="1:12" ht="16" x14ac:dyDescent="0.2">
      <c r="A1958" t="s">
        <v>6256</v>
      </c>
      <c r="B1958" t="s">
        <v>73</v>
      </c>
      <c r="C1958" t="s">
        <v>4562</v>
      </c>
      <c r="D1958" s="2" t="s">
        <v>135</v>
      </c>
      <c r="G1958" s="10" t="s">
        <v>2892</v>
      </c>
      <c r="H1958" t="str">
        <f t="shared" si="120"/>
        <v/>
      </c>
      <c r="I1958" t="str">
        <f t="shared" si="121"/>
        <v/>
      </c>
      <c r="J1958" t="str">
        <f t="shared" si="122"/>
        <v/>
      </c>
      <c r="L1958" t="b">
        <f t="shared" si="123"/>
        <v>1</v>
      </c>
    </row>
    <row r="1959" spans="1:12" ht="16" x14ac:dyDescent="0.2">
      <c r="A1959" t="s">
        <v>6257</v>
      </c>
      <c r="B1959" t="s">
        <v>73</v>
      </c>
      <c r="C1959" t="s">
        <v>4563</v>
      </c>
      <c r="D1959" s="2" t="s">
        <v>135</v>
      </c>
      <c r="E1959">
        <v>2025</v>
      </c>
      <c r="F1959">
        <v>2027</v>
      </c>
      <c r="G1959" s="10">
        <v>12526666.666666666</v>
      </c>
      <c r="H1959">
        <f t="shared" si="120"/>
        <v>12526666.666666666</v>
      </c>
      <c r="I1959" t="str">
        <f t="shared" si="121"/>
        <v/>
      </c>
      <c r="J1959" t="str">
        <f t="shared" si="122"/>
        <v/>
      </c>
      <c r="K1959">
        <v>15445870.09</v>
      </c>
      <c r="L1959" t="b">
        <f t="shared" si="123"/>
        <v>0</v>
      </c>
    </row>
    <row r="1960" spans="1:12" ht="16" x14ac:dyDescent="0.2">
      <c r="A1960" t="s">
        <v>6258</v>
      </c>
      <c r="B1960" t="s">
        <v>73</v>
      </c>
      <c r="C1960" t="s">
        <v>4564</v>
      </c>
      <c r="D1960" s="2" t="s">
        <v>135</v>
      </c>
      <c r="E1960">
        <v>2025</v>
      </c>
      <c r="F1960">
        <v>2026</v>
      </c>
      <c r="G1960" s="10">
        <v>7315000</v>
      </c>
      <c r="H1960" t="str">
        <f t="shared" si="120"/>
        <v/>
      </c>
      <c r="I1960" t="str">
        <f t="shared" si="121"/>
        <v/>
      </c>
      <c r="J1960" t="str">
        <f t="shared" si="122"/>
        <v/>
      </c>
      <c r="K1960">
        <v>4519632.1500000004</v>
      </c>
      <c r="L1960" t="b">
        <f t="shared" si="123"/>
        <v>0</v>
      </c>
    </row>
    <row r="1961" spans="1:12" ht="16" x14ac:dyDescent="0.2">
      <c r="A1961" t="s">
        <v>6259</v>
      </c>
      <c r="B1961" t="s">
        <v>73</v>
      </c>
      <c r="C1961" t="s">
        <v>4565</v>
      </c>
      <c r="D1961" s="2" t="s">
        <v>135</v>
      </c>
      <c r="E1961">
        <v>2025</v>
      </c>
      <c r="F1961">
        <v>2026</v>
      </c>
      <c r="G1961" s="10">
        <v>1485000</v>
      </c>
      <c r="H1961" t="str">
        <f t="shared" si="120"/>
        <v/>
      </c>
      <c r="I1961" t="str">
        <f t="shared" si="121"/>
        <v/>
      </c>
      <c r="J1961" t="str">
        <f t="shared" si="122"/>
        <v/>
      </c>
      <c r="K1961">
        <v>8088.3</v>
      </c>
      <c r="L1961" t="b">
        <f t="shared" si="123"/>
        <v>0</v>
      </c>
    </row>
    <row r="1962" spans="1:12" ht="16" x14ac:dyDescent="0.2">
      <c r="A1962" t="s">
        <v>6260</v>
      </c>
      <c r="B1962" t="s">
        <v>73</v>
      </c>
      <c r="C1962" t="s">
        <v>4566</v>
      </c>
      <c r="D1962" s="2" t="s">
        <v>135</v>
      </c>
      <c r="G1962" s="10" t="s">
        <v>2892</v>
      </c>
      <c r="H1962" t="str">
        <f t="shared" si="120"/>
        <v/>
      </c>
      <c r="I1962" t="str">
        <f t="shared" si="121"/>
        <v/>
      </c>
      <c r="J1962" t="str">
        <f t="shared" si="122"/>
        <v/>
      </c>
      <c r="L1962" t="b">
        <f t="shared" si="123"/>
        <v>1</v>
      </c>
    </row>
    <row r="1963" spans="1:12" ht="16" x14ac:dyDescent="0.2">
      <c r="A1963" t="s">
        <v>6261</v>
      </c>
      <c r="B1963" t="s">
        <v>73</v>
      </c>
      <c r="C1963" t="s">
        <v>4567</v>
      </c>
      <c r="D1963" s="2" t="s">
        <v>135</v>
      </c>
      <c r="G1963" s="10" t="s">
        <v>2892</v>
      </c>
      <c r="H1963" t="str">
        <f t="shared" si="120"/>
        <v/>
      </c>
      <c r="I1963" t="str">
        <f t="shared" si="121"/>
        <v/>
      </c>
      <c r="J1963" t="str">
        <f t="shared" si="122"/>
        <v/>
      </c>
      <c r="L1963" t="b">
        <f t="shared" si="123"/>
        <v>1</v>
      </c>
    </row>
    <row r="1964" spans="1:12" ht="16" x14ac:dyDescent="0.2">
      <c r="A1964" t="s">
        <v>6262</v>
      </c>
      <c r="B1964" t="s">
        <v>73</v>
      </c>
      <c r="C1964" t="s">
        <v>4568</v>
      </c>
      <c r="D1964" s="2" t="s">
        <v>135</v>
      </c>
      <c r="E1964">
        <v>2025</v>
      </c>
      <c r="F1964">
        <v>2027</v>
      </c>
      <c r="G1964" s="10">
        <v>12260000</v>
      </c>
      <c r="H1964">
        <f t="shared" si="120"/>
        <v>12260000</v>
      </c>
      <c r="I1964" t="str">
        <f t="shared" si="121"/>
        <v/>
      </c>
      <c r="J1964" t="str">
        <f t="shared" si="122"/>
        <v/>
      </c>
      <c r="K1964">
        <v>11290399.68</v>
      </c>
      <c r="L1964" t="b">
        <f t="shared" si="123"/>
        <v>0</v>
      </c>
    </row>
    <row r="1965" spans="1:12" ht="16" x14ac:dyDescent="0.2">
      <c r="A1965" t="s">
        <v>6263</v>
      </c>
      <c r="B1965" t="s">
        <v>73</v>
      </c>
      <c r="C1965" t="s">
        <v>4569</v>
      </c>
      <c r="D1965" s="2" t="s">
        <v>135</v>
      </c>
      <c r="E1965">
        <v>2025</v>
      </c>
      <c r="F1965">
        <v>2026</v>
      </c>
      <c r="G1965" s="10">
        <v>4935000</v>
      </c>
      <c r="H1965" t="str">
        <f t="shared" si="120"/>
        <v/>
      </c>
      <c r="I1965" t="str">
        <f t="shared" si="121"/>
        <v/>
      </c>
      <c r="J1965" t="str">
        <f t="shared" si="122"/>
        <v/>
      </c>
      <c r="K1965">
        <v>2623886.94</v>
      </c>
      <c r="L1965" t="b">
        <f t="shared" si="123"/>
        <v>0</v>
      </c>
    </row>
    <row r="1966" spans="1:12" ht="16" x14ac:dyDescent="0.2">
      <c r="A1966" t="s">
        <v>6264</v>
      </c>
      <c r="B1966" t="s">
        <v>73</v>
      </c>
      <c r="C1966" t="s">
        <v>4570</v>
      </c>
      <c r="D1966" s="2" t="s">
        <v>135</v>
      </c>
      <c r="E1966">
        <v>2025</v>
      </c>
      <c r="F1966">
        <v>2026</v>
      </c>
      <c r="G1966" s="10">
        <v>7980000</v>
      </c>
      <c r="H1966" t="str">
        <f t="shared" si="120"/>
        <v/>
      </c>
      <c r="I1966" t="str">
        <f t="shared" si="121"/>
        <v/>
      </c>
      <c r="J1966" t="str">
        <f t="shared" si="122"/>
        <v/>
      </c>
      <c r="K1966">
        <v>3544784.23</v>
      </c>
      <c r="L1966" t="b">
        <f t="shared" si="123"/>
        <v>0</v>
      </c>
    </row>
    <row r="1967" spans="1:12" ht="16" x14ac:dyDescent="0.2">
      <c r="A1967" t="s">
        <v>6265</v>
      </c>
      <c r="B1967" t="s">
        <v>73</v>
      </c>
      <c r="C1967" t="s">
        <v>4571</v>
      </c>
      <c r="D1967" s="2" t="s">
        <v>135</v>
      </c>
      <c r="G1967" s="10" t="s">
        <v>2892</v>
      </c>
      <c r="H1967" t="str">
        <f t="shared" si="120"/>
        <v/>
      </c>
      <c r="I1967" t="str">
        <f t="shared" si="121"/>
        <v/>
      </c>
      <c r="J1967" t="str">
        <f t="shared" si="122"/>
        <v/>
      </c>
      <c r="L1967" t="b">
        <f t="shared" si="123"/>
        <v>1</v>
      </c>
    </row>
    <row r="1968" spans="1:12" ht="16" x14ac:dyDescent="0.2">
      <c r="A1968" t="s">
        <v>6266</v>
      </c>
      <c r="B1968" t="s">
        <v>73</v>
      </c>
      <c r="C1968" t="s">
        <v>4572</v>
      </c>
      <c r="D1968" s="2" t="s">
        <v>135</v>
      </c>
      <c r="G1968" s="10" t="s">
        <v>2892</v>
      </c>
      <c r="H1968" t="str">
        <f t="shared" si="120"/>
        <v/>
      </c>
      <c r="I1968" t="str">
        <f t="shared" si="121"/>
        <v/>
      </c>
      <c r="J1968" t="str">
        <f t="shared" si="122"/>
        <v/>
      </c>
      <c r="L1968" t="b">
        <f t="shared" si="123"/>
        <v>1</v>
      </c>
    </row>
    <row r="1969" spans="1:12" ht="16" x14ac:dyDescent="0.2">
      <c r="A1969" t="s">
        <v>6267</v>
      </c>
      <c r="B1969" t="s">
        <v>73</v>
      </c>
      <c r="C1969" t="s">
        <v>4573</v>
      </c>
      <c r="D1969" s="2" t="s">
        <v>135</v>
      </c>
      <c r="E1969">
        <v>2025</v>
      </c>
      <c r="F1969">
        <v>2026</v>
      </c>
      <c r="G1969" s="10">
        <v>4395000</v>
      </c>
      <c r="H1969" t="str">
        <f t="shared" si="120"/>
        <v/>
      </c>
      <c r="I1969" t="str">
        <f t="shared" si="121"/>
        <v/>
      </c>
      <c r="J1969" t="str">
        <f t="shared" si="122"/>
        <v/>
      </c>
      <c r="K1969">
        <v>2107418.7400000002</v>
      </c>
      <c r="L1969" t="b">
        <f t="shared" si="123"/>
        <v>0</v>
      </c>
    </row>
    <row r="1970" spans="1:12" ht="16" x14ac:dyDescent="0.2">
      <c r="A1970" t="s">
        <v>6268</v>
      </c>
      <c r="B1970" t="s">
        <v>73</v>
      </c>
      <c r="C1970" t="s">
        <v>4574</v>
      </c>
      <c r="D1970" s="2" t="s">
        <v>135</v>
      </c>
      <c r="E1970">
        <v>2025</v>
      </c>
      <c r="F1970">
        <v>2026</v>
      </c>
      <c r="G1970" s="10">
        <v>1930000</v>
      </c>
      <c r="H1970" t="str">
        <f t="shared" si="120"/>
        <v/>
      </c>
      <c r="I1970" t="str">
        <f t="shared" si="121"/>
        <v/>
      </c>
      <c r="J1970" t="str">
        <f t="shared" si="122"/>
        <v/>
      </c>
      <c r="K1970">
        <v>522345.75</v>
      </c>
      <c r="L1970" t="b">
        <f t="shared" si="123"/>
        <v>0</v>
      </c>
    </row>
    <row r="1971" spans="1:12" ht="16" x14ac:dyDescent="0.2">
      <c r="A1971" t="s">
        <v>6269</v>
      </c>
      <c r="B1971" t="s">
        <v>73</v>
      </c>
      <c r="C1971" t="s">
        <v>4575</v>
      </c>
      <c r="D1971" s="2" t="s">
        <v>135</v>
      </c>
      <c r="E1971">
        <v>2025</v>
      </c>
      <c r="F1971">
        <v>2026</v>
      </c>
      <c r="G1971" s="10">
        <v>7560000</v>
      </c>
      <c r="H1971" t="str">
        <f t="shared" si="120"/>
        <v/>
      </c>
      <c r="I1971" t="str">
        <f t="shared" si="121"/>
        <v/>
      </c>
      <c r="J1971" t="str">
        <f t="shared" si="122"/>
        <v/>
      </c>
      <c r="K1971">
        <v>5063732.08</v>
      </c>
      <c r="L1971" t="b">
        <f t="shared" si="123"/>
        <v>0</v>
      </c>
    </row>
    <row r="1972" spans="1:12" ht="16" x14ac:dyDescent="0.2">
      <c r="A1972" t="s">
        <v>6270</v>
      </c>
      <c r="B1972" t="s">
        <v>73</v>
      </c>
      <c r="C1972" t="s">
        <v>4576</v>
      </c>
      <c r="D1972" s="2" t="s">
        <v>135</v>
      </c>
      <c r="E1972">
        <v>2025</v>
      </c>
      <c r="F1972">
        <v>2026</v>
      </c>
      <c r="G1972" s="10">
        <v>8515000</v>
      </c>
      <c r="H1972" t="str">
        <f t="shared" si="120"/>
        <v/>
      </c>
      <c r="I1972" t="str">
        <f t="shared" si="121"/>
        <v/>
      </c>
      <c r="J1972" t="str">
        <f t="shared" si="122"/>
        <v/>
      </c>
      <c r="K1972">
        <v>4533693.8499999996</v>
      </c>
      <c r="L1972" t="b">
        <f t="shared" si="123"/>
        <v>0</v>
      </c>
    </row>
    <row r="1973" spans="1:12" ht="16" x14ac:dyDescent="0.2">
      <c r="A1973" t="s">
        <v>6271</v>
      </c>
      <c r="B1973" t="s">
        <v>73</v>
      </c>
      <c r="C1973" t="s">
        <v>4577</v>
      </c>
      <c r="D1973" s="2" t="s">
        <v>135</v>
      </c>
      <c r="G1973" s="10" t="s">
        <v>2892</v>
      </c>
      <c r="H1973" t="str">
        <f t="shared" si="120"/>
        <v/>
      </c>
      <c r="I1973" t="str">
        <f t="shared" si="121"/>
        <v/>
      </c>
      <c r="J1973" t="str">
        <f t="shared" si="122"/>
        <v/>
      </c>
      <c r="L1973" t="b">
        <f t="shared" si="123"/>
        <v>1</v>
      </c>
    </row>
    <row r="1974" spans="1:12" ht="16" x14ac:dyDescent="0.2">
      <c r="A1974" t="s">
        <v>6272</v>
      </c>
      <c r="B1974" t="s">
        <v>73</v>
      </c>
      <c r="C1974" t="s">
        <v>4578</v>
      </c>
      <c r="D1974" s="2" t="s">
        <v>135</v>
      </c>
      <c r="E1974">
        <v>2025</v>
      </c>
      <c r="F1974">
        <v>2026</v>
      </c>
      <c r="G1974" s="10">
        <v>1485000</v>
      </c>
      <c r="H1974" t="str">
        <f t="shared" si="120"/>
        <v/>
      </c>
      <c r="I1974" t="str">
        <f t="shared" si="121"/>
        <v/>
      </c>
      <c r="J1974" t="str">
        <f t="shared" si="122"/>
        <v/>
      </c>
      <c r="K1974">
        <v>129093.28</v>
      </c>
      <c r="L1974" t="b">
        <f t="shared" si="123"/>
        <v>0</v>
      </c>
    </row>
    <row r="1975" spans="1:12" ht="16" x14ac:dyDescent="0.2">
      <c r="A1975" t="s">
        <v>6273</v>
      </c>
      <c r="B1975" t="s">
        <v>73</v>
      </c>
      <c r="C1975" t="s">
        <v>4579</v>
      </c>
      <c r="D1975" s="2" t="s">
        <v>135</v>
      </c>
      <c r="E1975">
        <v>2025</v>
      </c>
      <c r="F1975">
        <v>2026</v>
      </c>
      <c r="G1975" s="10">
        <v>6070000</v>
      </c>
      <c r="H1975" t="str">
        <f t="shared" si="120"/>
        <v/>
      </c>
      <c r="I1975" t="str">
        <f t="shared" si="121"/>
        <v/>
      </c>
      <c r="J1975" t="str">
        <f t="shared" si="122"/>
        <v/>
      </c>
      <c r="K1975">
        <v>2950256.74</v>
      </c>
      <c r="L1975" t="b">
        <f t="shared" si="123"/>
        <v>0</v>
      </c>
    </row>
    <row r="1976" spans="1:12" ht="16" x14ac:dyDescent="0.2">
      <c r="A1976" t="s">
        <v>6274</v>
      </c>
      <c r="B1976" t="s">
        <v>73</v>
      </c>
      <c r="C1976" t="s">
        <v>4580</v>
      </c>
      <c r="D1976" s="2" t="s">
        <v>135</v>
      </c>
      <c r="G1976" s="10" t="s">
        <v>2892</v>
      </c>
      <c r="H1976" t="str">
        <f t="shared" si="120"/>
        <v/>
      </c>
      <c r="I1976" t="str">
        <f t="shared" si="121"/>
        <v/>
      </c>
      <c r="J1976" t="str">
        <f t="shared" si="122"/>
        <v/>
      </c>
      <c r="L1976" t="b">
        <f t="shared" si="123"/>
        <v>1</v>
      </c>
    </row>
    <row r="1977" spans="1:12" ht="16" x14ac:dyDescent="0.2">
      <c r="A1977" t="s">
        <v>6275</v>
      </c>
      <c r="B1977" t="s">
        <v>73</v>
      </c>
      <c r="C1977" t="s">
        <v>4581</v>
      </c>
      <c r="D1977" s="2" t="s">
        <v>135</v>
      </c>
      <c r="G1977" s="10" t="s">
        <v>2892</v>
      </c>
      <c r="H1977" t="str">
        <f t="shared" si="120"/>
        <v/>
      </c>
      <c r="I1977" t="str">
        <f t="shared" si="121"/>
        <v/>
      </c>
      <c r="J1977" t="str">
        <f t="shared" si="122"/>
        <v/>
      </c>
      <c r="L1977" t="b">
        <f t="shared" si="123"/>
        <v>1</v>
      </c>
    </row>
    <row r="1978" spans="1:12" ht="16" x14ac:dyDescent="0.2">
      <c r="A1978" t="s">
        <v>6276</v>
      </c>
      <c r="B1978" t="s">
        <v>73</v>
      </c>
      <c r="C1978" t="s">
        <v>4582</v>
      </c>
      <c r="D1978" s="2" t="s">
        <v>135</v>
      </c>
      <c r="E1978">
        <v>2025</v>
      </c>
      <c r="F1978">
        <v>2028</v>
      </c>
      <c r="G1978" s="10">
        <v>11952500</v>
      </c>
      <c r="H1978">
        <f t="shared" si="120"/>
        <v>11952500</v>
      </c>
      <c r="I1978">
        <f t="shared" si="121"/>
        <v>11952500</v>
      </c>
      <c r="J1978" t="str">
        <f t="shared" si="122"/>
        <v/>
      </c>
      <c r="K1978">
        <v>17586458.48</v>
      </c>
      <c r="L1978" t="b">
        <f t="shared" si="123"/>
        <v>0</v>
      </c>
    </row>
    <row r="1979" spans="1:12" ht="16" x14ac:dyDescent="0.2">
      <c r="A1979" t="s">
        <v>6277</v>
      </c>
      <c r="B1979" t="s">
        <v>73</v>
      </c>
      <c r="C1979" t="s">
        <v>4583</v>
      </c>
      <c r="D1979" s="2" t="s">
        <v>135</v>
      </c>
      <c r="E1979">
        <v>2025</v>
      </c>
      <c r="F1979">
        <v>2027</v>
      </c>
      <c r="G1979" s="10">
        <v>7296666.666666667</v>
      </c>
      <c r="H1979">
        <f t="shared" si="120"/>
        <v>7296666.666666667</v>
      </c>
      <c r="I1979" t="str">
        <f t="shared" si="121"/>
        <v/>
      </c>
      <c r="J1979" t="str">
        <f t="shared" si="122"/>
        <v/>
      </c>
      <c r="K1979">
        <v>9442156.1699999999</v>
      </c>
      <c r="L1979" t="b">
        <f t="shared" si="123"/>
        <v>0</v>
      </c>
    </row>
    <row r="1980" spans="1:12" ht="16" x14ac:dyDescent="0.2">
      <c r="A1980" t="s">
        <v>6278</v>
      </c>
      <c r="B1980" t="s">
        <v>73</v>
      </c>
      <c r="C1980" t="s">
        <v>4584</v>
      </c>
      <c r="D1980" s="2" t="s">
        <v>135</v>
      </c>
      <c r="E1980">
        <v>2025</v>
      </c>
      <c r="F1980">
        <v>2026</v>
      </c>
      <c r="G1980" s="10">
        <v>4775000</v>
      </c>
      <c r="H1980" t="str">
        <f t="shared" si="120"/>
        <v/>
      </c>
      <c r="I1980" t="str">
        <f t="shared" si="121"/>
        <v/>
      </c>
      <c r="J1980" t="str">
        <f t="shared" si="122"/>
        <v/>
      </c>
      <c r="K1980">
        <v>1808081.72</v>
      </c>
      <c r="L1980" t="b">
        <f t="shared" si="123"/>
        <v>0</v>
      </c>
    </row>
    <row r="1981" spans="1:12" ht="16" x14ac:dyDescent="0.2">
      <c r="A1981" t="s">
        <v>6279</v>
      </c>
      <c r="B1981" t="s">
        <v>73</v>
      </c>
      <c r="C1981" t="s">
        <v>4585</v>
      </c>
      <c r="D1981" s="2" t="s">
        <v>135</v>
      </c>
      <c r="E1981">
        <v>2025</v>
      </c>
      <c r="F1981">
        <v>2027</v>
      </c>
      <c r="G1981" s="10">
        <v>1803333.3333333335</v>
      </c>
      <c r="H1981">
        <f t="shared" si="120"/>
        <v>1803333.3333333335</v>
      </c>
      <c r="I1981" t="str">
        <f t="shared" si="121"/>
        <v/>
      </c>
      <c r="J1981" t="str">
        <f t="shared" si="122"/>
        <v/>
      </c>
      <c r="K1981">
        <v>556753.65</v>
      </c>
      <c r="L1981" t="b">
        <f t="shared" si="123"/>
        <v>0</v>
      </c>
    </row>
    <row r="1982" spans="1:12" ht="16" x14ac:dyDescent="0.2">
      <c r="A1982" t="s">
        <v>6280</v>
      </c>
      <c r="B1982" t="s">
        <v>73</v>
      </c>
      <c r="C1982" t="s">
        <v>4586</v>
      </c>
      <c r="D1982" s="2" t="s">
        <v>135</v>
      </c>
      <c r="E1982">
        <v>2025</v>
      </c>
      <c r="F1982">
        <v>2027</v>
      </c>
      <c r="G1982" s="10">
        <v>4703333.333333333</v>
      </c>
      <c r="H1982">
        <f t="shared" si="120"/>
        <v>4703333.333333333</v>
      </c>
      <c r="I1982" t="str">
        <f t="shared" si="121"/>
        <v/>
      </c>
      <c r="J1982" t="str">
        <f t="shared" si="122"/>
        <v/>
      </c>
      <c r="K1982">
        <v>2084361.81</v>
      </c>
      <c r="L1982" t="b">
        <f t="shared" si="123"/>
        <v>0</v>
      </c>
    </row>
    <row r="1983" spans="1:12" ht="16" x14ac:dyDescent="0.2">
      <c r="A1983" t="s">
        <v>6281</v>
      </c>
      <c r="B1983" t="s">
        <v>73</v>
      </c>
      <c r="C1983" t="s">
        <v>4587</v>
      </c>
      <c r="D1983" s="2" t="s">
        <v>135</v>
      </c>
      <c r="G1983" s="10" t="s">
        <v>2892</v>
      </c>
      <c r="H1983" t="str">
        <f t="shared" si="120"/>
        <v/>
      </c>
      <c r="I1983" t="str">
        <f t="shared" si="121"/>
        <v/>
      </c>
      <c r="J1983" t="str">
        <f t="shared" si="122"/>
        <v/>
      </c>
      <c r="L1983" t="b">
        <f t="shared" si="123"/>
        <v>1</v>
      </c>
    </row>
    <row r="1984" spans="1:12" ht="16" x14ac:dyDescent="0.2">
      <c r="A1984" t="s">
        <v>6282</v>
      </c>
      <c r="B1984" t="s">
        <v>73</v>
      </c>
      <c r="C1984" t="s">
        <v>4588</v>
      </c>
      <c r="D1984" s="2" t="s">
        <v>135</v>
      </c>
      <c r="E1984">
        <v>2026</v>
      </c>
      <c r="F1984">
        <v>2027</v>
      </c>
      <c r="G1984" s="10">
        <v>14860000</v>
      </c>
      <c r="H1984">
        <f t="shared" si="120"/>
        <v>14860000</v>
      </c>
      <c r="I1984" t="str">
        <f t="shared" si="121"/>
        <v/>
      </c>
      <c r="J1984" t="str">
        <f t="shared" si="122"/>
        <v/>
      </c>
      <c r="K1984">
        <v>5924640.4000000004</v>
      </c>
      <c r="L1984" t="b">
        <f t="shared" si="123"/>
        <v>0</v>
      </c>
    </row>
    <row r="1985" spans="1:12" ht="16" x14ac:dyDescent="0.2">
      <c r="A1985" t="s">
        <v>6283</v>
      </c>
      <c r="B1985" t="s">
        <v>73</v>
      </c>
      <c r="C1985" t="s">
        <v>4589</v>
      </c>
      <c r="D1985" s="2" t="s">
        <v>135</v>
      </c>
      <c r="E1985">
        <v>2025</v>
      </c>
      <c r="F1985">
        <v>2028</v>
      </c>
      <c r="G1985" s="10">
        <v>12225000</v>
      </c>
      <c r="H1985">
        <f t="shared" si="120"/>
        <v>12225000</v>
      </c>
      <c r="I1985">
        <f t="shared" si="121"/>
        <v>12225000</v>
      </c>
      <c r="J1985" t="str">
        <f t="shared" si="122"/>
        <v/>
      </c>
      <c r="K1985">
        <v>16031890.699999999</v>
      </c>
      <c r="L1985" t="b">
        <f t="shared" si="123"/>
        <v>0</v>
      </c>
    </row>
    <row r="1986" spans="1:12" ht="16" x14ac:dyDescent="0.2">
      <c r="A1986" t="s">
        <v>6284</v>
      </c>
      <c r="B1986" t="s">
        <v>73</v>
      </c>
      <c r="C1986" t="s">
        <v>4590</v>
      </c>
      <c r="D1986" s="2" t="s">
        <v>135</v>
      </c>
      <c r="E1986">
        <v>2025</v>
      </c>
      <c r="F1986">
        <v>2029</v>
      </c>
      <c r="G1986" s="10">
        <v>13008000</v>
      </c>
      <c r="H1986">
        <f t="shared" si="120"/>
        <v>13008000</v>
      </c>
      <c r="I1986">
        <f t="shared" si="121"/>
        <v>13008000</v>
      </c>
      <c r="J1986">
        <f t="shared" si="122"/>
        <v>13008000</v>
      </c>
      <c r="K1986">
        <v>21740541.52</v>
      </c>
      <c r="L1986" t="b">
        <f t="shared" si="123"/>
        <v>0</v>
      </c>
    </row>
    <row r="1987" spans="1:12" ht="16" x14ac:dyDescent="0.2">
      <c r="A1987" t="s">
        <v>6285</v>
      </c>
      <c r="B1987" t="s">
        <v>73</v>
      </c>
      <c r="C1987" t="s">
        <v>4591</v>
      </c>
      <c r="D1987" s="2" t="s">
        <v>135</v>
      </c>
      <c r="G1987" s="10" t="s">
        <v>2892</v>
      </c>
      <c r="H1987" t="str">
        <f t="shared" si="120"/>
        <v/>
      </c>
      <c r="I1987" t="str">
        <f t="shared" si="121"/>
        <v/>
      </c>
      <c r="J1987" t="str">
        <f t="shared" si="122"/>
        <v/>
      </c>
      <c r="L1987" t="b">
        <f t="shared" si="123"/>
        <v>1</v>
      </c>
    </row>
    <row r="1988" spans="1:12" ht="16" x14ac:dyDescent="0.2">
      <c r="A1988" t="s">
        <v>6286</v>
      </c>
      <c r="B1988" t="s">
        <v>73</v>
      </c>
      <c r="C1988" t="s">
        <v>4592</v>
      </c>
      <c r="D1988" s="2" t="s">
        <v>135</v>
      </c>
      <c r="G1988" s="10" t="s">
        <v>2892</v>
      </c>
      <c r="H1988" t="str">
        <f t="shared" ref="H1988:H2001" si="124">IF(F1988&gt;=2027,G1988,"")</f>
        <v/>
      </c>
      <c r="I1988" t="str">
        <f t="shared" ref="I1988:I2001" si="125">IF(F1988&gt;=2028,G1988,"")</f>
        <v/>
      </c>
      <c r="J1988" t="str">
        <f t="shared" ref="J1988:J2001" si="126">IF(F1988&gt;=2029,G1988,"")</f>
        <v/>
      </c>
      <c r="L1988" t="b">
        <f t="shared" si="123"/>
        <v>1</v>
      </c>
    </row>
    <row r="1989" spans="1:12" ht="16" x14ac:dyDescent="0.2">
      <c r="A1989" t="s">
        <v>6287</v>
      </c>
      <c r="B1989" t="s">
        <v>73</v>
      </c>
      <c r="C1989" t="s">
        <v>4593</v>
      </c>
      <c r="D1989" s="2" t="s">
        <v>135</v>
      </c>
      <c r="G1989" s="10" t="s">
        <v>2892</v>
      </c>
      <c r="H1989" t="str">
        <f t="shared" si="124"/>
        <v/>
      </c>
      <c r="I1989" t="str">
        <f t="shared" si="125"/>
        <v/>
      </c>
      <c r="J1989" t="str">
        <f t="shared" si="126"/>
        <v/>
      </c>
      <c r="L1989" t="b">
        <f t="shared" si="123"/>
        <v>1</v>
      </c>
    </row>
    <row r="1990" spans="1:12" ht="16" x14ac:dyDescent="0.2">
      <c r="A1990" t="s">
        <v>6288</v>
      </c>
      <c r="B1990" t="s">
        <v>73</v>
      </c>
      <c r="C1990" t="s">
        <v>4594</v>
      </c>
      <c r="D1990" s="2" t="s">
        <v>135</v>
      </c>
      <c r="E1990">
        <v>2025</v>
      </c>
      <c r="F1990">
        <v>2026</v>
      </c>
      <c r="G1990" s="10">
        <v>2235000</v>
      </c>
      <c r="H1990" t="str">
        <f t="shared" si="124"/>
        <v/>
      </c>
      <c r="I1990" t="str">
        <f t="shared" si="125"/>
        <v/>
      </c>
      <c r="J1990" t="str">
        <f t="shared" si="126"/>
        <v/>
      </c>
      <c r="K1990">
        <v>503677.87</v>
      </c>
      <c r="L1990" t="b">
        <f t="shared" si="123"/>
        <v>0</v>
      </c>
    </row>
    <row r="1991" spans="1:12" ht="16" x14ac:dyDescent="0.2">
      <c r="A1991" t="s">
        <v>6289</v>
      </c>
      <c r="B1991" t="s">
        <v>73</v>
      </c>
      <c r="C1991" t="s">
        <v>4595</v>
      </c>
      <c r="D1991" s="2" t="s">
        <v>135</v>
      </c>
      <c r="E1991">
        <v>2025</v>
      </c>
      <c r="F1991">
        <v>2027</v>
      </c>
      <c r="G1991" s="10">
        <v>9926666.6666666679</v>
      </c>
      <c r="H1991">
        <f t="shared" si="124"/>
        <v>9926666.6666666679</v>
      </c>
      <c r="I1991" t="str">
        <f t="shared" si="125"/>
        <v/>
      </c>
      <c r="J1991" t="str">
        <f t="shared" si="126"/>
        <v/>
      </c>
      <c r="K1991">
        <v>12298149.57</v>
      </c>
      <c r="L1991" t="b">
        <f t="shared" si="123"/>
        <v>0</v>
      </c>
    </row>
    <row r="1992" spans="1:12" ht="16" x14ac:dyDescent="0.2">
      <c r="A1992" t="s">
        <v>6290</v>
      </c>
      <c r="B1992" t="s">
        <v>73</v>
      </c>
      <c r="C1992" t="s">
        <v>4596</v>
      </c>
      <c r="D1992" s="2" t="s">
        <v>135</v>
      </c>
      <c r="E1992">
        <v>2025</v>
      </c>
      <c r="F1992">
        <v>2026</v>
      </c>
      <c r="G1992" s="10">
        <v>6105000</v>
      </c>
      <c r="H1992" t="str">
        <f t="shared" si="124"/>
        <v/>
      </c>
      <c r="I1992" t="str">
        <f t="shared" si="125"/>
        <v/>
      </c>
      <c r="J1992" t="str">
        <f t="shared" si="126"/>
        <v/>
      </c>
      <c r="K1992">
        <v>2315252.13</v>
      </c>
      <c r="L1992" t="b">
        <f t="shared" si="123"/>
        <v>0</v>
      </c>
    </row>
    <row r="1993" spans="1:12" ht="16" x14ac:dyDescent="0.2">
      <c r="A1993" t="s">
        <v>6291</v>
      </c>
      <c r="B1993" t="s">
        <v>73</v>
      </c>
      <c r="C1993" t="s">
        <v>4597</v>
      </c>
      <c r="D1993" s="2" t="s">
        <v>135</v>
      </c>
      <c r="E1993">
        <v>2025</v>
      </c>
      <c r="F1993">
        <v>2026</v>
      </c>
      <c r="G1993" s="10">
        <v>5380000</v>
      </c>
      <c r="H1993" t="str">
        <f t="shared" si="124"/>
        <v/>
      </c>
      <c r="I1993" t="str">
        <f t="shared" si="125"/>
        <v/>
      </c>
      <c r="J1993" t="str">
        <f t="shared" si="126"/>
        <v/>
      </c>
      <c r="K1993">
        <v>3211794.35</v>
      </c>
      <c r="L1993" t="b">
        <f t="shared" si="123"/>
        <v>0</v>
      </c>
    </row>
    <row r="1994" spans="1:12" ht="16" x14ac:dyDescent="0.2">
      <c r="A1994" t="s">
        <v>6292</v>
      </c>
      <c r="B1994" t="s">
        <v>73</v>
      </c>
      <c r="C1994" t="s">
        <v>4598</v>
      </c>
      <c r="D1994" s="2" t="s">
        <v>135</v>
      </c>
      <c r="E1994">
        <v>2025</v>
      </c>
      <c r="F1994">
        <v>2026</v>
      </c>
      <c r="G1994" s="10">
        <v>4975000</v>
      </c>
      <c r="H1994" t="str">
        <f t="shared" si="124"/>
        <v/>
      </c>
      <c r="I1994" t="str">
        <f t="shared" si="125"/>
        <v/>
      </c>
      <c r="J1994" t="str">
        <f t="shared" si="126"/>
        <v/>
      </c>
      <c r="K1994">
        <v>2505486</v>
      </c>
      <c r="L1994" t="b">
        <f t="shared" si="123"/>
        <v>0</v>
      </c>
    </row>
    <row r="1995" spans="1:12" ht="16" x14ac:dyDescent="0.2">
      <c r="A1995" t="s">
        <v>6293</v>
      </c>
      <c r="B1995" t="s">
        <v>73</v>
      </c>
      <c r="C1995" t="s">
        <v>4599</v>
      </c>
      <c r="D1995" s="2" t="s">
        <v>135</v>
      </c>
      <c r="E1995">
        <v>2025</v>
      </c>
      <c r="F1995">
        <v>2026</v>
      </c>
      <c r="G1995" s="10">
        <v>8340000</v>
      </c>
      <c r="H1995" t="str">
        <f t="shared" si="124"/>
        <v/>
      </c>
      <c r="I1995" t="str">
        <f t="shared" si="125"/>
        <v/>
      </c>
      <c r="J1995" t="str">
        <f t="shared" si="126"/>
        <v/>
      </c>
      <c r="K1995">
        <v>7214227.5099999998</v>
      </c>
      <c r="L1995" t="b">
        <f t="shared" si="123"/>
        <v>0</v>
      </c>
    </row>
    <row r="1996" spans="1:12" ht="16" x14ac:dyDescent="0.2">
      <c r="A1996" t="s">
        <v>6294</v>
      </c>
      <c r="B1996" t="s">
        <v>73</v>
      </c>
      <c r="C1996" t="s">
        <v>4600</v>
      </c>
      <c r="D1996" s="2" t="s">
        <v>135</v>
      </c>
      <c r="G1996" s="10" t="s">
        <v>2892</v>
      </c>
      <c r="H1996" t="str">
        <f t="shared" si="124"/>
        <v/>
      </c>
      <c r="I1996" t="str">
        <f t="shared" si="125"/>
        <v/>
      </c>
      <c r="J1996" t="str">
        <f t="shared" si="126"/>
        <v/>
      </c>
      <c r="L1996" t="b">
        <f t="shared" si="123"/>
        <v>1</v>
      </c>
    </row>
    <row r="1997" spans="1:12" ht="16" x14ac:dyDescent="0.2">
      <c r="A1997" t="s">
        <v>6295</v>
      </c>
      <c r="B1997" t="s">
        <v>73</v>
      </c>
      <c r="C1997" t="s">
        <v>4601</v>
      </c>
      <c r="D1997" s="2" t="s">
        <v>135</v>
      </c>
      <c r="G1997" s="10" t="s">
        <v>2892</v>
      </c>
      <c r="H1997" t="str">
        <f t="shared" si="124"/>
        <v/>
      </c>
      <c r="I1997" t="str">
        <f t="shared" si="125"/>
        <v/>
      </c>
      <c r="J1997" t="str">
        <f t="shared" si="126"/>
        <v/>
      </c>
      <c r="L1997" t="b">
        <f t="shared" si="123"/>
        <v>1</v>
      </c>
    </row>
    <row r="1998" spans="1:12" ht="16" x14ac:dyDescent="0.2">
      <c r="A1998" t="s">
        <v>6296</v>
      </c>
      <c r="B1998" t="s">
        <v>73</v>
      </c>
      <c r="C1998" t="s">
        <v>4602</v>
      </c>
      <c r="D1998" s="2" t="s">
        <v>135</v>
      </c>
      <c r="E1998">
        <v>2025</v>
      </c>
      <c r="F1998">
        <v>2026</v>
      </c>
      <c r="G1998" s="10">
        <v>2925000</v>
      </c>
      <c r="H1998" t="str">
        <f t="shared" si="124"/>
        <v/>
      </c>
      <c r="I1998" t="str">
        <f t="shared" si="125"/>
        <v/>
      </c>
      <c r="J1998" t="str">
        <f t="shared" si="126"/>
        <v/>
      </c>
      <c r="K1998">
        <v>881789.05</v>
      </c>
      <c r="L1998" t="b">
        <f t="shared" si="123"/>
        <v>0</v>
      </c>
    </row>
    <row r="1999" spans="1:12" ht="16" x14ac:dyDescent="0.2">
      <c r="A1999" t="s">
        <v>6297</v>
      </c>
      <c r="B1999" t="s">
        <v>73</v>
      </c>
      <c r="C1999" t="s">
        <v>4603</v>
      </c>
      <c r="D1999" s="2" t="s">
        <v>135</v>
      </c>
      <c r="E1999">
        <v>2025</v>
      </c>
      <c r="F1999">
        <v>2026</v>
      </c>
      <c r="G1999" s="10">
        <v>1855000</v>
      </c>
      <c r="H1999" t="str">
        <f t="shared" si="124"/>
        <v/>
      </c>
      <c r="I1999" t="str">
        <f t="shared" si="125"/>
        <v/>
      </c>
      <c r="J1999" t="str">
        <f t="shared" si="126"/>
        <v/>
      </c>
      <c r="K1999">
        <v>471511.67</v>
      </c>
      <c r="L1999" t="b">
        <f t="shared" si="123"/>
        <v>0</v>
      </c>
    </row>
    <row r="2000" spans="1:12" ht="16" x14ac:dyDescent="0.2">
      <c r="A2000" t="s">
        <v>6298</v>
      </c>
      <c r="B2000" t="s">
        <v>73</v>
      </c>
      <c r="C2000" t="s">
        <v>4604</v>
      </c>
      <c r="D2000" s="2" t="s">
        <v>135</v>
      </c>
      <c r="G2000" s="10" t="s">
        <v>2892</v>
      </c>
      <c r="H2000" t="str">
        <f t="shared" si="124"/>
        <v/>
      </c>
      <c r="I2000" t="str">
        <f t="shared" si="125"/>
        <v/>
      </c>
      <c r="J2000" t="str">
        <f t="shared" si="126"/>
        <v/>
      </c>
      <c r="L2000" t="b">
        <f t="shared" si="123"/>
        <v>1</v>
      </c>
    </row>
    <row r="2001" spans="1:12" ht="16" x14ac:dyDescent="0.2">
      <c r="A2001" t="s">
        <v>6299</v>
      </c>
      <c r="B2001" t="s">
        <v>73</v>
      </c>
      <c r="C2001" t="s">
        <v>4605</v>
      </c>
      <c r="D2001" s="2" t="s">
        <v>135</v>
      </c>
      <c r="E2001">
        <v>2025</v>
      </c>
      <c r="F2001">
        <v>2027</v>
      </c>
      <c r="G2001" s="10">
        <v>1800000</v>
      </c>
      <c r="H2001">
        <f t="shared" si="124"/>
        <v>1800000</v>
      </c>
      <c r="I2001" t="str">
        <f t="shared" si="125"/>
        <v/>
      </c>
      <c r="J2001" t="str">
        <f t="shared" si="126"/>
        <v/>
      </c>
      <c r="K2001">
        <v>280889.84999999998</v>
      </c>
      <c r="L2001" t="b">
        <f t="shared" si="123"/>
        <v>0</v>
      </c>
    </row>
    <row r="2002" spans="1:12" ht="16" x14ac:dyDescent="0.2">
      <c r="A2002" t="s">
        <v>6300</v>
      </c>
      <c r="B2002" t="s">
        <v>73</v>
      </c>
      <c r="C2002" t="s">
        <v>4606</v>
      </c>
      <c r="D2002" s="2" t="s">
        <v>135</v>
      </c>
      <c r="E2002">
        <v>2025</v>
      </c>
      <c r="F2002">
        <v>2026</v>
      </c>
      <c r="G2002" s="10">
        <v>1890000</v>
      </c>
      <c r="H2002" t="str">
        <f>IF(F2002&gt;=2027,G2002,"")</f>
        <v/>
      </c>
      <c r="I2002" t="str">
        <f>IF(F2002&gt;=2028,G2002,"")</f>
        <v/>
      </c>
      <c r="J2002" t="str">
        <f>IF(F2002&gt;=2029,G2002,"")</f>
        <v/>
      </c>
      <c r="K2002">
        <v>359194.27</v>
      </c>
      <c r="L2002" t="b">
        <f t="shared" si="123"/>
        <v>0</v>
      </c>
    </row>
    <row r="2003" spans="1:12" x14ac:dyDescent="0.2">
      <c r="A2003" t="s">
        <v>9741</v>
      </c>
      <c r="B2003" t="s">
        <v>74</v>
      </c>
      <c r="C2003" t="s">
        <v>9153</v>
      </c>
      <c r="D2003" t="s">
        <v>44</v>
      </c>
      <c r="E2003">
        <v>2025</v>
      </c>
      <c r="F2003">
        <v>2027</v>
      </c>
      <c r="G2003" s="11">
        <v>350000</v>
      </c>
      <c r="H2003">
        <f t="shared" ref="H2003:H2009" si="127">IF(F2003&gt;=2027,G2003,"")</f>
        <v>350000</v>
      </c>
      <c r="I2003" t="str">
        <f t="shared" ref="I2003:I2009" si="128">IF(F2003&gt;=2028,G2003,"")</f>
        <v/>
      </c>
      <c r="J2003" t="str">
        <f t="shared" ref="J2003:J2009" si="129">IF(F2003&gt;=2029,G2003,"")</f>
        <v/>
      </c>
      <c r="K2003">
        <f>IF(E2003="","",SUM(ContractsTbl[[#This Row],[salaryY1]:[salaryY4]]))</f>
        <v>700000</v>
      </c>
      <c r="L2003" t="b">
        <f t="shared" si="123"/>
        <v>0</v>
      </c>
    </row>
    <row r="2004" spans="1:12" x14ac:dyDescent="0.2">
      <c r="A2004" t="s">
        <v>9742</v>
      </c>
      <c r="B2004" t="s">
        <v>74</v>
      </c>
      <c r="C2004" t="s">
        <v>9154</v>
      </c>
      <c r="D2004" t="s">
        <v>44</v>
      </c>
      <c r="E2004">
        <v>2025</v>
      </c>
      <c r="F2004">
        <v>2027</v>
      </c>
      <c r="G2004" s="11">
        <v>330000</v>
      </c>
      <c r="H2004">
        <f t="shared" si="127"/>
        <v>330000</v>
      </c>
      <c r="I2004" t="str">
        <f t="shared" si="128"/>
        <v/>
      </c>
      <c r="J2004" t="str">
        <f t="shared" si="129"/>
        <v/>
      </c>
      <c r="K2004">
        <f>IF(E2004="","",SUM(ContractsTbl[[#This Row],[salaryY1]:[salaryY4]]))</f>
        <v>660000</v>
      </c>
      <c r="L2004" t="b">
        <f t="shared" si="123"/>
        <v>0</v>
      </c>
    </row>
    <row r="2005" spans="1:12" x14ac:dyDescent="0.2">
      <c r="A2005" t="s">
        <v>9743</v>
      </c>
      <c r="B2005" t="s">
        <v>74</v>
      </c>
      <c r="C2005" t="s">
        <v>9155</v>
      </c>
      <c r="D2005" t="s">
        <v>44</v>
      </c>
      <c r="E2005">
        <v>2025</v>
      </c>
      <c r="F2005">
        <v>2027</v>
      </c>
      <c r="G2005" s="11">
        <v>340000</v>
      </c>
      <c r="H2005">
        <f t="shared" si="127"/>
        <v>340000</v>
      </c>
      <c r="I2005" t="str">
        <f t="shared" si="128"/>
        <v/>
      </c>
      <c r="J2005" t="str">
        <f t="shared" si="129"/>
        <v/>
      </c>
      <c r="K2005">
        <f>IF(E2005="","",SUM(ContractsTbl[[#This Row],[salaryY1]:[salaryY4]]))</f>
        <v>680000</v>
      </c>
      <c r="L2005" t="b">
        <f t="shared" si="123"/>
        <v>0</v>
      </c>
    </row>
    <row r="2006" spans="1:12" x14ac:dyDescent="0.2">
      <c r="A2006" t="s">
        <v>9744</v>
      </c>
      <c r="B2006" t="s">
        <v>74</v>
      </c>
      <c r="C2006" t="s">
        <v>9156</v>
      </c>
      <c r="D2006" t="s">
        <v>44</v>
      </c>
      <c r="E2006">
        <v>2025</v>
      </c>
      <c r="F2006">
        <v>2027</v>
      </c>
      <c r="G2006" s="11">
        <v>370000</v>
      </c>
      <c r="H2006">
        <f t="shared" si="127"/>
        <v>370000</v>
      </c>
      <c r="I2006" t="str">
        <f t="shared" si="128"/>
        <v/>
      </c>
      <c r="J2006" t="str">
        <f t="shared" si="129"/>
        <v/>
      </c>
      <c r="K2006">
        <f>IF(E2006="","",SUM(ContractsTbl[[#This Row],[salaryY1]:[salaryY4]]))</f>
        <v>740000</v>
      </c>
      <c r="L2006" t="b">
        <f t="shared" si="123"/>
        <v>0</v>
      </c>
    </row>
    <row r="2007" spans="1:12" x14ac:dyDescent="0.2">
      <c r="A2007" t="s">
        <v>9745</v>
      </c>
      <c r="B2007" t="s">
        <v>74</v>
      </c>
      <c r="C2007" t="s">
        <v>9157</v>
      </c>
      <c r="D2007" t="s">
        <v>44</v>
      </c>
      <c r="E2007">
        <v>2025</v>
      </c>
      <c r="F2007">
        <v>2027</v>
      </c>
      <c r="G2007" s="11">
        <v>350000</v>
      </c>
      <c r="H2007">
        <f t="shared" si="127"/>
        <v>350000</v>
      </c>
      <c r="I2007" t="str">
        <f t="shared" si="128"/>
        <v/>
      </c>
      <c r="J2007" t="str">
        <f t="shared" si="129"/>
        <v/>
      </c>
      <c r="K2007">
        <f>IF(E2007="","",SUM(ContractsTbl[[#This Row],[salaryY1]:[salaryY4]]))</f>
        <v>700000</v>
      </c>
      <c r="L2007" t="b">
        <f t="shared" si="123"/>
        <v>0</v>
      </c>
    </row>
    <row r="2008" spans="1:12" x14ac:dyDescent="0.2">
      <c r="A2008" t="s">
        <v>9746</v>
      </c>
      <c r="B2008" t="s">
        <v>74</v>
      </c>
      <c r="C2008" t="s">
        <v>9158</v>
      </c>
      <c r="D2008" t="s">
        <v>44</v>
      </c>
      <c r="E2008">
        <v>2025</v>
      </c>
      <c r="F2008">
        <v>2027</v>
      </c>
      <c r="G2008" s="11">
        <v>330000</v>
      </c>
      <c r="H2008">
        <f t="shared" si="127"/>
        <v>330000</v>
      </c>
      <c r="I2008" t="str">
        <f t="shared" si="128"/>
        <v/>
      </c>
      <c r="J2008" t="str">
        <f t="shared" si="129"/>
        <v/>
      </c>
      <c r="K2008">
        <f>IF(E2008="","",SUM(ContractsTbl[[#This Row],[salaryY1]:[salaryY4]]))</f>
        <v>660000</v>
      </c>
      <c r="L2008" t="b">
        <f t="shared" si="123"/>
        <v>0</v>
      </c>
    </row>
    <row r="2009" spans="1:12" x14ac:dyDescent="0.2">
      <c r="A2009" t="s">
        <v>9747</v>
      </c>
      <c r="B2009" t="s">
        <v>74</v>
      </c>
      <c r="C2009" t="s">
        <v>9159</v>
      </c>
      <c r="D2009" t="s">
        <v>44</v>
      </c>
      <c r="E2009">
        <v>2025</v>
      </c>
      <c r="F2009">
        <v>2027</v>
      </c>
      <c r="G2009" s="11">
        <v>665000</v>
      </c>
      <c r="H2009">
        <f t="shared" si="127"/>
        <v>665000</v>
      </c>
      <c r="I2009" t="str">
        <f t="shared" si="128"/>
        <v/>
      </c>
      <c r="J2009" t="str">
        <f t="shared" si="129"/>
        <v/>
      </c>
      <c r="K2009">
        <f>IF(E2009="","",SUM(ContractsTbl[[#This Row],[salaryY1]:[salaryY4]]))</f>
        <v>1330000</v>
      </c>
      <c r="L2009" t="b">
        <f t="shared" si="123"/>
        <v>0</v>
      </c>
    </row>
    <row r="2010" spans="1:12" x14ac:dyDescent="0.2">
      <c r="A2010" t="s">
        <v>9748</v>
      </c>
      <c r="B2010" t="s">
        <v>74</v>
      </c>
      <c r="C2010" t="s">
        <v>9160</v>
      </c>
      <c r="D2010" t="s">
        <v>44</v>
      </c>
      <c r="E2010">
        <v>2025</v>
      </c>
      <c r="F2010">
        <v>2027</v>
      </c>
      <c r="G2010" s="11">
        <v>527142.85714285704</v>
      </c>
      <c r="H2010">
        <f t="shared" ref="H2010:H2073" si="130">IF(F2010&gt;=2027,G2010,"")</f>
        <v>527142.85714285704</v>
      </c>
      <c r="I2010" t="str">
        <f t="shared" ref="I2010:I2073" si="131">IF(F2010&gt;=2028,G2010,"")</f>
        <v/>
      </c>
      <c r="J2010" t="str">
        <f t="shared" ref="J2010:J2073" si="132">IF(F2010&gt;=2029,G2010,"")</f>
        <v/>
      </c>
      <c r="K2010">
        <f>IF(E2010="","",SUM(ContractsTbl[[#This Row],[salaryY1]:[salaryY4]]))</f>
        <v>1054285.7142857141</v>
      </c>
      <c r="L2010" t="b">
        <f t="shared" ref="L2010:L2073" si="133">IF(F2010="",TRUE,FALSE)</f>
        <v>0</v>
      </c>
    </row>
    <row r="2011" spans="1:12" x14ac:dyDescent="0.2">
      <c r="A2011" t="s">
        <v>9749</v>
      </c>
      <c r="B2011" t="s">
        <v>74</v>
      </c>
      <c r="C2011" t="s">
        <v>9161</v>
      </c>
      <c r="D2011" t="s">
        <v>44</v>
      </c>
      <c r="E2011">
        <v>2025</v>
      </c>
      <c r="F2011">
        <v>2027</v>
      </c>
      <c r="G2011" s="11">
        <v>561250</v>
      </c>
      <c r="H2011">
        <f t="shared" si="130"/>
        <v>561250</v>
      </c>
      <c r="I2011" t="str">
        <f t="shared" si="131"/>
        <v/>
      </c>
      <c r="J2011" t="str">
        <f t="shared" si="132"/>
        <v/>
      </c>
      <c r="K2011">
        <f>IF(E2011="","",SUM(ContractsTbl[[#This Row],[salaryY1]:[salaryY4]]))</f>
        <v>1122500</v>
      </c>
      <c r="L2011" t="b">
        <f t="shared" si="133"/>
        <v>0</v>
      </c>
    </row>
    <row r="2012" spans="1:12" x14ac:dyDescent="0.2">
      <c r="A2012" t="s">
        <v>9750</v>
      </c>
      <c r="B2012" t="s">
        <v>74</v>
      </c>
      <c r="C2012" t="s">
        <v>9162</v>
      </c>
      <c r="D2012" t="s">
        <v>44</v>
      </c>
      <c r="E2012">
        <v>2025</v>
      </c>
      <c r="F2012">
        <v>2027</v>
      </c>
      <c r="G2012" s="11">
        <v>595357.14285714296</v>
      </c>
      <c r="H2012">
        <f t="shared" si="130"/>
        <v>595357.14285714296</v>
      </c>
      <c r="I2012" t="str">
        <f t="shared" si="131"/>
        <v/>
      </c>
      <c r="J2012" t="str">
        <f t="shared" si="132"/>
        <v/>
      </c>
      <c r="K2012">
        <f>IF(E2012="","",SUM(ContractsTbl[[#This Row],[salaryY1]:[salaryY4]]))</f>
        <v>1190714.2857142859</v>
      </c>
      <c r="L2012" t="b">
        <f t="shared" si="133"/>
        <v>0</v>
      </c>
    </row>
    <row r="2013" spans="1:12" x14ac:dyDescent="0.2">
      <c r="A2013" t="s">
        <v>9751</v>
      </c>
      <c r="B2013" t="s">
        <v>74</v>
      </c>
      <c r="C2013" t="s">
        <v>9163</v>
      </c>
      <c r="D2013" t="s">
        <v>44</v>
      </c>
      <c r="E2013">
        <v>2025</v>
      </c>
      <c r="F2013">
        <v>2027</v>
      </c>
      <c r="G2013" s="11">
        <v>629464.28571428603</v>
      </c>
      <c r="H2013">
        <f t="shared" si="130"/>
        <v>629464.28571428603</v>
      </c>
      <c r="I2013" t="str">
        <f t="shared" si="131"/>
        <v/>
      </c>
      <c r="J2013" t="str">
        <f t="shared" si="132"/>
        <v/>
      </c>
      <c r="K2013">
        <f>IF(E2013="","",SUM(ContractsTbl[[#This Row],[salaryY1]:[salaryY4]]))</f>
        <v>1258928.5714285721</v>
      </c>
      <c r="L2013" t="b">
        <f t="shared" si="133"/>
        <v>0</v>
      </c>
    </row>
    <row r="2014" spans="1:12" x14ac:dyDescent="0.2">
      <c r="A2014" t="s">
        <v>9752</v>
      </c>
      <c r="B2014" t="s">
        <v>74</v>
      </c>
      <c r="C2014" t="s">
        <v>9164</v>
      </c>
      <c r="D2014" t="s">
        <v>44</v>
      </c>
      <c r="E2014">
        <v>2025</v>
      </c>
      <c r="F2014">
        <v>2027</v>
      </c>
      <c r="G2014" s="11">
        <v>663571.42857142806</v>
      </c>
      <c r="H2014">
        <f t="shared" si="130"/>
        <v>663571.42857142806</v>
      </c>
      <c r="I2014" t="str">
        <f t="shared" si="131"/>
        <v/>
      </c>
      <c r="J2014" t="str">
        <f t="shared" si="132"/>
        <v/>
      </c>
      <c r="K2014">
        <f>IF(E2014="","",SUM(ContractsTbl[[#This Row],[salaryY1]:[salaryY4]]))</f>
        <v>1327142.8571428561</v>
      </c>
      <c r="L2014" t="b">
        <f t="shared" si="133"/>
        <v>0</v>
      </c>
    </row>
    <row r="2015" spans="1:12" x14ac:dyDescent="0.2">
      <c r="A2015" t="s">
        <v>9753</v>
      </c>
      <c r="B2015" t="s">
        <v>74</v>
      </c>
      <c r="C2015" t="s">
        <v>9165</v>
      </c>
      <c r="D2015" t="s">
        <v>44</v>
      </c>
      <c r="E2015">
        <v>2025</v>
      </c>
      <c r="F2015">
        <v>2027</v>
      </c>
      <c r="G2015" s="11">
        <v>697678.57142857101</v>
      </c>
      <c r="H2015">
        <f t="shared" si="130"/>
        <v>697678.57142857101</v>
      </c>
      <c r="I2015" t="str">
        <f t="shared" si="131"/>
        <v/>
      </c>
      <c r="J2015" t="str">
        <f t="shared" si="132"/>
        <v/>
      </c>
      <c r="K2015">
        <f>IF(E2015="","",SUM(ContractsTbl[[#This Row],[salaryY1]:[salaryY4]]))</f>
        <v>1395357.142857142</v>
      </c>
      <c r="L2015" t="b">
        <f t="shared" si="133"/>
        <v>0</v>
      </c>
    </row>
    <row r="2016" spans="1:12" x14ac:dyDescent="0.2">
      <c r="A2016" t="s">
        <v>9754</v>
      </c>
      <c r="B2016" t="s">
        <v>74</v>
      </c>
      <c r="C2016" t="s">
        <v>9166</v>
      </c>
      <c r="D2016" t="s">
        <v>44</v>
      </c>
      <c r="E2016">
        <v>2025</v>
      </c>
      <c r="F2016">
        <v>2027</v>
      </c>
      <c r="G2016" s="11">
        <v>350000</v>
      </c>
      <c r="H2016">
        <f t="shared" si="130"/>
        <v>350000</v>
      </c>
      <c r="I2016" t="str">
        <f t="shared" si="131"/>
        <v/>
      </c>
      <c r="J2016" t="str">
        <f t="shared" si="132"/>
        <v/>
      </c>
      <c r="K2016">
        <f>IF(E2016="","",SUM(ContractsTbl[[#This Row],[salaryY1]:[salaryY4]]))</f>
        <v>700000</v>
      </c>
      <c r="L2016" t="b">
        <f t="shared" si="133"/>
        <v>0</v>
      </c>
    </row>
    <row r="2017" spans="1:12" x14ac:dyDescent="0.2">
      <c r="A2017" t="s">
        <v>9755</v>
      </c>
      <c r="B2017" t="s">
        <v>74</v>
      </c>
      <c r="C2017" t="s">
        <v>9167</v>
      </c>
      <c r="D2017" t="s">
        <v>44</v>
      </c>
      <c r="E2017">
        <v>2025</v>
      </c>
      <c r="F2017">
        <v>2027</v>
      </c>
      <c r="G2017" s="11">
        <v>330000</v>
      </c>
      <c r="H2017">
        <f t="shared" si="130"/>
        <v>330000</v>
      </c>
      <c r="I2017" t="str">
        <f t="shared" si="131"/>
        <v/>
      </c>
      <c r="J2017" t="str">
        <f t="shared" si="132"/>
        <v/>
      </c>
      <c r="K2017">
        <f>IF(E2017="","",SUM(ContractsTbl[[#This Row],[salaryY1]:[salaryY4]]))</f>
        <v>660000</v>
      </c>
      <c r="L2017" t="b">
        <f t="shared" si="133"/>
        <v>0</v>
      </c>
    </row>
    <row r="2018" spans="1:12" x14ac:dyDescent="0.2">
      <c r="A2018" t="s">
        <v>9756</v>
      </c>
      <c r="B2018" t="s">
        <v>74</v>
      </c>
      <c r="C2018" t="s">
        <v>9168</v>
      </c>
      <c r="D2018" t="s">
        <v>44</v>
      </c>
      <c r="E2018">
        <v>2025</v>
      </c>
      <c r="F2018">
        <v>2027</v>
      </c>
      <c r="G2018" s="11">
        <v>340000</v>
      </c>
      <c r="H2018">
        <f t="shared" si="130"/>
        <v>340000</v>
      </c>
      <c r="I2018" t="str">
        <f t="shared" si="131"/>
        <v/>
      </c>
      <c r="J2018" t="str">
        <f t="shared" si="132"/>
        <v/>
      </c>
      <c r="K2018">
        <f>IF(E2018="","",SUM(ContractsTbl[[#This Row],[salaryY1]:[salaryY4]]))</f>
        <v>680000</v>
      </c>
      <c r="L2018" t="b">
        <f t="shared" si="133"/>
        <v>0</v>
      </c>
    </row>
    <row r="2019" spans="1:12" x14ac:dyDescent="0.2">
      <c r="A2019" t="s">
        <v>9757</v>
      </c>
      <c r="B2019" t="s">
        <v>74</v>
      </c>
      <c r="C2019" t="s">
        <v>9169</v>
      </c>
      <c r="D2019" t="s">
        <v>44</v>
      </c>
      <c r="E2019">
        <v>2025</v>
      </c>
      <c r="F2019">
        <v>2027</v>
      </c>
      <c r="G2019" s="11">
        <v>370000</v>
      </c>
      <c r="H2019">
        <f t="shared" si="130"/>
        <v>370000</v>
      </c>
      <c r="I2019" t="str">
        <f t="shared" si="131"/>
        <v/>
      </c>
      <c r="J2019" t="str">
        <f t="shared" si="132"/>
        <v/>
      </c>
      <c r="K2019">
        <f>IF(E2019="","",SUM(ContractsTbl[[#This Row],[salaryY1]:[salaryY4]]))</f>
        <v>740000</v>
      </c>
      <c r="L2019" t="b">
        <f t="shared" si="133"/>
        <v>0</v>
      </c>
    </row>
    <row r="2020" spans="1:12" x14ac:dyDescent="0.2">
      <c r="A2020" t="s">
        <v>9758</v>
      </c>
      <c r="B2020" t="s">
        <v>74</v>
      </c>
      <c r="C2020" t="s">
        <v>9170</v>
      </c>
      <c r="D2020" t="s">
        <v>44</v>
      </c>
      <c r="E2020">
        <v>2025</v>
      </c>
      <c r="F2020">
        <v>2027</v>
      </c>
      <c r="G2020" s="11">
        <v>350000</v>
      </c>
      <c r="H2020">
        <f t="shared" si="130"/>
        <v>350000</v>
      </c>
      <c r="I2020" t="str">
        <f t="shared" si="131"/>
        <v/>
      </c>
      <c r="J2020" t="str">
        <f t="shared" si="132"/>
        <v/>
      </c>
      <c r="K2020">
        <f>IF(E2020="","",SUM(ContractsTbl[[#This Row],[salaryY1]:[salaryY4]]))</f>
        <v>700000</v>
      </c>
      <c r="L2020" t="b">
        <f t="shared" si="133"/>
        <v>0</v>
      </c>
    </row>
    <row r="2021" spans="1:12" x14ac:dyDescent="0.2">
      <c r="A2021" t="s">
        <v>9759</v>
      </c>
      <c r="B2021" t="s">
        <v>74</v>
      </c>
      <c r="C2021" t="s">
        <v>9171</v>
      </c>
      <c r="D2021" t="s">
        <v>44</v>
      </c>
      <c r="E2021">
        <v>2025</v>
      </c>
      <c r="F2021">
        <v>2027</v>
      </c>
      <c r="G2021" s="11">
        <v>330000</v>
      </c>
      <c r="H2021">
        <f t="shared" si="130"/>
        <v>330000</v>
      </c>
      <c r="I2021" t="str">
        <f t="shared" si="131"/>
        <v/>
      </c>
      <c r="J2021" t="str">
        <f t="shared" si="132"/>
        <v/>
      </c>
      <c r="K2021">
        <f>IF(E2021="","",SUM(ContractsTbl[[#This Row],[salaryY1]:[salaryY4]]))</f>
        <v>660000</v>
      </c>
      <c r="L2021" t="b">
        <f t="shared" si="133"/>
        <v>0</v>
      </c>
    </row>
    <row r="2022" spans="1:12" x14ac:dyDescent="0.2">
      <c r="A2022" t="s">
        <v>9760</v>
      </c>
      <c r="B2022" t="s">
        <v>74</v>
      </c>
      <c r="C2022" t="s">
        <v>9172</v>
      </c>
      <c r="D2022" t="s">
        <v>44</v>
      </c>
      <c r="E2022">
        <v>2025</v>
      </c>
      <c r="F2022">
        <v>2027</v>
      </c>
      <c r="G2022" s="11">
        <v>665000</v>
      </c>
      <c r="H2022">
        <f t="shared" si="130"/>
        <v>665000</v>
      </c>
      <c r="I2022" t="str">
        <f t="shared" si="131"/>
        <v/>
      </c>
      <c r="J2022" t="str">
        <f t="shared" si="132"/>
        <v/>
      </c>
      <c r="K2022">
        <f>IF(E2022="","",SUM(ContractsTbl[[#This Row],[salaryY1]:[salaryY4]]))</f>
        <v>1330000</v>
      </c>
      <c r="L2022" t="b">
        <f t="shared" si="133"/>
        <v>0</v>
      </c>
    </row>
    <row r="2023" spans="1:12" x14ac:dyDescent="0.2">
      <c r="A2023" t="s">
        <v>9761</v>
      </c>
      <c r="B2023" t="s">
        <v>74</v>
      </c>
      <c r="C2023" t="s">
        <v>9173</v>
      </c>
      <c r="D2023" t="s">
        <v>44</v>
      </c>
      <c r="E2023">
        <v>2025</v>
      </c>
      <c r="F2023">
        <v>2027</v>
      </c>
      <c r="G2023" s="11">
        <v>527142.85714285704</v>
      </c>
      <c r="H2023">
        <f t="shared" si="130"/>
        <v>527142.85714285704</v>
      </c>
      <c r="I2023" t="str">
        <f t="shared" si="131"/>
        <v/>
      </c>
      <c r="J2023" t="str">
        <f t="shared" si="132"/>
        <v/>
      </c>
      <c r="K2023">
        <f>IF(E2023="","",SUM(ContractsTbl[[#This Row],[salaryY1]:[salaryY4]]))</f>
        <v>1054285.7142857141</v>
      </c>
      <c r="L2023" t="b">
        <f t="shared" si="133"/>
        <v>0</v>
      </c>
    </row>
    <row r="2024" spans="1:12" x14ac:dyDescent="0.2">
      <c r="A2024" t="s">
        <v>9762</v>
      </c>
      <c r="B2024" t="s">
        <v>74</v>
      </c>
      <c r="C2024" t="s">
        <v>9174</v>
      </c>
      <c r="D2024" t="s">
        <v>44</v>
      </c>
      <c r="E2024">
        <v>2025</v>
      </c>
      <c r="F2024">
        <v>2027</v>
      </c>
      <c r="G2024" s="11">
        <v>330000</v>
      </c>
      <c r="H2024">
        <f t="shared" si="130"/>
        <v>330000</v>
      </c>
      <c r="I2024" t="str">
        <f t="shared" si="131"/>
        <v/>
      </c>
      <c r="J2024" t="str">
        <f t="shared" si="132"/>
        <v/>
      </c>
      <c r="K2024">
        <f>IF(E2024="","",SUM(ContractsTbl[[#This Row],[salaryY1]:[salaryY4]]))</f>
        <v>660000</v>
      </c>
      <c r="L2024" t="b">
        <f t="shared" si="133"/>
        <v>0</v>
      </c>
    </row>
    <row r="2025" spans="1:12" x14ac:dyDescent="0.2">
      <c r="A2025" t="s">
        <v>9763</v>
      </c>
      <c r="B2025" t="s">
        <v>74</v>
      </c>
      <c r="C2025" t="s">
        <v>9175</v>
      </c>
      <c r="D2025" t="s">
        <v>44</v>
      </c>
      <c r="E2025">
        <v>2025</v>
      </c>
      <c r="F2025">
        <v>2027</v>
      </c>
      <c r="G2025" s="11">
        <v>340000</v>
      </c>
      <c r="H2025">
        <f t="shared" si="130"/>
        <v>340000</v>
      </c>
      <c r="I2025" t="str">
        <f t="shared" si="131"/>
        <v/>
      </c>
      <c r="J2025" t="str">
        <f t="shared" si="132"/>
        <v/>
      </c>
      <c r="K2025">
        <f>IF(E2025="","",SUM(ContractsTbl[[#This Row],[salaryY1]:[salaryY4]]))</f>
        <v>680000</v>
      </c>
      <c r="L2025" t="b">
        <f t="shared" si="133"/>
        <v>0</v>
      </c>
    </row>
    <row r="2026" spans="1:12" x14ac:dyDescent="0.2">
      <c r="A2026" t="s">
        <v>9764</v>
      </c>
      <c r="B2026" t="s">
        <v>74</v>
      </c>
      <c r="C2026" t="s">
        <v>9176</v>
      </c>
      <c r="D2026" t="s">
        <v>44</v>
      </c>
      <c r="E2026">
        <v>2025</v>
      </c>
      <c r="F2026">
        <v>2027</v>
      </c>
      <c r="G2026" s="11">
        <v>370000</v>
      </c>
      <c r="H2026">
        <f t="shared" si="130"/>
        <v>370000</v>
      </c>
      <c r="I2026" t="str">
        <f t="shared" si="131"/>
        <v/>
      </c>
      <c r="J2026" t="str">
        <f t="shared" si="132"/>
        <v/>
      </c>
      <c r="K2026">
        <f>IF(E2026="","",SUM(ContractsTbl[[#This Row],[salaryY1]:[salaryY4]]))</f>
        <v>740000</v>
      </c>
      <c r="L2026" t="b">
        <f t="shared" si="133"/>
        <v>0</v>
      </c>
    </row>
    <row r="2027" spans="1:12" x14ac:dyDescent="0.2">
      <c r="A2027" t="s">
        <v>9765</v>
      </c>
      <c r="B2027" t="s">
        <v>74</v>
      </c>
      <c r="C2027" t="s">
        <v>9177</v>
      </c>
      <c r="D2027" t="s">
        <v>44</v>
      </c>
      <c r="E2027">
        <v>2025</v>
      </c>
      <c r="F2027">
        <v>2027</v>
      </c>
      <c r="G2027" s="11">
        <v>350000</v>
      </c>
      <c r="H2027">
        <f t="shared" si="130"/>
        <v>350000</v>
      </c>
      <c r="I2027" t="str">
        <f t="shared" si="131"/>
        <v/>
      </c>
      <c r="J2027" t="str">
        <f t="shared" si="132"/>
        <v/>
      </c>
      <c r="K2027">
        <f>IF(E2027="","",SUM(ContractsTbl[[#This Row],[salaryY1]:[salaryY4]]))</f>
        <v>700000</v>
      </c>
      <c r="L2027" t="b">
        <f t="shared" si="133"/>
        <v>0</v>
      </c>
    </row>
    <row r="2028" spans="1:12" x14ac:dyDescent="0.2">
      <c r="A2028" t="s">
        <v>9766</v>
      </c>
      <c r="B2028" t="s">
        <v>74</v>
      </c>
      <c r="C2028" t="s">
        <v>9178</v>
      </c>
      <c r="D2028" t="s">
        <v>44</v>
      </c>
      <c r="E2028">
        <v>2025</v>
      </c>
      <c r="F2028">
        <v>2027</v>
      </c>
      <c r="G2028" s="11">
        <v>330000</v>
      </c>
      <c r="H2028">
        <f t="shared" si="130"/>
        <v>330000</v>
      </c>
      <c r="I2028" t="str">
        <f t="shared" si="131"/>
        <v/>
      </c>
      <c r="J2028" t="str">
        <f t="shared" si="132"/>
        <v/>
      </c>
      <c r="K2028">
        <f>IF(E2028="","",SUM(ContractsTbl[[#This Row],[salaryY1]:[salaryY4]]))</f>
        <v>660000</v>
      </c>
      <c r="L2028" t="b">
        <f t="shared" si="133"/>
        <v>0</v>
      </c>
    </row>
    <row r="2029" spans="1:12" x14ac:dyDescent="0.2">
      <c r="A2029" t="s">
        <v>9767</v>
      </c>
      <c r="B2029" t="s">
        <v>74</v>
      </c>
      <c r="C2029" t="s">
        <v>9179</v>
      </c>
      <c r="D2029" t="s">
        <v>44</v>
      </c>
      <c r="E2029">
        <v>2025</v>
      </c>
      <c r="F2029">
        <v>2027</v>
      </c>
      <c r="G2029" s="11">
        <v>665000</v>
      </c>
      <c r="H2029">
        <f t="shared" si="130"/>
        <v>665000</v>
      </c>
      <c r="I2029" t="str">
        <f t="shared" si="131"/>
        <v/>
      </c>
      <c r="J2029" t="str">
        <f t="shared" si="132"/>
        <v/>
      </c>
      <c r="K2029">
        <f>IF(E2029="","",SUM(ContractsTbl[[#This Row],[salaryY1]:[salaryY4]]))</f>
        <v>1330000</v>
      </c>
      <c r="L2029" t="b">
        <f t="shared" si="133"/>
        <v>0</v>
      </c>
    </row>
    <row r="2030" spans="1:12" x14ac:dyDescent="0.2">
      <c r="A2030" t="s">
        <v>9768</v>
      </c>
      <c r="B2030" t="s">
        <v>74</v>
      </c>
      <c r="C2030" t="s">
        <v>9180</v>
      </c>
      <c r="D2030" t="s">
        <v>44</v>
      </c>
      <c r="E2030">
        <v>2025</v>
      </c>
      <c r="F2030">
        <v>2027</v>
      </c>
      <c r="G2030" s="11">
        <v>330000</v>
      </c>
      <c r="H2030">
        <f t="shared" si="130"/>
        <v>330000</v>
      </c>
      <c r="I2030" t="str">
        <f t="shared" si="131"/>
        <v/>
      </c>
      <c r="J2030" t="str">
        <f t="shared" si="132"/>
        <v/>
      </c>
      <c r="K2030">
        <f>IF(E2030="","",SUM(ContractsTbl[[#This Row],[salaryY1]:[salaryY4]]))</f>
        <v>660000</v>
      </c>
      <c r="L2030" t="b">
        <f t="shared" si="133"/>
        <v>0</v>
      </c>
    </row>
    <row r="2031" spans="1:12" x14ac:dyDescent="0.2">
      <c r="A2031" t="s">
        <v>9769</v>
      </c>
      <c r="B2031" t="s">
        <v>74</v>
      </c>
      <c r="C2031" t="s">
        <v>9181</v>
      </c>
      <c r="D2031" t="s">
        <v>44</v>
      </c>
      <c r="E2031">
        <v>2025</v>
      </c>
      <c r="F2031">
        <v>2027</v>
      </c>
      <c r="G2031" s="11">
        <v>340000</v>
      </c>
      <c r="H2031">
        <f t="shared" si="130"/>
        <v>340000</v>
      </c>
      <c r="I2031" t="str">
        <f t="shared" si="131"/>
        <v/>
      </c>
      <c r="J2031" t="str">
        <f t="shared" si="132"/>
        <v/>
      </c>
      <c r="K2031">
        <f>IF(E2031="","",SUM(ContractsTbl[[#This Row],[salaryY1]:[salaryY4]]))</f>
        <v>680000</v>
      </c>
      <c r="L2031" t="b">
        <f t="shared" si="133"/>
        <v>0</v>
      </c>
    </row>
    <row r="2032" spans="1:12" x14ac:dyDescent="0.2">
      <c r="A2032" t="s">
        <v>9770</v>
      </c>
      <c r="B2032" t="s">
        <v>74</v>
      </c>
      <c r="C2032" t="s">
        <v>9182</v>
      </c>
      <c r="D2032" t="s">
        <v>44</v>
      </c>
      <c r="E2032">
        <v>2025</v>
      </c>
      <c r="F2032">
        <v>2027</v>
      </c>
      <c r="G2032" s="11">
        <v>370000</v>
      </c>
      <c r="H2032">
        <f t="shared" si="130"/>
        <v>370000</v>
      </c>
      <c r="I2032" t="str">
        <f t="shared" si="131"/>
        <v/>
      </c>
      <c r="J2032" t="str">
        <f t="shared" si="132"/>
        <v/>
      </c>
      <c r="K2032">
        <f>IF(E2032="","",SUM(ContractsTbl[[#This Row],[salaryY1]:[salaryY4]]))</f>
        <v>740000</v>
      </c>
      <c r="L2032" t="b">
        <f t="shared" si="133"/>
        <v>0</v>
      </c>
    </row>
    <row r="2033" spans="1:12" x14ac:dyDescent="0.2">
      <c r="A2033" t="s">
        <v>9771</v>
      </c>
      <c r="B2033" t="s">
        <v>74</v>
      </c>
      <c r="C2033" t="s">
        <v>9183</v>
      </c>
      <c r="D2033" t="s">
        <v>44</v>
      </c>
      <c r="E2033">
        <v>2025</v>
      </c>
      <c r="F2033">
        <v>2027</v>
      </c>
      <c r="G2033" s="11">
        <v>350000</v>
      </c>
      <c r="H2033">
        <f t="shared" si="130"/>
        <v>350000</v>
      </c>
      <c r="I2033" t="str">
        <f t="shared" si="131"/>
        <v/>
      </c>
      <c r="J2033" t="str">
        <f t="shared" si="132"/>
        <v/>
      </c>
      <c r="K2033">
        <f>IF(E2033="","",SUM(ContractsTbl[[#This Row],[salaryY1]:[salaryY4]]))</f>
        <v>700000</v>
      </c>
      <c r="L2033" t="b">
        <f t="shared" si="133"/>
        <v>0</v>
      </c>
    </row>
    <row r="2034" spans="1:12" x14ac:dyDescent="0.2">
      <c r="A2034" t="s">
        <v>9772</v>
      </c>
      <c r="B2034" t="s">
        <v>74</v>
      </c>
      <c r="C2034" t="s">
        <v>9184</v>
      </c>
      <c r="D2034" t="s">
        <v>44</v>
      </c>
      <c r="E2034">
        <v>2025</v>
      </c>
      <c r="F2034">
        <v>2027</v>
      </c>
      <c r="G2034" s="11">
        <v>330000</v>
      </c>
      <c r="H2034">
        <f t="shared" si="130"/>
        <v>330000</v>
      </c>
      <c r="I2034" t="str">
        <f t="shared" si="131"/>
        <v/>
      </c>
      <c r="J2034" t="str">
        <f t="shared" si="132"/>
        <v/>
      </c>
      <c r="K2034">
        <f>IF(E2034="","",SUM(ContractsTbl[[#This Row],[salaryY1]:[salaryY4]]))</f>
        <v>660000</v>
      </c>
      <c r="L2034" t="b">
        <f t="shared" si="133"/>
        <v>0</v>
      </c>
    </row>
    <row r="2035" spans="1:12" x14ac:dyDescent="0.2">
      <c r="A2035" t="s">
        <v>9773</v>
      </c>
      <c r="B2035" t="s">
        <v>74</v>
      </c>
      <c r="C2035" t="s">
        <v>9185</v>
      </c>
      <c r="D2035" t="s">
        <v>44</v>
      </c>
      <c r="E2035">
        <v>2025</v>
      </c>
      <c r="F2035">
        <v>2027</v>
      </c>
      <c r="G2035" s="11">
        <v>665000</v>
      </c>
      <c r="H2035">
        <f t="shared" si="130"/>
        <v>665000</v>
      </c>
      <c r="I2035" t="str">
        <f t="shared" si="131"/>
        <v/>
      </c>
      <c r="J2035" t="str">
        <f t="shared" si="132"/>
        <v/>
      </c>
      <c r="K2035">
        <f>IF(E2035="","",SUM(ContractsTbl[[#This Row],[salaryY1]:[salaryY4]]))</f>
        <v>1330000</v>
      </c>
      <c r="L2035" t="b">
        <f t="shared" si="133"/>
        <v>0</v>
      </c>
    </row>
    <row r="2036" spans="1:12" x14ac:dyDescent="0.2">
      <c r="A2036" t="s">
        <v>9774</v>
      </c>
      <c r="B2036" t="s">
        <v>74</v>
      </c>
      <c r="C2036" t="s">
        <v>9186</v>
      </c>
      <c r="D2036" t="s">
        <v>44</v>
      </c>
      <c r="E2036">
        <v>2025</v>
      </c>
      <c r="F2036">
        <v>2027</v>
      </c>
      <c r="G2036" s="11">
        <v>419933.71212121198</v>
      </c>
      <c r="H2036">
        <f t="shared" si="130"/>
        <v>419933.71212121198</v>
      </c>
      <c r="I2036" t="str">
        <f t="shared" si="131"/>
        <v/>
      </c>
      <c r="J2036" t="str">
        <f t="shared" si="132"/>
        <v/>
      </c>
      <c r="K2036">
        <f>IF(E2036="","",SUM(ContractsTbl[[#This Row],[salaryY1]:[salaryY4]]))</f>
        <v>839867.42424242396</v>
      </c>
      <c r="L2036" t="b">
        <f t="shared" si="133"/>
        <v>0</v>
      </c>
    </row>
    <row r="2037" spans="1:12" x14ac:dyDescent="0.2">
      <c r="A2037" t="s">
        <v>9775</v>
      </c>
      <c r="B2037" t="s">
        <v>74</v>
      </c>
      <c r="C2037" t="s">
        <v>9187</v>
      </c>
      <c r="D2037" t="s">
        <v>44</v>
      </c>
      <c r="E2037">
        <v>2025</v>
      </c>
      <c r="F2037">
        <v>2027</v>
      </c>
      <c r="G2037" s="11">
        <v>418893.07995925599</v>
      </c>
      <c r="H2037">
        <f t="shared" si="130"/>
        <v>418893.07995925599</v>
      </c>
      <c r="I2037" t="str">
        <f t="shared" si="131"/>
        <v/>
      </c>
      <c r="J2037" t="str">
        <f t="shared" si="132"/>
        <v/>
      </c>
      <c r="K2037">
        <f>IF(E2037="","",SUM(ContractsTbl[[#This Row],[salaryY1]:[salaryY4]]))</f>
        <v>837786.15991851198</v>
      </c>
      <c r="L2037" t="b">
        <f t="shared" si="133"/>
        <v>0</v>
      </c>
    </row>
    <row r="2038" spans="1:12" x14ac:dyDescent="0.2">
      <c r="A2038" t="s">
        <v>9776</v>
      </c>
      <c r="B2038" t="s">
        <v>74</v>
      </c>
      <c r="C2038" t="s">
        <v>9188</v>
      </c>
      <c r="D2038" t="s">
        <v>44</v>
      </c>
      <c r="E2038">
        <v>2025</v>
      </c>
      <c r="F2038">
        <v>2027</v>
      </c>
      <c r="G2038" s="11">
        <v>417852.44779730099</v>
      </c>
      <c r="H2038">
        <f t="shared" si="130"/>
        <v>417852.44779730099</v>
      </c>
      <c r="I2038" t="str">
        <f t="shared" si="131"/>
        <v/>
      </c>
      <c r="J2038" t="str">
        <f t="shared" si="132"/>
        <v/>
      </c>
      <c r="K2038">
        <f>IF(E2038="","",SUM(ContractsTbl[[#This Row],[salaryY1]:[salaryY4]]))</f>
        <v>835704.89559460199</v>
      </c>
      <c r="L2038" t="b">
        <f t="shared" si="133"/>
        <v>0</v>
      </c>
    </row>
    <row r="2039" spans="1:12" x14ac:dyDescent="0.2">
      <c r="A2039" t="s">
        <v>9777</v>
      </c>
      <c r="B2039" t="s">
        <v>74</v>
      </c>
      <c r="C2039" t="s">
        <v>9189</v>
      </c>
      <c r="D2039" t="s">
        <v>44</v>
      </c>
      <c r="E2039">
        <v>2025</v>
      </c>
      <c r="F2039">
        <v>2027</v>
      </c>
      <c r="G2039" s="11">
        <v>416811.815635345</v>
      </c>
      <c r="H2039">
        <f t="shared" si="130"/>
        <v>416811.815635345</v>
      </c>
      <c r="I2039" t="str">
        <f t="shared" si="131"/>
        <v/>
      </c>
      <c r="J2039" t="str">
        <f t="shared" si="132"/>
        <v/>
      </c>
      <c r="K2039">
        <f>IF(E2039="","",SUM(ContractsTbl[[#This Row],[salaryY1]:[salaryY4]]))</f>
        <v>833623.63127069001</v>
      </c>
      <c r="L2039" t="b">
        <f t="shared" si="133"/>
        <v>0</v>
      </c>
    </row>
    <row r="2040" spans="1:12" x14ac:dyDescent="0.2">
      <c r="A2040" t="s">
        <v>9778</v>
      </c>
      <c r="B2040" t="s">
        <v>74</v>
      </c>
      <c r="C2040" t="s">
        <v>9190</v>
      </c>
      <c r="D2040" t="s">
        <v>44</v>
      </c>
      <c r="E2040">
        <v>2025</v>
      </c>
      <c r="F2040">
        <v>2027</v>
      </c>
      <c r="G2040" s="11">
        <v>415771.18347338901</v>
      </c>
      <c r="H2040">
        <f t="shared" si="130"/>
        <v>415771.18347338901</v>
      </c>
      <c r="I2040" t="str">
        <f t="shared" si="131"/>
        <v/>
      </c>
      <c r="J2040" t="str">
        <f t="shared" si="132"/>
        <v/>
      </c>
      <c r="K2040">
        <f>IF(E2040="","",SUM(ContractsTbl[[#This Row],[salaryY1]:[salaryY4]]))</f>
        <v>831542.36694677803</v>
      </c>
      <c r="L2040" t="b">
        <f t="shared" si="133"/>
        <v>0</v>
      </c>
    </row>
    <row r="2041" spans="1:12" x14ac:dyDescent="0.2">
      <c r="A2041" t="s">
        <v>9779</v>
      </c>
      <c r="B2041" t="s">
        <v>74</v>
      </c>
      <c r="C2041" t="s">
        <v>9191</v>
      </c>
      <c r="D2041" t="s">
        <v>44</v>
      </c>
      <c r="E2041">
        <v>2025</v>
      </c>
      <c r="F2041">
        <v>2027</v>
      </c>
      <c r="G2041" s="11">
        <v>414730.55131143401</v>
      </c>
      <c r="H2041">
        <f t="shared" si="130"/>
        <v>414730.55131143401</v>
      </c>
      <c r="I2041" t="str">
        <f t="shared" si="131"/>
        <v/>
      </c>
      <c r="J2041" t="str">
        <f t="shared" si="132"/>
        <v/>
      </c>
      <c r="K2041">
        <f>IF(E2041="","",SUM(ContractsTbl[[#This Row],[salaryY1]:[salaryY4]]))</f>
        <v>829461.10262286803</v>
      </c>
      <c r="L2041" t="b">
        <f t="shared" si="133"/>
        <v>0</v>
      </c>
    </row>
    <row r="2042" spans="1:12" x14ac:dyDescent="0.2">
      <c r="A2042" t="s">
        <v>9780</v>
      </c>
      <c r="B2042" t="s">
        <v>74</v>
      </c>
      <c r="C2042" t="s">
        <v>9192</v>
      </c>
      <c r="D2042" t="s">
        <v>44</v>
      </c>
      <c r="E2042">
        <v>2025</v>
      </c>
      <c r="F2042">
        <v>2027</v>
      </c>
      <c r="G2042" s="11">
        <v>413689.91914947802</v>
      </c>
      <c r="H2042">
        <f t="shared" si="130"/>
        <v>413689.91914947802</v>
      </c>
      <c r="I2042" t="str">
        <f t="shared" si="131"/>
        <v/>
      </c>
      <c r="J2042" t="str">
        <f t="shared" si="132"/>
        <v/>
      </c>
      <c r="K2042">
        <f>IF(E2042="","",SUM(ContractsTbl[[#This Row],[salaryY1]:[salaryY4]]))</f>
        <v>827379.83829895605</v>
      </c>
      <c r="L2042" t="b">
        <f t="shared" si="133"/>
        <v>0</v>
      </c>
    </row>
    <row r="2043" spans="1:12" x14ac:dyDescent="0.2">
      <c r="A2043" t="s">
        <v>9781</v>
      </c>
      <c r="B2043" t="s">
        <v>74</v>
      </c>
      <c r="C2043" t="s">
        <v>9193</v>
      </c>
      <c r="D2043" t="s">
        <v>44</v>
      </c>
      <c r="E2043">
        <v>2025</v>
      </c>
      <c r="F2043">
        <v>2027</v>
      </c>
      <c r="G2043" s="11">
        <v>412649.28698752198</v>
      </c>
      <c r="H2043">
        <f t="shared" si="130"/>
        <v>412649.28698752198</v>
      </c>
      <c r="I2043" t="str">
        <f t="shared" si="131"/>
        <v/>
      </c>
      <c r="J2043" t="str">
        <f t="shared" si="132"/>
        <v/>
      </c>
      <c r="K2043">
        <f>IF(E2043="","",SUM(ContractsTbl[[#This Row],[salaryY1]:[salaryY4]]))</f>
        <v>825298.57397504395</v>
      </c>
      <c r="L2043" t="b">
        <f t="shared" si="133"/>
        <v>0</v>
      </c>
    </row>
    <row r="2044" spans="1:12" x14ac:dyDescent="0.2">
      <c r="A2044" t="s">
        <v>9782</v>
      </c>
      <c r="B2044" t="s">
        <v>74</v>
      </c>
      <c r="C2044" t="s">
        <v>9194</v>
      </c>
      <c r="D2044" t="s">
        <v>44</v>
      </c>
      <c r="E2044">
        <v>2025</v>
      </c>
      <c r="F2044">
        <v>2027</v>
      </c>
      <c r="G2044" s="11">
        <v>411608.65482556698</v>
      </c>
      <c r="H2044">
        <f t="shared" si="130"/>
        <v>411608.65482556698</v>
      </c>
      <c r="I2044" t="str">
        <f t="shared" si="131"/>
        <v/>
      </c>
      <c r="J2044" t="str">
        <f t="shared" si="132"/>
        <v/>
      </c>
      <c r="K2044">
        <f>IF(E2044="","",SUM(ContractsTbl[[#This Row],[salaryY1]:[salaryY4]]))</f>
        <v>823217.30965113395</v>
      </c>
      <c r="L2044" t="b">
        <f t="shared" si="133"/>
        <v>0</v>
      </c>
    </row>
    <row r="2045" spans="1:12" x14ac:dyDescent="0.2">
      <c r="A2045" t="s">
        <v>9783</v>
      </c>
      <c r="B2045" t="s">
        <v>74</v>
      </c>
      <c r="C2045" t="s">
        <v>9195</v>
      </c>
      <c r="D2045" t="s">
        <v>44</v>
      </c>
      <c r="E2045">
        <v>2025</v>
      </c>
      <c r="F2045">
        <v>2027</v>
      </c>
      <c r="G2045" s="11">
        <v>410568.02266361099</v>
      </c>
      <c r="H2045">
        <f t="shared" si="130"/>
        <v>410568.02266361099</v>
      </c>
      <c r="I2045" t="str">
        <f t="shared" si="131"/>
        <v/>
      </c>
      <c r="J2045" t="str">
        <f t="shared" si="132"/>
        <v/>
      </c>
      <c r="K2045">
        <f>IF(E2045="","",SUM(ContractsTbl[[#This Row],[salaryY1]:[salaryY4]]))</f>
        <v>821136.04532722197</v>
      </c>
      <c r="L2045" t="b">
        <f t="shared" si="133"/>
        <v>0</v>
      </c>
    </row>
    <row r="2046" spans="1:12" x14ac:dyDescent="0.2">
      <c r="A2046" t="s">
        <v>9784</v>
      </c>
      <c r="B2046" t="s">
        <v>74</v>
      </c>
      <c r="C2046" t="s">
        <v>9196</v>
      </c>
      <c r="D2046" t="s">
        <v>44</v>
      </c>
      <c r="E2046">
        <v>2025</v>
      </c>
      <c r="F2046">
        <v>2027</v>
      </c>
      <c r="G2046" s="11">
        <v>409527.390501655</v>
      </c>
      <c r="H2046">
        <f t="shared" si="130"/>
        <v>409527.390501655</v>
      </c>
      <c r="I2046" t="str">
        <f t="shared" si="131"/>
        <v/>
      </c>
      <c r="J2046" t="str">
        <f t="shared" si="132"/>
        <v/>
      </c>
      <c r="K2046">
        <f>IF(E2046="","",SUM(ContractsTbl[[#This Row],[salaryY1]:[salaryY4]]))</f>
        <v>819054.78100331</v>
      </c>
      <c r="L2046" t="b">
        <f t="shared" si="133"/>
        <v>0</v>
      </c>
    </row>
    <row r="2047" spans="1:12" x14ac:dyDescent="0.2">
      <c r="A2047" t="s">
        <v>9785</v>
      </c>
      <c r="B2047" t="s">
        <v>74</v>
      </c>
      <c r="C2047" t="s">
        <v>9197</v>
      </c>
      <c r="D2047" t="s">
        <v>44</v>
      </c>
      <c r="E2047">
        <v>2025</v>
      </c>
      <c r="F2047">
        <v>2027</v>
      </c>
      <c r="G2047" s="11">
        <v>408486.7583397</v>
      </c>
      <c r="H2047">
        <f t="shared" si="130"/>
        <v>408486.7583397</v>
      </c>
      <c r="I2047" t="str">
        <f t="shared" si="131"/>
        <v/>
      </c>
      <c r="J2047" t="str">
        <f t="shared" si="132"/>
        <v/>
      </c>
      <c r="K2047">
        <f>IF(E2047="","",SUM(ContractsTbl[[#This Row],[salaryY1]:[salaryY4]]))</f>
        <v>816973.5166794</v>
      </c>
      <c r="L2047" t="b">
        <f t="shared" si="133"/>
        <v>0</v>
      </c>
    </row>
    <row r="2048" spans="1:12" x14ac:dyDescent="0.2">
      <c r="A2048" t="s">
        <v>9786</v>
      </c>
      <c r="B2048" t="s">
        <v>74</v>
      </c>
      <c r="C2048" t="s">
        <v>9198</v>
      </c>
      <c r="D2048" t="s">
        <v>44</v>
      </c>
      <c r="E2048">
        <v>2025</v>
      </c>
      <c r="F2048">
        <v>2027</v>
      </c>
      <c r="G2048" s="11">
        <v>407446.12617774401</v>
      </c>
      <c r="H2048">
        <f t="shared" si="130"/>
        <v>407446.12617774401</v>
      </c>
      <c r="I2048" t="str">
        <f t="shared" si="131"/>
        <v/>
      </c>
      <c r="J2048" t="str">
        <f t="shared" si="132"/>
        <v/>
      </c>
      <c r="K2048">
        <f>IF(E2048="","",SUM(ContractsTbl[[#This Row],[salaryY1]:[salaryY4]]))</f>
        <v>814892.25235548802</v>
      </c>
      <c r="L2048" t="b">
        <f t="shared" si="133"/>
        <v>0</v>
      </c>
    </row>
    <row r="2049" spans="1:12" x14ac:dyDescent="0.2">
      <c r="A2049" t="s">
        <v>9787</v>
      </c>
      <c r="B2049" t="s">
        <v>74</v>
      </c>
      <c r="C2049" t="s">
        <v>9199</v>
      </c>
      <c r="D2049" t="s">
        <v>44</v>
      </c>
      <c r="E2049">
        <v>2025</v>
      </c>
      <c r="F2049">
        <v>2027</v>
      </c>
      <c r="G2049" s="11">
        <v>406405.49401578802</v>
      </c>
      <c r="H2049">
        <f t="shared" si="130"/>
        <v>406405.49401578802</v>
      </c>
      <c r="I2049" t="str">
        <f t="shared" si="131"/>
        <v/>
      </c>
      <c r="J2049" t="str">
        <f t="shared" si="132"/>
        <v/>
      </c>
      <c r="K2049">
        <f>IF(E2049="","",SUM(ContractsTbl[[#This Row],[salaryY1]:[salaryY4]]))</f>
        <v>812810.98803157604</v>
      </c>
      <c r="L2049" t="b">
        <f t="shared" si="133"/>
        <v>0</v>
      </c>
    </row>
    <row r="2050" spans="1:12" x14ac:dyDescent="0.2">
      <c r="A2050" t="s">
        <v>9788</v>
      </c>
      <c r="B2050" t="s">
        <v>74</v>
      </c>
      <c r="C2050" t="s">
        <v>9200</v>
      </c>
      <c r="D2050" t="s">
        <v>44</v>
      </c>
      <c r="E2050">
        <v>2025</v>
      </c>
      <c r="F2050">
        <v>2027</v>
      </c>
      <c r="G2050" s="11">
        <v>405364.86185383197</v>
      </c>
      <c r="H2050">
        <f t="shared" si="130"/>
        <v>405364.86185383197</v>
      </c>
      <c r="I2050" t="str">
        <f t="shared" si="131"/>
        <v/>
      </c>
      <c r="J2050" t="str">
        <f t="shared" si="132"/>
        <v/>
      </c>
      <c r="K2050">
        <f>IF(E2050="","",SUM(ContractsTbl[[#This Row],[salaryY1]:[salaryY4]]))</f>
        <v>810729.72370766394</v>
      </c>
      <c r="L2050" t="b">
        <f t="shared" si="133"/>
        <v>0</v>
      </c>
    </row>
    <row r="2051" spans="1:12" x14ac:dyDescent="0.2">
      <c r="A2051" t="s">
        <v>9789</v>
      </c>
      <c r="B2051" t="s">
        <v>74</v>
      </c>
      <c r="C2051" t="s">
        <v>9201</v>
      </c>
      <c r="D2051" t="s">
        <v>44</v>
      </c>
      <c r="E2051">
        <v>2025</v>
      </c>
      <c r="F2051">
        <v>2027</v>
      </c>
      <c r="G2051" s="11">
        <v>404324.22969187697</v>
      </c>
      <c r="H2051">
        <f t="shared" si="130"/>
        <v>404324.22969187697</v>
      </c>
      <c r="I2051" t="str">
        <f t="shared" si="131"/>
        <v/>
      </c>
      <c r="J2051" t="str">
        <f t="shared" si="132"/>
        <v/>
      </c>
      <c r="K2051">
        <f>IF(E2051="","",SUM(ContractsTbl[[#This Row],[salaryY1]:[salaryY4]]))</f>
        <v>808648.45938375394</v>
      </c>
      <c r="L2051" t="b">
        <f t="shared" si="133"/>
        <v>0</v>
      </c>
    </row>
    <row r="2052" spans="1:12" x14ac:dyDescent="0.2">
      <c r="A2052" t="s">
        <v>9790</v>
      </c>
      <c r="B2052" t="s">
        <v>74</v>
      </c>
      <c r="C2052" t="s">
        <v>9202</v>
      </c>
      <c r="D2052" t="s">
        <v>44</v>
      </c>
      <c r="E2052">
        <v>2025</v>
      </c>
      <c r="F2052">
        <v>2027</v>
      </c>
      <c r="G2052" s="11">
        <v>403283.59752992098</v>
      </c>
      <c r="H2052">
        <f t="shared" si="130"/>
        <v>403283.59752992098</v>
      </c>
      <c r="I2052" t="str">
        <f t="shared" si="131"/>
        <v/>
      </c>
      <c r="J2052" t="str">
        <f t="shared" si="132"/>
        <v/>
      </c>
      <c r="K2052">
        <f>IF(E2052="","",SUM(ContractsTbl[[#This Row],[salaryY1]:[salaryY4]]))</f>
        <v>806567.19505984196</v>
      </c>
      <c r="L2052" t="b">
        <f t="shared" si="133"/>
        <v>0</v>
      </c>
    </row>
    <row r="2053" spans="1:12" x14ac:dyDescent="0.2">
      <c r="A2053" t="s">
        <v>9791</v>
      </c>
      <c r="B2053" t="s">
        <v>74</v>
      </c>
      <c r="C2053" t="s">
        <v>9203</v>
      </c>
      <c r="D2053" t="s">
        <v>44</v>
      </c>
      <c r="E2053">
        <v>2025</v>
      </c>
      <c r="F2053">
        <v>2027</v>
      </c>
      <c r="G2053" s="11">
        <v>402242.96536796499</v>
      </c>
      <c r="H2053">
        <f t="shared" si="130"/>
        <v>402242.96536796499</v>
      </c>
      <c r="I2053" t="str">
        <f t="shared" si="131"/>
        <v/>
      </c>
      <c r="J2053" t="str">
        <f t="shared" si="132"/>
        <v/>
      </c>
      <c r="K2053">
        <f>IF(E2053="","",SUM(ContractsTbl[[#This Row],[salaryY1]:[salaryY4]]))</f>
        <v>804485.93073592999</v>
      </c>
      <c r="L2053" t="b">
        <f t="shared" si="133"/>
        <v>0</v>
      </c>
    </row>
    <row r="2054" spans="1:12" x14ac:dyDescent="0.2">
      <c r="A2054" t="s">
        <v>9792</v>
      </c>
      <c r="B2054" t="s">
        <v>74</v>
      </c>
      <c r="C2054" t="s">
        <v>9204</v>
      </c>
      <c r="D2054" t="s">
        <v>44</v>
      </c>
      <c r="E2054">
        <v>2025</v>
      </c>
      <c r="F2054">
        <v>2027</v>
      </c>
      <c r="G2054" s="11">
        <v>401202.33320600999</v>
      </c>
      <c r="H2054">
        <f t="shared" si="130"/>
        <v>401202.33320600999</v>
      </c>
      <c r="I2054" t="str">
        <f t="shared" si="131"/>
        <v/>
      </c>
      <c r="J2054" t="str">
        <f t="shared" si="132"/>
        <v/>
      </c>
      <c r="K2054">
        <f>IF(E2054="","",SUM(ContractsTbl[[#This Row],[salaryY1]:[salaryY4]]))</f>
        <v>802404.66641201999</v>
      </c>
      <c r="L2054" t="b">
        <f t="shared" si="133"/>
        <v>0</v>
      </c>
    </row>
    <row r="2055" spans="1:12" x14ac:dyDescent="0.2">
      <c r="A2055" t="s">
        <v>9793</v>
      </c>
      <c r="B2055" t="s">
        <v>74</v>
      </c>
      <c r="C2055" t="s">
        <v>9205</v>
      </c>
      <c r="D2055" t="s">
        <v>44</v>
      </c>
      <c r="E2055">
        <v>2025</v>
      </c>
      <c r="F2055">
        <v>2027</v>
      </c>
      <c r="G2055" s="11">
        <v>400161.701044054</v>
      </c>
      <c r="H2055">
        <f t="shared" si="130"/>
        <v>400161.701044054</v>
      </c>
      <c r="I2055" t="str">
        <f t="shared" si="131"/>
        <v/>
      </c>
      <c r="J2055" t="str">
        <f t="shared" si="132"/>
        <v/>
      </c>
      <c r="K2055">
        <f>IF(E2055="","",SUM(ContractsTbl[[#This Row],[salaryY1]:[salaryY4]]))</f>
        <v>800323.40208810801</v>
      </c>
      <c r="L2055" t="b">
        <f t="shared" si="133"/>
        <v>0</v>
      </c>
    </row>
    <row r="2056" spans="1:12" x14ac:dyDescent="0.2">
      <c r="A2056" t="s">
        <v>9794</v>
      </c>
      <c r="B2056" t="s">
        <v>74</v>
      </c>
      <c r="C2056" t="s">
        <v>9206</v>
      </c>
      <c r="D2056" t="s">
        <v>44</v>
      </c>
      <c r="E2056">
        <v>2025</v>
      </c>
      <c r="F2056">
        <v>2027</v>
      </c>
      <c r="G2056" s="11">
        <v>399121.06888209801</v>
      </c>
      <c r="H2056">
        <f t="shared" si="130"/>
        <v>399121.06888209801</v>
      </c>
      <c r="I2056" t="str">
        <f t="shared" si="131"/>
        <v/>
      </c>
      <c r="J2056" t="str">
        <f t="shared" si="132"/>
        <v/>
      </c>
      <c r="K2056">
        <f>IF(E2056="","",SUM(ContractsTbl[[#This Row],[salaryY1]:[salaryY4]]))</f>
        <v>798242.13776419603</v>
      </c>
      <c r="L2056" t="b">
        <f t="shared" si="133"/>
        <v>0</v>
      </c>
    </row>
    <row r="2057" spans="1:12" x14ac:dyDescent="0.2">
      <c r="A2057" t="s">
        <v>9795</v>
      </c>
      <c r="B2057" t="s">
        <v>74</v>
      </c>
      <c r="C2057" t="s">
        <v>9207</v>
      </c>
      <c r="D2057" t="s">
        <v>44</v>
      </c>
      <c r="E2057">
        <v>2025</v>
      </c>
      <c r="F2057">
        <v>2027</v>
      </c>
      <c r="G2057" s="11">
        <v>398080.43672014301</v>
      </c>
      <c r="H2057">
        <f t="shared" si="130"/>
        <v>398080.43672014301</v>
      </c>
      <c r="I2057" t="str">
        <f t="shared" si="131"/>
        <v/>
      </c>
      <c r="J2057" t="str">
        <f t="shared" si="132"/>
        <v/>
      </c>
      <c r="K2057">
        <f>IF(E2057="","",SUM(ContractsTbl[[#This Row],[salaryY1]:[salaryY4]]))</f>
        <v>796160.87344028603</v>
      </c>
      <c r="L2057" t="b">
        <f t="shared" si="133"/>
        <v>0</v>
      </c>
    </row>
    <row r="2058" spans="1:12" x14ac:dyDescent="0.2">
      <c r="A2058" t="s">
        <v>9796</v>
      </c>
      <c r="B2058" t="s">
        <v>74</v>
      </c>
      <c r="C2058" t="s">
        <v>9208</v>
      </c>
      <c r="D2058" t="s">
        <v>44</v>
      </c>
      <c r="E2058">
        <v>2025</v>
      </c>
      <c r="F2058">
        <v>2027</v>
      </c>
      <c r="G2058" s="11">
        <v>397039.80455818702</v>
      </c>
      <c r="H2058">
        <f t="shared" si="130"/>
        <v>397039.80455818702</v>
      </c>
      <c r="I2058" t="str">
        <f t="shared" si="131"/>
        <v/>
      </c>
      <c r="J2058" t="str">
        <f t="shared" si="132"/>
        <v/>
      </c>
      <c r="K2058">
        <f>IF(E2058="","",SUM(ContractsTbl[[#This Row],[salaryY1]:[salaryY4]]))</f>
        <v>794079.60911637405</v>
      </c>
      <c r="L2058" t="b">
        <f t="shared" si="133"/>
        <v>0</v>
      </c>
    </row>
    <row r="2059" spans="1:12" x14ac:dyDescent="0.2">
      <c r="A2059" t="s">
        <v>9797</v>
      </c>
      <c r="B2059" t="s">
        <v>74</v>
      </c>
      <c r="C2059" t="s">
        <v>9209</v>
      </c>
      <c r="D2059" t="s">
        <v>44</v>
      </c>
      <c r="E2059">
        <v>2025</v>
      </c>
      <c r="F2059">
        <v>2027</v>
      </c>
      <c r="G2059" s="11">
        <v>395999.17239623098</v>
      </c>
      <c r="H2059">
        <f t="shared" si="130"/>
        <v>395999.17239623098</v>
      </c>
      <c r="I2059" t="str">
        <f t="shared" si="131"/>
        <v/>
      </c>
      <c r="J2059" t="str">
        <f t="shared" si="132"/>
        <v/>
      </c>
      <c r="K2059">
        <f>IF(E2059="","",SUM(ContractsTbl[[#This Row],[salaryY1]:[salaryY4]]))</f>
        <v>791998.34479246195</v>
      </c>
      <c r="L2059" t="b">
        <f t="shared" si="133"/>
        <v>0</v>
      </c>
    </row>
    <row r="2060" spans="1:12" x14ac:dyDescent="0.2">
      <c r="A2060" t="s">
        <v>9798</v>
      </c>
      <c r="B2060" t="s">
        <v>74</v>
      </c>
      <c r="C2060" t="s">
        <v>9210</v>
      </c>
      <c r="D2060" t="s">
        <v>44</v>
      </c>
      <c r="E2060">
        <v>2025</v>
      </c>
      <c r="F2060">
        <v>2027</v>
      </c>
      <c r="G2060" s="11">
        <v>394958.54023427598</v>
      </c>
      <c r="H2060">
        <f t="shared" si="130"/>
        <v>394958.54023427598</v>
      </c>
      <c r="I2060" t="str">
        <f t="shared" si="131"/>
        <v/>
      </c>
      <c r="J2060" t="str">
        <f t="shared" si="132"/>
        <v/>
      </c>
      <c r="K2060">
        <f>IF(E2060="","",SUM(ContractsTbl[[#This Row],[salaryY1]:[salaryY4]]))</f>
        <v>789917.08046855195</v>
      </c>
      <c r="L2060" t="b">
        <f t="shared" si="133"/>
        <v>0</v>
      </c>
    </row>
    <row r="2061" spans="1:12" x14ac:dyDescent="0.2">
      <c r="A2061" t="s">
        <v>9799</v>
      </c>
      <c r="B2061" t="s">
        <v>74</v>
      </c>
      <c r="C2061" t="s">
        <v>9211</v>
      </c>
      <c r="D2061" t="s">
        <v>44</v>
      </c>
      <c r="E2061">
        <v>2025</v>
      </c>
      <c r="F2061">
        <v>2027</v>
      </c>
      <c r="G2061" s="11">
        <v>393917.90807231999</v>
      </c>
      <c r="H2061">
        <f t="shared" si="130"/>
        <v>393917.90807231999</v>
      </c>
      <c r="I2061" t="str">
        <f t="shared" si="131"/>
        <v/>
      </c>
      <c r="J2061" t="str">
        <f t="shared" si="132"/>
        <v/>
      </c>
      <c r="K2061">
        <f>IF(E2061="","",SUM(ContractsTbl[[#This Row],[salaryY1]:[salaryY4]]))</f>
        <v>787835.81614463998</v>
      </c>
      <c r="L2061" t="b">
        <f t="shared" si="133"/>
        <v>0</v>
      </c>
    </row>
    <row r="2062" spans="1:12" x14ac:dyDescent="0.2">
      <c r="A2062" t="s">
        <v>9800</v>
      </c>
      <c r="B2062" t="s">
        <v>74</v>
      </c>
      <c r="C2062" t="s">
        <v>9212</v>
      </c>
      <c r="D2062" t="s">
        <v>44</v>
      </c>
      <c r="E2062">
        <v>2025</v>
      </c>
      <c r="F2062">
        <v>2027</v>
      </c>
      <c r="G2062" s="11">
        <v>392877.275910364</v>
      </c>
      <c r="H2062">
        <f t="shared" si="130"/>
        <v>392877.275910364</v>
      </c>
      <c r="I2062" t="str">
        <f t="shared" si="131"/>
        <v/>
      </c>
      <c r="J2062" t="str">
        <f t="shared" si="132"/>
        <v/>
      </c>
      <c r="K2062">
        <f>IF(E2062="","",SUM(ContractsTbl[[#This Row],[salaryY1]:[salaryY4]]))</f>
        <v>785754.551820728</v>
      </c>
      <c r="L2062" t="b">
        <f t="shared" si="133"/>
        <v>0</v>
      </c>
    </row>
    <row r="2063" spans="1:12" x14ac:dyDescent="0.2">
      <c r="A2063" t="s">
        <v>9801</v>
      </c>
      <c r="B2063" t="s">
        <v>74</v>
      </c>
      <c r="C2063" t="s">
        <v>9213</v>
      </c>
      <c r="D2063" t="s">
        <v>44</v>
      </c>
      <c r="E2063">
        <v>2025</v>
      </c>
      <c r="F2063">
        <v>2027</v>
      </c>
      <c r="G2063" s="11">
        <v>391836.64374840801</v>
      </c>
      <c r="H2063">
        <f t="shared" si="130"/>
        <v>391836.64374840801</v>
      </c>
      <c r="I2063" t="str">
        <f t="shared" si="131"/>
        <v/>
      </c>
      <c r="J2063" t="str">
        <f t="shared" si="132"/>
        <v/>
      </c>
      <c r="K2063">
        <f>IF(E2063="","",SUM(ContractsTbl[[#This Row],[salaryY1]:[salaryY4]]))</f>
        <v>783673.28749681602</v>
      </c>
      <c r="L2063" t="b">
        <f t="shared" si="133"/>
        <v>0</v>
      </c>
    </row>
    <row r="2064" spans="1:12" x14ac:dyDescent="0.2">
      <c r="A2064" t="s">
        <v>9802</v>
      </c>
      <c r="B2064" t="s">
        <v>74</v>
      </c>
      <c r="C2064" t="s">
        <v>9214</v>
      </c>
      <c r="D2064" t="s">
        <v>44</v>
      </c>
      <c r="E2064">
        <v>2025</v>
      </c>
      <c r="F2064">
        <v>2027</v>
      </c>
      <c r="G2064" s="11">
        <v>390796.01158645301</v>
      </c>
      <c r="H2064">
        <f t="shared" si="130"/>
        <v>390796.01158645301</v>
      </c>
      <c r="I2064" t="str">
        <f t="shared" si="131"/>
        <v/>
      </c>
      <c r="J2064" t="str">
        <f t="shared" si="132"/>
        <v/>
      </c>
      <c r="K2064">
        <f>IF(E2064="","",SUM(ContractsTbl[[#This Row],[salaryY1]:[salaryY4]]))</f>
        <v>781592.02317290602</v>
      </c>
      <c r="L2064" t="b">
        <f t="shared" si="133"/>
        <v>0</v>
      </c>
    </row>
    <row r="2065" spans="1:12" x14ac:dyDescent="0.2">
      <c r="A2065" t="s">
        <v>9803</v>
      </c>
      <c r="B2065" t="s">
        <v>74</v>
      </c>
      <c r="C2065" t="s">
        <v>9215</v>
      </c>
      <c r="D2065" t="s">
        <v>44</v>
      </c>
      <c r="E2065">
        <v>2025</v>
      </c>
      <c r="F2065">
        <v>2027</v>
      </c>
      <c r="G2065" s="11">
        <v>389755.37942449702</v>
      </c>
      <c r="H2065">
        <f t="shared" si="130"/>
        <v>389755.37942449702</v>
      </c>
      <c r="I2065" t="str">
        <f t="shared" si="131"/>
        <v/>
      </c>
      <c r="J2065" t="str">
        <f t="shared" si="132"/>
        <v/>
      </c>
      <c r="K2065">
        <f>IF(E2065="","",SUM(ContractsTbl[[#This Row],[salaryY1]:[salaryY4]]))</f>
        <v>779510.75884899404</v>
      </c>
      <c r="L2065" t="b">
        <f t="shared" si="133"/>
        <v>0</v>
      </c>
    </row>
    <row r="2066" spans="1:12" x14ac:dyDescent="0.2">
      <c r="A2066" t="s">
        <v>9804</v>
      </c>
      <c r="B2066" t="s">
        <v>74</v>
      </c>
      <c r="C2066" t="s">
        <v>9216</v>
      </c>
      <c r="D2066" t="s">
        <v>44</v>
      </c>
      <c r="E2066">
        <v>2025</v>
      </c>
      <c r="F2066">
        <v>2027</v>
      </c>
      <c r="G2066" s="11">
        <v>388714.74726254097</v>
      </c>
      <c r="H2066">
        <f t="shared" si="130"/>
        <v>388714.74726254097</v>
      </c>
      <c r="I2066" t="str">
        <f t="shared" si="131"/>
        <v/>
      </c>
      <c r="J2066" t="str">
        <f t="shared" si="132"/>
        <v/>
      </c>
      <c r="K2066">
        <f>IF(E2066="","",SUM(ContractsTbl[[#This Row],[salaryY1]:[salaryY4]]))</f>
        <v>777429.49452508194</v>
      </c>
      <c r="L2066" t="b">
        <f t="shared" si="133"/>
        <v>0</v>
      </c>
    </row>
    <row r="2067" spans="1:12" x14ac:dyDescent="0.2">
      <c r="A2067" t="s">
        <v>9924</v>
      </c>
      <c r="B2067" t="s">
        <v>74</v>
      </c>
      <c r="C2067" t="s">
        <v>9217</v>
      </c>
      <c r="D2067" t="s">
        <v>44</v>
      </c>
      <c r="E2067">
        <v>2025</v>
      </c>
      <c r="F2067">
        <v>2027</v>
      </c>
      <c r="G2067" s="11">
        <v>387674.11510058597</v>
      </c>
      <c r="H2067">
        <f t="shared" si="130"/>
        <v>387674.11510058597</v>
      </c>
      <c r="I2067" t="str">
        <f t="shared" si="131"/>
        <v/>
      </c>
      <c r="J2067" t="str">
        <f t="shared" si="132"/>
        <v/>
      </c>
      <c r="K2067">
        <f>IF(E2067="","",SUM(ContractsTbl[[#This Row],[salaryY1]:[salaryY4]]))</f>
        <v>775348.23020117194</v>
      </c>
      <c r="L2067" t="b">
        <f t="shared" si="133"/>
        <v>0</v>
      </c>
    </row>
    <row r="2068" spans="1:12" x14ac:dyDescent="0.2">
      <c r="A2068" t="s">
        <v>9925</v>
      </c>
      <c r="B2068" t="s">
        <v>74</v>
      </c>
      <c r="C2068" t="s">
        <v>9218</v>
      </c>
      <c r="D2068" t="s">
        <v>44</v>
      </c>
      <c r="E2068">
        <v>2025</v>
      </c>
      <c r="F2068">
        <v>2027</v>
      </c>
      <c r="G2068" s="11">
        <v>386633.48293862998</v>
      </c>
      <c r="H2068">
        <f t="shared" si="130"/>
        <v>386633.48293862998</v>
      </c>
      <c r="I2068" t="str">
        <f t="shared" si="131"/>
        <v/>
      </c>
      <c r="J2068" t="str">
        <f t="shared" si="132"/>
        <v/>
      </c>
      <c r="K2068">
        <f>IF(E2068="","",SUM(ContractsTbl[[#This Row],[salaryY1]:[salaryY4]]))</f>
        <v>773266.96587725997</v>
      </c>
      <c r="L2068" t="b">
        <f t="shared" si="133"/>
        <v>0</v>
      </c>
    </row>
    <row r="2069" spans="1:12" x14ac:dyDescent="0.2">
      <c r="A2069" t="s">
        <v>9926</v>
      </c>
      <c r="B2069" t="s">
        <v>74</v>
      </c>
      <c r="C2069" t="s">
        <v>9219</v>
      </c>
      <c r="D2069" t="s">
        <v>44</v>
      </c>
      <c r="E2069">
        <v>2025</v>
      </c>
      <c r="F2069">
        <v>2027</v>
      </c>
      <c r="G2069" s="11">
        <v>385592.85077667399</v>
      </c>
      <c r="H2069">
        <f t="shared" si="130"/>
        <v>385592.85077667399</v>
      </c>
      <c r="I2069" t="str">
        <f t="shared" si="131"/>
        <v/>
      </c>
      <c r="J2069" t="str">
        <f t="shared" si="132"/>
        <v/>
      </c>
      <c r="K2069">
        <f>IF(E2069="","",SUM(ContractsTbl[[#This Row],[salaryY1]:[salaryY4]]))</f>
        <v>771185.70155334799</v>
      </c>
      <c r="L2069" t="b">
        <f t="shared" si="133"/>
        <v>0</v>
      </c>
    </row>
    <row r="2070" spans="1:12" x14ac:dyDescent="0.2">
      <c r="A2070" t="s">
        <v>9927</v>
      </c>
      <c r="B2070" t="s">
        <v>74</v>
      </c>
      <c r="C2070" t="s">
        <v>9220</v>
      </c>
      <c r="D2070" t="s">
        <v>44</v>
      </c>
      <c r="E2070">
        <v>2025</v>
      </c>
      <c r="F2070">
        <v>2027</v>
      </c>
      <c r="G2070" s="11">
        <v>384552.21861471899</v>
      </c>
      <c r="H2070">
        <f t="shared" si="130"/>
        <v>384552.21861471899</v>
      </c>
      <c r="I2070" t="str">
        <f t="shared" si="131"/>
        <v/>
      </c>
      <c r="J2070" t="str">
        <f t="shared" si="132"/>
        <v/>
      </c>
      <c r="K2070">
        <f>IF(E2070="","",SUM(ContractsTbl[[#This Row],[salaryY1]:[salaryY4]]))</f>
        <v>769104.43722943799</v>
      </c>
      <c r="L2070" t="b">
        <f t="shared" si="133"/>
        <v>0</v>
      </c>
    </row>
    <row r="2071" spans="1:12" x14ac:dyDescent="0.2">
      <c r="A2071" t="s">
        <v>9928</v>
      </c>
      <c r="B2071" t="s">
        <v>74</v>
      </c>
      <c r="C2071" t="s">
        <v>9221</v>
      </c>
      <c r="D2071" t="s">
        <v>44</v>
      </c>
      <c r="E2071">
        <v>2025</v>
      </c>
      <c r="F2071">
        <v>2027</v>
      </c>
      <c r="G2071" s="11">
        <v>383511.586452763</v>
      </c>
      <c r="H2071">
        <f t="shared" si="130"/>
        <v>383511.586452763</v>
      </c>
      <c r="I2071" t="str">
        <f t="shared" si="131"/>
        <v/>
      </c>
      <c r="J2071" t="str">
        <f t="shared" si="132"/>
        <v/>
      </c>
      <c r="K2071">
        <f>IF(E2071="","",SUM(ContractsTbl[[#This Row],[salaryY1]:[salaryY4]]))</f>
        <v>767023.17290552601</v>
      </c>
      <c r="L2071" t="b">
        <f t="shared" si="133"/>
        <v>0</v>
      </c>
    </row>
    <row r="2072" spans="1:12" x14ac:dyDescent="0.2">
      <c r="A2072" t="s">
        <v>9929</v>
      </c>
      <c r="B2072" t="s">
        <v>74</v>
      </c>
      <c r="C2072" t="s">
        <v>9222</v>
      </c>
      <c r="D2072" t="s">
        <v>44</v>
      </c>
      <c r="E2072">
        <v>2025</v>
      </c>
      <c r="F2072">
        <v>2027</v>
      </c>
      <c r="G2072" s="11">
        <v>382470.95429080701</v>
      </c>
      <c r="H2072">
        <f t="shared" si="130"/>
        <v>382470.95429080701</v>
      </c>
      <c r="I2072" t="str">
        <f t="shared" si="131"/>
        <v/>
      </c>
      <c r="J2072" t="str">
        <f t="shared" si="132"/>
        <v/>
      </c>
      <c r="K2072">
        <f>IF(E2072="","",SUM(ContractsTbl[[#This Row],[salaryY1]:[salaryY4]]))</f>
        <v>764941.90858161403</v>
      </c>
      <c r="L2072" t="b">
        <f t="shared" si="133"/>
        <v>0</v>
      </c>
    </row>
    <row r="2073" spans="1:12" x14ac:dyDescent="0.2">
      <c r="A2073" t="s">
        <v>9930</v>
      </c>
      <c r="B2073" t="s">
        <v>74</v>
      </c>
      <c r="C2073" t="s">
        <v>9223</v>
      </c>
      <c r="D2073" t="s">
        <v>44</v>
      </c>
      <c r="E2073">
        <v>2025</v>
      </c>
      <c r="F2073">
        <v>2027</v>
      </c>
      <c r="G2073" s="11">
        <v>381430.32212885201</v>
      </c>
      <c r="H2073">
        <f t="shared" si="130"/>
        <v>381430.32212885201</v>
      </c>
      <c r="I2073" t="str">
        <f t="shared" si="131"/>
        <v/>
      </c>
      <c r="J2073" t="str">
        <f t="shared" si="132"/>
        <v/>
      </c>
      <c r="K2073">
        <f>IF(E2073="","",SUM(ContractsTbl[[#This Row],[salaryY1]:[salaryY4]]))</f>
        <v>762860.64425770403</v>
      </c>
      <c r="L2073" t="b">
        <f t="shared" si="133"/>
        <v>0</v>
      </c>
    </row>
    <row r="2074" spans="1:12" x14ac:dyDescent="0.2">
      <c r="A2074" t="s">
        <v>9931</v>
      </c>
      <c r="B2074" t="s">
        <v>74</v>
      </c>
      <c r="C2074" t="s">
        <v>9224</v>
      </c>
      <c r="D2074" t="s">
        <v>44</v>
      </c>
      <c r="E2074">
        <v>2025</v>
      </c>
      <c r="F2074">
        <v>2027</v>
      </c>
      <c r="G2074" s="11">
        <v>380389.68996689602</v>
      </c>
      <c r="H2074">
        <f t="shared" ref="H2074:H2137" si="134">IF(F2074&gt;=2027,G2074,"")</f>
        <v>380389.68996689602</v>
      </c>
      <c r="I2074" t="str">
        <f t="shared" ref="I2074:I2137" si="135">IF(F2074&gt;=2028,G2074,"")</f>
        <v/>
      </c>
      <c r="J2074" t="str">
        <f t="shared" ref="J2074:J2137" si="136">IF(F2074&gt;=2029,G2074,"")</f>
        <v/>
      </c>
      <c r="K2074">
        <f>IF(E2074="","",SUM(ContractsTbl[[#This Row],[salaryY1]:[salaryY4]]))</f>
        <v>760779.37993379205</v>
      </c>
      <c r="L2074" t="b">
        <f t="shared" ref="L2074:L2137" si="137">IF(F2074="",TRUE,FALSE)</f>
        <v>0</v>
      </c>
    </row>
    <row r="2075" spans="1:12" x14ac:dyDescent="0.2">
      <c r="A2075" t="s">
        <v>9932</v>
      </c>
      <c r="B2075" t="s">
        <v>74</v>
      </c>
      <c r="C2075" t="s">
        <v>9225</v>
      </c>
      <c r="D2075" t="s">
        <v>44</v>
      </c>
      <c r="E2075">
        <v>2025</v>
      </c>
      <c r="F2075">
        <v>2027</v>
      </c>
      <c r="G2075" s="11">
        <v>379349.05780493998</v>
      </c>
      <c r="H2075">
        <f t="shared" si="134"/>
        <v>379349.05780493998</v>
      </c>
      <c r="I2075" t="str">
        <f t="shared" si="135"/>
        <v/>
      </c>
      <c r="J2075" t="str">
        <f t="shared" si="136"/>
        <v/>
      </c>
      <c r="K2075">
        <f>IF(E2075="","",SUM(ContractsTbl[[#This Row],[salaryY1]:[salaryY4]]))</f>
        <v>758698.11560987995</v>
      </c>
      <c r="L2075" t="b">
        <f t="shared" si="137"/>
        <v>0</v>
      </c>
    </row>
    <row r="2076" spans="1:12" x14ac:dyDescent="0.2">
      <c r="A2076" t="s">
        <v>9933</v>
      </c>
      <c r="B2076" t="s">
        <v>74</v>
      </c>
      <c r="C2076" t="s">
        <v>9226</v>
      </c>
      <c r="D2076" t="s">
        <v>44</v>
      </c>
      <c r="E2076">
        <v>2025</v>
      </c>
      <c r="F2076">
        <v>2027</v>
      </c>
      <c r="G2076" s="11">
        <v>378308.42564298399</v>
      </c>
      <c r="H2076">
        <f t="shared" si="134"/>
        <v>378308.42564298399</v>
      </c>
      <c r="I2076" t="str">
        <f t="shared" si="135"/>
        <v/>
      </c>
      <c r="J2076" t="str">
        <f t="shared" si="136"/>
        <v/>
      </c>
      <c r="K2076">
        <f>IF(E2076="","",SUM(ContractsTbl[[#This Row],[salaryY1]:[salaryY4]]))</f>
        <v>756616.85128596798</v>
      </c>
      <c r="L2076" t="b">
        <f t="shared" si="137"/>
        <v>0</v>
      </c>
    </row>
    <row r="2077" spans="1:12" x14ac:dyDescent="0.2">
      <c r="A2077" t="s">
        <v>9934</v>
      </c>
      <c r="B2077" t="s">
        <v>74</v>
      </c>
      <c r="C2077" t="s">
        <v>9227</v>
      </c>
      <c r="D2077" t="s">
        <v>44</v>
      </c>
      <c r="E2077">
        <v>2025</v>
      </c>
      <c r="F2077">
        <v>2027</v>
      </c>
      <c r="G2077" s="11">
        <v>377267.79348102899</v>
      </c>
      <c r="H2077">
        <f t="shared" si="134"/>
        <v>377267.79348102899</v>
      </c>
      <c r="I2077" t="str">
        <f t="shared" si="135"/>
        <v/>
      </c>
      <c r="J2077" t="str">
        <f t="shared" si="136"/>
        <v/>
      </c>
      <c r="K2077">
        <f>IF(E2077="","",SUM(ContractsTbl[[#This Row],[salaryY1]:[salaryY4]]))</f>
        <v>754535.58696205798</v>
      </c>
      <c r="L2077" t="b">
        <f t="shared" si="137"/>
        <v>0</v>
      </c>
    </row>
    <row r="2078" spans="1:12" x14ac:dyDescent="0.2">
      <c r="A2078" t="s">
        <v>9935</v>
      </c>
      <c r="B2078" t="s">
        <v>74</v>
      </c>
      <c r="C2078" t="s">
        <v>9228</v>
      </c>
      <c r="D2078" t="s">
        <v>44</v>
      </c>
      <c r="E2078">
        <v>2025</v>
      </c>
      <c r="F2078">
        <v>2027</v>
      </c>
      <c r="G2078" s="11">
        <v>376227.161319073</v>
      </c>
      <c r="H2078">
        <f t="shared" si="134"/>
        <v>376227.161319073</v>
      </c>
      <c r="I2078" t="str">
        <f t="shared" si="135"/>
        <v/>
      </c>
      <c r="J2078" t="str">
        <f t="shared" si="136"/>
        <v/>
      </c>
      <c r="K2078">
        <f>IF(E2078="","",SUM(ContractsTbl[[#This Row],[salaryY1]:[salaryY4]]))</f>
        <v>752454.322638146</v>
      </c>
      <c r="L2078" t="b">
        <f t="shared" si="137"/>
        <v>0</v>
      </c>
    </row>
    <row r="2079" spans="1:12" x14ac:dyDescent="0.2">
      <c r="A2079" t="s">
        <v>9936</v>
      </c>
      <c r="B2079" t="s">
        <v>74</v>
      </c>
      <c r="C2079" t="s">
        <v>9229</v>
      </c>
      <c r="D2079" t="s">
        <v>44</v>
      </c>
      <c r="E2079">
        <v>2025</v>
      </c>
      <c r="F2079">
        <v>2027</v>
      </c>
      <c r="G2079" s="11">
        <v>375186.52915711701</v>
      </c>
      <c r="H2079">
        <f t="shared" si="134"/>
        <v>375186.52915711701</v>
      </c>
      <c r="I2079" t="str">
        <f t="shared" si="135"/>
        <v/>
      </c>
      <c r="J2079" t="str">
        <f t="shared" si="136"/>
        <v/>
      </c>
      <c r="K2079">
        <f>IF(E2079="","",SUM(ContractsTbl[[#This Row],[salaryY1]:[salaryY4]]))</f>
        <v>750373.05831423402</v>
      </c>
      <c r="L2079" t="b">
        <f t="shared" si="137"/>
        <v>0</v>
      </c>
    </row>
    <row r="2080" spans="1:12" x14ac:dyDescent="0.2">
      <c r="A2080" t="s">
        <v>9937</v>
      </c>
      <c r="B2080" t="s">
        <v>74</v>
      </c>
      <c r="C2080" t="s">
        <v>9230</v>
      </c>
      <c r="D2080" t="s">
        <v>44</v>
      </c>
      <c r="E2080">
        <v>2025</v>
      </c>
      <c r="F2080">
        <v>2027</v>
      </c>
      <c r="G2080" s="11">
        <v>374145.89699516201</v>
      </c>
      <c r="H2080">
        <f t="shared" si="134"/>
        <v>374145.89699516201</v>
      </c>
      <c r="I2080" t="str">
        <f t="shared" si="135"/>
        <v/>
      </c>
      <c r="J2080" t="str">
        <f t="shared" si="136"/>
        <v/>
      </c>
      <c r="K2080">
        <f>IF(E2080="","",SUM(ContractsTbl[[#This Row],[salaryY1]:[salaryY4]]))</f>
        <v>748291.79399032402</v>
      </c>
      <c r="L2080" t="b">
        <f t="shared" si="137"/>
        <v>0</v>
      </c>
    </row>
    <row r="2081" spans="1:12" x14ac:dyDescent="0.2">
      <c r="A2081" t="s">
        <v>9938</v>
      </c>
      <c r="B2081" t="s">
        <v>74</v>
      </c>
      <c r="C2081" t="s">
        <v>9231</v>
      </c>
      <c r="D2081" t="s">
        <v>44</v>
      </c>
      <c r="E2081">
        <v>2025</v>
      </c>
      <c r="F2081">
        <v>2027</v>
      </c>
      <c r="G2081" s="11">
        <v>373105.26483320602</v>
      </c>
      <c r="H2081">
        <f t="shared" si="134"/>
        <v>373105.26483320602</v>
      </c>
      <c r="I2081" t="str">
        <f t="shared" si="135"/>
        <v/>
      </c>
      <c r="J2081" t="str">
        <f t="shared" si="136"/>
        <v/>
      </c>
      <c r="K2081">
        <f>IF(E2081="","",SUM(ContractsTbl[[#This Row],[salaryY1]:[salaryY4]]))</f>
        <v>746210.52966641204</v>
      </c>
      <c r="L2081" t="b">
        <f t="shared" si="137"/>
        <v>0</v>
      </c>
    </row>
    <row r="2082" spans="1:12" x14ac:dyDescent="0.2">
      <c r="A2082" t="s">
        <v>9939</v>
      </c>
      <c r="B2082" t="s">
        <v>74</v>
      </c>
      <c r="C2082" t="s">
        <v>9232</v>
      </c>
      <c r="D2082" t="s">
        <v>44</v>
      </c>
      <c r="E2082">
        <v>2025</v>
      </c>
      <c r="F2082">
        <v>2027</v>
      </c>
      <c r="G2082" s="11">
        <v>372064.63267124997</v>
      </c>
      <c r="H2082">
        <f t="shared" si="134"/>
        <v>372064.63267124997</v>
      </c>
      <c r="I2082" t="str">
        <f t="shared" si="135"/>
        <v/>
      </c>
      <c r="J2082" t="str">
        <f t="shared" si="136"/>
        <v/>
      </c>
      <c r="K2082">
        <f>IF(E2082="","",SUM(ContractsTbl[[#This Row],[salaryY1]:[salaryY4]]))</f>
        <v>744129.26534249994</v>
      </c>
      <c r="L2082" t="b">
        <f t="shared" si="137"/>
        <v>0</v>
      </c>
    </row>
    <row r="2083" spans="1:12" x14ac:dyDescent="0.2">
      <c r="A2083" t="s">
        <v>9940</v>
      </c>
      <c r="B2083" t="s">
        <v>74</v>
      </c>
      <c r="C2083" t="s">
        <v>9233</v>
      </c>
      <c r="D2083" t="s">
        <v>44</v>
      </c>
      <c r="E2083">
        <v>2025</v>
      </c>
      <c r="F2083">
        <v>2027</v>
      </c>
      <c r="G2083" s="11">
        <v>371024.00050929497</v>
      </c>
      <c r="H2083">
        <f t="shared" si="134"/>
        <v>371024.00050929497</v>
      </c>
      <c r="I2083" t="str">
        <f t="shared" si="135"/>
        <v/>
      </c>
      <c r="J2083" t="str">
        <f t="shared" si="136"/>
        <v/>
      </c>
      <c r="K2083">
        <f>IF(E2083="","",SUM(ContractsTbl[[#This Row],[salaryY1]:[salaryY4]]))</f>
        <v>742048.00101858994</v>
      </c>
      <c r="L2083" t="b">
        <f t="shared" si="137"/>
        <v>0</v>
      </c>
    </row>
    <row r="2084" spans="1:12" x14ac:dyDescent="0.2">
      <c r="A2084" t="s">
        <v>9941</v>
      </c>
      <c r="B2084" t="s">
        <v>74</v>
      </c>
      <c r="C2084" t="s">
        <v>9234</v>
      </c>
      <c r="D2084" t="s">
        <v>44</v>
      </c>
      <c r="E2084">
        <v>2025</v>
      </c>
      <c r="F2084">
        <v>2027</v>
      </c>
      <c r="G2084" s="11">
        <v>369983.36834733898</v>
      </c>
      <c r="H2084">
        <f t="shared" si="134"/>
        <v>369983.36834733898</v>
      </c>
      <c r="I2084" t="str">
        <f t="shared" si="135"/>
        <v/>
      </c>
      <c r="J2084" t="str">
        <f t="shared" si="136"/>
        <v/>
      </c>
      <c r="K2084">
        <f>IF(E2084="","",SUM(ContractsTbl[[#This Row],[salaryY1]:[salaryY4]]))</f>
        <v>739966.73669467797</v>
      </c>
      <c r="L2084" t="b">
        <f t="shared" si="137"/>
        <v>0</v>
      </c>
    </row>
    <row r="2085" spans="1:12" x14ac:dyDescent="0.2">
      <c r="A2085" t="s">
        <v>9942</v>
      </c>
      <c r="B2085" t="s">
        <v>74</v>
      </c>
      <c r="C2085" t="s">
        <v>9235</v>
      </c>
      <c r="D2085" t="s">
        <v>44</v>
      </c>
      <c r="E2085">
        <v>2025</v>
      </c>
      <c r="F2085">
        <v>2027</v>
      </c>
      <c r="G2085" s="11">
        <v>368942.73618538299</v>
      </c>
      <c r="H2085">
        <f t="shared" si="134"/>
        <v>368942.73618538299</v>
      </c>
      <c r="I2085" t="str">
        <f t="shared" si="135"/>
        <v/>
      </c>
      <c r="J2085" t="str">
        <f t="shared" si="136"/>
        <v/>
      </c>
      <c r="K2085">
        <f>IF(E2085="","",SUM(ContractsTbl[[#This Row],[salaryY1]:[salaryY4]]))</f>
        <v>737885.47237076599</v>
      </c>
      <c r="L2085" t="b">
        <f t="shared" si="137"/>
        <v>0</v>
      </c>
    </row>
    <row r="2086" spans="1:12" x14ac:dyDescent="0.2">
      <c r="A2086" t="s">
        <v>9943</v>
      </c>
      <c r="B2086" t="s">
        <v>74</v>
      </c>
      <c r="C2086" t="s">
        <v>9236</v>
      </c>
      <c r="D2086" t="s">
        <v>44</v>
      </c>
      <c r="E2086">
        <v>2025</v>
      </c>
      <c r="F2086">
        <v>2027</v>
      </c>
      <c r="G2086" s="11">
        <v>367902.10402342799</v>
      </c>
      <c r="H2086">
        <f t="shared" si="134"/>
        <v>367902.10402342799</v>
      </c>
      <c r="I2086" t="str">
        <f t="shared" si="135"/>
        <v/>
      </c>
      <c r="J2086" t="str">
        <f t="shared" si="136"/>
        <v/>
      </c>
      <c r="K2086">
        <f>IF(E2086="","",SUM(ContractsTbl[[#This Row],[salaryY1]:[salaryY4]]))</f>
        <v>735804.20804685599</v>
      </c>
      <c r="L2086" t="b">
        <f t="shared" si="137"/>
        <v>0</v>
      </c>
    </row>
    <row r="2087" spans="1:12" x14ac:dyDescent="0.2">
      <c r="A2087" t="s">
        <v>9944</v>
      </c>
      <c r="B2087" t="s">
        <v>74</v>
      </c>
      <c r="C2087" t="s">
        <v>9237</v>
      </c>
      <c r="D2087" t="s">
        <v>44</v>
      </c>
      <c r="E2087">
        <v>2025</v>
      </c>
      <c r="F2087">
        <v>2027</v>
      </c>
      <c r="G2087" s="11">
        <v>366861.471861472</v>
      </c>
      <c r="H2087">
        <f t="shared" si="134"/>
        <v>366861.471861472</v>
      </c>
      <c r="I2087" t="str">
        <f t="shared" si="135"/>
        <v/>
      </c>
      <c r="J2087" t="str">
        <f t="shared" si="136"/>
        <v/>
      </c>
      <c r="K2087">
        <f>IF(E2087="","",SUM(ContractsTbl[[#This Row],[salaryY1]:[salaryY4]]))</f>
        <v>733722.94372294401</v>
      </c>
      <c r="L2087" t="b">
        <f t="shared" si="137"/>
        <v>0</v>
      </c>
    </row>
    <row r="2088" spans="1:12" x14ac:dyDescent="0.2">
      <c r="A2088" t="s">
        <v>9945</v>
      </c>
      <c r="B2088" t="s">
        <v>74</v>
      </c>
      <c r="C2088" t="s">
        <v>9238</v>
      </c>
      <c r="D2088" t="s">
        <v>44</v>
      </c>
      <c r="E2088">
        <v>2025</v>
      </c>
      <c r="F2088">
        <v>2027</v>
      </c>
      <c r="G2088" s="11">
        <v>365820.83969951601</v>
      </c>
      <c r="H2088">
        <f t="shared" si="134"/>
        <v>365820.83969951601</v>
      </c>
      <c r="I2088" t="str">
        <f t="shared" si="135"/>
        <v/>
      </c>
      <c r="J2088" t="str">
        <f t="shared" si="136"/>
        <v/>
      </c>
      <c r="K2088">
        <f>IF(E2088="","",SUM(ContractsTbl[[#This Row],[salaryY1]:[salaryY4]]))</f>
        <v>731641.67939903203</v>
      </c>
      <c r="L2088" t="b">
        <f t="shared" si="137"/>
        <v>0</v>
      </c>
    </row>
    <row r="2089" spans="1:12" x14ac:dyDescent="0.2">
      <c r="A2089" t="s">
        <v>9946</v>
      </c>
      <c r="B2089" t="s">
        <v>74</v>
      </c>
      <c r="C2089" t="s">
        <v>9239</v>
      </c>
      <c r="D2089" t="s">
        <v>44</v>
      </c>
      <c r="E2089">
        <v>2025</v>
      </c>
      <c r="F2089">
        <v>2027</v>
      </c>
      <c r="G2089" s="11">
        <v>364780.20753756003</v>
      </c>
      <c r="H2089">
        <f t="shared" si="134"/>
        <v>364780.20753756003</v>
      </c>
      <c r="I2089" t="str">
        <f t="shared" si="135"/>
        <v/>
      </c>
      <c r="J2089" t="str">
        <f t="shared" si="136"/>
        <v/>
      </c>
      <c r="K2089">
        <f>IF(E2089="","",SUM(ContractsTbl[[#This Row],[salaryY1]:[salaryY4]]))</f>
        <v>729560.41507512005</v>
      </c>
      <c r="L2089" t="b">
        <f t="shared" si="137"/>
        <v>0</v>
      </c>
    </row>
    <row r="2090" spans="1:12" x14ac:dyDescent="0.2">
      <c r="A2090" t="s">
        <v>9947</v>
      </c>
      <c r="B2090" t="s">
        <v>74</v>
      </c>
      <c r="C2090" t="s">
        <v>9240</v>
      </c>
      <c r="D2090" t="s">
        <v>44</v>
      </c>
      <c r="E2090">
        <v>2025</v>
      </c>
      <c r="F2090">
        <v>2027</v>
      </c>
      <c r="G2090" s="11">
        <v>363739.57537560503</v>
      </c>
      <c r="H2090">
        <f t="shared" si="134"/>
        <v>363739.57537560503</v>
      </c>
      <c r="I2090" t="str">
        <f t="shared" si="135"/>
        <v/>
      </c>
      <c r="J2090" t="str">
        <f t="shared" si="136"/>
        <v/>
      </c>
      <c r="K2090">
        <f>IF(E2090="","",SUM(ContractsTbl[[#This Row],[salaryY1]:[salaryY4]]))</f>
        <v>727479.15075121005</v>
      </c>
      <c r="L2090" t="b">
        <f t="shared" si="137"/>
        <v>0</v>
      </c>
    </row>
    <row r="2091" spans="1:12" x14ac:dyDescent="0.2">
      <c r="A2091" t="s">
        <v>9948</v>
      </c>
      <c r="B2091" t="s">
        <v>74</v>
      </c>
      <c r="C2091" t="s">
        <v>9241</v>
      </c>
      <c r="D2091" t="s">
        <v>44</v>
      </c>
      <c r="E2091">
        <v>2025</v>
      </c>
      <c r="F2091">
        <v>2027</v>
      </c>
      <c r="G2091" s="11">
        <v>362698.94321364898</v>
      </c>
      <c r="H2091">
        <f t="shared" si="134"/>
        <v>362698.94321364898</v>
      </c>
      <c r="I2091" t="str">
        <f t="shared" si="135"/>
        <v/>
      </c>
      <c r="J2091" t="str">
        <f t="shared" si="136"/>
        <v/>
      </c>
      <c r="K2091">
        <f>IF(E2091="","",SUM(ContractsTbl[[#This Row],[salaryY1]:[salaryY4]]))</f>
        <v>725397.88642729796</v>
      </c>
      <c r="L2091" t="b">
        <f t="shared" si="137"/>
        <v>0</v>
      </c>
    </row>
    <row r="2092" spans="1:12" x14ac:dyDescent="0.2">
      <c r="A2092" t="s">
        <v>9949</v>
      </c>
      <c r="B2092" t="s">
        <v>74</v>
      </c>
      <c r="C2092" t="s">
        <v>9242</v>
      </c>
      <c r="D2092" t="s">
        <v>44</v>
      </c>
      <c r="E2092">
        <v>2025</v>
      </c>
      <c r="F2092">
        <v>2027</v>
      </c>
      <c r="G2092" s="11">
        <v>361658.31105169299</v>
      </c>
      <c r="H2092">
        <f t="shared" si="134"/>
        <v>361658.31105169299</v>
      </c>
      <c r="I2092" t="str">
        <f t="shared" si="135"/>
        <v/>
      </c>
      <c r="J2092" t="str">
        <f t="shared" si="136"/>
        <v/>
      </c>
      <c r="K2092">
        <f>IF(E2092="","",SUM(ContractsTbl[[#This Row],[salaryY1]:[salaryY4]]))</f>
        <v>723316.62210338598</v>
      </c>
      <c r="L2092" t="b">
        <f t="shared" si="137"/>
        <v>0</v>
      </c>
    </row>
    <row r="2093" spans="1:12" x14ac:dyDescent="0.2">
      <c r="A2093" t="s">
        <v>9950</v>
      </c>
      <c r="B2093" t="s">
        <v>74</v>
      </c>
      <c r="C2093" t="s">
        <v>9243</v>
      </c>
      <c r="D2093" t="s">
        <v>44</v>
      </c>
      <c r="E2093">
        <v>2025</v>
      </c>
      <c r="F2093">
        <v>2027</v>
      </c>
      <c r="G2093" s="11">
        <v>360617.67888973799</v>
      </c>
      <c r="H2093">
        <f t="shared" si="134"/>
        <v>360617.67888973799</v>
      </c>
      <c r="I2093" t="str">
        <f t="shared" si="135"/>
        <v/>
      </c>
      <c r="J2093" t="str">
        <f t="shared" si="136"/>
        <v/>
      </c>
      <c r="K2093">
        <f>IF(E2093="","",SUM(ContractsTbl[[#This Row],[salaryY1]:[salaryY4]]))</f>
        <v>721235.35777947598</v>
      </c>
      <c r="L2093" t="b">
        <f t="shared" si="137"/>
        <v>0</v>
      </c>
    </row>
    <row r="2094" spans="1:12" x14ac:dyDescent="0.2">
      <c r="A2094" t="s">
        <v>9951</v>
      </c>
      <c r="B2094" t="s">
        <v>74</v>
      </c>
      <c r="C2094" t="s">
        <v>9244</v>
      </c>
      <c r="D2094" t="s">
        <v>44</v>
      </c>
      <c r="E2094">
        <v>2025</v>
      </c>
      <c r="F2094">
        <v>2027</v>
      </c>
      <c r="G2094" s="11">
        <v>359577.046727782</v>
      </c>
      <c r="H2094">
        <f t="shared" si="134"/>
        <v>359577.046727782</v>
      </c>
      <c r="I2094" t="str">
        <f t="shared" si="135"/>
        <v/>
      </c>
      <c r="J2094" t="str">
        <f t="shared" si="136"/>
        <v/>
      </c>
      <c r="K2094">
        <f>IF(E2094="","",SUM(ContractsTbl[[#This Row],[salaryY1]:[salaryY4]]))</f>
        <v>719154.093455564</v>
      </c>
      <c r="L2094" t="b">
        <f t="shared" si="137"/>
        <v>0</v>
      </c>
    </row>
    <row r="2095" spans="1:12" x14ac:dyDescent="0.2">
      <c r="A2095" t="s">
        <v>9952</v>
      </c>
      <c r="B2095" t="s">
        <v>74</v>
      </c>
      <c r="C2095" t="s">
        <v>9245</v>
      </c>
      <c r="D2095" t="s">
        <v>44</v>
      </c>
      <c r="E2095">
        <v>2025</v>
      </c>
      <c r="F2095">
        <v>2027</v>
      </c>
      <c r="G2095" s="11">
        <v>358536.41456582601</v>
      </c>
      <c r="H2095">
        <f t="shared" si="134"/>
        <v>358536.41456582601</v>
      </c>
      <c r="I2095" t="str">
        <f t="shared" si="135"/>
        <v/>
      </c>
      <c r="J2095" t="str">
        <f t="shared" si="136"/>
        <v/>
      </c>
      <c r="K2095">
        <f>IF(E2095="","",SUM(ContractsTbl[[#This Row],[salaryY1]:[salaryY4]]))</f>
        <v>717072.82913165202</v>
      </c>
      <c r="L2095" t="b">
        <f t="shared" si="137"/>
        <v>0</v>
      </c>
    </row>
    <row r="2096" spans="1:12" x14ac:dyDescent="0.2">
      <c r="A2096" t="s">
        <v>9953</v>
      </c>
      <c r="B2096" t="s">
        <v>74</v>
      </c>
      <c r="C2096" t="s">
        <v>9246</v>
      </c>
      <c r="D2096" t="s">
        <v>44</v>
      </c>
      <c r="E2096">
        <v>2025</v>
      </c>
      <c r="F2096">
        <v>2027</v>
      </c>
      <c r="G2096" s="11">
        <v>357495.78240387101</v>
      </c>
      <c r="H2096">
        <f t="shared" si="134"/>
        <v>357495.78240387101</v>
      </c>
      <c r="I2096" t="str">
        <f t="shared" si="135"/>
        <v/>
      </c>
      <c r="J2096" t="str">
        <f t="shared" si="136"/>
        <v/>
      </c>
      <c r="K2096">
        <f>IF(E2096="","",SUM(ContractsTbl[[#This Row],[salaryY1]:[salaryY4]]))</f>
        <v>714991.56480774202</v>
      </c>
      <c r="L2096" t="b">
        <f t="shared" si="137"/>
        <v>0</v>
      </c>
    </row>
    <row r="2097" spans="1:12" x14ac:dyDescent="0.2">
      <c r="A2097" t="s">
        <v>9954</v>
      </c>
      <c r="B2097" t="s">
        <v>74</v>
      </c>
      <c r="C2097" t="s">
        <v>9247</v>
      </c>
      <c r="D2097" t="s">
        <v>44</v>
      </c>
      <c r="E2097">
        <v>2025</v>
      </c>
      <c r="F2097">
        <v>2027</v>
      </c>
      <c r="G2097" s="11">
        <v>356455.15024191502</v>
      </c>
      <c r="H2097">
        <f t="shared" si="134"/>
        <v>356455.15024191502</v>
      </c>
      <c r="I2097" t="str">
        <f t="shared" si="135"/>
        <v/>
      </c>
      <c r="J2097" t="str">
        <f t="shared" si="136"/>
        <v/>
      </c>
      <c r="K2097">
        <f>IF(E2097="","",SUM(ContractsTbl[[#This Row],[salaryY1]:[salaryY4]]))</f>
        <v>712910.30048383004</v>
      </c>
      <c r="L2097" t="b">
        <f t="shared" si="137"/>
        <v>0</v>
      </c>
    </row>
    <row r="2098" spans="1:12" x14ac:dyDescent="0.2">
      <c r="A2098" t="s">
        <v>9955</v>
      </c>
      <c r="B2098" t="s">
        <v>74</v>
      </c>
      <c r="C2098" t="s">
        <v>9248</v>
      </c>
      <c r="D2098" t="s">
        <v>44</v>
      </c>
      <c r="E2098">
        <v>2025</v>
      </c>
      <c r="F2098">
        <v>2027</v>
      </c>
      <c r="G2098" s="11">
        <v>355414.51807995897</v>
      </c>
      <c r="H2098">
        <f t="shared" si="134"/>
        <v>355414.51807995897</v>
      </c>
      <c r="I2098" t="str">
        <f t="shared" si="135"/>
        <v/>
      </c>
      <c r="J2098" t="str">
        <f t="shared" si="136"/>
        <v/>
      </c>
      <c r="K2098">
        <f>IF(E2098="","",SUM(ContractsTbl[[#This Row],[salaryY1]:[salaryY4]]))</f>
        <v>710829.03615991795</v>
      </c>
      <c r="L2098" t="b">
        <f t="shared" si="137"/>
        <v>0</v>
      </c>
    </row>
    <row r="2099" spans="1:12" x14ac:dyDescent="0.2">
      <c r="A2099" t="s">
        <v>9956</v>
      </c>
      <c r="B2099" t="s">
        <v>74</v>
      </c>
      <c r="C2099" t="s">
        <v>9249</v>
      </c>
      <c r="D2099" t="s">
        <v>44</v>
      </c>
      <c r="E2099">
        <v>2025</v>
      </c>
      <c r="F2099">
        <v>2027</v>
      </c>
      <c r="G2099" s="11">
        <v>354373.88591800397</v>
      </c>
      <c r="H2099">
        <f t="shared" si="134"/>
        <v>354373.88591800397</v>
      </c>
      <c r="I2099" t="str">
        <f t="shared" si="135"/>
        <v/>
      </c>
      <c r="J2099" t="str">
        <f t="shared" si="136"/>
        <v/>
      </c>
      <c r="K2099">
        <f>IF(E2099="","",SUM(ContractsTbl[[#This Row],[salaryY1]:[salaryY4]]))</f>
        <v>708747.77183600795</v>
      </c>
      <c r="L2099" t="b">
        <f t="shared" si="137"/>
        <v>0</v>
      </c>
    </row>
    <row r="2100" spans="1:12" x14ac:dyDescent="0.2">
      <c r="A2100" t="s">
        <v>9957</v>
      </c>
      <c r="B2100" t="s">
        <v>74</v>
      </c>
      <c r="C2100" t="s">
        <v>9250</v>
      </c>
      <c r="D2100" t="s">
        <v>44</v>
      </c>
      <c r="E2100">
        <v>2025</v>
      </c>
      <c r="F2100">
        <v>2027</v>
      </c>
      <c r="G2100" s="11">
        <v>353333.25375604798</v>
      </c>
      <c r="H2100">
        <f t="shared" si="134"/>
        <v>353333.25375604798</v>
      </c>
      <c r="I2100" t="str">
        <f t="shared" si="135"/>
        <v/>
      </c>
      <c r="J2100" t="str">
        <f t="shared" si="136"/>
        <v/>
      </c>
      <c r="K2100">
        <f>IF(E2100="","",SUM(ContractsTbl[[#This Row],[salaryY1]:[salaryY4]]))</f>
        <v>706666.50751209597</v>
      </c>
      <c r="L2100" t="b">
        <f t="shared" si="137"/>
        <v>0</v>
      </c>
    </row>
    <row r="2101" spans="1:12" x14ac:dyDescent="0.2">
      <c r="A2101" t="s">
        <v>9958</v>
      </c>
      <c r="B2101" t="s">
        <v>74</v>
      </c>
      <c r="C2101" t="s">
        <v>9251</v>
      </c>
      <c r="D2101" t="s">
        <v>44</v>
      </c>
      <c r="E2101">
        <v>2025</v>
      </c>
      <c r="F2101">
        <v>2027</v>
      </c>
      <c r="G2101" s="11">
        <v>352292.62159409199</v>
      </c>
      <c r="H2101">
        <f t="shared" si="134"/>
        <v>352292.62159409199</v>
      </c>
      <c r="I2101" t="str">
        <f t="shared" si="135"/>
        <v/>
      </c>
      <c r="J2101" t="str">
        <f t="shared" si="136"/>
        <v/>
      </c>
      <c r="K2101">
        <f>IF(E2101="","",SUM(ContractsTbl[[#This Row],[salaryY1]:[salaryY4]]))</f>
        <v>704585.24318818399</v>
      </c>
      <c r="L2101" t="b">
        <f t="shared" si="137"/>
        <v>0</v>
      </c>
    </row>
    <row r="2102" spans="1:12" x14ac:dyDescent="0.2">
      <c r="A2102" t="s">
        <v>9959</v>
      </c>
      <c r="B2102" t="s">
        <v>74</v>
      </c>
      <c r="C2102" t="s">
        <v>9252</v>
      </c>
      <c r="D2102" t="s">
        <v>44</v>
      </c>
      <c r="E2102">
        <v>2025</v>
      </c>
      <c r="F2102">
        <v>2027</v>
      </c>
      <c r="G2102" s="11">
        <v>351251.98943213699</v>
      </c>
      <c r="H2102">
        <f t="shared" si="134"/>
        <v>351251.98943213699</v>
      </c>
      <c r="I2102" t="str">
        <f t="shared" si="135"/>
        <v/>
      </c>
      <c r="J2102" t="str">
        <f t="shared" si="136"/>
        <v/>
      </c>
      <c r="K2102">
        <f>IF(E2102="","",SUM(ContractsTbl[[#This Row],[salaryY1]:[salaryY4]]))</f>
        <v>702503.97886427399</v>
      </c>
      <c r="L2102" t="b">
        <f t="shared" si="137"/>
        <v>0</v>
      </c>
    </row>
    <row r="2103" spans="1:12" x14ac:dyDescent="0.2">
      <c r="A2103" t="s">
        <v>9960</v>
      </c>
      <c r="B2103" t="s">
        <v>74</v>
      </c>
      <c r="C2103" t="s">
        <v>9253</v>
      </c>
      <c r="D2103" t="s">
        <v>44</v>
      </c>
      <c r="E2103">
        <v>2025</v>
      </c>
      <c r="F2103">
        <v>2027</v>
      </c>
      <c r="G2103" s="11">
        <v>350211.357270181</v>
      </c>
      <c r="H2103">
        <f t="shared" si="134"/>
        <v>350211.357270181</v>
      </c>
      <c r="I2103" t="str">
        <f t="shared" si="135"/>
        <v/>
      </c>
      <c r="J2103" t="str">
        <f t="shared" si="136"/>
        <v/>
      </c>
      <c r="K2103">
        <f>IF(E2103="","",SUM(ContractsTbl[[#This Row],[salaryY1]:[salaryY4]]))</f>
        <v>700422.71454036201</v>
      </c>
      <c r="L2103" t="b">
        <f t="shared" si="137"/>
        <v>0</v>
      </c>
    </row>
    <row r="2104" spans="1:12" x14ac:dyDescent="0.2">
      <c r="A2104" t="s">
        <v>9961</v>
      </c>
      <c r="B2104" t="s">
        <v>74</v>
      </c>
      <c r="C2104" t="s">
        <v>9254</v>
      </c>
      <c r="D2104" t="s">
        <v>44</v>
      </c>
      <c r="E2104">
        <v>2025</v>
      </c>
      <c r="F2104">
        <v>2027</v>
      </c>
      <c r="G2104" s="11">
        <v>349170.72510822501</v>
      </c>
      <c r="H2104">
        <f t="shared" si="134"/>
        <v>349170.72510822501</v>
      </c>
      <c r="I2104" t="str">
        <f t="shared" si="135"/>
        <v/>
      </c>
      <c r="J2104" t="str">
        <f t="shared" si="136"/>
        <v/>
      </c>
      <c r="K2104">
        <f>IF(E2104="","",SUM(ContractsTbl[[#This Row],[salaryY1]:[salaryY4]]))</f>
        <v>698341.45021645003</v>
      </c>
      <c r="L2104" t="b">
        <f t="shared" si="137"/>
        <v>0</v>
      </c>
    </row>
    <row r="2105" spans="1:12" x14ac:dyDescent="0.2">
      <c r="A2105" t="s">
        <v>9962</v>
      </c>
      <c r="B2105" t="s">
        <v>74</v>
      </c>
      <c r="C2105" t="s">
        <v>9255</v>
      </c>
      <c r="D2105" t="s">
        <v>44</v>
      </c>
      <c r="E2105">
        <v>2025</v>
      </c>
      <c r="F2105">
        <v>2027</v>
      </c>
      <c r="G2105" s="11">
        <v>348130.09294627002</v>
      </c>
      <c r="H2105">
        <f t="shared" si="134"/>
        <v>348130.09294627002</v>
      </c>
      <c r="I2105" t="str">
        <f t="shared" si="135"/>
        <v/>
      </c>
      <c r="J2105" t="str">
        <f t="shared" si="136"/>
        <v/>
      </c>
      <c r="K2105">
        <f>IF(E2105="","",SUM(ContractsTbl[[#This Row],[salaryY1]:[salaryY4]]))</f>
        <v>696260.18589254003</v>
      </c>
      <c r="L2105" t="b">
        <f t="shared" si="137"/>
        <v>0</v>
      </c>
    </row>
    <row r="2106" spans="1:12" x14ac:dyDescent="0.2">
      <c r="A2106" t="s">
        <v>9963</v>
      </c>
      <c r="B2106" t="s">
        <v>74</v>
      </c>
      <c r="C2106" t="s">
        <v>9256</v>
      </c>
      <c r="D2106" t="s">
        <v>44</v>
      </c>
      <c r="E2106">
        <v>2025</v>
      </c>
      <c r="F2106">
        <v>2027</v>
      </c>
      <c r="G2106" s="11">
        <v>347089.46078431403</v>
      </c>
      <c r="H2106">
        <f t="shared" si="134"/>
        <v>347089.46078431403</v>
      </c>
      <c r="I2106" t="str">
        <f t="shared" si="135"/>
        <v/>
      </c>
      <c r="J2106" t="str">
        <f t="shared" si="136"/>
        <v/>
      </c>
      <c r="K2106">
        <f>IF(E2106="","",SUM(ContractsTbl[[#This Row],[salaryY1]:[salaryY4]]))</f>
        <v>694178.92156862805</v>
      </c>
      <c r="L2106" t="b">
        <f t="shared" si="137"/>
        <v>0</v>
      </c>
    </row>
    <row r="2107" spans="1:12" x14ac:dyDescent="0.2">
      <c r="A2107" t="s">
        <v>9964</v>
      </c>
      <c r="B2107" t="s">
        <v>74</v>
      </c>
      <c r="C2107" t="s">
        <v>9257</v>
      </c>
      <c r="D2107" t="s">
        <v>44</v>
      </c>
      <c r="E2107">
        <v>2025</v>
      </c>
      <c r="F2107">
        <v>2027</v>
      </c>
      <c r="G2107" s="11">
        <v>346048.82862235798</v>
      </c>
      <c r="H2107">
        <f t="shared" si="134"/>
        <v>346048.82862235798</v>
      </c>
      <c r="I2107" t="str">
        <f t="shared" si="135"/>
        <v/>
      </c>
      <c r="J2107" t="str">
        <f t="shared" si="136"/>
        <v/>
      </c>
      <c r="K2107">
        <f>IF(E2107="","",SUM(ContractsTbl[[#This Row],[salaryY1]:[salaryY4]]))</f>
        <v>692097.65724471596</v>
      </c>
      <c r="L2107" t="b">
        <f t="shared" si="137"/>
        <v>0</v>
      </c>
    </row>
    <row r="2108" spans="1:12" x14ac:dyDescent="0.2">
      <c r="A2108" t="s">
        <v>9965</v>
      </c>
      <c r="B2108" t="s">
        <v>74</v>
      </c>
      <c r="C2108" t="s">
        <v>9258</v>
      </c>
      <c r="D2108" t="s">
        <v>44</v>
      </c>
      <c r="E2108">
        <v>2025</v>
      </c>
      <c r="F2108">
        <v>2027</v>
      </c>
      <c r="G2108" s="11">
        <v>345008.19646040199</v>
      </c>
      <c r="H2108">
        <f t="shared" si="134"/>
        <v>345008.19646040199</v>
      </c>
      <c r="I2108" t="str">
        <f t="shared" si="135"/>
        <v/>
      </c>
      <c r="J2108" t="str">
        <f t="shared" si="136"/>
        <v/>
      </c>
      <c r="K2108">
        <f>IF(E2108="","",SUM(ContractsTbl[[#This Row],[salaryY1]:[salaryY4]]))</f>
        <v>690016.39292080398</v>
      </c>
      <c r="L2108" t="b">
        <f t="shared" si="137"/>
        <v>0</v>
      </c>
    </row>
    <row r="2109" spans="1:12" x14ac:dyDescent="0.2">
      <c r="A2109" t="s">
        <v>9966</v>
      </c>
      <c r="B2109" t="s">
        <v>74</v>
      </c>
      <c r="C2109" t="s">
        <v>9259</v>
      </c>
      <c r="D2109" t="s">
        <v>44</v>
      </c>
      <c r="E2109">
        <v>2025</v>
      </c>
      <c r="F2109">
        <v>2027</v>
      </c>
      <c r="G2109" s="11">
        <v>343967.56429844699</v>
      </c>
      <c r="H2109">
        <f t="shared" si="134"/>
        <v>343967.56429844699</v>
      </c>
      <c r="I2109" t="str">
        <f t="shared" si="135"/>
        <v/>
      </c>
      <c r="J2109" t="str">
        <f t="shared" si="136"/>
        <v/>
      </c>
      <c r="K2109">
        <f>IF(E2109="","",SUM(ContractsTbl[[#This Row],[salaryY1]:[salaryY4]]))</f>
        <v>687935.12859689398</v>
      </c>
      <c r="L2109" t="b">
        <f t="shared" si="137"/>
        <v>0</v>
      </c>
    </row>
    <row r="2110" spans="1:12" x14ac:dyDescent="0.2">
      <c r="A2110" t="s">
        <v>9967</v>
      </c>
      <c r="B2110" t="s">
        <v>74</v>
      </c>
      <c r="C2110" t="s">
        <v>9260</v>
      </c>
      <c r="D2110" t="s">
        <v>44</v>
      </c>
      <c r="E2110">
        <v>2025</v>
      </c>
      <c r="F2110">
        <v>2027</v>
      </c>
      <c r="G2110" s="11">
        <v>342926.932136491</v>
      </c>
      <c r="H2110">
        <f t="shared" si="134"/>
        <v>342926.932136491</v>
      </c>
      <c r="I2110" t="str">
        <f t="shared" si="135"/>
        <v/>
      </c>
      <c r="J2110" t="str">
        <f t="shared" si="136"/>
        <v/>
      </c>
      <c r="K2110">
        <f>IF(E2110="","",SUM(ContractsTbl[[#This Row],[salaryY1]:[salaryY4]]))</f>
        <v>685853.864272982</v>
      </c>
      <c r="L2110" t="b">
        <f t="shared" si="137"/>
        <v>0</v>
      </c>
    </row>
    <row r="2111" spans="1:12" x14ac:dyDescent="0.2">
      <c r="A2111" t="s">
        <v>9968</v>
      </c>
      <c r="B2111" t="s">
        <v>74</v>
      </c>
      <c r="C2111" t="s">
        <v>9261</v>
      </c>
      <c r="D2111" t="s">
        <v>44</v>
      </c>
      <c r="E2111">
        <v>2025</v>
      </c>
      <c r="F2111">
        <v>2027</v>
      </c>
      <c r="G2111" s="11">
        <v>341886.29997453501</v>
      </c>
      <c r="H2111">
        <f t="shared" si="134"/>
        <v>341886.29997453501</v>
      </c>
      <c r="I2111" t="str">
        <f t="shared" si="135"/>
        <v/>
      </c>
      <c r="J2111" t="str">
        <f t="shared" si="136"/>
        <v/>
      </c>
      <c r="K2111">
        <f>IF(E2111="","",SUM(ContractsTbl[[#This Row],[salaryY1]:[salaryY4]]))</f>
        <v>683772.59994907002</v>
      </c>
      <c r="L2111" t="b">
        <f t="shared" si="137"/>
        <v>0</v>
      </c>
    </row>
    <row r="2112" spans="1:12" x14ac:dyDescent="0.2">
      <c r="A2112" t="s">
        <v>9969</v>
      </c>
      <c r="B2112" t="s">
        <v>74</v>
      </c>
      <c r="C2112" t="s">
        <v>9262</v>
      </c>
      <c r="D2112" t="s">
        <v>44</v>
      </c>
      <c r="E2112">
        <v>2025</v>
      </c>
      <c r="F2112">
        <v>2027</v>
      </c>
      <c r="G2112" s="11">
        <v>340845.66781258001</v>
      </c>
      <c r="H2112">
        <f t="shared" si="134"/>
        <v>340845.66781258001</v>
      </c>
      <c r="I2112" t="str">
        <f t="shared" si="135"/>
        <v/>
      </c>
      <c r="J2112" t="str">
        <f t="shared" si="136"/>
        <v/>
      </c>
      <c r="K2112">
        <f>IF(E2112="","",SUM(ContractsTbl[[#This Row],[salaryY1]:[salaryY4]]))</f>
        <v>681691.33562516002</v>
      </c>
      <c r="L2112" t="b">
        <f t="shared" si="137"/>
        <v>0</v>
      </c>
    </row>
    <row r="2113" spans="1:12" x14ac:dyDescent="0.2">
      <c r="A2113" t="s">
        <v>9970</v>
      </c>
      <c r="B2113" t="s">
        <v>74</v>
      </c>
      <c r="C2113" t="s">
        <v>9263</v>
      </c>
      <c r="D2113" t="s">
        <v>44</v>
      </c>
      <c r="E2113">
        <v>2025</v>
      </c>
      <c r="F2113">
        <v>2027</v>
      </c>
      <c r="G2113" s="11">
        <v>339805.03565062402</v>
      </c>
      <c r="H2113">
        <f t="shared" si="134"/>
        <v>339805.03565062402</v>
      </c>
      <c r="I2113" t="str">
        <f t="shared" si="135"/>
        <v/>
      </c>
      <c r="J2113" t="str">
        <f t="shared" si="136"/>
        <v/>
      </c>
      <c r="K2113">
        <f>IF(E2113="","",SUM(ContractsTbl[[#This Row],[salaryY1]:[salaryY4]]))</f>
        <v>679610.07130124804</v>
      </c>
      <c r="L2113" t="b">
        <f t="shared" si="137"/>
        <v>0</v>
      </c>
    </row>
    <row r="2114" spans="1:12" x14ac:dyDescent="0.2">
      <c r="A2114" t="s">
        <v>9971</v>
      </c>
      <c r="B2114" t="s">
        <v>74</v>
      </c>
      <c r="C2114" t="s">
        <v>9264</v>
      </c>
      <c r="D2114" t="s">
        <v>44</v>
      </c>
      <c r="E2114">
        <v>2025</v>
      </c>
      <c r="F2114">
        <v>2027</v>
      </c>
      <c r="G2114" s="11">
        <v>338764.40348866797</v>
      </c>
      <c r="H2114">
        <f t="shared" si="134"/>
        <v>338764.40348866797</v>
      </c>
      <c r="I2114" t="str">
        <f t="shared" si="135"/>
        <v/>
      </c>
      <c r="J2114" t="str">
        <f t="shared" si="136"/>
        <v/>
      </c>
      <c r="K2114">
        <f>IF(E2114="","",SUM(ContractsTbl[[#This Row],[salaryY1]:[salaryY4]]))</f>
        <v>677528.80697733595</v>
      </c>
      <c r="L2114" t="b">
        <f t="shared" si="137"/>
        <v>0</v>
      </c>
    </row>
    <row r="2115" spans="1:12" x14ac:dyDescent="0.2">
      <c r="A2115" t="s">
        <v>9972</v>
      </c>
      <c r="B2115" t="s">
        <v>74</v>
      </c>
      <c r="C2115" t="s">
        <v>9265</v>
      </c>
      <c r="D2115" t="s">
        <v>44</v>
      </c>
      <c r="E2115">
        <v>2025</v>
      </c>
      <c r="F2115">
        <v>2027</v>
      </c>
      <c r="G2115" s="11">
        <v>337723.77132671297</v>
      </c>
      <c r="H2115">
        <f t="shared" si="134"/>
        <v>337723.77132671297</v>
      </c>
      <c r="I2115" t="str">
        <f t="shared" si="135"/>
        <v/>
      </c>
      <c r="J2115" t="str">
        <f t="shared" si="136"/>
        <v/>
      </c>
      <c r="K2115">
        <f>IF(E2115="","",SUM(ContractsTbl[[#This Row],[salaryY1]:[salaryY4]]))</f>
        <v>675447.54265342595</v>
      </c>
      <c r="L2115" t="b">
        <f t="shared" si="137"/>
        <v>0</v>
      </c>
    </row>
    <row r="2116" spans="1:12" x14ac:dyDescent="0.2">
      <c r="A2116" t="s">
        <v>9973</v>
      </c>
      <c r="B2116" t="s">
        <v>74</v>
      </c>
      <c r="C2116" t="s">
        <v>9266</v>
      </c>
      <c r="D2116" t="s">
        <v>44</v>
      </c>
      <c r="E2116">
        <v>2025</v>
      </c>
      <c r="F2116">
        <v>2027</v>
      </c>
      <c r="G2116" s="11">
        <v>336683.13916475698</v>
      </c>
      <c r="H2116">
        <f t="shared" si="134"/>
        <v>336683.13916475698</v>
      </c>
      <c r="I2116" t="str">
        <f t="shared" si="135"/>
        <v/>
      </c>
      <c r="J2116" t="str">
        <f t="shared" si="136"/>
        <v/>
      </c>
      <c r="K2116">
        <f>IF(E2116="","",SUM(ContractsTbl[[#This Row],[salaryY1]:[salaryY4]]))</f>
        <v>673366.27832951397</v>
      </c>
      <c r="L2116" t="b">
        <f t="shared" si="137"/>
        <v>0</v>
      </c>
    </row>
    <row r="2117" spans="1:12" x14ac:dyDescent="0.2">
      <c r="A2117" t="s">
        <v>9974</v>
      </c>
      <c r="B2117" t="s">
        <v>74</v>
      </c>
      <c r="C2117" t="s">
        <v>9267</v>
      </c>
      <c r="D2117" t="s">
        <v>44</v>
      </c>
      <c r="E2117">
        <v>2025</v>
      </c>
      <c r="F2117">
        <v>2027</v>
      </c>
      <c r="G2117" s="11">
        <v>335642.50700280099</v>
      </c>
      <c r="H2117">
        <f t="shared" si="134"/>
        <v>335642.50700280099</v>
      </c>
      <c r="I2117" t="str">
        <f t="shared" si="135"/>
        <v/>
      </c>
      <c r="J2117" t="str">
        <f t="shared" si="136"/>
        <v/>
      </c>
      <c r="K2117">
        <f>IF(E2117="","",SUM(ContractsTbl[[#This Row],[salaryY1]:[salaryY4]]))</f>
        <v>671285.01400560199</v>
      </c>
      <c r="L2117" t="b">
        <f t="shared" si="137"/>
        <v>0</v>
      </c>
    </row>
    <row r="2118" spans="1:12" x14ac:dyDescent="0.2">
      <c r="A2118" t="s">
        <v>9975</v>
      </c>
      <c r="B2118" t="s">
        <v>74</v>
      </c>
      <c r="C2118" t="s">
        <v>9268</v>
      </c>
      <c r="D2118" t="s">
        <v>44</v>
      </c>
      <c r="E2118">
        <v>2025</v>
      </c>
      <c r="F2118">
        <v>2027</v>
      </c>
      <c r="G2118" s="11">
        <v>334601.87484084599</v>
      </c>
      <c r="H2118">
        <f t="shared" si="134"/>
        <v>334601.87484084599</v>
      </c>
      <c r="I2118" t="str">
        <f t="shared" si="135"/>
        <v/>
      </c>
      <c r="J2118" t="str">
        <f t="shared" si="136"/>
        <v/>
      </c>
      <c r="K2118">
        <f>IF(E2118="","",SUM(ContractsTbl[[#This Row],[salaryY1]:[salaryY4]]))</f>
        <v>669203.74968169199</v>
      </c>
      <c r="L2118" t="b">
        <f t="shared" si="137"/>
        <v>0</v>
      </c>
    </row>
    <row r="2119" spans="1:12" x14ac:dyDescent="0.2">
      <c r="A2119" t="s">
        <v>9976</v>
      </c>
      <c r="B2119" t="s">
        <v>74</v>
      </c>
      <c r="C2119" t="s">
        <v>9269</v>
      </c>
      <c r="D2119" t="s">
        <v>44</v>
      </c>
      <c r="E2119">
        <v>2025</v>
      </c>
      <c r="F2119">
        <v>2027</v>
      </c>
      <c r="G2119" s="11">
        <v>333561.24267889</v>
      </c>
      <c r="H2119">
        <f t="shared" si="134"/>
        <v>333561.24267889</v>
      </c>
      <c r="I2119" t="str">
        <f t="shared" si="135"/>
        <v/>
      </c>
      <c r="J2119" t="str">
        <f t="shared" si="136"/>
        <v/>
      </c>
      <c r="K2119">
        <f>IF(E2119="","",SUM(ContractsTbl[[#This Row],[salaryY1]:[salaryY4]]))</f>
        <v>667122.48535778001</v>
      </c>
      <c r="L2119" t="b">
        <f t="shared" si="137"/>
        <v>0</v>
      </c>
    </row>
    <row r="2120" spans="1:12" x14ac:dyDescent="0.2">
      <c r="A2120" t="s">
        <v>9977</v>
      </c>
      <c r="B2120" t="s">
        <v>74</v>
      </c>
      <c r="C2120" t="s">
        <v>9270</v>
      </c>
      <c r="D2120" t="s">
        <v>44</v>
      </c>
      <c r="E2120">
        <v>2025</v>
      </c>
      <c r="F2120">
        <v>2027</v>
      </c>
      <c r="G2120" s="11">
        <v>332520.61051693402</v>
      </c>
      <c r="H2120">
        <f t="shared" si="134"/>
        <v>332520.61051693402</v>
      </c>
      <c r="I2120" t="str">
        <f t="shared" si="135"/>
        <v/>
      </c>
      <c r="J2120" t="str">
        <f t="shared" si="136"/>
        <v/>
      </c>
      <c r="K2120">
        <f>IF(E2120="","",SUM(ContractsTbl[[#This Row],[salaryY1]:[salaryY4]]))</f>
        <v>665041.22103386803</v>
      </c>
      <c r="L2120" t="b">
        <f t="shared" si="137"/>
        <v>0</v>
      </c>
    </row>
    <row r="2121" spans="1:12" x14ac:dyDescent="0.2">
      <c r="A2121" t="s">
        <v>9978</v>
      </c>
      <c r="B2121" t="s">
        <v>74</v>
      </c>
      <c r="C2121" t="s">
        <v>9271</v>
      </c>
      <c r="D2121" t="s">
        <v>44</v>
      </c>
      <c r="E2121">
        <v>2025</v>
      </c>
      <c r="F2121">
        <v>2027</v>
      </c>
      <c r="G2121" s="11">
        <v>331479.97835497803</v>
      </c>
      <c r="H2121">
        <f t="shared" si="134"/>
        <v>331479.97835497803</v>
      </c>
      <c r="I2121" t="str">
        <f t="shared" si="135"/>
        <v/>
      </c>
      <c r="J2121" t="str">
        <f t="shared" si="136"/>
        <v/>
      </c>
      <c r="K2121">
        <f>IF(E2121="","",SUM(ContractsTbl[[#This Row],[salaryY1]:[salaryY4]]))</f>
        <v>662959.95670995605</v>
      </c>
      <c r="L2121" t="b">
        <f t="shared" si="137"/>
        <v>0</v>
      </c>
    </row>
    <row r="2122" spans="1:12" x14ac:dyDescent="0.2">
      <c r="A2122" t="s">
        <v>9979</v>
      </c>
      <c r="B2122" t="s">
        <v>74</v>
      </c>
      <c r="C2122" t="s">
        <v>9272</v>
      </c>
      <c r="D2122" t="s">
        <v>44</v>
      </c>
      <c r="E2122">
        <v>2025</v>
      </c>
      <c r="F2122">
        <v>2027</v>
      </c>
      <c r="G2122" s="11">
        <v>330439.34619302303</v>
      </c>
      <c r="H2122">
        <f t="shared" si="134"/>
        <v>330439.34619302303</v>
      </c>
      <c r="I2122" t="str">
        <f t="shared" si="135"/>
        <v/>
      </c>
      <c r="J2122" t="str">
        <f t="shared" si="136"/>
        <v/>
      </c>
      <c r="K2122">
        <f>IF(E2122="","",SUM(ContractsTbl[[#This Row],[salaryY1]:[salaryY4]]))</f>
        <v>660878.69238604605</v>
      </c>
      <c r="L2122" t="b">
        <f t="shared" si="137"/>
        <v>0</v>
      </c>
    </row>
    <row r="2123" spans="1:12" x14ac:dyDescent="0.2">
      <c r="A2123" t="s">
        <v>9980</v>
      </c>
      <c r="B2123" t="s">
        <v>74</v>
      </c>
      <c r="C2123" t="s">
        <v>9273</v>
      </c>
      <c r="D2123" t="s">
        <v>44</v>
      </c>
      <c r="E2123">
        <v>2025</v>
      </c>
      <c r="F2123">
        <v>2027</v>
      </c>
      <c r="G2123" s="11">
        <v>329398.71403106698</v>
      </c>
      <c r="H2123">
        <f t="shared" si="134"/>
        <v>329398.71403106698</v>
      </c>
      <c r="I2123" t="str">
        <f t="shared" si="135"/>
        <v/>
      </c>
      <c r="J2123" t="str">
        <f t="shared" si="136"/>
        <v/>
      </c>
      <c r="K2123">
        <f>IF(E2123="","",SUM(ContractsTbl[[#This Row],[salaryY1]:[salaryY4]]))</f>
        <v>658797.42806213396</v>
      </c>
      <c r="L2123" t="b">
        <f t="shared" si="137"/>
        <v>0</v>
      </c>
    </row>
    <row r="2124" spans="1:12" x14ac:dyDescent="0.2">
      <c r="A2124" t="s">
        <v>9981</v>
      </c>
      <c r="B2124" t="s">
        <v>74</v>
      </c>
      <c r="C2124" t="s">
        <v>9274</v>
      </c>
      <c r="D2124" t="s">
        <v>44</v>
      </c>
      <c r="E2124">
        <v>2025</v>
      </c>
      <c r="F2124">
        <v>2027</v>
      </c>
      <c r="G2124" s="11">
        <v>328358.08186911099</v>
      </c>
      <c r="H2124">
        <f t="shared" si="134"/>
        <v>328358.08186911099</v>
      </c>
      <c r="I2124" t="str">
        <f t="shared" si="135"/>
        <v/>
      </c>
      <c r="J2124" t="str">
        <f t="shared" si="136"/>
        <v/>
      </c>
      <c r="K2124">
        <f>IF(E2124="","",SUM(ContractsTbl[[#This Row],[salaryY1]:[salaryY4]]))</f>
        <v>656716.16373822198</v>
      </c>
      <c r="L2124" t="b">
        <f t="shared" si="137"/>
        <v>0</v>
      </c>
    </row>
    <row r="2125" spans="1:12" x14ac:dyDescent="0.2">
      <c r="A2125" t="s">
        <v>9982</v>
      </c>
      <c r="B2125" t="s">
        <v>74</v>
      </c>
      <c r="C2125" t="s">
        <v>9275</v>
      </c>
      <c r="D2125" t="s">
        <v>44</v>
      </c>
      <c r="E2125">
        <v>2025</v>
      </c>
      <c r="F2125">
        <v>2027</v>
      </c>
      <c r="G2125" s="11">
        <v>327317.44970715599</v>
      </c>
      <c r="H2125">
        <f t="shared" si="134"/>
        <v>327317.44970715599</v>
      </c>
      <c r="I2125" t="str">
        <f t="shared" si="135"/>
        <v/>
      </c>
      <c r="J2125" t="str">
        <f t="shared" si="136"/>
        <v/>
      </c>
      <c r="K2125">
        <f>IF(E2125="","",SUM(ContractsTbl[[#This Row],[salaryY1]:[salaryY4]]))</f>
        <v>654634.89941431198</v>
      </c>
      <c r="L2125" t="b">
        <f t="shared" si="137"/>
        <v>0</v>
      </c>
    </row>
    <row r="2126" spans="1:12" x14ac:dyDescent="0.2">
      <c r="A2126" t="s">
        <v>9983</v>
      </c>
      <c r="B2126" t="s">
        <v>74</v>
      </c>
      <c r="C2126" t="s">
        <v>9276</v>
      </c>
      <c r="D2126" t="s">
        <v>44</v>
      </c>
      <c r="E2126">
        <v>2025</v>
      </c>
      <c r="F2126">
        <v>2027</v>
      </c>
      <c r="G2126" s="11">
        <v>326276.8175452</v>
      </c>
      <c r="H2126">
        <f t="shared" si="134"/>
        <v>326276.8175452</v>
      </c>
      <c r="I2126" t="str">
        <f t="shared" si="135"/>
        <v/>
      </c>
      <c r="J2126" t="str">
        <f t="shared" si="136"/>
        <v/>
      </c>
      <c r="K2126">
        <f>IF(E2126="","",SUM(ContractsTbl[[#This Row],[salaryY1]:[salaryY4]]))</f>
        <v>652553.6350904</v>
      </c>
      <c r="L2126" t="b">
        <f t="shared" si="137"/>
        <v>0</v>
      </c>
    </row>
    <row r="2127" spans="1:12" x14ac:dyDescent="0.2">
      <c r="A2127" t="s">
        <v>9984</v>
      </c>
      <c r="B2127" t="s">
        <v>74</v>
      </c>
      <c r="C2127" t="s">
        <v>9277</v>
      </c>
      <c r="D2127" t="s">
        <v>44</v>
      </c>
      <c r="E2127">
        <v>2025</v>
      </c>
      <c r="F2127">
        <v>2027</v>
      </c>
      <c r="G2127" s="11">
        <v>325236.18538324401</v>
      </c>
      <c r="H2127">
        <f t="shared" si="134"/>
        <v>325236.18538324401</v>
      </c>
      <c r="I2127" t="str">
        <f t="shared" si="135"/>
        <v/>
      </c>
      <c r="J2127" t="str">
        <f t="shared" si="136"/>
        <v/>
      </c>
      <c r="K2127">
        <f>IF(E2127="","",SUM(ContractsTbl[[#This Row],[salaryY1]:[salaryY4]]))</f>
        <v>650472.37076648802</v>
      </c>
      <c r="L2127" t="b">
        <f t="shared" si="137"/>
        <v>0</v>
      </c>
    </row>
    <row r="2128" spans="1:12" x14ac:dyDescent="0.2">
      <c r="A2128" t="s">
        <v>9985</v>
      </c>
      <c r="B2128" t="s">
        <v>74</v>
      </c>
      <c r="C2128" t="s">
        <v>9278</v>
      </c>
      <c r="D2128" t="s">
        <v>44</v>
      </c>
      <c r="E2128">
        <v>2025</v>
      </c>
      <c r="F2128">
        <v>2027</v>
      </c>
      <c r="G2128" s="11">
        <v>324195.55322128901</v>
      </c>
      <c r="H2128">
        <f t="shared" si="134"/>
        <v>324195.55322128901</v>
      </c>
      <c r="I2128" t="str">
        <f t="shared" si="135"/>
        <v/>
      </c>
      <c r="J2128" t="str">
        <f t="shared" si="136"/>
        <v/>
      </c>
      <c r="K2128">
        <f>IF(E2128="","",SUM(ContractsTbl[[#This Row],[salaryY1]:[salaryY4]]))</f>
        <v>648391.10644257802</v>
      </c>
      <c r="L2128" t="b">
        <f t="shared" si="137"/>
        <v>0</v>
      </c>
    </row>
    <row r="2129" spans="1:12" x14ac:dyDescent="0.2">
      <c r="A2129" t="s">
        <v>9986</v>
      </c>
      <c r="B2129" t="s">
        <v>74</v>
      </c>
      <c r="C2129" t="s">
        <v>9279</v>
      </c>
      <c r="D2129" t="s">
        <v>44</v>
      </c>
      <c r="E2129">
        <v>2025</v>
      </c>
      <c r="F2129">
        <v>2027</v>
      </c>
      <c r="G2129" s="11">
        <v>323154.92105933302</v>
      </c>
      <c r="H2129">
        <f t="shared" si="134"/>
        <v>323154.92105933302</v>
      </c>
      <c r="I2129" t="str">
        <f t="shared" si="135"/>
        <v/>
      </c>
      <c r="J2129" t="str">
        <f t="shared" si="136"/>
        <v/>
      </c>
      <c r="K2129">
        <f>IF(E2129="","",SUM(ContractsTbl[[#This Row],[salaryY1]:[salaryY4]]))</f>
        <v>646309.84211866604</v>
      </c>
      <c r="L2129" t="b">
        <f t="shared" si="137"/>
        <v>0</v>
      </c>
    </row>
    <row r="2130" spans="1:12" x14ac:dyDescent="0.2">
      <c r="A2130" t="s">
        <v>9987</v>
      </c>
      <c r="B2130" t="s">
        <v>74</v>
      </c>
      <c r="C2130" t="s">
        <v>9280</v>
      </c>
      <c r="D2130" t="s">
        <v>44</v>
      </c>
      <c r="E2130">
        <v>2025</v>
      </c>
      <c r="F2130">
        <v>2027</v>
      </c>
      <c r="G2130" s="11">
        <v>322114.28889737697</v>
      </c>
      <c r="H2130">
        <f t="shared" si="134"/>
        <v>322114.28889737697</v>
      </c>
      <c r="I2130" t="str">
        <f t="shared" si="135"/>
        <v/>
      </c>
      <c r="J2130" t="str">
        <f t="shared" si="136"/>
        <v/>
      </c>
      <c r="K2130">
        <f>IF(E2130="","",SUM(ContractsTbl[[#This Row],[salaryY1]:[salaryY4]]))</f>
        <v>644228.57779475395</v>
      </c>
      <c r="L2130" t="b">
        <f t="shared" si="137"/>
        <v>0</v>
      </c>
    </row>
    <row r="2131" spans="1:12" x14ac:dyDescent="0.2">
      <c r="A2131" t="s">
        <v>9988</v>
      </c>
      <c r="B2131" t="s">
        <v>74</v>
      </c>
      <c r="C2131" t="s">
        <v>9281</v>
      </c>
      <c r="D2131" t="s">
        <v>44</v>
      </c>
      <c r="E2131">
        <v>2025</v>
      </c>
      <c r="F2131">
        <v>2027</v>
      </c>
      <c r="G2131" s="11">
        <v>321073.65673542197</v>
      </c>
      <c r="H2131">
        <f t="shared" si="134"/>
        <v>321073.65673542197</v>
      </c>
      <c r="I2131" t="str">
        <f t="shared" si="135"/>
        <v/>
      </c>
      <c r="J2131" t="str">
        <f t="shared" si="136"/>
        <v/>
      </c>
      <c r="K2131">
        <f>IF(E2131="","",SUM(ContractsTbl[[#This Row],[salaryY1]:[salaryY4]]))</f>
        <v>642147.31347084395</v>
      </c>
      <c r="L2131" t="b">
        <f t="shared" si="137"/>
        <v>0</v>
      </c>
    </row>
    <row r="2132" spans="1:12" x14ac:dyDescent="0.2">
      <c r="A2132" t="s">
        <v>9989</v>
      </c>
      <c r="B2132" t="s">
        <v>74</v>
      </c>
      <c r="C2132" t="s">
        <v>9282</v>
      </c>
      <c r="D2132" t="s">
        <v>44</v>
      </c>
      <c r="E2132">
        <v>2025</v>
      </c>
      <c r="F2132">
        <v>2027</v>
      </c>
      <c r="G2132" s="11">
        <v>320033.02457346598</v>
      </c>
      <c r="H2132">
        <f t="shared" si="134"/>
        <v>320033.02457346598</v>
      </c>
      <c r="I2132" t="str">
        <f t="shared" si="135"/>
        <v/>
      </c>
      <c r="J2132" t="str">
        <f t="shared" si="136"/>
        <v/>
      </c>
      <c r="K2132">
        <f>IF(E2132="","",SUM(ContractsTbl[[#This Row],[salaryY1]:[salaryY4]]))</f>
        <v>640066.04914693197</v>
      </c>
      <c r="L2132" t="b">
        <f t="shared" si="137"/>
        <v>0</v>
      </c>
    </row>
    <row r="2133" spans="1:12" x14ac:dyDescent="0.2">
      <c r="A2133" t="s">
        <v>9990</v>
      </c>
      <c r="B2133" t="s">
        <v>74</v>
      </c>
      <c r="C2133" t="s">
        <v>9283</v>
      </c>
      <c r="D2133" t="s">
        <v>44</v>
      </c>
      <c r="E2133">
        <v>2025</v>
      </c>
      <c r="F2133">
        <v>2027</v>
      </c>
      <c r="G2133" s="11">
        <v>318992.39241150999</v>
      </c>
      <c r="H2133">
        <f t="shared" si="134"/>
        <v>318992.39241150999</v>
      </c>
      <c r="I2133" t="str">
        <f t="shared" si="135"/>
        <v/>
      </c>
      <c r="J2133" t="str">
        <f t="shared" si="136"/>
        <v/>
      </c>
      <c r="K2133">
        <f>IF(E2133="","",SUM(ContractsTbl[[#This Row],[salaryY1]:[salaryY4]]))</f>
        <v>637984.78482301999</v>
      </c>
      <c r="L2133" t="b">
        <f t="shared" si="137"/>
        <v>0</v>
      </c>
    </row>
    <row r="2134" spans="1:12" x14ac:dyDescent="0.2">
      <c r="A2134" t="s">
        <v>9991</v>
      </c>
      <c r="B2134" t="s">
        <v>74</v>
      </c>
      <c r="C2134" t="s">
        <v>9284</v>
      </c>
      <c r="D2134" t="s">
        <v>44</v>
      </c>
      <c r="E2134">
        <v>2025</v>
      </c>
      <c r="F2134">
        <v>2027</v>
      </c>
      <c r="G2134" s="11">
        <v>317951.760249554</v>
      </c>
      <c r="H2134">
        <f t="shared" si="134"/>
        <v>317951.760249554</v>
      </c>
      <c r="I2134" t="str">
        <f t="shared" si="135"/>
        <v/>
      </c>
      <c r="J2134" t="str">
        <f t="shared" si="136"/>
        <v/>
      </c>
      <c r="K2134">
        <f>IF(E2134="","",SUM(ContractsTbl[[#This Row],[salaryY1]:[salaryY4]]))</f>
        <v>635903.52049910801</v>
      </c>
      <c r="L2134" t="b">
        <f t="shared" si="137"/>
        <v>0</v>
      </c>
    </row>
    <row r="2135" spans="1:12" x14ac:dyDescent="0.2">
      <c r="A2135" t="s">
        <v>9992</v>
      </c>
      <c r="B2135" t="s">
        <v>74</v>
      </c>
      <c r="C2135" t="s">
        <v>9285</v>
      </c>
      <c r="D2135" t="s">
        <v>44</v>
      </c>
      <c r="E2135">
        <v>2025</v>
      </c>
      <c r="F2135">
        <v>2027</v>
      </c>
      <c r="G2135" s="11">
        <v>316911.12808759901</v>
      </c>
      <c r="H2135">
        <f t="shared" si="134"/>
        <v>316911.12808759901</v>
      </c>
      <c r="I2135" t="str">
        <f t="shared" si="135"/>
        <v/>
      </c>
      <c r="J2135" t="str">
        <f t="shared" si="136"/>
        <v/>
      </c>
      <c r="K2135">
        <f>IF(E2135="","",SUM(ContractsTbl[[#This Row],[salaryY1]:[salaryY4]]))</f>
        <v>633822.25617519801</v>
      </c>
      <c r="L2135" t="b">
        <f t="shared" si="137"/>
        <v>0</v>
      </c>
    </row>
    <row r="2136" spans="1:12" x14ac:dyDescent="0.2">
      <c r="A2136" t="s">
        <v>9993</v>
      </c>
      <c r="B2136" t="s">
        <v>74</v>
      </c>
      <c r="C2136" t="s">
        <v>9286</v>
      </c>
      <c r="D2136" t="s">
        <v>44</v>
      </c>
      <c r="E2136">
        <v>2025</v>
      </c>
      <c r="F2136">
        <v>2027</v>
      </c>
      <c r="G2136" s="11">
        <v>315870.49592564302</v>
      </c>
      <c r="H2136">
        <f t="shared" si="134"/>
        <v>315870.49592564302</v>
      </c>
      <c r="I2136" t="str">
        <f t="shared" si="135"/>
        <v/>
      </c>
      <c r="J2136" t="str">
        <f t="shared" si="136"/>
        <v/>
      </c>
      <c r="K2136">
        <f>IF(E2136="","",SUM(ContractsTbl[[#This Row],[salaryY1]:[salaryY4]]))</f>
        <v>631740.99185128603</v>
      </c>
      <c r="L2136" t="b">
        <f t="shared" si="137"/>
        <v>0</v>
      </c>
    </row>
    <row r="2137" spans="1:12" x14ac:dyDescent="0.2">
      <c r="A2137" t="s">
        <v>9994</v>
      </c>
      <c r="B2137" t="s">
        <v>74</v>
      </c>
      <c r="C2137" t="s">
        <v>9287</v>
      </c>
      <c r="D2137" t="s">
        <v>44</v>
      </c>
      <c r="E2137">
        <v>2025</v>
      </c>
      <c r="F2137">
        <v>2027</v>
      </c>
      <c r="G2137" s="11">
        <v>314829.86376368703</v>
      </c>
      <c r="H2137">
        <f t="shared" si="134"/>
        <v>314829.86376368703</v>
      </c>
      <c r="I2137" t="str">
        <f t="shared" si="135"/>
        <v/>
      </c>
      <c r="J2137" t="str">
        <f t="shared" si="136"/>
        <v/>
      </c>
      <c r="K2137">
        <f>IF(E2137="","",SUM(ContractsTbl[[#This Row],[salaryY1]:[salaryY4]]))</f>
        <v>629659.72752737405</v>
      </c>
      <c r="L2137" t="b">
        <f t="shared" si="137"/>
        <v>0</v>
      </c>
    </row>
    <row r="2138" spans="1:12" x14ac:dyDescent="0.2">
      <c r="A2138" t="s">
        <v>9995</v>
      </c>
      <c r="B2138" t="s">
        <v>74</v>
      </c>
      <c r="C2138" t="s">
        <v>9288</v>
      </c>
      <c r="D2138" t="s">
        <v>44</v>
      </c>
      <c r="E2138">
        <v>2025</v>
      </c>
      <c r="F2138">
        <v>2027</v>
      </c>
      <c r="G2138" s="11">
        <v>313789.23160173203</v>
      </c>
      <c r="H2138">
        <f t="shared" ref="H2138:H2201" si="138">IF(F2138&gt;=2027,G2138,"")</f>
        <v>313789.23160173203</v>
      </c>
      <c r="I2138" t="str">
        <f t="shared" ref="I2138:I2201" si="139">IF(F2138&gt;=2028,G2138,"")</f>
        <v/>
      </c>
      <c r="J2138" t="str">
        <f t="shared" ref="J2138:J2201" si="140">IF(F2138&gt;=2029,G2138,"")</f>
        <v/>
      </c>
      <c r="K2138">
        <f>IF(E2138="","",SUM(ContractsTbl[[#This Row],[salaryY1]:[salaryY4]]))</f>
        <v>627578.46320346405</v>
      </c>
      <c r="L2138" t="b">
        <f t="shared" ref="L2138:L2201" si="141">IF(F2138="",TRUE,FALSE)</f>
        <v>0</v>
      </c>
    </row>
    <row r="2139" spans="1:12" x14ac:dyDescent="0.2">
      <c r="A2139" t="s">
        <v>9996</v>
      </c>
      <c r="B2139" t="s">
        <v>74</v>
      </c>
      <c r="C2139" t="s">
        <v>9289</v>
      </c>
      <c r="D2139" t="s">
        <v>44</v>
      </c>
      <c r="E2139">
        <v>2025</v>
      </c>
      <c r="F2139">
        <v>2027</v>
      </c>
      <c r="G2139" s="11">
        <v>312748.59943977598</v>
      </c>
      <c r="H2139">
        <f t="shared" si="138"/>
        <v>312748.59943977598</v>
      </c>
      <c r="I2139" t="str">
        <f t="shared" si="139"/>
        <v/>
      </c>
      <c r="J2139" t="str">
        <f t="shared" si="140"/>
        <v/>
      </c>
      <c r="K2139">
        <f>IF(E2139="","",SUM(ContractsTbl[[#This Row],[salaryY1]:[salaryY4]]))</f>
        <v>625497.19887955196</v>
      </c>
      <c r="L2139" t="b">
        <f t="shared" si="141"/>
        <v>0</v>
      </c>
    </row>
    <row r="2140" spans="1:12" x14ac:dyDescent="0.2">
      <c r="A2140" t="s">
        <v>9997</v>
      </c>
      <c r="B2140" t="s">
        <v>74</v>
      </c>
      <c r="C2140" t="s">
        <v>9290</v>
      </c>
      <c r="D2140" t="s">
        <v>44</v>
      </c>
      <c r="E2140">
        <v>2025</v>
      </c>
      <c r="F2140">
        <v>2027</v>
      </c>
      <c r="G2140" s="11">
        <v>311707.96727781999</v>
      </c>
      <c r="H2140">
        <f t="shared" si="138"/>
        <v>311707.96727781999</v>
      </c>
      <c r="I2140" t="str">
        <f t="shared" si="139"/>
        <v/>
      </c>
      <c r="J2140" t="str">
        <f t="shared" si="140"/>
        <v/>
      </c>
      <c r="K2140">
        <f>IF(E2140="","",SUM(ContractsTbl[[#This Row],[salaryY1]:[salaryY4]]))</f>
        <v>623415.93455563998</v>
      </c>
      <c r="L2140" t="b">
        <f t="shared" si="141"/>
        <v>0</v>
      </c>
    </row>
    <row r="2141" spans="1:12" x14ac:dyDescent="0.2">
      <c r="A2141" t="s">
        <v>9998</v>
      </c>
      <c r="B2141" t="s">
        <v>74</v>
      </c>
      <c r="C2141" t="s">
        <v>9291</v>
      </c>
      <c r="D2141" t="s">
        <v>44</v>
      </c>
      <c r="E2141">
        <v>2025</v>
      </c>
      <c r="F2141">
        <v>2027</v>
      </c>
      <c r="G2141" s="11">
        <v>310667.33511586499</v>
      </c>
      <c r="H2141">
        <f t="shared" si="138"/>
        <v>310667.33511586499</v>
      </c>
      <c r="I2141" t="str">
        <f t="shared" si="139"/>
        <v/>
      </c>
      <c r="J2141" t="str">
        <f t="shared" si="140"/>
        <v/>
      </c>
      <c r="K2141">
        <f>IF(E2141="","",SUM(ContractsTbl[[#This Row],[salaryY1]:[salaryY4]]))</f>
        <v>621334.67023172998</v>
      </c>
      <c r="L2141" t="b">
        <f t="shared" si="141"/>
        <v>0</v>
      </c>
    </row>
    <row r="2142" spans="1:12" x14ac:dyDescent="0.2">
      <c r="A2142" t="s">
        <v>9999</v>
      </c>
      <c r="B2142" t="s">
        <v>74</v>
      </c>
      <c r="C2142" t="s">
        <v>9292</v>
      </c>
      <c r="D2142" t="s">
        <v>44</v>
      </c>
      <c r="E2142">
        <v>2025</v>
      </c>
      <c r="F2142">
        <v>2027</v>
      </c>
      <c r="G2142" s="11">
        <v>309626.702953909</v>
      </c>
      <c r="H2142">
        <f t="shared" si="138"/>
        <v>309626.702953909</v>
      </c>
      <c r="I2142" t="str">
        <f t="shared" si="139"/>
        <v/>
      </c>
      <c r="J2142" t="str">
        <f t="shared" si="140"/>
        <v/>
      </c>
      <c r="K2142">
        <f>IF(E2142="","",SUM(ContractsTbl[[#This Row],[salaryY1]:[salaryY4]]))</f>
        <v>619253.405907818</v>
      </c>
      <c r="L2142" t="b">
        <f t="shared" si="141"/>
        <v>0</v>
      </c>
    </row>
    <row r="2143" spans="1:12" x14ac:dyDescent="0.2">
      <c r="A2143" t="s">
        <v>10000</v>
      </c>
      <c r="B2143" t="s">
        <v>74</v>
      </c>
      <c r="C2143" t="s">
        <v>9293</v>
      </c>
      <c r="D2143" t="s">
        <v>44</v>
      </c>
      <c r="E2143">
        <v>2025</v>
      </c>
      <c r="F2143">
        <v>2027</v>
      </c>
      <c r="G2143" s="11">
        <v>308586.07079195301</v>
      </c>
      <c r="H2143">
        <f t="shared" si="138"/>
        <v>308586.07079195301</v>
      </c>
      <c r="I2143" t="str">
        <f t="shared" si="139"/>
        <v/>
      </c>
      <c r="J2143" t="str">
        <f t="shared" si="140"/>
        <v/>
      </c>
      <c r="K2143">
        <f>IF(E2143="","",SUM(ContractsTbl[[#This Row],[salaryY1]:[salaryY4]]))</f>
        <v>617172.14158390602</v>
      </c>
      <c r="L2143" t="b">
        <f t="shared" si="141"/>
        <v>0</v>
      </c>
    </row>
    <row r="2144" spans="1:12" x14ac:dyDescent="0.2">
      <c r="A2144" t="s">
        <v>10001</v>
      </c>
      <c r="B2144" t="s">
        <v>74</v>
      </c>
      <c r="C2144" t="s">
        <v>9294</v>
      </c>
      <c r="D2144" t="s">
        <v>44</v>
      </c>
      <c r="E2144">
        <v>2025</v>
      </c>
      <c r="F2144">
        <v>2027</v>
      </c>
      <c r="G2144" s="11">
        <v>307545.43862999801</v>
      </c>
      <c r="H2144">
        <f t="shared" si="138"/>
        <v>307545.43862999801</v>
      </c>
      <c r="I2144" t="str">
        <f t="shared" si="139"/>
        <v/>
      </c>
      <c r="J2144" t="str">
        <f t="shared" si="140"/>
        <v/>
      </c>
      <c r="K2144">
        <f>IF(E2144="","",SUM(ContractsTbl[[#This Row],[salaryY1]:[salaryY4]]))</f>
        <v>615090.87725999602</v>
      </c>
      <c r="L2144" t="b">
        <f t="shared" si="141"/>
        <v>0</v>
      </c>
    </row>
    <row r="2145" spans="1:12" x14ac:dyDescent="0.2">
      <c r="A2145" t="s">
        <v>10002</v>
      </c>
      <c r="B2145" t="s">
        <v>74</v>
      </c>
      <c r="C2145" t="s">
        <v>9295</v>
      </c>
      <c r="D2145" t="s">
        <v>44</v>
      </c>
      <c r="E2145">
        <v>2025</v>
      </c>
      <c r="F2145">
        <v>2027</v>
      </c>
      <c r="G2145" s="11">
        <v>306504.80646804202</v>
      </c>
      <c r="H2145">
        <f t="shared" si="138"/>
        <v>306504.80646804202</v>
      </c>
      <c r="I2145" t="str">
        <f t="shared" si="139"/>
        <v/>
      </c>
      <c r="J2145" t="str">
        <f t="shared" si="140"/>
        <v/>
      </c>
      <c r="K2145">
        <f>IF(E2145="","",SUM(ContractsTbl[[#This Row],[salaryY1]:[salaryY4]]))</f>
        <v>613009.61293608404</v>
      </c>
      <c r="L2145" t="b">
        <f t="shared" si="141"/>
        <v>0</v>
      </c>
    </row>
    <row r="2146" spans="1:12" x14ac:dyDescent="0.2">
      <c r="A2146" t="s">
        <v>10003</v>
      </c>
      <c r="B2146" t="s">
        <v>74</v>
      </c>
      <c r="C2146" t="s">
        <v>9296</v>
      </c>
      <c r="D2146" t="s">
        <v>44</v>
      </c>
      <c r="E2146">
        <v>2025</v>
      </c>
      <c r="F2146">
        <v>2027</v>
      </c>
      <c r="G2146" s="11">
        <v>305464.17430608597</v>
      </c>
      <c r="H2146">
        <f t="shared" si="138"/>
        <v>305464.17430608597</v>
      </c>
      <c r="I2146" t="str">
        <f t="shared" si="139"/>
        <v/>
      </c>
      <c r="J2146" t="str">
        <f t="shared" si="140"/>
        <v/>
      </c>
      <c r="K2146">
        <f>IF(E2146="","",SUM(ContractsTbl[[#This Row],[salaryY1]:[salaryY4]]))</f>
        <v>610928.34861217195</v>
      </c>
      <c r="L2146" t="b">
        <f t="shared" si="141"/>
        <v>0</v>
      </c>
    </row>
    <row r="2147" spans="1:12" x14ac:dyDescent="0.2">
      <c r="A2147" t="s">
        <v>10004</v>
      </c>
      <c r="B2147" t="s">
        <v>74</v>
      </c>
      <c r="C2147" t="s">
        <v>9297</v>
      </c>
      <c r="D2147" t="s">
        <v>44</v>
      </c>
      <c r="E2147">
        <v>2025</v>
      </c>
      <c r="F2147">
        <v>2027</v>
      </c>
      <c r="G2147" s="11">
        <v>304423.54214412998</v>
      </c>
      <c r="H2147">
        <f t="shared" si="138"/>
        <v>304423.54214412998</v>
      </c>
      <c r="I2147" t="str">
        <f t="shared" si="139"/>
        <v/>
      </c>
      <c r="J2147" t="str">
        <f t="shared" si="140"/>
        <v/>
      </c>
      <c r="K2147">
        <f>IF(E2147="","",SUM(ContractsTbl[[#This Row],[salaryY1]:[salaryY4]]))</f>
        <v>608847.08428825997</v>
      </c>
      <c r="L2147" t="b">
        <f t="shared" si="141"/>
        <v>0</v>
      </c>
    </row>
    <row r="2148" spans="1:12" x14ac:dyDescent="0.2">
      <c r="A2148" t="s">
        <v>10005</v>
      </c>
      <c r="B2148" t="s">
        <v>74</v>
      </c>
      <c r="C2148" t="s">
        <v>9298</v>
      </c>
      <c r="D2148" t="s">
        <v>44</v>
      </c>
      <c r="E2148">
        <v>2025</v>
      </c>
      <c r="F2148">
        <v>2027</v>
      </c>
      <c r="G2148" s="11">
        <v>303382.90998217498</v>
      </c>
      <c r="H2148">
        <f t="shared" si="138"/>
        <v>303382.90998217498</v>
      </c>
      <c r="I2148" t="str">
        <f t="shared" si="139"/>
        <v/>
      </c>
      <c r="J2148" t="str">
        <f t="shared" si="140"/>
        <v/>
      </c>
      <c r="K2148">
        <f>IF(E2148="","",SUM(ContractsTbl[[#This Row],[salaryY1]:[salaryY4]]))</f>
        <v>606765.81996434997</v>
      </c>
      <c r="L2148" t="b">
        <f t="shared" si="141"/>
        <v>0</v>
      </c>
    </row>
    <row r="2149" spans="1:12" x14ac:dyDescent="0.2">
      <c r="A2149" t="s">
        <v>10006</v>
      </c>
      <c r="B2149" t="s">
        <v>74</v>
      </c>
      <c r="C2149" t="s">
        <v>9299</v>
      </c>
      <c r="D2149" t="s">
        <v>44</v>
      </c>
      <c r="E2149">
        <v>2025</v>
      </c>
      <c r="F2149">
        <v>2027</v>
      </c>
      <c r="G2149" s="11">
        <v>302342.27782021899</v>
      </c>
      <c r="H2149">
        <f t="shared" si="138"/>
        <v>302342.27782021899</v>
      </c>
      <c r="I2149" t="str">
        <f t="shared" si="139"/>
        <v/>
      </c>
      <c r="J2149" t="str">
        <f t="shared" si="140"/>
        <v/>
      </c>
      <c r="K2149">
        <f>IF(E2149="","",SUM(ContractsTbl[[#This Row],[salaryY1]:[salaryY4]]))</f>
        <v>604684.55564043799</v>
      </c>
      <c r="L2149" t="b">
        <f t="shared" si="141"/>
        <v>0</v>
      </c>
    </row>
    <row r="2150" spans="1:12" x14ac:dyDescent="0.2">
      <c r="A2150" t="s">
        <v>10007</v>
      </c>
      <c r="B2150" t="s">
        <v>74</v>
      </c>
      <c r="C2150" t="s">
        <v>9300</v>
      </c>
      <c r="D2150" t="s">
        <v>44</v>
      </c>
      <c r="E2150">
        <v>2025</v>
      </c>
      <c r="F2150">
        <v>2027</v>
      </c>
      <c r="G2150" s="11">
        <v>301301.64565826301</v>
      </c>
      <c r="H2150">
        <f t="shared" si="138"/>
        <v>301301.64565826301</v>
      </c>
      <c r="I2150" t="str">
        <f t="shared" si="139"/>
        <v/>
      </c>
      <c r="J2150" t="str">
        <f t="shared" si="140"/>
        <v/>
      </c>
      <c r="K2150">
        <f>IF(E2150="","",SUM(ContractsTbl[[#This Row],[salaryY1]:[salaryY4]]))</f>
        <v>602603.29131652601</v>
      </c>
      <c r="L2150" t="b">
        <f t="shared" si="141"/>
        <v>0</v>
      </c>
    </row>
    <row r="2151" spans="1:12" x14ac:dyDescent="0.2">
      <c r="A2151" t="s">
        <v>10008</v>
      </c>
      <c r="B2151" t="s">
        <v>74</v>
      </c>
      <c r="C2151" t="s">
        <v>9301</v>
      </c>
      <c r="D2151" t="s">
        <v>44</v>
      </c>
      <c r="E2151">
        <v>2025</v>
      </c>
      <c r="F2151">
        <v>2027</v>
      </c>
      <c r="G2151" s="11">
        <v>300261.01349630801</v>
      </c>
      <c r="H2151">
        <f t="shared" si="138"/>
        <v>300261.01349630801</v>
      </c>
      <c r="I2151" t="str">
        <f t="shared" si="139"/>
        <v/>
      </c>
      <c r="J2151" t="str">
        <f t="shared" si="140"/>
        <v/>
      </c>
      <c r="K2151">
        <f>IF(E2151="","",SUM(ContractsTbl[[#This Row],[salaryY1]:[salaryY4]]))</f>
        <v>600522.02699261601</v>
      </c>
      <c r="L2151" t="b">
        <f t="shared" si="141"/>
        <v>0</v>
      </c>
    </row>
    <row r="2152" spans="1:12" x14ac:dyDescent="0.2">
      <c r="A2152" t="s">
        <v>10009</v>
      </c>
      <c r="B2152" t="s">
        <v>74</v>
      </c>
      <c r="C2152" t="s">
        <v>9302</v>
      </c>
      <c r="D2152" t="s">
        <v>44</v>
      </c>
      <c r="E2152">
        <v>2025</v>
      </c>
      <c r="F2152">
        <v>2027</v>
      </c>
      <c r="G2152" s="11">
        <v>299220.38133435202</v>
      </c>
      <c r="H2152">
        <f t="shared" si="138"/>
        <v>299220.38133435202</v>
      </c>
      <c r="I2152" t="str">
        <f t="shared" si="139"/>
        <v/>
      </c>
      <c r="J2152" t="str">
        <f t="shared" si="140"/>
        <v/>
      </c>
      <c r="K2152">
        <f>IF(E2152="","",SUM(ContractsTbl[[#This Row],[salaryY1]:[salaryY4]]))</f>
        <v>598440.76266870403</v>
      </c>
      <c r="L2152" t="b">
        <f t="shared" si="141"/>
        <v>0</v>
      </c>
    </row>
    <row r="2153" spans="1:12" x14ac:dyDescent="0.2">
      <c r="A2153" t="s">
        <v>10010</v>
      </c>
      <c r="B2153" t="s">
        <v>74</v>
      </c>
      <c r="C2153" t="s">
        <v>9303</v>
      </c>
      <c r="D2153" t="s">
        <v>44</v>
      </c>
      <c r="E2153">
        <v>2025</v>
      </c>
      <c r="F2153">
        <v>2027</v>
      </c>
      <c r="G2153" s="11">
        <v>298179.74917239603</v>
      </c>
      <c r="H2153">
        <f t="shared" si="138"/>
        <v>298179.74917239603</v>
      </c>
      <c r="I2153" t="str">
        <f t="shared" si="139"/>
        <v/>
      </c>
      <c r="J2153" t="str">
        <f t="shared" si="140"/>
        <v/>
      </c>
      <c r="K2153">
        <f>IF(E2153="","",SUM(ContractsTbl[[#This Row],[salaryY1]:[salaryY4]]))</f>
        <v>596359.49834479205</v>
      </c>
      <c r="L2153" t="b">
        <f t="shared" si="141"/>
        <v>0</v>
      </c>
    </row>
    <row r="2154" spans="1:12" x14ac:dyDescent="0.2">
      <c r="A2154" t="s">
        <v>10011</v>
      </c>
      <c r="B2154" t="s">
        <v>74</v>
      </c>
      <c r="C2154" t="s">
        <v>9304</v>
      </c>
      <c r="D2154" t="s">
        <v>44</v>
      </c>
      <c r="E2154">
        <v>2025</v>
      </c>
      <c r="F2154">
        <v>2027</v>
      </c>
      <c r="G2154" s="11">
        <v>297139.11701044103</v>
      </c>
      <c r="H2154">
        <f t="shared" si="138"/>
        <v>297139.11701044103</v>
      </c>
      <c r="I2154" t="str">
        <f t="shared" si="139"/>
        <v/>
      </c>
      <c r="J2154" t="str">
        <f t="shared" si="140"/>
        <v/>
      </c>
      <c r="K2154">
        <f>IF(E2154="","",SUM(ContractsTbl[[#This Row],[salaryY1]:[salaryY4]]))</f>
        <v>594278.23402088205</v>
      </c>
      <c r="L2154" t="b">
        <f t="shared" si="141"/>
        <v>0</v>
      </c>
    </row>
    <row r="2155" spans="1:12" x14ac:dyDescent="0.2">
      <c r="A2155" t="s">
        <v>10012</v>
      </c>
      <c r="B2155" t="s">
        <v>74</v>
      </c>
      <c r="C2155" t="s">
        <v>9305</v>
      </c>
      <c r="D2155" t="s">
        <v>44</v>
      </c>
      <c r="E2155">
        <v>2025</v>
      </c>
      <c r="F2155">
        <v>2027</v>
      </c>
      <c r="G2155" s="11">
        <v>296098.48484848498</v>
      </c>
      <c r="H2155">
        <f t="shared" si="138"/>
        <v>296098.48484848498</v>
      </c>
      <c r="I2155" t="str">
        <f t="shared" si="139"/>
        <v/>
      </c>
      <c r="J2155" t="str">
        <f t="shared" si="140"/>
        <v/>
      </c>
      <c r="K2155">
        <f>IF(E2155="","",SUM(ContractsTbl[[#This Row],[salaryY1]:[salaryY4]]))</f>
        <v>592196.96969696996</v>
      </c>
      <c r="L2155" t="b">
        <f t="shared" si="141"/>
        <v>0</v>
      </c>
    </row>
    <row r="2156" spans="1:12" x14ac:dyDescent="0.2">
      <c r="A2156" t="s">
        <v>10013</v>
      </c>
      <c r="B2156" t="s">
        <v>74</v>
      </c>
      <c r="C2156" t="s">
        <v>9306</v>
      </c>
      <c r="D2156" t="s">
        <v>44</v>
      </c>
      <c r="E2156">
        <v>2025</v>
      </c>
      <c r="F2156">
        <v>2027</v>
      </c>
      <c r="G2156" s="11">
        <v>295057.85268652899</v>
      </c>
      <c r="H2156">
        <f t="shared" si="138"/>
        <v>295057.85268652899</v>
      </c>
      <c r="I2156" t="str">
        <f t="shared" si="139"/>
        <v/>
      </c>
      <c r="J2156" t="str">
        <f t="shared" si="140"/>
        <v/>
      </c>
      <c r="K2156">
        <f>IF(E2156="","",SUM(ContractsTbl[[#This Row],[salaryY1]:[salaryY4]]))</f>
        <v>590115.70537305798</v>
      </c>
      <c r="L2156" t="b">
        <f t="shared" si="141"/>
        <v>0</v>
      </c>
    </row>
    <row r="2157" spans="1:12" x14ac:dyDescent="0.2">
      <c r="A2157" t="s">
        <v>10014</v>
      </c>
      <c r="B2157" t="s">
        <v>74</v>
      </c>
      <c r="C2157" t="s">
        <v>9307</v>
      </c>
      <c r="D2157" t="s">
        <v>44</v>
      </c>
      <c r="E2157">
        <v>2025</v>
      </c>
      <c r="F2157">
        <v>2027</v>
      </c>
      <c r="G2157" s="11">
        <v>294017.22052457399</v>
      </c>
      <c r="H2157">
        <f t="shared" si="138"/>
        <v>294017.22052457399</v>
      </c>
      <c r="I2157" t="str">
        <f t="shared" si="139"/>
        <v/>
      </c>
      <c r="J2157" t="str">
        <f t="shared" si="140"/>
        <v/>
      </c>
      <c r="K2157">
        <f>IF(E2157="","",SUM(ContractsTbl[[#This Row],[salaryY1]:[salaryY4]]))</f>
        <v>588034.44104914798</v>
      </c>
      <c r="L2157" t="b">
        <f t="shared" si="141"/>
        <v>0</v>
      </c>
    </row>
    <row r="2158" spans="1:12" x14ac:dyDescent="0.2">
      <c r="A2158" t="s">
        <v>10015</v>
      </c>
      <c r="B2158" t="s">
        <v>74</v>
      </c>
      <c r="C2158" t="s">
        <v>9308</v>
      </c>
      <c r="D2158" t="s">
        <v>44</v>
      </c>
      <c r="E2158">
        <v>2025</v>
      </c>
      <c r="F2158">
        <v>2027</v>
      </c>
      <c r="G2158" s="11">
        <v>292976.588362618</v>
      </c>
      <c r="H2158">
        <f t="shared" si="138"/>
        <v>292976.588362618</v>
      </c>
      <c r="I2158" t="str">
        <f t="shared" si="139"/>
        <v/>
      </c>
      <c r="J2158" t="str">
        <f t="shared" si="140"/>
        <v/>
      </c>
      <c r="K2158">
        <f>IF(E2158="","",SUM(ContractsTbl[[#This Row],[salaryY1]:[salaryY4]]))</f>
        <v>585953.176725236</v>
      </c>
      <c r="L2158" t="b">
        <f t="shared" si="141"/>
        <v>0</v>
      </c>
    </row>
    <row r="2159" spans="1:12" x14ac:dyDescent="0.2">
      <c r="A2159" t="s">
        <v>10016</v>
      </c>
      <c r="B2159" t="s">
        <v>74</v>
      </c>
      <c r="C2159" t="s">
        <v>9309</v>
      </c>
      <c r="D2159" t="s">
        <v>44</v>
      </c>
      <c r="E2159">
        <v>2025</v>
      </c>
      <c r="F2159">
        <v>2027</v>
      </c>
      <c r="G2159" s="11">
        <v>291935.95620066201</v>
      </c>
      <c r="H2159">
        <f t="shared" si="138"/>
        <v>291935.95620066201</v>
      </c>
      <c r="I2159" t="str">
        <f t="shared" si="139"/>
        <v/>
      </c>
      <c r="J2159" t="str">
        <f t="shared" si="140"/>
        <v/>
      </c>
      <c r="K2159">
        <f>IF(E2159="","",SUM(ContractsTbl[[#This Row],[salaryY1]:[salaryY4]]))</f>
        <v>583871.91240132402</v>
      </c>
      <c r="L2159" t="b">
        <f t="shared" si="141"/>
        <v>0</v>
      </c>
    </row>
    <row r="2160" spans="1:12" x14ac:dyDescent="0.2">
      <c r="A2160" t="s">
        <v>10017</v>
      </c>
      <c r="B2160" t="s">
        <v>74</v>
      </c>
      <c r="C2160" t="s">
        <v>9310</v>
      </c>
      <c r="D2160" t="s">
        <v>44</v>
      </c>
      <c r="E2160">
        <v>2025</v>
      </c>
      <c r="F2160">
        <v>2027</v>
      </c>
      <c r="G2160" s="11">
        <v>290895.32403870602</v>
      </c>
      <c r="H2160">
        <f t="shared" si="138"/>
        <v>290895.32403870602</v>
      </c>
      <c r="I2160" t="str">
        <f t="shared" si="139"/>
        <v/>
      </c>
      <c r="J2160" t="str">
        <f t="shared" si="140"/>
        <v/>
      </c>
      <c r="K2160">
        <f>IF(E2160="","",SUM(ContractsTbl[[#This Row],[salaryY1]:[salaryY4]]))</f>
        <v>581790.64807741204</v>
      </c>
      <c r="L2160" t="b">
        <f t="shared" si="141"/>
        <v>0</v>
      </c>
    </row>
    <row r="2161" spans="1:12" x14ac:dyDescent="0.2">
      <c r="A2161" t="s">
        <v>10018</v>
      </c>
      <c r="B2161" t="s">
        <v>74</v>
      </c>
      <c r="C2161" t="s">
        <v>9311</v>
      </c>
      <c r="D2161" t="s">
        <v>44</v>
      </c>
      <c r="E2161">
        <v>2025</v>
      </c>
      <c r="F2161">
        <v>2027</v>
      </c>
      <c r="G2161" s="11">
        <v>289854.69187675102</v>
      </c>
      <c r="H2161">
        <f t="shared" si="138"/>
        <v>289854.69187675102</v>
      </c>
      <c r="I2161" t="str">
        <f t="shared" si="139"/>
        <v/>
      </c>
      <c r="J2161" t="str">
        <f t="shared" si="140"/>
        <v/>
      </c>
      <c r="K2161">
        <f>IF(E2161="","",SUM(ContractsTbl[[#This Row],[salaryY1]:[salaryY4]]))</f>
        <v>579709.38375350204</v>
      </c>
      <c r="L2161" t="b">
        <f t="shared" si="141"/>
        <v>0</v>
      </c>
    </row>
    <row r="2162" spans="1:12" x14ac:dyDescent="0.2">
      <c r="A2162" t="s">
        <v>10019</v>
      </c>
      <c r="B2162" t="s">
        <v>74</v>
      </c>
      <c r="C2162" t="s">
        <v>9312</v>
      </c>
      <c r="D2162" t="s">
        <v>44</v>
      </c>
      <c r="E2162">
        <v>2025</v>
      </c>
      <c r="F2162">
        <v>2027</v>
      </c>
      <c r="G2162" s="11">
        <v>288814.05971479497</v>
      </c>
      <c r="H2162">
        <f t="shared" si="138"/>
        <v>288814.05971479497</v>
      </c>
      <c r="I2162" t="str">
        <f t="shared" si="139"/>
        <v/>
      </c>
      <c r="J2162" t="str">
        <f t="shared" si="140"/>
        <v/>
      </c>
      <c r="K2162">
        <f>IF(E2162="","",SUM(ContractsTbl[[#This Row],[salaryY1]:[salaryY4]]))</f>
        <v>577628.11942958995</v>
      </c>
      <c r="L2162" t="b">
        <f t="shared" si="141"/>
        <v>0</v>
      </c>
    </row>
    <row r="2163" spans="1:12" x14ac:dyDescent="0.2">
      <c r="A2163" t="s">
        <v>9875</v>
      </c>
      <c r="B2163" t="s">
        <v>74</v>
      </c>
      <c r="C2163" t="s">
        <v>9313</v>
      </c>
      <c r="D2163" t="s">
        <v>44</v>
      </c>
      <c r="E2163">
        <v>2025</v>
      </c>
      <c r="F2163">
        <v>2027</v>
      </c>
      <c r="G2163" s="11">
        <v>287773.42755283898</v>
      </c>
      <c r="H2163">
        <f t="shared" si="138"/>
        <v>287773.42755283898</v>
      </c>
      <c r="I2163" t="str">
        <f t="shared" si="139"/>
        <v/>
      </c>
      <c r="J2163" t="str">
        <f t="shared" si="140"/>
        <v/>
      </c>
      <c r="K2163">
        <f>IF(E2163="","",SUM(ContractsTbl[[#This Row],[salaryY1]:[salaryY4]]))</f>
        <v>575546.85510567797</v>
      </c>
      <c r="L2163" t="b">
        <f t="shared" si="141"/>
        <v>0</v>
      </c>
    </row>
    <row r="2164" spans="1:12" x14ac:dyDescent="0.2">
      <c r="A2164" t="s">
        <v>9876</v>
      </c>
      <c r="B2164" t="s">
        <v>74</v>
      </c>
      <c r="C2164" t="s">
        <v>9314</v>
      </c>
      <c r="D2164" t="s">
        <v>44</v>
      </c>
      <c r="E2164">
        <v>2025</v>
      </c>
      <c r="F2164">
        <v>2027</v>
      </c>
      <c r="G2164" s="11">
        <v>286732.79539088398</v>
      </c>
      <c r="H2164">
        <f t="shared" si="138"/>
        <v>286732.79539088398</v>
      </c>
      <c r="I2164" t="str">
        <f t="shared" si="139"/>
        <v/>
      </c>
      <c r="J2164" t="str">
        <f t="shared" si="140"/>
        <v/>
      </c>
      <c r="K2164">
        <f>IF(E2164="","",SUM(ContractsTbl[[#This Row],[salaryY1]:[salaryY4]]))</f>
        <v>573465.59078176797</v>
      </c>
      <c r="L2164" t="b">
        <f t="shared" si="141"/>
        <v>0</v>
      </c>
    </row>
    <row r="2165" spans="1:12" x14ac:dyDescent="0.2">
      <c r="A2165" t="s">
        <v>9877</v>
      </c>
      <c r="B2165" t="s">
        <v>74</v>
      </c>
      <c r="C2165" t="s">
        <v>9315</v>
      </c>
      <c r="D2165" t="s">
        <v>44</v>
      </c>
      <c r="E2165">
        <v>2025</v>
      </c>
      <c r="F2165">
        <v>2027</v>
      </c>
      <c r="G2165" s="11">
        <v>285692.163228928</v>
      </c>
      <c r="H2165">
        <f t="shared" si="138"/>
        <v>285692.163228928</v>
      </c>
      <c r="I2165" t="str">
        <f t="shared" si="139"/>
        <v/>
      </c>
      <c r="J2165" t="str">
        <f t="shared" si="140"/>
        <v/>
      </c>
      <c r="K2165">
        <f>IF(E2165="","",SUM(ContractsTbl[[#This Row],[salaryY1]:[salaryY4]]))</f>
        <v>571384.32645785599</v>
      </c>
      <c r="L2165" t="b">
        <f t="shared" si="141"/>
        <v>0</v>
      </c>
    </row>
    <row r="2166" spans="1:12" x14ac:dyDescent="0.2">
      <c r="A2166" t="s">
        <v>9878</v>
      </c>
      <c r="B2166" t="s">
        <v>74</v>
      </c>
      <c r="C2166" t="s">
        <v>9316</v>
      </c>
      <c r="D2166" t="s">
        <v>44</v>
      </c>
      <c r="E2166">
        <v>2025</v>
      </c>
      <c r="F2166">
        <v>2027</v>
      </c>
      <c r="G2166" s="11">
        <v>284651.53106697201</v>
      </c>
      <c r="H2166">
        <f t="shared" si="138"/>
        <v>284651.53106697201</v>
      </c>
      <c r="I2166" t="str">
        <f t="shared" si="139"/>
        <v/>
      </c>
      <c r="J2166" t="str">
        <f t="shared" si="140"/>
        <v/>
      </c>
      <c r="K2166">
        <f>IF(E2166="","",SUM(ContractsTbl[[#This Row],[salaryY1]:[salaryY4]]))</f>
        <v>569303.06213394401</v>
      </c>
      <c r="L2166" t="b">
        <f t="shared" si="141"/>
        <v>0</v>
      </c>
    </row>
    <row r="2167" spans="1:12" x14ac:dyDescent="0.2">
      <c r="A2167" t="s">
        <v>9879</v>
      </c>
      <c r="B2167" t="s">
        <v>74</v>
      </c>
      <c r="C2167" t="s">
        <v>9317</v>
      </c>
      <c r="D2167" t="s">
        <v>44</v>
      </c>
      <c r="E2167">
        <v>2025</v>
      </c>
      <c r="F2167">
        <v>2027</v>
      </c>
      <c r="G2167" s="11">
        <v>283610.89890501701</v>
      </c>
      <c r="H2167">
        <f t="shared" si="138"/>
        <v>283610.89890501701</v>
      </c>
      <c r="I2167" t="str">
        <f t="shared" si="139"/>
        <v/>
      </c>
      <c r="J2167" t="str">
        <f t="shared" si="140"/>
        <v/>
      </c>
      <c r="K2167">
        <f>IF(E2167="","",SUM(ContractsTbl[[#This Row],[salaryY1]:[salaryY4]]))</f>
        <v>567221.79781003401</v>
      </c>
      <c r="L2167" t="b">
        <f t="shared" si="141"/>
        <v>0</v>
      </c>
    </row>
    <row r="2168" spans="1:12" x14ac:dyDescent="0.2">
      <c r="A2168" t="s">
        <v>9880</v>
      </c>
      <c r="B2168" t="s">
        <v>74</v>
      </c>
      <c r="C2168" t="s">
        <v>9318</v>
      </c>
      <c r="D2168" t="s">
        <v>44</v>
      </c>
      <c r="E2168">
        <v>2025</v>
      </c>
      <c r="F2168">
        <v>2027</v>
      </c>
      <c r="G2168" s="11">
        <v>282570.26674306102</v>
      </c>
      <c r="H2168">
        <f t="shared" si="138"/>
        <v>282570.26674306102</v>
      </c>
      <c r="I2168" t="str">
        <f t="shared" si="139"/>
        <v/>
      </c>
      <c r="J2168" t="str">
        <f t="shared" si="140"/>
        <v/>
      </c>
      <c r="K2168">
        <f>IF(E2168="","",SUM(ContractsTbl[[#This Row],[salaryY1]:[salaryY4]]))</f>
        <v>565140.53348612203</v>
      </c>
      <c r="L2168" t="b">
        <f t="shared" si="141"/>
        <v>0</v>
      </c>
    </row>
    <row r="2169" spans="1:12" x14ac:dyDescent="0.2">
      <c r="A2169" t="s">
        <v>9881</v>
      </c>
      <c r="B2169" t="s">
        <v>74</v>
      </c>
      <c r="C2169" t="s">
        <v>9319</v>
      </c>
      <c r="D2169" t="s">
        <v>44</v>
      </c>
      <c r="E2169">
        <v>2025</v>
      </c>
      <c r="F2169">
        <v>2027</v>
      </c>
      <c r="G2169" s="11">
        <v>281529.63458110503</v>
      </c>
      <c r="H2169">
        <f t="shared" si="138"/>
        <v>281529.63458110503</v>
      </c>
      <c r="I2169" t="str">
        <f t="shared" si="139"/>
        <v/>
      </c>
      <c r="J2169" t="str">
        <f t="shared" si="140"/>
        <v/>
      </c>
      <c r="K2169">
        <f>IF(E2169="","",SUM(ContractsTbl[[#This Row],[salaryY1]:[salaryY4]]))</f>
        <v>563059.26916221005</v>
      </c>
      <c r="L2169" t="b">
        <f t="shared" si="141"/>
        <v>0</v>
      </c>
    </row>
    <row r="2170" spans="1:12" x14ac:dyDescent="0.2">
      <c r="A2170" t="s">
        <v>9882</v>
      </c>
      <c r="B2170" t="s">
        <v>74</v>
      </c>
      <c r="C2170" t="s">
        <v>9320</v>
      </c>
      <c r="D2170" t="s">
        <v>44</v>
      </c>
      <c r="E2170">
        <v>2025</v>
      </c>
      <c r="F2170">
        <v>2027</v>
      </c>
      <c r="G2170" s="11">
        <v>280489.00241915003</v>
      </c>
      <c r="H2170">
        <f t="shared" si="138"/>
        <v>280489.00241915003</v>
      </c>
      <c r="I2170" t="str">
        <f t="shared" si="139"/>
        <v/>
      </c>
      <c r="J2170" t="str">
        <f t="shared" si="140"/>
        <v/>
      </c>
      <c r="K2170">
        <f>IF(E2170="","",SUM(ContractsTbl[[#This Row],[salaryY1]:[salaryY4]]))</f>
        <v>560978.00483830005</v>
      </c>
      <c r="L2170" t="b">
        <f t="shared" si="141"/>
        <v>0</v>
      </c>
    </row>
    <row r="2171" spans="1:12" x14ac:dyDescent="0.2">
      <c r="A2171" t="s">
        <v>9883</v>
      </c>
      <c r="B2171" t="s">
        <v>74</v>
      </c>
      <c r="C2171" t="s">
        <v>9321</v>
      </c>
      <c r="D2171" t="s">
        <v>44</v>
      </c>
      <c r="E2171">
        <v>2025</v>
      </c>
      <c r="F2171">
        <v>2027</v>
      </c>
      <c r="G2171" s="11">
        <v>279448.37025719398</v>
      </c>
      <c r="H2171">
        <f t="shared" si="138"/>
        <v>279448.37025719398</v>
      </c>
      <c r="I2171" t="str">
        <f t="shared" si="139"/>
        <v/>
      </c>
      <c r="J2171" t="str">
        <f t="shared" si="140"/>
        <v/>
      </c>
      <c r="K2171">
        <f>IF(E2171="","",SUM(ContractsTbl[[#This Row],[salaryY1]:[salaryY4]]))</f>
        <v>558896.74051438796</v>
      </c>
      <c r="L2171" t="b">
        <f t="shared" si="141"/>
        <v>0</v>
      </c>
    </row>
    <row r="2172" spans="1:12" x14ac:dyDescent="0.2">
      <c r="A2172" t="s">
        <v>9884</v>
      </c>
      <c r="B2172" t="s">
        <v>74</v>
      </c>
      <c r="C2172" t="s">
        <v>9322</v>
      </c>
      <c r="D2172" t="s">
        <v>44</v>
      </c>
      <c r="E2172">
        <v>2025</v>
      </c>
      <c r="F2172">
        <v>2027</v>
      </c>
      <c r="G2172" s="11">
        <v>278407.73809523799</v>
      </c>
      <c r="H2172">
        <f t="shared" si="138"/>
        <v>278407.73809523799</v>
      </c>
      <c r="I2172" t="str">
        <f t="shared" si="139"/>
        <v/>
      </c>
      <c r="J2172" t="str">
        <f t="shared" si="140"/>
        <v/>
      </c>
      <c r="K2172">
        <f>IF(E2172="","",SUM(ContractsTbl[[#This Row],[salaryY1]:[salaryY4]]))</f>
        <v>556815.47619047598</v>
      </c>
      <c r="L2172" t="b">
        <f t="shared" si="141"/>
        <v>0</v>
      </c>
    </row>
    <row r="2173" spans="1:12" x14ac:dyDescent="0.2">
      <c r="A2173" t="s">
        <v>9885</v>
      </c>
      <c r="B2173" t="s">
        <v>74</v>
      </c>
      <c r="C2173" t="s">
        <v>9323</v>
      </c>
      <c r="D2173" t="s">
        <v>44</v>
      </c>
      <c r="E2173">
        <v>2025</v>
      </c>
      <c r="F2173">
        <v>2027</v>
      </c>
      <c r="G2173" s="11">
        <v>277367.105933282</v>
      </c>
      <c r="H2173">
        <f t="shared" si="138"/>
        <v>277367.105933282</v>
      </c>
      <c r="I2173" t="str">
        <f t="shared" si="139"/>
        <v/>
      </c>
      <c r="J2173" t="str">
        <f t="shared" si="140"/>
        <v/>
      </c>
      <c r="K2173">
        <f>IF(E2173="","",SUM(ContractsTbl[[#This Row],[salaryY1]:[salaryY4]]))</f>
        <v>554734.211866564</v>
      </c>
      <c r="L2173" t="b">
        <f t="shared" si="141"/>
        <v>0</v>
      </c>
    </row>
    <row r="2174" spans="1:12" x14ac:dyDescent="0.2">
      <c r="A2174" t="s">
        <v>9886</v>
      </c>
      <c r="B2174" t="s">
        <v>74</v>
      </c>
      <c r="C2174" t="s">
        <v>9324</v>
      </c>
      <c r="D2174" t="s">
        <v>44</v>
      </c>
      <c r="E2174">
        <v>2025</v>
      </c>
      <c r="F2174">
        <v>2027</v>
      </c>
      <c r="G2174" s="11">
        <v>276326.473771327</v>
      </c>
      <c r="H2174">
        <f t="shared" si="138"/>
        <v>276326.473771327</v>
      </c>
      <c r="I2174" t="str">
        <f t="shared" si="139"/>
        <v/>
      </c>
      <c r="J2174" t="str">
        <f t="shared" si="140"/>
        <v/>
      </c>
      <c r="K2174">
        <f>IF(E2174="","",SUM(ContractsTbl[[#This Row],[salaryY1]:[salaryY4]]))</f>
        <v>552652.947542654</v>
      </c>
      <c r="L2174" t="b">
        <f t="shared" si="141"/>
        <v>0</v>
      </c>
    </row>
    <row r="2175" spans="1:12" x14ac:dyDescent="0.2">
      <c r="A2175" t="s">
        <v>9887</v>
      </c>
      <c r="B2175" t="s">
        <v>74</v>
      </c>
      <c r="C2175" t="s">
        <v>9325</v>
      </c>
      <c r="D2175" t="s">
        <v>44</v>
      </c>
      <c r="E2175">
        <v>2025</v>
      </c>
      <c r="F2175">
        <v>2027</v>
      </c>
      <c r="G2175" s="11">
        <v>275285.84160937101</v>
      </c>
      <c r="H2175">
        <f t="shared" si="138"/>
        <v>275285.84160937101</v>
      </c>
      <c r="I2175" t="str">
        <f t="shared" si="139"/>
        <v/>
      </c>
      <c r="J2175" t="str">
        <f t="shared" si="140"/>
        <v/>
      </c>
      <c r="K2175">
        <f>IF(E2175="","",SUM(ContractsTbl[[#This Row],[salaryY1]:[salaryY4]]))</f>
        <v>550571.68321874202</v>
      </c>
      <c r="L2175" t="b">
        <f t="shared" si="141"/>
        <v>0</v>
      </c>
    </row>
    <row r="2176" spans="1:12" x14ac:dyDescent="0.2">
      <c r="A2176" t="s">
        <v>9888</v>
      </c>
      <c r="B2176" t="s">
        <v>74</v>
      </c>
      <c r="C2176" t="s">
        <v>9326</v>
      </c>
      <c r="D2176" t="s">
        <v>44</v>
      </c>
      <c r="E2176">
        <v>2025</v>
      </c>
      <c r="F2176">
        <v>2027</v>
      </c>
      <c r="G2176" s="11">
        <v>274245.20944741502</v>
      </c>
      <c r="H2176">
        <f t="shared" si="138"/>
        <v>274245.20944741502</v>
      </c>
      <c r="I2176" t="str">
        <f t="shared" si="139"/>
        <v/>
      </c>
      <c r="J2176" t="str">
        <f t="shared" si="140"/>
        <v/>
      </c>
      <c r="K2176">
        <f>IF(E2176="","",SUM(ContractsTbl[[#This Row],[salaryY1]:[salaryY4]]))</f>
        <v>548490.41889483004</v>
      </c>
      <c r="L2176" t="b">
        <f t="shared" si="141"/>
        <v>0</v>
      </c>
    </row>
    <row r="2177" spans="1:12" x14ac:dyDescent="0.2">
      <c r="A2177" t="s">
        <v>9889</v>
      </c>
      <c r="B2177" t="s">
        <v>74</v>
      </c>
      <c r="C2177" t="s">
        <v>9327</v>
      </c>
      <c r="D2177" t="s">
        <v>44</v>
      </c>
      <c r="E2177">
        <v>2025</v>
      </c>
      <c r="F2177">
        <v>2027</v>
      </c>
      <c r="G2177" s="11">
        <v>273204.57728546002</v>
      </c>
      <c r="H2177">
        <f t="shared" si="138"/>
        <v>273204.57728546002</v>
      </c>
      <c r="I2177" t="str">
        <f t="shared" si="139"/>
        <v/>
      </c>
      <c r="J2177" t="str">
        <f t="shared" si="140"/>
        <v/>
      </c>
      <c r="K2177">
        <f>IF(E2177="","",SUM(ContractsTbl[[#This Row],[salaryY1]:[salaryY4]]))</f>
        <v>546409.15457092004</v>
      </c>
      <c r="L2177" t="b">
        <f t="shared" si="141"/>
        <v>0</v>
      </c>
    </row>
    <row r="2178" spans="1:12" x14ac:dyDescent="0.2">
      <c r="A2178" t="s">
        <v>9890</v>
      </c>
      <c r="B2178" t="s">
        <v>74</v>
      </c>
      <c r="C2178" t="s">
        <v>9328</v>
      </c>
      <c r="D2178" t="s">
        <v>44</v>
      </c>
      <c r="E2178">
        <v>2025</v>
      </c>
      <c r="F2178">
        <v>2027</v>
      </c>
      <c r="G2178" s="11">
        <v>272163.94512350397</v>
      </c>
      <c r="H2178">
        <f t="shared" si="138"/>
        <v>272163.94512350397</v>
      </c>
      <c r="I2178" t="str">
        <f t="shared" si="139"/>
        <v/>
      </c>
      <c r="J2178" t="str">
        <f t="shared" si="140"/>
        <v/>
      </c>
      <c r="K2178">
        <f>IF(E2178="","",SUM(ContractsTbl[[#This Row],[salaryY1]:[salaryY4]]))</f>
        <v>544327.89024700795</v>
      </c>
      <c r="L2178" t="b">
        <f t="shared" si="141"/>
        <v>0</v>
      </c>
    </row>
    <row r="2179" spans="1:12" x14ac:dyDescent="0.2">
      <c r="A2179" t="s">
        <v>9891</v>
      </c>
      <c r="B2179" t="s">
        <v>74</v>
      </c>
      <c r="C2179" t="s">
        <v>9329</v>
      </c>
      <c r="D2179" t="s">
        <v>44</v>
      </c>
      <c r="E2179">
        <v>2025</v>
      </c>
      <c r="F2179">
        <v>2027</v>
      </c>
      <c r="G2179" s="11">
        <v>271123.31296154798</v>
      </c>
      <c r="H2179">
        <f t="shared" si="138"/>
        <v>271123.31296154798</v>
      </c>
      <c r="I2179" t="str">
        <f t="shared" si="139"/>
        <v/>
      </c>
      <c r="J2179" t="str">
        <f t="shared" si="140"/>
        <v/>
      </c>
      <c r="K2179">
        <f>IF(E2179="","",SUM(ContractsTbl[[#This Row],[salaryY1]:[salaryY4]]))</f>
        <v>542246.62592309597</v>
      </c>
      <c r="L2179" t="b">
        <f t="shared" si="141"/>
        <v>0</v>
      </c>
    </row>
    <row r="2180" spans="1:12" x14ac:dyDescent="0.2">
      <c r="A2180" t="s">
        <v>9892</v>
      </c>
      <c r="B2180" t="s">
        <v>74</v>
      </c>
      <c r="C2180" t="s">
        <v>9330</v>
      </c>
      <c r="D2180" t="s">
        <v>44</v>
      </c>
      <c r="E2180">
        <v>2025</v>
      </c>
      <c r="F2180">
        <v>2027</v>
      </c>
      <c r="G2180" s="11">
        <v>270082.68079959298</v>
      </c>
      <c r="H2180">
        <f t="shared" si="138"/>
        <v>270082.68079959298</v>
      </c>
      <c r="I2180" t="str">
        <f t="shared" si="139"/>
        <v/>
      </c>
      <c r="J2180" t="str">
        <f t="shared" si="140"/>
        <v/>
      </c>
      <c r="K2180">
        <f>IF(E2180="","",SUM(ContractsTbl[[#This Row],[salaryY1]:[salaryY4]]))</f>
        <v>540165.36159918597</v>
      </c>
      <c r="L2180" t="b">
        <f t="shared" si="141"/>
        <v>0</v>
      </c>
    </row>
    <row r="2181" spans="1:12" x14ac:dyDescent="0.2">
      <c r="A2181" t="s">
        <v>9893</v>
      </c>
      <c r="B2181" t="s">
        <v>74</v>
      </c>
      <c r="C2181" t="s">
        <v>9331</v>
      </c>
      <c r="D2181" t="s">
        <v>44</v>
      </c>
      <c r="E2181">
        <v>2025</v>
      </c>
      <c r="F2181">
        <v>2027</v>
      </c>
      <c r="G2181" s="11">
        <v>269042.048637637</v>
      </c>
      <c r="H2181">
        <f t="shared" si="138"/>
        <v>269042.048637637</v>
      </c>
      <c r="I2181" t="str">
        <f t="shared" si="139"/>
        <v/>
      </c>
      <c r="J2181" t="str">
        <f t="shared" si="140"/>
        <v/>
      </c>
      <c r="K2181">
        <f>IF(E2181="","",SUM(ContractsTbl[[#This Row],[salaryY1]:[salaryY4]]))</f>
        <v>538084.09727527399</v>
      </c>
      <c r="L2181" t="b">
        <f t="shared" si="141"/>
        <v>0</v>
      </c>
    </row>
    <row r="2182" spans="1:12" x14ac:dyDescent="0.2">
      <c r="A2182" t="s">
        <v>9894</v>
      </c>
      <c r="B2182" t="s">
        <v>74</v>
      </c>
      <c r="C2182" t="s">
        <v>9332</v>
      </c>
      <c r="D2182" t="s">
        <v>44</v>
      </c>
      <c r="E2182">
        <v>2025</v>
      </c>
      <c r="F2182">
        <v>2027</v>
      </c>
      <c r="G2182" s="11">
        <v>268001.41647568101</v>
      </c>
      <c r="H2182">
        <f t="shared" si="138"/>
        <v>268001.41647568101</v>
      </c>
      <c r="I2182" t="str">
        <f t="shared" si="139"/>
        <v/>
      </c>
      <c r="J2182" t="str">
        <f t="shared" si="140"/>
        <v/>
      </c>
      <c r="K2182">
        <f>IF(E2182="","",SUM(ContractsTbl[[#This Row],[salaryY1]:[salaryY4]]))</f>
        <v>536002.83295136201</v>
      </c>
      <c r="L2182" t="b">
        <f t="shared" si="141"/>
        <v>0</v>
      </c>
    </row>
    <row r="2183" spans="1:12" x14ac:dyDescent="0.2">
      <c r="A2183" t="s">
        <v>9895</v>
      </c>
      <c r="B2183" t="s">
        <v>74</v>
      </c>
      <c r="C2183" t="s">
        <v>9333</v>
      </c>
      <c r="D2183" t="s">
        <v>44</v>
      </c>
      <c r="E2183">
        <v>2025</v>
      </c>
      <c r="F2183">
        <v>2027</v>
      </c>
      <c r="G2183" s="11">
        <v>266960.78431372601</v>
      </c>
      <c r="H2183">
        <f t="shared" si="138"/>
        <v>266960.78431372601</v>
      </c>
      <c r="I2183" t="str">
        <f t="shared" si="139"/>
        <v/>
      </c>
      <c r="J2183" t="str">
        <f t="shared" si="140"/>
        <v/>
      </c>
      <c r="K2183">
        <f>IF(E2183="","",SUM(ContractsTbl[[#This Row],[salaryY1]:[salaryY4]]))</f>
        <v>533921.56862745201</v>
      </c>
      <c r="L2183" t="b">
        <f t="shared" si="141"/>
        <v>0</v>
      </c>
    </row>
    <row r="2184" spans="1:12" x14ac:dyDescent="0.2">
      <c r="A2184" t="s">
        <v>9896</v>
      </c>
      <c r="B2184" t="s">
        <v>74</v>
      </c>
      <c r="C2184" t="s">
        <v>9334</v>
      </c>
      <c r="D2184" t="s">
        <v>44</v>
      </c>
      <c r="E2184">
        <v>2025</v>
      </c>
      <c r="F2184">
        <v>2027</v>
      </c>
      <c r="G2184" s="11">
        <v>265920.15215177002</v>
      </c>
      <c r="H2184">
        <f t="shared" si="138"/>
        <v>265920.15215177002</v>
      </c>
      <c r="I2184" t="str">
        <f t="shared" si="139"/>
        <v/>
      </c>
      <c r="J2184" t="str">
        <f t="shared" si="140"/>
        <v/>
      </c>
      <c r="K2184">
        <f>IF(E2184="","",SUM(ContractsTbl[[#This Row],[salaryY1]:[salaryY4]]))</f>
        <v>531840.30430354003</v>
      </c>
      <c r="L2184" t="b">
        <f t="shared" si="141"/>
        <v>0</v>
      </c>
    </row>
    <row r="2185" spans="1:12" x14ac:dyDescent="0.2">
      <c r="A2185" t="s">
        <v>9897</v>
      </c>
      <c r="B2185" t="s">
        <v>74</v>
      </c>
      <c r="C2185" t="s">
        <v>9335</v>
      </c>
      <c r="D2185" t="s">
        <v>44</v>
      </c>
      <c r="E2185">
        <v>2025</v>
      </c>
      <c r="F2185">
        <v>2027</v>
      </c>
      <c r="G2185" s="11">
        <v>264879.51998981403</v>
      </c>
      <c r="H2185">
        <f t="shared" si="138"/>
        <v>264879.51998981403</v>
      </c>
      <c r="I2185" t="str">
        <f t="shared" si="139"/>
        <v/>
      </c>
      <c r="J2185" t="str">
        <f t="shared" si="140"/>
        <v/>
      </c>
      <c r="K2185">
        <f>IF(E2185="","",SUM(ContractsTbl[[#This Row],[salaryY1]:[salaryY4]]))</f>
        <v>529759.03997962805</v>
      </c>
      <c r="L2185" t="b">
        <f t="shared" si="141"/>
        <v>0</v>
      </c>
    </row>
    <row r="2186" spans="1:12" x14ac:dyDescent="0.2">
      <c r="A2186" t="s">
        <v>9898</v>
      </c>
      <c r="B2186" t="s">
        <v>74</v>
      </c>
      <c r="C2186" t="s">
        <v>9336</v>
      </c>
      <c r="D2186" t="s">
        <v>44</v>
      </c>
      <c r="E2186">
        <v>2025</v>
      </c>
      <c r="F2186">
        <v>2027</v>
      </c>
      <c r="G2186" s="11">
        <v>263838.88782785903</v>
      </c>
      <c r="H2186">
        <f t="shared" si="138"/>
        <v>263838.88782785903</v>
      </c>
      <c r="I2186" t="str">
        <f t="shared" si="139"/>
        <v/>
      </c>
      <c r="J2186" t="str">
        <f t="shared" si="140"/>
        <v/>
      </c>
      <c r="K2186">
        <f>IF(E2186="","",SUM(ContractsTbl[[#This Row],[salaryY1]:[salaryY4]]))</f>
        <v>527677.77565571805</v>
      </c>
      <c r="L2186" t="b">
        <f t="shared" si="141"/>
        <v>0</v>
      </c>
    </row>
    <row r="2187" spans="1:12" x14ac:dyDescent="0.2">
      <c r="A2187" t="s">
        <v>9899</v>
      </c>
      <c r="B2187" t="s">
        <v>74</v>
      </c>
      <c r="C2187" t="s">
        <v>9337</v>
      </c>
      <c r="D2187" t="s">
        <v>44</v>
      </c>
      <c r="E2187">
        <v>2025</v>
      </c>
      <c r="F2187">
        <v>2027</v>
      </c>
      <c r="G2187" s="11">
        <v>262798.25566590298</v>
      </c>
      <c r="H2187">
        <f t="shared" si="138"/>
        <v>262798.25566590298</v>
      </c>
      <c r="I2187" t="str">
        <f t="shared" si="139"/>
        <v/>
      </c>
      <c r="J2187" t="str">
        <f t="shared" si="140"/>
        <v/>
      </c>
      <c r="K2187">
        <f>IF(E2187="","",SUM(ContractsTbl[[#This Row],[salaryY1]:[salaryY4]]))</f>
        <v>525596.51133180596</v>
      </c>
      <c r="L2187" t="b">
        <f t="shared" si="141"/>
        <v>0</v>
      </c>
    </row>
    <row r="2188" spans="1:12" x14ac:dyDescent="0.2">
      <c r="A2188" t="s">
        <v>9900</v>
      </c>
      <c r="B2188" t="s">
        <v>74</v>
      </c>
      <c r="C2188" t="s">
        <v>9338</v>
      </c>
      <c r="D2188" t="s">
        <v>44</v>
      </c>
      <c r="E2188">
        <v>2025</v>
      </c>
      <c r="F2188">
        <v>2027</v>
      </c>
      <c r="G2188" s="11">
        <v>261757.62350394699</v>
      </c>
      <c r="H2188">
        <f t="shared" si="138"/>
        <v>261757.62350394699</v>
      </c>
      <c r="I2188" t="str">
        <f t="shared" si="139"/>
        <v/>
      </c>
      <c r="J2188" t="str">
        <f t="shared" si="140"/>
        <v/>
      </c>
      <c r="K2188">
        <f>IF(E2188="","",SUM(ContractsTbl[[#This Row],[salaryY1]:[salaryY4]]))</f>
        <v>523515.24700789398</v>
      </c>
      <c r="L2188" t="b">
        <f t="shared" si="141"/>
        <v>0</v>
      </c>
    </row>
    <row r="2189" spans="1:12" x14ac:dyDescent="0.2">
      <c r="A2189" t="s">
        <v>9901</v>
      </c>
      <c r="B2189" t="s">
        <v>74</v>
      </c>
      <c r="C2189" t="s">
        <v>9339</v>
      </c>
      <c r="D2189" t="s">
        <v>44</v>
      </c>
      <c r="E2189">
        <v>2025</v>
      </c>
      <c r="F2189">
        <v>2027</v>
      </c>
      <c r="G2189" s="11">
        <v>260716.991341991</v>
      </c>
      <c r="H2189">
        <f t="shared" si="138"/>
        <v>260716.991341991</v>
      </c>
      <c r="I2189" t="str">
        <f t="shared" si="139"/>
        <v/>
      </c>
      <c r="J2189" t="str">
        <f t="shared" si="140"/>
        <v/>
      </c>
      <c r="K2189">
        <f>IF(E2189="","",SUM(ContractsTbl[[#This Row],[salaryY1]:[salaryY4]]))</f>
        <v>521433.982683982</v>
      </c>
      <c r="L2189" t="b">
        <f t="shared" si="141"/>
        <v>0</v>
      </c>
    </row>
    <row r="2190" spans="1:12" x14ac:dyDescent="0.2">
      <c r="A2190" t="s">
        <v>9902</v>
      </c>
      <c r="B2190" t="s">
        <v>74</v>
      </c>
      <c r="C2190" t="s">
        <v>9340</v>
      </c>
      <c r="D2190" t="s">
        <v>44</v>
      </c>
      <c r="E2190">
        <v>2025</v>
      </c>
      <c r="F2190">
        <v>2027</v>
      </c>
      <c r="G2190" s="11">
        <v>259676.359180036</v>
      </c>
      <c r="H2190">
        <f t="shared" si="138"/>
        <v>259676.359180036</v>
      </c>
      <c r="I2190" t="str">
        <f t="shared" si="139"/>
        <v/>
      </c>
      <c r="J2190" t="str">
        <f t="shared" si="140"/>
        <v/>
      </c>
      <c r="K2190">
        <f>IF(E2190="","",SUM(ContractsTbl[[#This Row],[salaryY1]:[salaryY4]]))</f>
        <v>519352.718360072</v>
      </c>
      <c r="L2190" t="b">
        <f t="shared" si="141"/>
        <v>0</v>
      </c>
    </row>
    <row r="2191" spans="1:12" x14ac:dyDescent="0.2">
      <c r="A2191" t="s">
        <v>9903</v>
      </c>
      <c r="B2191" t="s">
        <v>74</v>
      </c>
      <c r="C2191" t="s">
        <v>9341</v>
      </c>
      <c r="D2191" t="s">
        <v>44</v>
      </c>
      <c r="E2191">
        <v>2025</v>
      </c>
      <c r="F2191">
        <v>2027</v>
      </c>
      <c r="G2191" s="11">
        <v>258635.72701808001</v>
      </c>
      <c r="H2191">
        <f t="shared" si="138"/>
        <v>258635.72701808001</v>
      </c>
      <c r="I2191" t="str">
        <f t="shared" si="139"/>
        <v/>
      </c>
      <c r="J2191" t="str">
        <f t="shared" si="140"/>
        <v/>
      </c>
      <c r="K2191">
        <f>IF(E2191="","",SUM(ContractsTbl[[#This Row],[salaryY1]:[salaryY4]]))</f>
        <v>517271.45403616002</v>
      </c>
      <c r="L2191" t="b">
        <f t="shared" si="141"/>
        <v>0</v>
      </c>
    </row>
    <row r="2192" spans="1:12" x14ac:dyDescent="0.2">
      <c r="A2192" t="s">
        <v>9904</v>
      </c>
      <c r="B2192" t="s">
        <v>74</v>
      </c>
      <c r="C2192" t="s">
        <v>9342</v>
      </c>
      <c r="D2192" t="s">
        <v>44</v>
      </c>
      <c r="E2192">
        <v>2025</v>
      </c>
      <c r="F2192">
        <v>2027</v>
      </c>
      <c r="G2192" s="11">
        <v>257595.09485612399</v>
      </c>
      <c r="H2192">
        <f t="shared" si="138"/>
        <v>257595.09485612399</v>
      </c>
      <c r="I2192" t="str">
        <f t="shared" si="139"/>
        <v/>
      </c>
      <c r="J2192" t="str">
        <f t="shared" si="140"/>
        <v/>
      </c>
      <c r="K2192">
        <f>IF(E2192="","",SUM(ContractsTbl[[#This Row],[salaryY1]:[salaryY4]]))</f>
        <v>515190.18971224799</v>
      </c>
      <c r="L2192" t="b">
        <f t="shared" si="141"/>
        <v>0</v>
      </c>
    </row>
    <row r="2193" spans="1:12" x14ac:dyDescent="0.2">
      <c r="A2193" t="s">
        <v>9905</v>
      </c>
      <c r="B2193" t="s">
        <v>74</v>
      </c>
      <c r="C2193" t="s">
        <v>9343</v>
      </c>
      <c r="D2193" t="s">
        <v>44</v>
      </c>
      <c r="E2193">
        <v>2025</v>
      </c>
      <c r="F2193">
        <v>2027</v>
      </c>
      <c r="G2193" s="11">
        <v>256554.46269416899</v>
      </c>
      <c r="H2193">
        <f t="shared" si="138"/>
        <v>256554.46269416899</v>
      </c>
      <c r="I2193" t="str">
        <f t="shared" si="139"/>
        <v/>
      </c>
      <c r="J2193" t="str">
        <f t="shared" si="140"/>
        <v/>
      </c>
      <c r="K2193">
        <f>IF(E2193="","",SUM(ContractsTbl[[#This Row],[salaryY1]:[salaryY4]]))</f>
        <v>513108.92538833799</v>
      </c>
      <c r="L2193" t="b">
        <f t="shared" si="141"/>
        <v>0</v>
      </c>
    </row>
    <row r="2194" spans="1:12" x14ac:dyDescent="0.2">
      <c r="A2194" t="s">
        <v>9906</v>
      </c>
      <c r="B2194" t="s">
        <v>74</v>
      </c>
      <c r="C2194" t="s">
        <v>9344</v>
      </c>
      <c r="D2194" t="s">
        <v>44</v>
      </c>
      <c r="E2194">
        <v>2025</v>
      </c>
      <c r="F2194">
        <v>2027</v>
      </c>
      <c r="G2194" s="11">
        <v>255513.830532213</v>
      </c>
      <c r="H2194">
        <f t="shared" si="138"/>
        <v>255513.830532213</v>
      </c>
      <c r="I2194" t="str">
        <f t="shared" si="139"/>
        <v/>
      </c>
      <c r="J2194" t="str">
        <f t="shared" si="140"/>
        <v/>
      </c>
      <c r="K2194">
        <f>IF(E2194="","",SUM(ContractsTbl[[#This Row],[salaryY1]:[salaryY4]]))</f>
        <v>511027.66106442601</v>
      </c>
      <c r="L2194" t="b">
        <f t="shared" si="141"/>
        <v>0</v>
      </c>
    </row>
    <row r="2195" spans="1:12" x14ac:dyDescent="0.2">
      <c r="A2195" t="s">
        <v>10020</v>
      </c>
      <c r="B2195" t="s">
        <v>74</v>
      </c>
      <c r="C2195" t="s">
        <v>9345</v>
      </c>
      <c r="D2195" t="s">
        <v>44</v>
      </c>
      <c r="E2195">
        <v>2025</v>
      </c>
      <c r="F2195">
        <v>2027</v>
      </c>
      <c r="G2195" s="11">
        <v>254473.19837025701</v>
      </c>
      <c r="H2195">
        <f t="shared" si="138"/>
        <v>254473.19837025701</v>
      </c>
      <c r="I2195" t="str">
        <f t="shared" si="139"/>
        <v/>
      </c>
      <c r="J2195" t="str">
        <f t="shared" si="140"/>
        <v/>
      </c>
      <c r="K2195">
        <f>IF(E2195="","",SUM(ContractsTbl[[#This Row],[salaryY1]:[salaryY4]]))</f>
        <v>508946.39674051403</v>
      </c>
      <c r="L2195" t="b">
        <f t="shared" si="141"/>
        <v>0</v>
      </c>
    </row>
    <row r="2196" spans="1:12" x14ac:dyDescent="0.2">
      <c r="A2196" t="s">
        <v>10021</v>
      </c>
      <c r="B2196" t="s">
        <v>74</v>
      </c>
      <c r="C2196" t="s">
        <v>9346</v>
      </c>
      <c r="D2196" t="s">
        <v>44</v>
      </c>
      <c r="E2196">
        <v>2025</v>
      </c>
      <c r="F2196">
        <v>2027</v>
      </c>
      <c r="G2196" s="11">
        <v>253432.56620830201</v>
      </c>
      <c r="H2196">
        <f t="shared" si="138"/>
        <v>253432.56620830201</v>
      </c>
      <c r="I2196" t="str">
        <f t="shared" si="139"/>
        <v/>
      </c>
      <c r="J2196" t="str">
        <f t="shared" si="140"/>
        <v/>
      </c>
      <c r="K2196">
        <f>IF(E2196="","",SUM(ContractsTbl[[#This Row],[salaryY1]:[salaryY4]]))</f>
        <v>506865.13241660403</v>
      </c>
      <c r="L2196" t="b">
        <f t="shared" si="141"/>
        <v>0</v>
      </c>
    </row>
    <row r="2197" spans="1:12" x14ac:dyDescent="0.2">
      <c r="A2197" t="s">
        <v>10022</v>
      </c>
      <c r="B2197" t="s">
        <v>74</v>
      </c>
      <c r="C2197" t="s">
        <v>9347</v>
      </c>
      <c r="D2197" t="s">
        <v>44</v>
      </c>
      <c r="E2197">
        <v>2025</v>
      </c>
      <c r="F2197">
        <v>2027</v>
      </c>
      <c r="G2197" s="11">
        <v>252391.934046346</v>
      </c>
      <c r="H2197">
        <f t="shared" si="138"/>
        <v>252391.934046346</v>
      </c>
      <c r="I2197" t="str">
        <f t="shared" si="139"/>
        <v/>
      </c>
      <c r="J2197" t="str">
        <f t="shared" si="140"/>
        <v/>
      </c>
      <c r="K2197">
        <f>IF(E2197="","",SUM(ContractsTbl[[#This Row],[salaryY1]:[salaryY4]]))</f>
        <v>504783.86809269199</v>
      </c>
      <c r="L2197" t="b">
        <f t="shared" si="141"/>
        <v>0</v>
      </c>
    </row>
    <row r="2198" spans="1:12" x14ac:dyDescent="0.2">
      <c r="A2198" t="s">
        <v>10023</v>
      </c>
      <c r="B2198" t="s">
        <v>74</v>
      </c>
      <c r="C2198" t="s">
        <v>9348</v>
      </c>
      <c r="D2198" t="s">
        <v>44</v>
      </c>
      <c r="E2198">
        <v>2025</v>
      </c>
      <c r="F2198">
        <v>2027</v>
      </c>
      <c r="G2198" s="11">
        <v>251351.30188439001</v>
      </c>
      <c r="H2198">
        <f t="shared" si="138"/>
        <v>251351.30188439001</v>
      </c>
      <c r="I2198" t="str">
        <f t="shared" si="139"/>
        <v/>
      </c>
      <c r="J2198" t="str">
        <f t="shared" si="140"/>
        <v/>
      </c>
      <c r="K2198">
        <f>IF(E2198="","",SUM(ContractsTbl[[#This Row],[salaryY1]:[salaryY4]]))</f>
        <v>502702.60376878001</v>
      </c>
      <c r="L2198" t="b">
        <f t="shared" si="141"/>
        <v>0</v>
      </c>
    </row>
    <row r="2199" spans="1:12" x14ac:dyDescent="0.2">
      <c r="A2199" t="s">
        <v>10024</v>
      </c>
      <c r="B2199" t="s">
        <v>74</v>
      </c>
      <c r="C2199" t="s">
        <v>9349</v>
      </c>
      <c r="D2199" t="s">
        <v>44</v>
      </c>
      <c r="E2199">
        <v>2025</v>
      </c>
      <c r="F2199">
        <v>2027</v>
      </c>
      <c r="G2199" s="11">
        <v>250310.66972243501</v>
      </c>
      <c r="H2199">
        <f t="shared" si="138"/>
        <v>250310.66972243501</v>
      </c>
      <c r="I2199" t="str">
        <f t="shared" si="139"/>
        <v/>
      </c>
      <c r="J2199" t="str">
        <f t="shared" si="140"/>
        <v/>
      </c>
      <c r="K2199">
        <f>IF(E2199="","",SUM(ContractsTbl[[#This Row],[salaryY1]:[salaryY4]]))</f>
        <v>500621.33944487001</v>
      </c>
      <c r="L2199" t="b">
        <f t="shared" si="141"/>
        <v>0</v>
      </c>
    </row>
    <row r="2200" spans="1:12" x14ac:dyDescent="0.2">
      <c r="A2200" t="s">
        <v>10025</v>
      </c>
      <c r="B2200" t="s">
        <v>74</v>
      </c>
      <c r="C2200" t="s">
        <v>9350</v>
      </c>
      <c r="D2200" t="s">
        <v>44</v>
      </c>
      <c r="E2200">
        <v>2025</v>
      </c>
      <c r="F2200">
        <v>2027</v>
      </c>
      <c r="G2200" s="11">
        <v>249270.03756047899</v>
      </c>
      <c r="H2200">
        <f t="shared" si="138"/>
        <v>249270.03756047899</v>
      </c>
      <c r="I2200" t="str">
        <f t="shared" si="139"/>
        <v/>
      </c>
      <c r="J2200" t="str">
        <f t="shared" si="140"/>
        <v/>
      </c>
      <c r="K2200">
        <f>IF(E2200="","",SUM(ContractsTbl[[#This Row],[salaryY1]:[salaryY4]]))</f>
        <v>498540.07512095798</v>
      </c>
      <c r="L2200" t="b">
        <f t="shared" si="141"/>
        <v>0</v>
      </c>
    </row>
    <row r="2201" spans="1:12" x14ac:dyDescent="0.2">
      <c r="A2201" t="s">
        <v>10026</v>
      </c>
      <c r="B2201" t="s">
        <v>74</v>
      </c>
      <c r="C2201" t="s">
        <v>9351</v>
      </c>
      <c r="D2201" t="s">
        <v>44</v>
      </c>
      <c r="E2201">
        <v>2025</v>
      </c>
      <c r="F2201">
        <v>2027</v>
      </c>
      <c r="G2201" s="11">
        <v>248229.405398523</v>
      </c>
      <c r="H2201">
        <f t="shared" si="138"/>
        <v>248229.405398523</v>
      </c>
      <c r="I2201" t="str">
        <f t="shared" si="139"/>
        <v/>
      </c>
      <c r="J2201" t="str">
        <f t="shared" si="140"/>
        <v/>
      </c>
      <c r="K2201">
        <f>IF(E2201="","",SUM(ContractsTbl[[#This Row],[salaryY1]:[salaryY4]]))</f>
        <v>496458.810797046</v>
      </c>
      <c r="L2201" t="b">
        <f t="shared" si="141"/>
        <v>0</v>
      </c>
    </row>
    <row r="2202" spans="1:12" x14ac:dyDescent="0.2">
      <c r="A2202" t="s">
        <v>10027</v>
      </c>
      <c r="B2202" t="s">
        <v>74</v>
      </c>
      <c r="C2202" t="s">
        <v>9352</v>
      </c>
      <c r="D2202" t="s">
        <v>44</v>
      </c>
      <c r="E2202">
        <v>2025</v>
      </c>
      <c r="F2202">
        <v>2027</v>
      </c>
      <c r="G2202" s="11">
        <v>247188.77323656701</v>
      </c>
      <c r="H2202">
        <f t="shared" ref="H2202:H2265" si="142">IF(F2202&gt;=2027,G2202,"")</f>
        <v>247188.77323656701</v>
      </c>
      <c r="I2202" t="str">
        <f t="shared" ref="I2202:I2265" si="143">IF(F2202&gt;=2028,G2202,"")</f>
        <v/>
      </c>
      <c r="J2202" t="str">
        <f t="shared" ref="J2202:J2265" si="144">IF(F2202&gt;=2029,G2202,"")</f>
        <v/>
      </c>
      <c r="K2202">
        <f>IF(E2202="","",SUM(ContractsTbl[[#This Row],[salaryY1]:[salaryY4]]))</f>
        <v>494377.54647313402</v>
      </c>
      <c r="L2202" t="b">
        <f t="shared" ref="L2202:L2265" si="145">IF(F2202="",TRUE,FALSE)</f>
        <v>0</v>
      </c>
    </row>
    <row r="2203" spans="1:12" x14ac:dyDescent="0.2">
      <c r="A2203" t="s">
        <v>10028</v>
      </c>
      <c r="B2203" t="s">
        <v>74</v>
      </c>
      <c r="C2203" t="s">
        <v>9353</v>
      </c>
      <c r="D2203" t="s">
        <v>44</v>
      </c>
      <c r="E2203">
        <v>2025</v>
      </c>
      <c r="F2203">
        <v>2027</v>
      </c>
      <c r="G2203" s="11">
        <v>246148.14107461201</v>
      </c>
      <c r="H2203">
        <f t="shared" si="142"/>
        <v>246148.14107461201</v>
      </c>
      <c r="I2203" t="str">
        <f t="shared" si="143"/>
        <v/>
      </c>
      <c r="J2203" t="str">
        <f t="shared" si="144"/>
        <v/>
      </c>
      <c r="K2203">
        <f>IF(E2203="","",SUM(ContractsTbl[[#This Row],[salaryY1]:[salaryY4]]))</f>
        <v>492296.28214922402</v>
      </c>
      <c r="L2203" t="b">
        <f t="shared" si="145"/>
        <v>0</v>
      </c>
    </row>
    <row r="2204" spans="1:12" x14ac:dyDescent="0.2">
      <c r="A2204" t="s">
        <v>10029</v>
      </c>
      <c r="B2204" t="s">
        <v>74</v>
      </c>
      <c r="C2204" t="s">
        <v>9354</v>
      </c>
      <c r="D2204" t="s">
        <v>44</v>
      </c>
      <c r="E2204">
        <v>2025</v>
      </c>
      <c r="F2204">
        <v>2027</v>
      </c>
      <c r="G2204" s="11">
        <v>245107.50891265599</v>
      </c>
      <c r="H2204">
        <f t="shared" si="142"/>
        <v>245107.50891265599</v>
      </c>
      <c r="I2204" t="str">
        <f t="shared" si="143"/>
        <v/>
      </c>
      <c r="J2204" t="str">
        <f t="shared" si="144"/>
        <v/>
      </c>
      <c r="K2204">
        <f>IF(E2204="","",SUM(ContractsTbl[[#This Row],[salaryY1]:[salaryY4]]))</f>
        <v>490215.01782531198</v>
      </c>
      <c r="L2204" t="b">
        <f t="shared" si="145"/>
        <v>0</v>
      </c>
    </row>
    <row r="2205" spans="1:12" x14ac:dyDescent="0.2">
      <c r="A2205" t="s">
        <v>10030</v>
      </c>
      <c r="B2205" t="s">
        <v>74</v>
      </c>
      <c r="C2205" t="s">
        <v>9355</v>
      </c>
      <c r="D2205" t="s">
        <v>44</v>
      </c>
      <c r="E2205">
        <v>2025</v>
      </c>
      <c r="F2205">
        <v>2027</v>
      </c>
      <c r="G2205" s="11">
        <v>244066.8767507</v>
      </c>
      <c r="H2205">
        <f t="shared" si="142"/>
        <v>244066.8767507</v>
      </c>
      <c r="I2205" t="str">
        <f t="shared" si="143"/>
        <v/>
      </c>
      <c r="J2205" t="str">
        <f t="shared" si="144"/>
        <v/>
      </c>
      <c r="K2205">
        <f>IF(E2205="","",SUM(ContractsTbl[[#This Row],[salaryY1]:[salaryY4]]))</f>
        <v>488133.7535014</v>
      </c>
      <c r="L2205" t="b">
        <f t="shared" si="145"/>
        <v>0</v>
      </c>
    </row>
    <row r="2206" spans="1:12" x14ac:dyDescent="0.2">
      <c r="A2206" t="s">
        <v>10031</v>
      </c>
      <c r="B2206" t="s">
        <v>74</v>
      </c>
      <c r="C2206" t="s">
        <v>9356</v>
      </c>
      <c r="D2206" t="s">
        <v>44</v>
      </c>
      <c r="E2206">
        <v>2025</v>
      </c>
      <c r="F2206">
        <v>2027</v>
      </c>
      <c r="G2206" s="11">
        <v>243026.244588745</v>
      </c>
      <c r="H2206">
        <f t="shared" si="142"/>
        <v>243026.244588745</v>
      </c>
      <c r="I2206" t="str">
        <f t="shared" si="143"/>
        <v/>
      </c>
      <c r="J2206" t="str">
        <f t="shared" si="144"/>
        <v/>
      </c>
      <c r="K2206">
        <f>IF(E2206="","",SUM(ContractsTbl[[#This Row],[salaryY1]:[salaryY4]]))</f>
        <v>486052.48917749</v>
      </c>
      <c r="L2206" t="b">
        <f t="shared" si="145"/>
        <v>0</v>
      </c>
    </row>
    <row r="2207" spans="1:12" x14ac:dyDescent="0.2">
      <c r="A2207" t="s">
        <v>10032</v>
      </c>
      <c r="B2207" t="s">
        <v>74</v>
      </c>
      <c r="C2207" t="s">
        <v>9357</v>
      </c>
      <c r="D2207" t="s">
        <v>44</v>
      </c>
      <c r="E2207">
        <v>2025</v>
      </c>
      <c r="F2207">
        <v>2027</v>
      </c>
      <c r="G2207" s="11">
        <v>241985.61242678901</v>
      </c>
      <c r="H2207">
        <f t="shared" si="142"/>
        <v>241985.61242678901</v>
      </c>
      <c r="I2207" t="str">
        <f t="shared" si="143"/>
        <v/>
      </c>
      <c r="J2207" t="str">
        <f t="shared" si="144"/>
        <v/>
      </c>
      <c r="K2207">
        <f>IF(E2207="","",SUM(ContractsTbl[[#This Row],[salaryY1]:[salaryY4]]))</f>
        <v>483971.22485357802</v>
      </c>
      <c r="L2207" t="b">
        <f t="shared" si="145"/>
        <v>0</v>
      </c>
    </row>
    <row r="2208" spans="1:12" x14ac:dyDescent="0.2">
      <c r="A2208" t="s">
        <v>10033</v>
      </c>
      <c r="B2208" t="s">
        <v>74</v>
      </c>
      <c r="C2208" t="s">
        <v>9358</v>
      </c>
      <c r="D2208" t="s">
        <v>44</v>
      </c>
      <c r="E2208">
        <v>2025</v>
      </c>
      <c r="F2208">
        <v>2027</v>
      </c>
      <c r="G2208" s="11">
        <v>240944.98026483299</v>
      </c>
      <c r="H2208">
        <f t="shared" si="142"/>
        <v>240944.98026483299</v>
      </c>
      <c r="I2208" t="str">
        <f t="shared" si="143"/>
        <v/>
      </c>
      <c r="J2208" t="str">
        <f t="shared" si="144"/>
        <v/>
      </c>
      <c r="K2208">
        <f>IF(E2208="","",SUM(ContractsTbl[[#This Row],[salaryY1]:[salaryY4]]))</f>
        <v>481889.96052966599</v>
      </c>
      <c r="L2208" t="b">
        <f t="shared" si="145"/>
        <v>0</v>
      </c>
    </row>
    <row r="2209" spans="1:12" x14ac:dyDescent="0.2">
      <c r="A2209" t="s">
        <v>10034</v>
      </c>
      <c r="B2209" t="s">
        <v>74</v>
      </c>
      <c r="C2209" t="s">
        <v>9359</v>
      </c>
      <c r="D2209" t="s">
        <v>44</v>
      </c>
      <c r="E2209">
        <v>2025</v>
      </c>
      <c r="F2209">
        <v>2027</v>
      </c>
      <c r="G2209" s="11">
        <v>239904.34810287799</v>
      </c>
      <c r="H2209">
        <f t="shared" si="142"/>
        <v>239904.34810287799</v>
      </c>
      <c r="I2209" t="str">
        <f t="shared" si="143"/>
        <v/>
      </c>
      <c r="J2209" t="str">
        <f t="shared" si="144"/>
        <v/>
      </c>
      <c r="K2209">
        <f>IF(E2209="","",SUM(ContractsTbl[[#This Row],[salaryY1]:[salaryY4]]))</f>
        <v>479808.69620575599</v>
      </c>
      <c r="L2209" t="b">
        <f t="shared" si="145"/>
        <v>0</v>
      </c>
    </row>
    <row r="2210" spans="1:12" x14ac:dyDescent="0.2">
      <c r="A2210" t="s">
        <v>10035</v>
      </c>
      <c r="B2210" t="s">
        <v>74</v>
      </c>
      <c r="C2210" t="s">
        <v>9360</v>
      </c>
      <c r="D2210" t="s">
        <v>44</v>
      </c>
      <c r="E2210">
        <v>2025</v>
      </c>
      <c r="F2210">
        <v>2027</v>
      </c>
      <c r="G2210" s="11">
        <v>238863.715940922</v>
      </c>
      <c r="H2210">
        <f t="shared" si="142"/>
        <v>238863.715940922</v>
      </c>
      <c r="I2210" t="str">
        <f t="shared" si="143"/>
        <v/>
      </c>
      <c r="J2210" t="str">
        <f t="shared" si="144"/>
        <v/>
      </c>
      <c r="K2210">
        <f>IF(E2210="","",SUM(ContractsTbl[[#This Row],[salaryY1]:[salaryY4]]))</f>
        <v>477727.43188184401</v>
      </c>
      <c r="L2210" t="b">
        <f t="shared" si="145"/>
        <v>0</v>
      </c>
    </row>
    <row r="2211" spans="1:12" x14ac:dyDescent="0.2">
      <c r="A2211" t="s">
        <v>10036</v>
      </c>
      <c r="B2211" t="s">
        <v>74</v>
      </c>
      <c r="C2211" t="s">
        <v>9361</v>
      </c>
      <c r="D2211" t="s">
        <v>44</v>
      </c>
      <c r="E2211">
        <v>2025</v>
      </c>
      <c r="F2211">
        <v>2027</v>
      </c>
      <c r="G2211" s="11">
        <v>237823.08377896601</v>
      </c>
      <c r="H2211">
        <f t="shared" si="142"/>
        <v>237823.08377896601</v>
      </c>
      <c r="I2211" t="str">
        <f t="shared" si="143"/>
        <v/>
      </c>
      <c r="J2211" t="str">
        <f t="shared" si="144"/>
        <v/>
      </c>
      <c r="K2211">
        <f>IF(E2211="","",SUM(ContractsTbl[[#This Row],[salaryY1]:[salaryY4]]))</f>
        <v>475646.16755793203</v>
      </c>
      <c r="L2211" t="b">
        <f t="shared" si="145"/>
        <v>0</v>
      </c>
    </row>
    <row r="2212" spans="1:12" x14ac:dyDescent="0.2">
      <c r="A2212" t="s">
        <v>10037</v>
      </c>
      <c r="B2212" t="s">
        <v>74</v>
      </c>
      <c r="C2212" t="s">
        <v>9362</v>
      </c>
      <c r="D2212" t="s">
        <v>44</v>
      </c>
      <c r="E2212">
        <v>2025</v>
      </c>
      <c r="F2212">
        <v>2027</v>
      </c>
      <c r="G2212" s="11">
        <v>236782.45161701099</v>
      </c>
      <c r="H2212">
        <f t="shared" si="142"/>
        <v>236782.45161701099</v>
      </c>
      <c r="I2212" t="str">
        <f t="shared" si="143"/>
        <v/>
      </c>
      <c r="J2212" t="str">
        <f t="shared" si="144"/>
        <v/>
      </c>
      <c r="K2212">
        <f>IF(E2212="","",SUM(ContractsTbl[[#This Row],[salaryY1]:[salaryY4]]))</f>
        <v>473564.90323402197</v>
      </c>
      <c r="L2212" t="b">
        <f t="shared" si="145"/>
        <v>0</v>
      </c>
    </row>
    <row r="2213" spans="1:12" x14ac:dyDescent="0.2">
      <c r="A2213" t="s">
        <v>10038</v>
      </c>
      <c r="B2213" t="s">
        <v>74</v>
      </c>
      <c r="C2213" t="s">
        <v>9363</v>
      </c>
      <c r="D2213" t="s">
        <v>44</v>
      </c>
      <c r="E2213">
        <v>2025</v>
      </c>
      <c r="F2213">
        <v>2027</v>
      </c>
      <c r="G2213" s="11">
        <v>235741.819455055</v>
      </c>
      <c r="H2213">
        <f t="shared" si="142"/>
        <v>235741.819455055</v>
      </c>
      <c r="I2213" t="str">
        <f t="shared" si="143"/>
        <v/>
      </c>
      <c r="J2213" t="str">
        <f t="shared" si="144"/>
        <v/>
      </c>
      <c r="K2213">
        <f>IF(E2213="","",SUM(ContractsTbl[[#This Row],[salaryY1]:[salaryY4]]))</f>
        <v>471483.63891010999</v>
      </c>
      <c r="L2213" t="b">
        <f t="shared" si="145"/>
        <v>0</v>
      </c>
    </row>
    <row r="2214" spans="1:12" x14ac:dyDescent="0.2">
      <c r="A2214" t="s">
        <v>10039</v>
      </c>
      <c r="B2214" t="s">
        <v>74</v>
      </c>
      <c r="C2214" t="s">
        <v>9364</v>
      </c>
      <c r="D2214" t="s">
        <v>44</v>
      </c>
      <c r="E2214">
        <v>2025</v>
      </c>
      <c r="F2214">
        <v>2027</v>
      </c>
      <c r="G2214" s="11">
        <v>234701.18729309901</v>
      </c>
      <c r="H2214">
        <f t="shared" si="142"/>
        <v>234701.18729309901</v>
      </c>
      <c r="I2214" t="str">
        <f t="shared" si="143"/>
        <v/>
      </c>
      <c r="J2214" t="str">
        <f t="shared" si="144"/>
        <v/>
      </c>
      <c r="K2214">
        <f>IF(E2214="","",SUM(ContractsTbl[[#This Row],[salaryY1]:[salaryY4]]))</f>
        <v>469402.37458619801</v>
      </c>
      <c r="L2214" t="b">
        <f t="shared" si="145"/>
        <v>0</v>
      </c>
    </row>
    <row r="2215" spans="1:12" x14ac:dyDescent="0.2">
      <c r="A2215" t="s">
        <v>10040</v>
      </c>
      <c r="B2215" t="s">
        <v>74</v>
      </c>
      <c r="C2215" t="s">
        <v>9365</v>
      </c>
      <c r="D2215" t="s">
        <v>44</v>
      </c>
      <c r="E2215">
        <v>2025</v>
      </c>
      <c r="F2215">
        <v>2027</v>
      </c>
      <c r="G2215" s="11">
        <v>233660.55513114299</v>
      </c>
      <c r="H2215">
        <f t="shared" si="142"/>
        <v>233660.55513114299</v>
      </c>
      <c r="I2215" t="str">
        <f t="shared" si="143"/>
        <v/>
      </c>
      <c r="J2215" t="str">
        <f t="shared" si="144"/>
        <v/>
      </c>
      <c r="K2215">
        <f>IF(E2215="","",SUM(ContractsTbl[[#This Row],[salaryY1]:[salaryY4]]))</f>
        <v>467321.11026228598</v>
      </c>
      <c r="L2215" t="b">
        <f t="shared" si="145"/>
        <v>0</v>
      </c>
    </row>
    <row r="2216" spans="1:12" x14ac:dyDescent="0.2">
      <c r="A2216" t="s">
        <v>10041</v>
      </c>
      <c r="B2216" t="s">
        <v>74</v>
      </c>
      <c r="C2216" t="s">
        <v>9366</v>
      </c>
      <c r="D2216" t="s">
        <v>44</v>
      </c>
      <c r="E2216">
        <v>2025</v>
      </c>
      <c r="F2216">
        <v>2027</v>
      </c>
      <c r="G2216" s="11">
        <v>232619.92296918799</v>
      </c>
      <c r="H2216">
        <f t="shared" si="142"/>
        <v>232619.92296918799</v>
      </c>
      <c r="I2216" t="str">
        <f t="shared" si="143"/>
        <v/>
      </c>
      <c r="J2216" t="str">
        <f t="shared" si="144"/>
        <v/>
      </c>
      <c r="K2216">
        <f>IF(E2216="","",SUM(ContractsTbl[[#This Row],[salaryY1]:[salaryY4]]))</f>
        <v>465239.84593837598</v>
      </c>
      <c r="L2216" t="b">
        <f t="shared" si="145"/>
        <v>0</v>
      </c>
    </row>
    <row r="2217" spans="1:12" x14ac:dyDescent="0.2">
      <c r="A2217" t="s">
        <v>10042</v>
      </c>
      <c r="B2217" t="s">
        <v>74</v>
      </c>
      <c r="C2217" t="s">
        <v>9367</v>
      </c>
      <c r="D2217" t="s">
        <v>44</v>
      </c>
      <c r="E2217">
        <v>2025</v>
      </c>
      <c r="F2217">
        <v>2027</v>
      </c>
      <c r="G2217" s="11">
        <v>231579.290807232</v>
      </c>
      <c r="H2217">
        <f t="shared" si="142"/>
        <v>231579.290807232</v>
      </c>
      <c r="I2217" t="str">
        <f t="shared" si="143"/>
        <v/>
      </c>
      <c r="J2217" t="str">
        <f t="shared" si="144"/>
        <v/>
      </c>
      <c r="K2217">
        <f>IF(E2217="","",SUM(ContractsTbl[[#This Row],[salaryY1]:[salaryY4]]))</f>
        <v>463158.581614464</v>
      </c>
      <c r="L2217" t="b">
        <f t="shared" si="145"/>
        <v>0</v>
      </c>
    </row>
    <row r="2218" spans="1:12" x14ac:dyDescent="0.2">
      <c r="A2218" t="s">
        <v>10043</v>
      </c>
      <c r="B2218" t="s">
        <v>74</v>
      </c>
      <c r="C2218" t="s">
        <v>9368</v>
      </c>
      <c r="D2218" t="s">
        <v>44</v>
      </c>
      <c r="E2218">
        <v>2025</v>
      </c>
      <c r="F2218">
        <v>2027</v>
      </c>
      <c r="G2218" s="11">
        <v>230538.65864527601</v>
      </c>
      <c r="H2218">
        <f t="shared" si="142"/>
        <v>230538.65864527601</v>
      </c>
      <c r="I2218" t="str">
        <f t="shared" si="143"/>
        <v/>
      </c>
      <c r="J2218" t="str">
        <f t="shared" si="144"/>
        <v/>
      </c>
      <c r="K2218">
        <f>IF(E2218="","",SUM(ContractsTbl[[#This Row],[salaryY1]:[salaryY4]]))</f>
        <v>461077.31729055202</v>
      </c>
      <c r="L2218" t="b">
        <f t="shared" si="145"/>
        <v>0</v>
      </c>
    </row>
    <row r="2219" spans="1:12" x14ac:dyDescent="0.2">
      <c r="A2219" t="s">
        <v>10044</v>
      </c>
      <c r="B2219" t="s">
        <v>74</v>
      </c>
      <c r="C2219" t="s">
        <v>9369</v>
      </c>
      <c r="D2219" t="s">
        <v>44</v>
      </c>
      <c r="E2219">
        <v>2025</v>
      </c>
      <c r="F2219">
        <v>2027</v>
      </c>
      <c r="G2219" s="11">
        <v>229498.02648332101</v>
      </c>
      <c r="H2219">
        <f t="shared" si="142"/>
        <v>229498.02648332101</v>
      </c>
      <c r="I2219" t="str">
        <f t="shared" si="143"/>
        <v/>
      </c>
      <c r="J2219" t="str">
        <f t="shared" si="144"/>
        <v/>
      </c>
      <c r="K2219">
        <f>IF(E2219="","",SUM(ContractsTbl[[#This Row],[salaryY1]:[salaryY4]]))</f>
        <v>458996.05296664202</v>
      </c>
      <c r="L2219" t="b">
        <f t="shared" si="145"/>
        <v>0</v>
      </c>
    </row>
    <row r="2220" spans="1:12" x14ac:dyDescent="0.2">
      <c r="A2220" t="s">
        <v>10045</v>
      </c>
      <c r="B2220" t="s">
        <v>74</v>
      </c>
      <c r="C2220" t="s">
        <v>9370</v>
      </c>
      <c r="D2220" t="s">
        <v>44</v>
      </c>
      <c r="E2220">
        <v>2025</v>
      </c>
      <c r="F2220">
        <v>2027</v>
      </c>
      <c r="G2220" s="11">
        <v>228457.39432136499</v>
      </c>
      <c r="H2220">
        <f t="shared" si="142"/>
        <v>228457.39432136499</v>
      </c>
      <c r="I2220" t="str">
        <f t="shared" si="143"/>
        <v/>
      </c>
      <c r="J2220" t="str">
        <f t="shared" si="144"/>
        <v/>
      </c>
      <c r="K2220">
        <f>IF(E2220="","",SUM(ContractsTbl[[#This Row],[salaryY1]:[salaryY4]]))</f>
        <v>456914.78864272998</v>
      </c>
      <c r="L2220" t="b">
        <f t="shared" si="145"/>
        <v>0</v>
      </c>
    </row>
    <row r="2221" spans="1:12" x14ac:dyDescent="0.2">
      <c r="A2221" t="s">
        <v>10046</v>
      </c>
      <c r="B2221" t="s">
        <v>74</v>
      </c>
      <c r="C2221" t="s">
        <v>9371</v>
      </c>
      <c r="D2221" t="s">
        <v>44</v>
      </c>
      <c r="E2221">
        <v>2025</v>
      </c>
      <c r="F2221">
        <v>2027</v>
      </c>
      <c r="G2221" s="11">
        <v>227416.762159409</v>
      </c>
      <c r="H2221">
        <f t="shared" si="142"/>
        <v>227416.762159409</v>
      </c>
      <c r="I2221" t="str">
        <f t="shared" si="143"/>
        <v/>
      </c>
      <c r="J2221" t="str">
        <f t="shared" si="144"/>
        <v/>
      </c>
      <c r="K2221">
        <f>IF(E2221="","",SUM(ContractsTbl[[#This Row],[salaryY1]:[salaryY4]]))</f>
        <v>454833.524318818</v>
      </c>
      <c r="L2221" t="b">
        <f t="shared" si="145"/>
        <v>0</v>
      </c>
    </row>
    <row r="2222" spans="1:12" x14ac:dyDescent="0.2">
      <c r="A2222" t="s">
        <v>10047</v>
      </c>
      <c r="B2222" t="s">
        <v>74</v>
      </c>
      <c r="C2222" t="s">
        <v>9372</v>
      </c>
      <c r="D2222" t="s">
        <v>44</v>
      </c>
      <c r="E2222">
        <v>2025</v>
      </c>
      <c r="F2222">
        <v>2027</v>
      </c>
      <c r="G2222" s="11">
        <v>226376.129997454</v>
      </c>
      <c r="H2222">
        <f t="shared" si="142"/>
        <v>226376.129997454</v>
      </c>
      <c r="I2222" t="str">
        <f t="shared" si="143"/>
        <v/>
      </c>
      <c r="J2222" t="str">
        <f t="shared" si="144"/>
        <v/>
      </c>
      <c r="K2222">
        <f>IF(E2222="","",SUM(ContractsTbl[[#This Row],[salaryY1]:[salaryY4]]))</f>
        <v>452752.259994908</v>
      </c>
      <c r="L2222" t="b">
        <f t="shared" si="145"/>
        <v>0</v>
      </c>
    </row>
    <row r="2223" spans="1:12" x14ac:dyDescent="0.2">
      <c r="A2223" t="s">
        <v>10048</v>
      </c>
      <c r="B2223" t="s">
        <v>74</v>
      </c>
      <c r="C2223" t="s">
        <v>9373</v>
      </c>
      <c r="D2223" t="s">
        <v>44</v>
      </c>
      <c r="E2223">
        <v>2025</v>
      </c>
      <c r="F2223">
        <v>2027</v>
      </c>
      <c r="G2223" s="11">
        <v>225335.49783549801</v>
      </c>
      <c r="H2223">
        <f t="shared" si="142"/>
        <v>225335.49783549801</v>
      </c>
      <c r="I2223" t="str">
        <f t="shared" si="143"/>
        <v/>
      </c>
      <c r="J2223" t="str">
        <f t="shared" si="144"/>
        <v/>
      </c>
      <c r="K2223">
        <f>IF(E2223="","",SUM(ContractsTbl[[#This Row],[salaryY1]:[salaryY4]]))</f>
        <v>450670.99567099602</v>
      </c>
      <c r="L2223" t="b">
        <f t="shared" si="145"/>
        <v>0</v>
      </c>
    </row>
    <row r="2224" spans="1:12" x14ac:dyDescent="0.2">
      <c r="A2224" t="s">
        <v>10049</v>
      </c>
      <c r="B2224" t="s">
        <v>74</v>
      </c>
      <c r="C2224" t="s">
        <v>9374</v>
      </c>
      <c r="D2224" t="s">
        <v>44</v>
      </c>
      <c r="E2224">
        <v>2025</v>
      </c>
      <c r="F2224">
        <v>2027</v>
      </c>
      <c r="G2224" s="11">
        <v>224294.86567354199</v>
      </c>
      <c r="H2224">
        <f t="shared" si="142"/>
        <v>224294.86567354199</v>
      </c>
      <c r="I2224" t="str">
        <f t="shared" si="143"/>
        <v/>
      </c>
      <c r="J2224" t="str">
        <f t="shared" si="144"/>
        <v/>
      </c>
      <c r="K2224">
        <f>IF(E2224="","",SUM(ContractsTbl[[#This Row],[salaryY1]:[salaryY4]]))</f>
        <v>448589.73134708399</v>
      </c>
      <c r="L2224" t="b">
        <f t="shared" si="145"/>
        <v>0</v>
      </c>
    </row>
    <row r="2225" spans="1:12" x14ac:dyDescent="0.2">
      <c r="A2225" t="s">
        <v>10050</v>
      </c>
      <c r="B2225" t="s">
        <v>74</v>
      </c>
      <c r="C2225" t="s">
        <v>9375</v>
      </c>
      <c r="D2225" t="s">
        <v>44</v>
      </c>
      <c r="E2225">
        <v>2025</v>
      </c>
      <c r="F2225">
        <v>2027</v>
      </c>
      <c r="G2225" s="11">
        <v>223254.23351158699</v>
      </c>
      <c r="H2225">
        <f t="shared" si="142"/>
        <v>223254.23351158699</v>
      </c>
      <c r="I2225" t="str">
        <f t="shared" si="143"/>
        <v/>
      </c>
      <c r="J2225" t="str">
        <f t="shared" si="144"/>
        <v/>
      </c>
      <c r="K2225">
        <f>IF(E2225="","",SUM(ContractsTbl[[#This Row],[salaryY1]:[salaryY4]]))</f>
        <v>446508.46702317399</v>
      </c>
      <c r="L2225" t="b">
        <f t="shared" si="145"/>
        <v>0</v>
      </c>
    </row>
    <row r="2226" spans="1:12" x14ac:dyDescent="0.2">
      <c r="A2226" t="s">
        <v>10051</v>
      </c>
      <c r="B2226" t="s">
        <v>74</v>
      </c>
      <c r="C2226" t="s">
        <v>9376</v>
      </c>
      <c r="D2226" t="s">
        <v>44</v>
      </c>
      <c r="E2226">
        <v>2025</v>
      </c>
      <c r="F2226">
        <v>2027</v>
      </c>
      <c r="G2226" s="11">
        <v>222213.601349631</v>
      </c>
      <c r="H2226">
        <f t="shared" si="142"/>
        <v>222213.601349631</v>
      </c>
      <c r="I2226" t="str">
        <f t="shared" si="143"/>
        <v/>
      </c>
      <c r="J2226" t="str">
        <f t="shared" si="144"/>
        <v/>
      </c>
      <c r="K2226">
        <f>IF(E2226="","",SUM(ContractsTbl[[#This Row],[salaryY1]:[salaryY4]]))</f>
        <v>444427.20269926201</v>
      </c>
      <c r="L2226" t="b">
        <f t="shared" si="145"/>
        <v>0</v>
      </c>
    </row>
    <row r="2227" spans="1:12" x14ac:dyDescent="0.2">
      <c r="A2227" t="s">
        <v>10052</v>
      </c>
      <c r="B2227" t="s">
        <v>74</v>
      </c>
      <c r="C2227" t="s">
        <v>9377</v>
      </c>
      <c r="D2227" t="s">
        <v>44</v>
      </c>
      <c r="E2227">
        <v>2025</v>
      </c>
      <c r="F2227">
        <v>2027</v>
      </c>
      <c r="G2227" s="11">
        <v>221172.96918767499</v>
      </c>
      <c r="H2227">
        <f t="shared" si="142"/>
        <v>221172.96918767499</v>
      </c>
      <c r="I2227" t="str">
        <f t="shared" si="143"/>
        <v/>
      </c>
      <c r="J2227" t="str">
        <f t="shared" si="144"/>
        <v/>
      </c>
      <c r="K2227">
        <f>IF(E2227="","",SUM(ContractsTbl[[#This Row],[salaryY1]:[salaryY4]]))</f>
        <v>442345.93837534997</v>
      </c>
      <c r="L2227" t="b">
        <f t="shared" si="145"/>
        <v>0</v>
      </c>
    </row>
    <row r="2228" spans="1:12" x14ac:dyDescent="0.2">
      <c r="A2228" t="s">
        <v>10053</v>
      </c>
      <c r="B2228" t="s">
        <v>74</v>
      </c>
      <c r="C2228" t="s">
        <v>9378</v>
      </c>
      <c r="D2228" t="s">
        <v>44</v>
      </c>
      <c r="E2228">
        <v>2025</v>
      </c>
      <c r="F2228">
        <v>2027</v>
      </c>
      <c r="G2228" s="11">
        <v>220132.337025719</v>
      </c>
      <c r="H2228">
        <f t="shared" si="142"/>
        <v>220132.337025719</v>
      </c>
      <c r="I2228" t="str">
        <f t="shared" si="143"/>
        <v/>
      </c>
      <c r="J2228" t="str">
        <f t="shared" si="144"/>
        <v/>
      </c>
      <c r="K2228">
        <f>IF(E2228="","",SUM(ContractsTbl[[#This Row],[salaryY1]:[salaryY4]]))</f>
        <v>440264.67405143799</v>
      </c>
      <c r="L2228" t="b">
        <f t="shared" si="145"/>
        <v>0</v>
      </c>
    </row>
    <row r="2229" spans="1:12" x14ac:dyDescent="0.2">
      <c r="A2229" t="s">
        <v>10054</v>
      </c>
      <c r="B2229" t="s">
        <v>74</v>
      </c>
      <c r="C2229" t="s">
        <v>9379</v>
      </c>
      <c r="D2229" t="s">
        <v>44</v>
      </c>
      <c r="E2229">
        <v>2025</v>
      </c>
      <c r="F2229">
        <v>2027</v>
      </c>
      <c r="G2229" s="11">
        <v>219091.704863764</v>
      </c>
      <c r="H2229">
        <f t="shared" si="142"/>
        <v>219091.704863764</v>
      </c>
      <c r="I2229" t="str">
        <f t="shared" si="143"/>
        <v/>
      </c>
      <c r="J2229" t="str">
        <f t="shared" si="144"/>
        <v/>
      </c>
      <c r="K2229">
        <f>IF(E2229="","",SUM(ContractsTbl[[#This Row],[salaryY1]:[salaryY4]]))</f>
        <v>438183.40972752799</v>
      </c>
      <c r="L2229" t="b">
        <f t="shared" si="145"/>
        <v>0</v>
      </c>
    </row>
    <row r="2230" spans="1:12" x14ac:dyDescent="0.2">
      <c r="A2230" t="s">
        <v>10055</v>
      </c>
      <c r="B2230" t="s">
        <v>74</v>
      </c>
      <c r="C2230" t="s">
        <v>9380</v>
      </c>
      <c r="D2230" t="s">
        <v>44</v>
      </c>
      <c r="E2230">
        <v>2025</v>
      </c>
      <c r="F2230">
        <v>2027</v>
      </c>
      <c r="G2230" s="11">
        <v>218051.07270180801</v>
      </c>
      <c r="H2230">
        <f t="shared" si="142"/>
        <v>218051.07270180801</v>
      </c>
      <c r="I2230" t="str">
        <f t="shared" si="143"/>
        <v/>
      </c>
      <c r="J2230" t="str">
        <f t="shared" si="144"/>
        <v/>
      </c>
      <c r="K2230">
        <f>IF(E2230="","",SUM(ContractsTbl[[#This Row],[salaryY1]:[salaryY4]]))</f>
        <v>436102.14540361601</v>
      </c>
      <c r="L2230" t="b">
        <f t="shared" si="145"/>
        <v>0</v>
      </c>
    </row>
    <row r="2231" spans="1:12" x14ac:dyDescent="0.2">
      <c r="A2231" t="s">
        <v>10056</v>
      </c>
      <c r="B2231" t="s">
        <v>74</v>
      </c>
      <c r="C2231" t="s">
        <v>9381</v>
      </c>
      <c r="D2231" t="s">
        <v>44</v>
      </c>
      <c r="E2231">
        <v>2025</v>
      </c>
      <c r="F2231">
        <v>2027</v>
      </c>
      <c r="G2231" s="11">
        <v>217010.44053985199</v>
      </c>
      <c r="H2231">
        <f t="shared" si="142"/>
        <v>217010.44053985199</v>
      </c>
      <c r="I2231" t="str">
        <f t="shared" si="143"/>
        <v/>
      </c>
      <c r="J2231" t="str">
        <f t="shared" si="144"/>
        <v/>
      </c>
      <c r="K2231">
        <f>IF(E2231="","",SUM(ContractsTbl[[#This Row],[salaryY1]:[salaryY4]]))</f>
        <v>434020.88107970398</v>
      </c>
      <c r="L2231" t="b">
        <f t="shared" si="145"/>
        <v>0</v>
      </c>
    </row>
    <row r="2232" spans="1:12" x14ac:dyDescent="0.2">
      <c r="A2232" t="s">
        <v>10057</v>
      </c>
      <c r="B2232" t="s">
        <v>74</v>
      </c>
      <c r="C2232" t="s">
        <v>9382</v>
      </c>
      <c r="D2232" t="s">
        <v>44</v>
      </c>
      <c r="E2232">
        <v>2025</v>
      </c>
      <c r="F2232">
        <v>2027</v>
      </c>
      <c r="G2232" s="11">
        <v>215969.80837789699</v>
      </c>
      <c r="H2232">
        <f t="shared" si="142"/>
        <v>215969.80837789699</v>
      </c>
      <c r="I2232" t="str">
        <f t="shared" si="143"/>
        <v/>
      </c>
      <c r="J2232" t="str">
        <f t="shared" si="144"/>
        <v/>
      </c>
      <c r="K2232">
        <f>IF(E2232="","",SUM(ContractsTbl[[#This Row],[salaryY1]:[salaryY4]]))</f>
        <v>431939.61675579398</v>
      </c>
      <c r="L2232" t="b">
        <f t="shared" si="145"/>
        <v>0</v>
      </c>
    </row>
    <row r="2233" spans="1:12" x14ac:dyDescent="0.2">
      <c r="A2233" t="s">
        <v>10058</v>
      </c>
      <c r="B2233" t="s">
        <v>74</v>
      </c>
      <c r="C2233" t="s">
        <v>9383</v>
      </c>
      <c r="D2233" t="s">
        <v>44</v>
      </c>
      <c r="E2233">
        <v>2025</v>
      </c>
      <c r="F2233">
        <v>2027</v>
      </c>
      <c r="G2233" s="11">
        <v>214929.176215941</v>
      </c>
      <c r="H2233">
        <f t="shared" si="142"/>
        <v>214929.176215941</v>
      </c>
      <c r="I2233" t="str">
        <f t="shared" si="143"/>
        <v/>
      </c>
      <c r="J2233" t="str">
        <f t="shared" si="144"/>
        <v/>
      </c>
      <c r="K2233">
        <f>IF(E2233="","",SUM(ContractsTbl[[#This Row],[salaryY1]:[salaryY4]]))</f>
        <v>429858.352431882</v>
      </c>
      <c r="L2233" t="b">
        <f t="shared" si="145"/>
        <v>0</v>
      </c>
    </row>
    <row r="2234" spans="1:12" x14ac:dyDescent="0.2">
      <c r="A2234" t="s">
        <v>10059</v>
      </c>
      <c r="B2234" t="s">
        <v>74</v>
      </c>
      <c r="C2234" t="s">
        <v>9384</v>
      </c>
      <c r="D2234" t="s">
        <v>44</v>
      </c>
      <c r="E2234">
        <v>2025</v>
      </c>
      <c r="F2234">
        <v>2027</v>
      </c>
      <c r="G2234" s="11">
        <v>213888.54405398501</v>
      </c>
      <c r="H2234">
        <f t="shared" si="142"/>
        <v>213888.54405398501</v>
      </c>
      <c r="I2234" t="str">
        <f t="shared" si="143"/>
        <v/>
      </c>
      <c r="J2234" t="str">
        <f t="shared" si="144"/>
        <v/>
      </c>
      <c r="K2234">
        <f>IF(E2234="","",SUM(ContractsTbl[[#This Row],[salaryY1]:[salaryY4]]))</f>
        <v>427777.08810797002</v>
      </c>
      <c r="L2234" t="b">
        <f t="shared" si="145"/>
        <v>0</v>
      </c>
    </row>
    <row r="2235" spans="1:12" x14ac:dyDescent="0.2">
      <c r="A2235" t="s">
        <v>10060</v>
      </c>
      <c r="B2235" t="s">
        <v>74</v>
      </c>
      <c r="C2235" t="s">
        <v>9385</v>
      </c>
      <c r="D2235" t="s">
        <v>44</v>
      </c>
      <c r="E2235">
        <v>2025</v>
      </c>
      <c r="F2235">
        <v>2027</v>
      </c>
      <c r="G2235" s="11">
        <v>212847.91189203001</v>
      </c>
      <c r="H2235">
        <f t="shared" si="142"/>
        <v>212847.91189203001</v>
      </c>
      <c r="I2235" t="str">
        <f t="shared" si="143"/>
        <v/>
      </c>
      <c r="J2235" t="str">
        <f t="shared" si="144"/>
        <v/>
      </c>
      <c r="K2235">
        <f>IF(E2235="","",SUM(ContractsTbl[[#This Row],[salaryY1]:[salaryY4]]))</f>
        <v>425695.82378406002</v>
      </c>
      <c r="L2235" t="b">
        <f t="shared" si="145"/>
        <v>0</v>
      </c>
    </row>
    <row r="2236" spans="1:12" x14ac:dyDescent="0.2">
      <c r="A2236" t="s">
        <v>10061</v>
      </c>
      <c r="B2236" t="s">
        <v>74</v>
      </c>
      <c r="C2236" t="s">
        <v>9386</v>
      </c>
      <c r="D2236" t="s">
        <v>44</v>
      </c>
      <c r="E2236">
        <v>2025</v>
      </c>
      <c r="F2236">
        <v>2027</v>
      </c>
      <c r="G2236" s="11">
        <v>211807.27973007399</v>
      </c>
      <c r="H2236">
        <f t="shared" si="142"/>
        <v>211807.27973007399</v>
      </c>
      <c r="I2236" t="str">
        <f t="shared" si="143"/>
        <v/>
      </c>
      <c r="J2236" t="str">
        <f t="shared" si="144"/>
        <v/>
      </c>
      <c r="K2236">
        <f>IF(E2236="","",SUM(ContractsTbl[[#This Row],[salaryY1]:[salaryY4]]))</f>
        <v>423614.55946014798</v>
      </c>
      <c r="L2236" t="b">
        <f t="shared" si="145"/>
        <v>0</v>
      </c>
    </row>
    <row r="2237" spans="1:12" x14ac:dyDescent="0.2">
      <c r="A2237" t="s">
        <v>10062</v>
      </c>
      <c r="B2237" t="s">
        <v>74</v>
      </c>
      <c r="C2237" t="s">
        <v>9387</v>
      </c>
      <c r="D2237" t="s">
        <v>44</v>
      </c>
      <c r="E2237">
        <v>2025</v>
      </c>
      <c r="F2237">
        <v>2027</v>
      </c>
      <c r="G2237" s="11">
        <v>210766.647568118</v>
      </c>
      <c r="H2237">
        <f t="shared" si="142"/>
        <v>210766.647568118</v>
      </c>
      <c r="I2237" t="str">
        <f t="shared" si="143"/>
        <v/>
      </c>
      <c r="J2237" t="str">
        <f t="shared" si="144"/>
        <v/>
      </c>
      <c r="K2237">
        <f>IF(E2237="","",SUM(ContractsTbl[[#This Row],[salaryY1]:[salaryY4]]))</f>
        <v>421533.295136236</v>
      </c>
      <c r="L2237" t="b">
        <f t="shared" si="145"/>
        <v>0</v>
      </c>
    </row>
    <row r="2238" spans="1:12" x14ac:dyDescent="0.2">
      <c r="A2238" t="s">
        <v>10063</v>
      </c>
      <c r="B2238" t="s">
        <v>74</v>
      </c>
      <c r="C2238" t="s">
        <v>9388</v>
      </c>
      <c r="D2238" t="s">
        <v>44</v>
      </c>
      <c r="E2238">
        <v>2025</v>
      </c>
      <c r="F2238">
        <v>2027</v>
      </c>
      <c r="G2238" s="11">
        <v>209726.015406163</v>
      </c>
      <c r="H2238">
        <f t="shared" si="142"/>
        <v>209726.015406163</v>
      </c>
      <c r="I2238" t="str">
        <f t="shared" si="143"/>
        <v/>
      </c>
      <c r="J2238" t="str">
        <f t="shared" si="144"/>
        <v/>
      </c>
      <c r="K2238">
        <f>IF(E2238="","",SUM(ContractsTbl[[#This Row],[salaryY1]:[salaryY4]]))</f>
        <v>419452.030812326</v>
      </c>
      <c r="L2238" t="b">
        <f t="shared" si="145"/>
        <v>0</v>
      </c>
    </row>
    <row r="2239" spans="1:12" x14ac:dyDescent="0.2">
      <c r="A2239" t="s">
        <v>10064</v>
      </c>
      <c r="B2239" t="s">
        <v>74</v>
      </c>
      <c r="C2239" t="s">
        <v>9389</v>
      </c>
      <c r="D2239" t="s">
        <v>44</v>
      </c>
      <c r="E2239">
        <v>2025</v>
      </c>
      <c r="F2239">
        <v>2027</v>
      </c>
      <c r="G2239" s="11">
        <v>208685.38324420701</v>
      </c>
      <c r="H2239">
        <f t="shared" si="142"/>
        <v>208685.38324420701</v>
      </c>
      <c r="I2239" t="str">
        <f t="shared" si="143"/>
        <v/>
      </c>
      <c r="J2239" t="str">
        <f t="shared" si="144"/>
        <v/>
      </c>
      <c r="K2239">
        <f>IF(E2239="","",SUM(ContractsTbl[[#This Row],[salaryY1]:[salaryY4]]))</f>
        <v>417370.76648841402</v>
      </c>
      <c r="L2239" t="b">
        <f t="shared" si="145"/>
        <v>0</v>
      </c>
    </row>
    <row r="2240" spans="1:12" x14ac:dyDescent="0.2">
      <c r="A2240" t="s">
        <v>10065</v>
      </c>
      <c r="B2240" t="s">
        <v>74</v>
      </c>
      <c r="C2240" t="s">
        <v>9390</v>
      </c>
      <c r="D2240" t="s">
        <v>44</v>
      </c>
      <c r="E2240">
        <v>2025</v>
      </c>
      <c r="F2240">
        <v>2027</v>
      </c>
      <c r="G2240" s="11">
        <v>207644.75108225099</v>
      </c>
      <c r="H2240">
        <f t="shared" si="142"/>
        <v>207644.75108225099</v>
      </c>
      <c r="I2240" t="str">
        <f t="shared" si="143"/>
        <v/>
      </c>
      <c r="J2240" t="str">
        <f t="shared" si="144"/>
        <v/>
      </c>
      <c r="K2240">
        <f>IF(E2240="","",SUM(ContractsTbl[[#This Row],[salaryY1]:[salaryY4]]))</f>
        <v>415289.50216450199</v>
      </c>
      <c r="L2240" t="b">
        <f t="shared" si="145"/>
        <v>0</v>
      </c>
    </row>
    <row r="2241" spans="1:12" x14ac:dyDescent="0.2">
      <c r="A2241" t="s">
        <v>10066</v>
      </c>
      <c r="B2241" t="s">
        <v>74</v>
      </c>
      <c r="C2241" t="s">
        <v>9391</v>
      </c>
      <c r="D2241" t="s">
        <v>44</v>
      </c>
      <c r="E2241">
        <v>2025</v>
      </c>
      <c r="F2241">
        <v>2027</v>
      </c>
      <c r="G2241" s="11">
        <v>206604.11892029599</v>
      </c>
      <c r="H2241">
        <f t="shared" si="142"/>
        <v>206604.11892029599</v>
      </c>
      <c r="I2241" t="str">
        <f t="shared" si="143"/>
        <v/>
      </c>
      <c r="J2241" t="str">
        <f t="shared" si="144"/>
        <v/>
      </c>
      <c r="K2241">
        <f>IF(E2241="","",SUM(ContractsTbl[[#This Row],[salaryY1]:[salaryY4]]))</f>
        <v>413208.23784059199</v>
      </c>
      <c r="L2241" t="b">
        <f t="shared" si="145"/>
        <v>0</v>
      </c>
    </row>
    <row r="2242" spans="1:12" x14ac:dyDescent="0.2">
      <c r="A2242" t="s">
        <v>10067</v>
      </c>
      <c r="B2242" t="s">
        <v>74</v>
      </c>
      <c r="C2242" t="s">
        <v>9392</v>
      </c>
      <c r="D2242" t="s">
        <v>44</v>
      </c>
      <c r="E2242">
        <v>2025</v>
      </c>
      <c r="F2242">
        <v>2027</v>
      </c>
      <c r="G2242" s="11">
        <v>205563.48675834</v>
      </c>
      <c r="H2242">
        <f t="shared" si="142"/>
        <v>205563.48675834</v>
      </c>
      <c r="I2242" t="str">
        <f t="shared" si="143"/>
        <v/>
      </c>
      <c r="J2242" t="str">
        <f t="shared" si="144"/>
        <v/>
      </c>
      <c r="K2242">
        <f>IF(E2242="","",SUM(ContractsTbl[[#This Row],[salaryY1]:[salaryY4]]))</f>
        <v>411126.97351668001</v>
      </c>
      <c r="L2242" t="b">
        <f t="shared" si="145"/>
        <v>0</v>
      </c>
    </row>
    <row r="2243" spans="1:12" x14ac:dyDescent="0.2">
      <c r="A2243" t="s">
        <v>10068</v>
      </c>
      <c r="B2243" t="s">
        <v>74</v>
      </c>
      <c r="C2243" t="s">
        <v>9393</v>
      </c>
      <c r="D2243" t="s">
        <v>44</v>
      </c>
      <c r="E2243">
        <v>2025</v>
      </c>
      <c r="F2243">
        <v>2027</v>
      </c>
      <c r="G2243" s="11">
        <v>204522.85459638399</v>
      </c>
      <c r="H2243">
        <f t="shared" si="142"/>
        <v>204522.85459638399</v>
      </c>
      <c r="I2243" t="str">
        <f t="shared" si="143"/>
        <v/>
      </c>
      <c r="J2243" t="str">
        <f t="shared" si="144"/>
        <v/>
      </c>
      <c r="K2243">
        <f>IF(E2243="","",SUM(ContractsTbl[[#This Row],[salaryY1]:[salaryY4]]))</f>
        <v>409045.70919276797</v>
      </c>
      <c r="L2243" t="b">
        <f t="shared" si="145"/>
        <v>0</v>
      </c>
    </row>
    <row r="2244" spans="1:12" x14ac:dyDescent="0.2">
      <c r="A2244" t="s">
        <v>10069</v>
      </c>
      <c r="B2244" t="s">
        <v>74</v>
      </c>
      <c r="C2244" t="s">
        <v>9394</v>
      </c>
      <c r="D2244" t="s">
        <v>44</v>
      </c>
      <c r="E2244">
        <v>2025</v>
      </c>
      <c r="F2244">
        <v>2027</v>
      </c>
      <c r="G2244" s="11">
        <v>203482.222434428</v>
      </c>
      <c r="H2244">
        <f t="shared" si="142"/>
        <v>203482.222434428</v>
      </c>
      <c r="I2244" t="str">
        <f t="shared" si="143"/>
        <v/>
      </c>
      <c r="J2244" t="str">
        <f t="shared" si="144"/>
        <v/>
      </c>
      <c r="K2244">
        <f>IF(E2244="","",SUM(ContractsTbl[[#This Row],[salaryY1]:[salaryY4]]))</f>
        <v>406964.44486885599</v>
      </c>
      <c r="L2244" t="b">
        <f t="shared" si="145"/>
        <v>0</v>
      </c>
    </row>
    <row r="2245" spans="1:12" x14ac:dyDescent="0.2">
      <c r="A2245" t="s">
        <v>10070</v>
      </c>
      <c r="B2245" t="s">
        <v>74</v>
      </c>
      <c r="C2245" t="s">
        <v>9395</v>
      </c>
      <c r="D2245" t="s">
        <v>44</v>
      </c>
      <c r="E2245">
        <v>2025</v>
      </c>
      <c r="F2245">
        <v>2027</v>
      </c>
      <c r="G2245" s="11">
        <v>202441.590272473</v>
      </c>
      <c r="H2245">
        <f t="shared" si="142"/>
        <v>202441.590272473</v>
      </c>
      <c r="I2245" t="str">
        <f t="shared" si="143"/>
        <v/>
      </c>
      <c r="J2245" t="str">
        <f t="shared" si="144"/>
        <v/>
      </c>
      <c r="K2245">
        <f>IF(E2245="","",SUM(ContractsTbl[[#This Row],[salaryY1]:[salaryY4]]))</f>
        <v>404883.18054494599</v>
      </c>
      <c r="L2245" t="b">
        <f t="shared" si="145"/>
        <v>0</v>
      </c>
    </row>
    <row r="2246" spans="1:12" x14ac:dyDescent="0.2">
      <c r="A2246" t="s">
        <v>10071</v>
      </c>
      <c r="B2246" t="s">
        <v>74</v>
      </c>
      <c r="C2246" t="s">
        <v>9396</v>
      </c>
      <c r="D2246" t="s">
        <v>44</v>
      </c>
      <c r="E2246">
        <v>2025</v>
      </c>
      <c r="F2246">
        <v>2027</v>
      </c>
      <c r="G2246" s="11">
        <v>201400.95811051701</v>
      </c>
      <c r="H2246">
        <f t="shared" si="142"/>
        <v>201400.95811051701</v>
      </c>
      <c r="I2246" t="str">
        <f t="shared" si="143"/>
        <v/>
      </c>
      <c r="J2246" t="str">
        <f t="shared" si="144"/>
        <v/>
      </c>
      <c r="K2246">
        <f>IF(E2246="","",SUM(ContractsTbl[[#This Row],[salaryY1]:[salaryY4]]))</f>
        <v>402801.91622103401</v>
      </c>
      <c r="L2246" t="b">
        <f t="shared" si="145"/>
        <v>0</v>
      </c>
    </row>
    <row r="2247" spans="1:12" x14ac:dyDescent="0.2">
      <c r="A2247" t="s">
        <v>10072</v>
      </c>
      <c r="B2247" t="s">
        <v>74</v>
      </c>
      <c r="C2247" t="s">
        <v>9397</v>
      </c>
      <c r="D2247" t="s">
        <v>44</v>
      </c>
      <c r="E2247">
        <v>2025</v>
      </c>
      <c r="F2247">
        <v>2027</v>
      </c>
      <c r="G2247" s="11">
        <v>200360.32594856099</v>
      </c>
      <c r="H2247">
        <f t="shared" si="142"/>
        <v>200360.32594856099</v>
      </c>
      <c r="I2247" t="str">
        <f t="shared" si="143"/>
        <v/>
      </c>
      <c r="J2247" t="str">
        <f t="shared" si="144"/>
        <v/>
      </c>
      <c r="K2247">
        <f>IF(E2247="","",SUM(ContractsTbl[[#This Row],[salaryY1]:[salaryY4]]))</f>
        <v>400720.65189712198</v>
      </c>
      <c r="L2247" t="b">
        <f t="shared" si="145"/>
        <v>0</v>
      </c>
    </row>
    <row r="2248" spans="1:12" x14ac:dyDescent="0.2">
      <c r="A2248" t="s">
        <v>10073</v>
      </c>
      <c r="B2248" t="s">
        <v>74</v>
      </c>
      <c r="C2248" t="s">
        <v>9398</v>
      </c>
      <c r="D2248" t="s">
        <v>44</v>
      </c>
      <c r="E2248">
        <v>2025</v>
      </c>
      <c r="F2248">
        <v>2027</v>
      </c>
      <c r="G2248" s="11">
        <v>199319.69378660599</v>
      </c>
      <c r="H2248">
        <f t="shared" si="142"/>
        <v>199319.69378660599</v>
      </c>
      <c r="I2248" t="str">
        <f t="shared" si="143"/>
        <v/>
      </c>
      <c r="J2248" t="str">
        <f t="shared" si="144"/>
        <v/>
      </c>
      <c r="K2248">
        <f>IF(E2248="","",SUM(ContractsTbl[[#This Row],[salaryY1]:[salaryY4]]))</f>
        <v>398639.38757321198</v>
      </c>
      <c r="L2248" t="b">
        <f t="shared" si="145"/>
        <v>0</v>
      </c>
    </row>
    <row r="2249" spans="1:12" x14ac:dyDescent="0.2">
      <c r="A2249" t="s">
        <v>10074</v>
      </c>
      <c r="B2249" t="s">
        <v>74</v>
      </c>
      <c r="C2249" t="s">
        <v>9399</v>
      </c>
      <c r="D2249" t="s">
        <v>44</v>
      </c>
      <c r="E2249">
        <v>2025</v>
      </c>
      <c r="F2249">
        <v>2027</v>
      </c>
      <c r="G2249" s="11">
        <v>198279.06162465</v>
      </c>
      <c r="H2249">
        <f t="shared" si="142"/>
        <v>198279.06162465</v>
      </c>
      <c r="I2249" t="str">
        <f t="shared" si="143"/>
        <v/>
      </c>
      <c r="J2249" t="str">
        <f t="shared" si="144"/>
        <v/>
      </c>
      <c r="K2249">
        <f>IF(E2249="","",SUM(ContractsTbl[[#This Row],[salaryY1]:[salaryY4]]))</f>
        <v>396558.1232493</v>
      </c>
      <c r="L2249" t="b">
        <f t="shared" si="145"/>
        <v>0</v>
      </c>
    </row>
    <row r="2250" spans="1:12" x14ac:dyDescent="0.2">
      <c r="A2250" t="s">
        <v>10075</v>
      </c>
      <c r="B2250" t="s">
        <v>74</v>
      </c>
      <c r="C2250" t="s">
        <v>9400</v>
      </c>
      <c r="D2250" t="s">
        <v>44</v>
      </c>
      <c r="E2250">
        <v>2025</v>
      </c>
      <c r="F2250">
        <v>2027</v>
      </c>
      <c r="G2250" s="11">
        <v>197238.42946269401</v>
      </c>
      <c r="H2250">
        <f t="shared" si="142"/>
        <v>197238.42946269401</v>
      </c>
      <c r="I2250" t="str">
        <f t="shared" si="143"/>
        <v/>
      </c>
      <c r="J2250" t="str">
        <f t="shared" si="144"/>
        <v/>
      </c>
      <c r="K2250">
        <f>IF(E2250="","",SUM(ContractsTbl[[#This Row],[salaryY1]:[salaryY4]]))</f>
        <v>394476.85892538802</v>
      </c>
      <c r="L2250" t="b">
        <f t="shared" si="145"/>
        <v>0</v>
      </c>
    </row>
    <row r="2251" spans="1:12" x14ac:dyDescent="0.2">
      <c r="A2251" t="s">
        <v>10076</v>
      </c>
      <c r="B2251" t="s">
        <v>74</v>
      </c>
      <c r="C2251" t="s">
        <v>9401</v>
      </c>
      <c r="D2251" t="s">
        <v>44</v>
      </c>
      <c r="E2251">
        <v>2025</v>
      </c>
      <c r="F2251">
        <v>2027</v>
      </c>
      <c r="G2251" s="11">
        <v>196197.79730073901</v>
      </c>
      <c r="H2251">
        <f t="shared" si="142"/>
        <v>196197.79730073901</v>
      </c>
      <c r="I2251" t="str">
        <f t="shared" si="143"/>
        <v/>
      </c>
      <c r="J2251" t="str">
        <f t="shared" si="144"/>
        <v/>
      </c>
      <c r="K2251">
        <f>IF(E2251="","",SUM(ContractsTbl[[#This Row],[salaryY1]:[salaryY4]]))</f>
        <v>392395.59460147802</v>
      </c>
      <c r="L2251" t="b">
        <f t="shared" si="145"/>
        <v>0</v>
      </c>
    </row>
    <row r="2252" spans="1:12" x14ac:dyDescent="0.2">
      <c r="A2252" t="s">
        <v>10077</v>
      </c>
      <c r="B2252" t="s">
        <v>74</v>
      </c>
      <c r="C2252" t="s">
        <v>9402</v>
      </c>
      <c r="D2252" t="s">
        <v>44</v>
      </c>
      <c r="E2252">
        <v>2025</v>
      </c>
      <c r="F2252">
        <v>2027</v>
      </c>
      <c r="G2252" s="11">
        <v>195157.16513878299</v>
      </c>
      <c r="H2252">
        <f t="shared" si="142"/>
        <v>195157.16513878299</v>
      </c>
      <c r="I2252" t="str">
        <f t="shared" si="143"/>
        <v/>
      </c>
      <c r="J2252" t="str">
        <f t="shared" si="144"/>
        <v/>
      </c>
      <c r="K2252">
        <f>IF(E2252="","",SUM(ContractsTbl[[#This Row],[salaryY1]:[salaryY4]]))</f>
        <v>390314.33027756598</v>
      </c>
      <c r="L2252" t="b">
        <f t="shared" si="145"/>
        <v>0</v>
      </c>
    </row>
    <row r="2253" spans="1:12" x14ac:dyDescent="0.2">
      <c r="A2253" t="s">
        <v>10078</v>
      </c>
      <c r="B2253" t="s">
        <v>74</v>
      </c>
      <c r="C2253" t="s">
        <v>9403</v>
      </c>
      <c r="D2253" t="s">
        <v>44</v>
      </c>
      <c r="E2253">
        <v>2025</v>
      </c>
      <c r="F2253">
        <v>2027</v>
      </c>
      <c r="G2253" s="11">
        <v>194116.532976827</v>
      </c>
      <c r="H2253">
        <f t="shared" si="142"/>
        <v>194116.532976827</v>
      </c>
      <c r="I2253" t="str">
        <f t="shared" si="143"/>
        <v/>
      </c>
      <c r="J2253" t="str">
        <f t="shared" si="144"/>
        <v/>
      </c>
      <c r="K2253">
        <f>IF(E2253="","",SUM(ContractsTbl[[#This Row],[salaryY1]:[salaryY4]]))</f>
        <v>388233.065953654</v>
      </c>
      <c r="L2253" t="b">
        <f t="shared" si="145"/>
        <v>0</v>
      </c>
    </row>
    <row r="2254" spans="1:12" x14ac:dyDescent="0.2">
      <c r="A2254" t="s">
        <v>10079</v>
      </c>
      <c r="B2254" t="s">
        <v>74</v>
      </c>
      <c r="C2254" t="s">
        <v>9404</v>
      </c>
      <c r="D2254" t="s">
        <v>44</v>
      </c>
      <c r="E2254">
        <v>2025</v>
      </c>
      <c r="F2254">
        <v>2027</v>
      </c>
      <c r="G2254" s="11">
        <v>193075.900814872</v>
      </c>
      <c r="H2254">
        <f t="shared" si="142"/>
        <v>193075.900814872</v>
      </c>
      <c r="I2254" t="str">
        <f t="shared" si="143"/>
        <v/>
      </c>
      <c r="J2254" t="str">
        <f t="shared" si="144"/>
        <v/>
      </c>
      <c r="K2254">
        <f>IF(E2254="","",SUM(ContractsTbl[[#This Row],[salaryY1]:[salaryY4]]))</f>
        <v>386151.801629744</v>
      </c>
      <c r="L2254" t="b">
        <f t="shared" si="145"/>
        <v>0</v>
      </c>
    </row>
    <row r="2255" spans="1:12" x14ac:dyDescent="0.2">
      <c r="A2255" t="s">
        <v>10080</v>
      </c>
      <c r="B2255" t="s">
        <v>74</v>
      </c>
      <c r="C2255" t="s">
        <v>9405</v>
      </c>
      <c r="D2255" t="s">
        <v>44</v>
      </c>
      <c r="E2255">
        <v>2025</v>
      </c>
      <c r="F2255">
        <v>2027</v>
      </c>
      <c r="G2255" s="11">
        <v>192035.26865291601</v>
      </c>
      <c r="H2255">
        <f t="shared" si="142"/>
        <v>192035.26865291601</v>
      </c>
      <c r="I2255" t="str">
        <f t="shared" si="143"/>
        <v/>
      </c>
      <c r="J2255" t="str">
        <f t="shared" si="144"/>
        <v/>
      </c>
      <c r="K2255">
        <f>IF(E2255="","",SUM(ContractsTbl[[#This Row],[salaryY1]:[salaryY4]]))</f>
        <v>384070.53730583203</v>
      </c>
      <c r="L2255" t="b">
        <f t="shared" si="145"/>
        <v>0</v>
      </c>
    </row>
    <row r="2256" spans="1:12" x14ac:dyDescent="0.2">
      <c r="A2256" t="s">
        <v>10081</v>
      </c>
      <c r="B2256" t="s">
        <v>74</v>
      </c>
      <c r="C2256" t="s">
        <v>9406</v>
      </c>
      <c r="D2256" t="s">
        <v>44</v>
      </c>
      <c r="E2256">
        <v>2025</v>
      </c>
      <c r="F2256">
        <v>2027</v>
      </c>
      <c r="G2256" s="11">
        <v>190994.63649095999</v>
      </c>
      <c r="H2256">
        <f t="shared" si="142"/>
        <v>190994.63649095999</v>
      </c>
      <c r="I2256" t="str">
        <f t="shared" si="143"/>
        <v/>
      </c>
      <c r="J2256" t="str">
        <f t="shared" si="144"/>
        <v/>
      </c>
      <c r="K2256">
        <f>IF(E2256="","",SUM(ContractsTbl[[#This Row],[salaryY1]:[salaryY4]]))</f>
        <v>381989.27298191999</v>
      </c>
      <c r="L2256" t="b">
        <f t="shared" si="145"/>
        <v>0</v>
      </c>
    </row>
    <row r="2257" spans="1:12" x14ac:dyDescent="0.2">
      <c r="A2257" t="s">
        <v>10082</v>
      </c>
      <c r="B2257" t="s">
        <v>74</v>
      </c>
      <c r="C2257" t="s">
        <v>9407</v>
      </c>
      <c r="D2257" t="s">
        <v>44</v>
      </c>
      <c r="E2257">
        <v>2025</v>
      </c>
      <c r="F2257">
        <v>2027</v>
      </c>
      <c r="G2257" s="11">
        <v>189954.004329004</v>
      </c>
      <c r="H2257">
        <f t="shared" si="142"/>
        <v>189954.004329004</v>
      </c>
      <c r="I2257" t="str">
        <f t="shared" si="143"/>
        <v/>
      </c>
      <c r="J2257" t="str">
        <f t="shared" si="144"/>
        <v/>
      </c>
      <c r="K2257">
        <f>IF(E2257="","",SUM(ContractsTbl[[#This Row],[salaryY1]:[salaryY4]]))</f>
        <v>379908.00865800801</v>
      </c>
      <c r="L2257" t="b">
        <f t="shared" si="145"/>
        <v>0</v>
      </c>
    </row>
    <row r="2258" spans="1:12" x14ac:dyDescent="0.2">
      <c r="A2258" t="s">
        <v>10083</v>
      </c>
      <c r="B2258" t="s">
        <v>74</v>
      </c>
      <c r="C2258" t="s">
        <v>9408</v>
      </c>
      <c r="D2258" t="s">
        <v>44</v>
      </c>
      <c r="E2258">
        <v>2025</v>
      </c>
      <c r="F2258">
        <v>2027</v>
      </c>
      <c r="G2258" s="11">
        <v>188913.372167049</v>
      </c>
      <c r="H2258">
        <f t="shared" si="142"/>
        <v>188913.372167049</v>
      </c>
      <c r="I2258" t="str">
        <f t="shared" si="143"/>
        <v/>
      </c>
      <c r="J2258" t="str">
        <f t="shared" si="144"/>
        <v/>
      </c>
      <c r="K2258">
        <f>IF(E2258="","",SUM(ContractsTbl[[#This Row],[salaryY1]:[salaryY4]]))</f>
        <v>377826.74433409801</v>
      </c>
      <c r="L2258" t="b">
        <f t="shared" si="145"/>
        <v>0</v>
      </c>
    </row>
    <row r="2259" spans="1:12" x14ac:dyDescent="0.2">
      <c r="A2259" t="s">
        <v>10084</v>
      </c>
      <c r="B2259" t="s">
        <v>74</v>
      </c>
      <c r="C2259" t="s">
        <v>9409</v>
      </c>
      <c r="D2259" t="s">
        <v>44</v>
      </c>
      <c r="E2259">
        <v>2025</v>
      </c>
      <c r="F2259">
        <v>2027</v>
      </c>
      <c r="G2259" s="11">
        <v>187872.74000509299</v>
      </c>
      <c r="H2259">
        <f t="shared" si="142"/>
        <v>187872.74000509299</v>
      </c>
      <c r="I2259" t="str">
        <f t="shared" si="143"/>
        <v/>
      </c>
      <c r="J2259" t="str">
        <f t="shared" si="144"/>
        <v/>
      </c>
      <c r="K2259">
        <f>IF(E2259="","",SUM(ContractsTbl[[#This Row],[salaryY1]:[salaryY4]]))</f>
        <v>375745.48001018597</v>
      </c>
      <c r="L2259" t="b">
        <f t="shared" si="145"/>
        <v>0</v>
      </c>
    </row>
    <row r="2260" spans="1:12" x14ac:dyDescent="0.2">
      <c r="A2260" t="s">
        <v>10085</v>
      </c>
      <c r="B2260" t="s">
        <v>74</v>
      </c>
      <c r="C2260" t="s">
        <v>9410</v>
      </c>
      <c r="D2260" t="s">
        <v>44</v>
      </c>
      <c r="E2260">
        <v>2025</v>
      </c>
      <c r="F2260">
        <v>2027</v>
      </c>
      <c r="G2260" s="11">
        <v>186832.107843137</v>
      </c>
      <c r="H2260">
        <f t="shared" si="142"/>
        <v>186832.107843137</v>
      </c>
      <c r="I2260" t="str">
        <f t="shared" si="143"/>
        <v/>
      </c>
      <c r="J2260" t="str">
        <f t="shared" si="144"/>
        <v/>
      </c>
      <c r="K2260">
        <f>IF(E2260="","",SUM(ContractsTbl[[#This Row],[salaryY1]:[salaryY4]]))</f>
        <v>373664.21568627399</v>
      </c>
      <c r="L2260" t="b">
        <f t="shared" si="145"/>
        <v>0</v>
      </c>
    </row>
    <row r="2261" spans="1:12" x14ac:dyDescent="0.2">
      <c r="A2261" t="s">
        <v>10086</v>
      </c>
      <c r="B2261" t="s">
        <v>74</v>
      </c>
      <c r="C2261" t="s">
        <v>9411</v>
      </c>
      <c r="D2261" t="s">
        <v>44</v>
      </c>
      <c r="E2261">
        <v>2025</v>
      </c>
      <c r="F2261">
        <v>2027</v>
      </c>
      <c r="G2261" s="11">
        <v>185791.475681182</v>
      </c>
      <c r="H2261">
        <f t="shared" si="142"/>
        <v>185791.475681182</v>
      </c>
      <c r="I2261" t="str">
        <f t="shared" si="143"/>
        <v/>
      </c>
      <c r="J2261" t="str">
        <f t="shared" si="144"/>
        <v/>
      </c>
      <c r="K2261">
        <f>IF(E2261="","",SUM(ContractsTbl[[#This Row],[salaryY1]:[salaryY4]]))</f>
        <v>371582.95136236399</v>
      </c>
      <c r="L2261" t="b">
        <f t="shared" si="145"/>
        <v>0</v>
      </c>
    </row>
    <row r="2262" spans="1:12" x14ac:dyDescent="0.2">
      <c r="A2262" t="s">
        <v>10087</v>
      </c>
      <c r="B2262" t="s">
        <v>74</v>
      </c>
      <c r="C2262" t="s">
        <v>9412</v>
      </c>
      <c r="D2262" t="s">
        <v>44</v>
      </c>
      <c r="E2262">
        <v>2025</v>
      </c>
      <c r="F2262">
        <v>2027</v>
      </c>
      <c r="G2262" s="11">
        <v>184750.84351922601</v>
      </c>
      <c r="H2262">
        <f t="shared" si="142"/>
        <v>184750.84351922601</v>
      </c>
      <c r="I2262" t="str">
        <f t="shared" si="143"/>
        <v/>
      </c>
      <c r="J2262" t="str">
        <f t="shared" si="144"/>
        <v/>
      </c>
      <c r="K2262">
        <f>IF(E2262="","",SUM(ContractsTbl[[#This Row],[salaryY1]:[salaryY4]]))</f>
        <v>369501.68703845202</v>
      </c>
      <c r="L2262" t="b">
        <f t="shared" si="145"/>
        <v>0</v>
      </c>
    </row>
    <row r="2263" spans="1:12" x14ac:dyDescent="0.2">
      <c r="A2263" t="s">
        <v>10088</v>
      </c>
      <c r="B2263" t="s">
        <v>74</v>
      </c>
      <c r="C2263" t="s">
        <v>9413</v>
      </c>
      <c r="D2263" t="s">
        <v>44</v>
      </c>
      <c r="E2263">
        <v>2025</v>
      </c>
      <c r="F2263">
        <v>2027</v>
      </c>
      <c r="G2263" s="11">
        <v>183710.21135726999</v>
      </c>
      <c r="H2263">
        <f t="shared" si="142"/>
        <v>183710.21135726999</v>
      </c>
      <c r="I2263" t="str">
        <f t="shared" si="143"/>
        <v/>
      </c>
      <c r="J2263" t="str">
        <f t="shared" si="144"/>
        <v/>
      </c>
      <c r="K2263">
        <f>IF(E2263="","",SUM(ContractsTbl[[#This Row],[salaryY1]:[salaryY4]]))</f>
        <v>367420.42271453998</v>
      </c>
      <c r="L2263" t="b">
        <f t="shared" si="145"/>
        <v>0</v>
      </c>
    </row>
    <row r="2264" spans="1:12" x14ac:dyDescent="0.2">
      <c r="A2264" t="s">
        <v>10089</v>
      </c>
      <c r="B2264" t="s">
        <v>74</v>
      </c>
      <c r="C2264" t="s">
        <v>9414</v>
      </c>
      <c r="D2264" t="s">
        <v>44</v>
      </c>
      <c r="E2264">
        <v>2025</v>
      </c>
      <c r="F2264">
        <v>2027</v>
      </c>
      <c r="G2264" s="11">
        <v>182669.57919531499</v>
      </c>
      <c r="H2264">
        <f t="shared" si="142"/>
        <v>182669.57919531499</v>
      </c>
      <c r="I2264" t="str">
        <f t="shared" si="143"/>
        <v/>
      </c>
      <c r="J2264" t="str">
        <f t="shared" si="144"/>
        <v/>
      </c>
      <c r="K2264">
        <f>IF(E2264="","",SUM(ContractsTbl[[#This Row],[salaryY1]:[salaryY4]]))</f>
        <v>365339.15839062998</v>
      </c>
      <c r="L2264" t="b">
        <f t="shared" si="145"/>
        <v>0</v>
      </c>
    </row>
    <row r="2265" spans="1:12" x14ac:dyDescent="0.2">
      <c r="A2265" t="s">
        <v>10090</v>
      </c>
      <c r="B2265" t="s">
        <v>74</v>
      </c>
      <c r="C2265" t="s">
        <v>9415</v>
      </c>
      <c r="D2265" t="s">
        <v>44</v>
      </c>
      <c r="E2265">
        <v>2025</v>
      </c>
      <c r="F2265">
        <v>2027</v>
      </c>
      <c r="G2265" s="11">
        <v>181628.947033359</v>
      </c>
      <c r="H2265">
        <f t="shared" si="142"/>
        <v>181628.947033359</v>
      </c>
      <c r="I2265" t="str">
        <f t="shared" si="143"/>
        <v/>
      </c>
      <c r="J2265" t="str">
        <f t="shared" si="144"/>
        <v/>
      </c>
      <c r="K2265">
        <f>IF(E2265="","",SUM(ContractsTbl[[#This Row],[salaryY1]:[salaryY4]]))</f>
        <v>363257.894066718</v>
      </c>
      <c r="L2265" t="b">
        <f t="shared" si="145"/>
        <v>0</v>
      </c>
    </row>
    <row r="2266" spans="1:12" x14ac:dyDescent="0.2">
      <c r="A2266" t="s">
        <v>10091</v>
      </c>
      <c r="B2266" t="s">
        <v>74</v>
      </c>
      <c r="C2266" t="s">
        <v>9416</v>
      </c>
      <c r="D2266" t="s">
        <v>44</v>
      </c>
      <c r="E2266">
        <v>2025</v>
      </c>
      <c r="F2266">
        <v>2027</v>
      </c>
      <c r="G2266" s="11">
        <v>180588.31487140301</v>
      </c>
      <c r="H2266">
        <f t="shared" ref="H2266:H2329" si="146">IF(F2266&gt;=2027,G2266,"")</f>
        <v>180588.31487140301</v>
      </c>
      <c r="I2266" t="str">
        <f t="shared" ref="I2266:I2329" si="147">IF(F2266&gt;=2028,G2266,"")</f>
        <v/>
      </c>
      <c r="J2266" t="str">
        <f t="shared" ref="J2266:J2329" si="148">IF(F2266&gt;=2029,G2266,"")</f>
        <v/>
      </c>
      <c r="K2266">
        <f>IF(E2266="","",SUM(ContractsTbl[[#This Row],[salaryY1]:[salaryY4]]))</f>
        <v>361176.62974280602</v>
      </c>
      <c r="L2266" t="b">
        <f t="shared" ref="L2266:L2329" si="149">IF(F2266="",TRUE,FALSE)</f>
        <v>0</v>
      </c>
    </row>
    <row r="2267" spans="1:12" x14ac:dyDescent="0.2">
      <c r="A2267" t="s">
        <v>10092</v>
      </c>
      <c r="B2267" t="s">
        <v>74</v>
      </c>
      <c r="C2267" t="s">
        <v>9417</v>
      </c>
      <c r="D2267" t="s">
        <v>44</v>
      </c>
      <c r="E2267">
        <v>2025</v>
      </c>
      <c r="F2267">
        <v>2027</v>
      </c>
      <c r="G2267" s="11">
        <v>179547.68270944801</v>
      </c>
      <c r="H2267">
        <f t="shared" si="146"/>
        <v>179547.68270944801</v>
      </c>
      <c r="I2267" t="str">
        <f t="shared" si="147"/>
        <v/>
      </c>
      <c r="J2267" t="str">
        <f t="shared" si="148"/>
        <v/>
      </c>
      <c r="K2267">
        <f>IF(E2267="","",SUM(ContractsTbl[[#This Row],[salaryY1]:[salaryY4]]))</f>
        <v>359095.36541889602</v>
      </c>
      <c r="L2267" t="b">
        <f t="shared" si="149"/>
        <v>0</v>
      </c>
    </row>
    <row r="2268" spans="1:12" x14ac:dyDescent="0.2">
      <c r="A2268" t="s">
        <v>10093</v>
      </c>
      <c r="B2268" t="s">
        <v>74</v>
      </c>
      <c r="C2268" t="s">
        <v>9418</v>
      </c>
      <c r="D2268" t="s">
        <v>44</v>
      </c>
      <c r="E2268">
        <v>2025</v>
      </c>
      <c r="F2268">
        <v>2027</v>
      </c>
      <c r="G2268" s="11">
        <v>178507.05054749199</v>
      </c>
      <c r="H2268">
        <f t="shared" si="146"/>
        <v>178507.05054749199</v>
      </c>
      <c r="I2268" t="str">
        <f t="shared" si="147"/>
        <v/>
      </c>
      <c r="J2268" t="str">
        <f t="shared" si="148"/>
        <v/>
      </c>
      <c r="K2268">
        <f>IF(E2268="","",SUM(ContractsTbl[[#This Row],[salaryY1]:[salaryY4]]))</f>
        <v>357014.10109498398</v>
      </c>
      <c r="L2268" t="b">
        <f t="shared" si="149"/>
        <v>0</v>
      </c>
    </row>
    <row r="2269" spans="1:12" x14ac:dyDescent="0.2">
      <c r="A2269" t="s">
        <v>10094</v>
      </c>
      <c r="B2269" t="s">
        <v>74</v>
      </c>
      <c r="C2269" t="s">
        <v>9419</v>
      </c>
      <c r="D2269" t="s">
        <v>44</v>
      </c>
      <c r="E2269">
        <v>2025</v>
      </c>
      <c r="F2269">
        <v>2027</v>
      </c>
      <c r="G2269" s="11">
        <v>177466.418385536</v>
      </c>
      <c r="H2269">
        <f t="shared" si="146"/>
        <v>177466.418385536</v>
      </c>
      <c r="I2269" t="str">
        <f t="shared" si="147"/>
        <v/>
      </c>
      <c r="J2269" t="str">
        <f t="shared" si="148"/>
        <v/>
      </c>
      <c r="K2269">
        <f>IF(E2269="","",SUM(ContractsTbl[[#This Row],[salaryY1]:[salaryY4]]))</f>
        <v>354932.836771072</v>
      </c>
      <c r="L2269" t="b">
        <f t="shared" si="149"/>
        <v>0</v>
      </c>
    </row>
    <row r="2270" spans="1:12" x14ac:dyDescent="0.2">
      <c r="A2270" t="s">
        <v>10095</v>
      </c>
      <c r="B2270" t="s">
        <v>74</v>
      </c>
      <c r="C2270" t="s">
        <v>9420</v>
      </c>
      <c r="D2270" t="s">
        <v>44</v>
      </c>
      <c r="E2270">
        <v>2025</v>
      </c>
      <c r="F2270">
        <v>2027</v>
      </c>
      <c r="G2270" s="11">
        <v>176425.78622358001</v>
      </c>
      <c r="H2270">
        <f t="shared" si="146"/>
        <v>176425.78622358001</v>
      </c>
      <c r="I2270" t="str">
        <f t="shared" si="147"/>
        <v/>
      </c>
      <c r="J2270" t="str">
        <f t="shared" si="148"/>
        <v/>
      </c>
      <c r="K2270">
        <f>IF(E2270="","",SUM(ContractsTbl[[#This Row],[salaryY1]:[salaryY4]]))</f>
        <v>352851.57244716003</v>
      </c>
      <c r="L2270" t="b">
        <f t="shared" si="149"/>
        <v>0</v>
      </c>
    </row>
    <row r="2271" spans="1:12" x14ac:dyDescent="0.2">
      <c r="A2271" t="s">
        <v>10096</v>
      </c>
      <c r="B2271" t="s">
        <v>74</v>
      </c>
      <c r="C2271" t="s">
        <v>9421</v>
      </c>
      <c r="D2271" t="s">
        <v>44</v>
      </c>
      <c r="E2271">
        <v>2025</v>
      </c>
      <c r="F2271">
        <v>2027</v>
      </c>
      <c r="G2271" s="11">
        <v>175385.15406162501</v>
      </c>
      <c r="H2271">
        <f t="shared" si="146"/>
        <v>175385.15406162501</v>
      </c>
      <c r="I2271" t="str">
        <f t="shared" si="147"/>
        <v/>
      </c>
      <c r="J2271" t="str">
        <f t="shared" si="148"/>
        <v/>
      </c>
      <c r="K2271">
        <f>IF(E2271="","",SUM(ContractsTbl[[#This Row],[salaryY1]:[salaryY4]]))</f>
        <v>350770.30812325003</v>
      </c>
      <c r="L2271" t="b">
        <f t="shared" si="149"/>
        <v>0</v>
      </c>
    </row>
    <row r="2272" spans="1:12" x14ac:dyDescent="0.2">
      <c r="A2272" t="s">
        <v>10097</v>
      </c>
      <c r="B2272" t="s">
        <v>74</v>
      </c>
      <c r="C2272" t="s">
        <v>9422</v>
      </c>
      <c r="D2272" t="s">
        <v>44</v>
      </c>
      <c r="E2272">
        <v>2025</v>
      </c>
      <c r="F2272">
        <v>2027</v>
      </c>
      <c r="G2272" s="11">
        <v>174344.52189966899</v>
      </c>
      <c r="H2272">
        <f t="shared" si="146"/>
        <v>174344.52189966899</v>
      </c>
      <c r="I2272" t="str">
        <f t="shared" si="147"/>
        <v/>
      </c>
      <c r="J2272" t="str">
        <f t="shared" si="148"/>
        <v/>
      </c>
      <c r="K2272">
        <f>IF(E2272="","",SUM(ContractsTbl[[#This Row],[salaryY1]:[salaryY4]]))</f>
        <v>348689.04379933799</v>
      </c>
      <c r="L2272" t="b">
        <f t="shared" si="149"/>
        <v>0</v>
      </c>
    </row>
    <row r="2273" spans="1:12" x14ac:dyDescent="0.2">
      <c r="A2273" t="s">
        <v>10098</v>
      </c>
      <c r="B2273" t="s">
        <v>74</v>
      </c>
      <c r="C2273" t="s">
        <v>9423</v>
      </c>
      <c r="D2273" t="s">
        <v>44</v>
      </c>
      <c r="E2273">
        <v>2025</v>
      </c>
      <c r="F2273">
        <v>2027</v>
      </c>
      <c r="G2273" s="11">
        <v>173303.88973771301</v>
      </c>
      <c r="H2273">
        <f t="shared" si="146"/>
        <v>173303.88973771301</v>
      </c>
      <c r="I2273" t="str">
        <f t="shared" si="147"/>
        <v/>
      </c>
      <c r="J2273" t="str">
        <f t="shared" si="148"/>
        <v/>
      </c>
      <c r="K2273">
        <f>IF(E2273="","",SUM(ContractsTbl[[#This Row],[salaryY1]:[salaryY4]]))</f>
        <v>346607.77947542601</v>
      </c>
      <c r="L2273" t="b">
        <f t="shared" si="149"/>
        <v>0</v>
      </c>
    </row>
    <row r="2274" spans="1:12" x14ac:dyDescent="0.2">
      <c r="A2274" t="s">
        <v>10099</v>
      </c>
      <c r="B2274" t="s">
        <v>74</v>
      </c>
      <c r="C2274" t="s">
        <v>9424</v>
      </c>
      <c r="D2274" t="s">
        <v>44</v>
      </c>
      <c r="E2274">
        <v>2025</v>
      </c>
      <c r="F2274">
        <v>2027</v>
      </c>
      <c r="G2274" s="11">
        <v>172263.25757575801</v>
      </c>
      <c r="H2274">
        <f t="shared" si="146"/>
        <v>172263.25757575801</v>
      </c>
      <c r="I2274" t="str">
        <f t="shared" si="147"/>
        <v/>
      </c>
      <c r="J2274" t="str">
        <f t="shared" si="148"/>
        <v/>
      </c>
      <c r="K2274">
        <f>IF(E2274="","",SUM(ContractsTbl[[#This Row],[salaryY1]:[salaryY4]]))</f>
        <v>344526.51515151601</v>
      </c>
      <c r="L2274" t="b">
        <f t="shared" si="149"/>
        <v>0</v>
      </c>
    </row>
    <row r="2275" spans="1:12" x14ac:dyDescent="0.2">
      <c r="A2275" t="s">
        <v>10100</v>
      </c>
      <c r="B2275" t="s">
        <v>74</v>
      </c>
      <c r="C2275" t="s">
        <v>9425</v>
      </c>
      <c r="D2275" t="s">
        <v>44</v>
      </c>
      <c r="E2275">
        <v>2025</v>
      </c>
      <c r="F2275">
        <v>2027</v>
      </c>
      <c r="G2275" s="11">
        <v>171222.62541380199</v>
      </c>
      <c r="H2275">
        <f t="shared" si="146"/>
        <v>171222.62541380199</v>
      </c>
      <c r="I2275" t="str">
        <f t="shared" si="147"/>
        <v/>
      </c>
      <c r="J2275" t="str">
        <f t="shared" si="148"/>
        <v/>
      </c>
      <c r="K2275">
        <f>IF(E2275="","",SUM(ContractsTbl[[#This Row],[salaryY1]:[salaryY4]]))</f>
        <v>342445.25082760397</v>
      </c>
      <c r="L2275" t="b">
        <f t="shared" si="149"/>
        <v>0</v>
      </c>
    </row>
    <row r="2276" spans="1:12" x14ac:dyDescent="0.2">
      <c r="A2276" t="s">
        <v>10101</v>
      </c>
      <c r="B2276" t="s">
        <v>74</v>
      </c>
      <c r="C2276" t="s">
        <v>9426</v>
      </c>
      <c r="D2276" t="s">
        <v>44</v>
      </c>
      <c r="E2276">
        <v>2025</v>
      </c>
      <c r="F2276">
        <v>2027</v>
      </c>
      <c r="G2276" s="11">
        <v>170181.993251846</v>
      </c>
      <c r="H2276">
        <f t="shared" si="146"/>
        <v>170181.993251846</v>
      </c>
      <c r="I2276" t="str">
        <f t="shared" si="147"/>
        <v/>
      </c>
      <c r="J2276" t="str">
        <f t="shared" si="148"/>
        <v/>
      </c>
      <c r="K2276">
        <f>IF(E2276="","",SUM(ContractsTbl[[#This Row],[salaryY1]:[salaryY4]]))</f>
        <v>340363.98650369199</v>
      </c>
      <c r="L2276" t="b">
        <f t="shared" si="149"/>
        <v>0</v>
      </c>
    </row>
    <row r="2277" spans="1:12" x14ac:dyDescent="0.2">
      <c r="A2277" t="s">
        <v>10102</v>
      </c>
      <c r="B2277" t="s">
        <v>74</v>
      </c>
      <c r="C2277" t="s">
        <v>9427</v>
      </c>
      <c r="D2277" t="s">
        <v>44</v>
      </c>
      <c r="E2277">
        <v>2025</v>
      </c>
      <c r="F2277">
        <v>2027</v>
      </c>
      <c r="G2277" s="11">
        <v>169141.361089891</v>
      </c>
      <c r="H2277">
        <f t="shared" si="146"/>
        <v>169141.361089891</v>
      </c>
      <c r="I2277" t="str">
        <f t="shared" si="147"/>
        <v/>
      </c>
      <c r="J2277" t="str">
        <f t="shared" si="148"/>
        <v/>
      </c>
      <c r="K2277">
        <f>IF(E2277="","",SUM(ContractsTbl[[#This Row],[salaryY1]:[salaryY4]]))</f>
        <v>338282.72217978199</v>
      </c>
      <c r="L2277" t="b">
        <f t="shared" si="149"/>
        <v>0</v>
      </c>
    </row>
    <row r="2278" spans="1:12" x14ac:dyDescent="0.2">
      <c r="A2278" t="s">
        <v>10103</v>
      </c>
      <c r="B2278" t="s">
        <v>74</v>
      </c>
      <c r="C2278" t="s">
        <v>9428</v>
      </c>
      <c r="D2278" t="s">
        <v>44</v>
      </c>
      <c r="E2278">
        <v>2025</v>
      </c>
      <c r="F2278">
        <v>2027</v>
      </c>
      <c r="G2278" s="11">
        <v>168100.72892793501</v>
      </c>
      <c r="H2278">
        <f t="shared" si="146"/>
        <v>168100.72892793501</v>
      </c>
      <c r="I2278" t="str">
        <f t="shared" si="147"/>
        <v/>
      </c>
      <c r="J2278" t="str">
        <f t="shared" si="148"/>
        <v/>
      </c>
      <c r="K2278">
        <f>IF(E2278="","",SUM(ContractsTbl[[#This Row],[salaryY1]:[salaryY4]]))</f>
        <v>336201.45785587002</v>
      </c>
      <c r="L2278" t="b">
        <f t="shared" si="149"/>
        <v>0</v>
      </c>
    </row>
    <row r="2279" spans="1:12" x14ac:dyDescent="0.2">
      <c r="A2279" t="s">
        <v>10104</v>
      </c>
      <c r="B2279" t="s">
        <v>74</v>
      </c>
      <c r="C2279" t="s">
        <v>9429</v>
      </c>
      <c r="D2279" t="s">
        <v>44</v>
      </c>
      <c r="E2279">
        <v>2025</v>
      </c>
      <c r="F2279">
        <v>2027</v>
      </c>
      <c r="G2279" s="11">
        <v>167060.09676597899</v>
      </c>
      <c r="H2279">
        <f t="shared" si="146"/>
        <v>167060.09676597899</v>
      </c>
      <c r="I2279" t="str">
        <f t="shared" si="147"/>
        <v/>
      </c>
      <c r="J2279" t="str">
        <f t="shared" si="148"/>
        <v/>
      </c>
      <c r="K2279">
        <f>IF(E2279="","",SUM(ContractsTbl[[#This Row],[salaryY1]:[salaryY4]]))</f>
        <v>334120.19353195798</v>
      </c>
      <c r="L2279" t="b">
        <f t="shared" si="149"/>
        <v>0</v>
      </c>
    </row>
    <row r="2280" spans="1:12" x14ac:dyDescent="0.2">
      <c r="A2280" t="s">
        <v>10105</v>
      </c>
      <c r="B2280" t="s">
        <v>74</v>
      </c>
      <c r="C2280" t="s">
        <v>9430</v>
      </c>
      <c r="D2280" t="s">
        <v>44</v>
      </c>
      <c r="E2280">
        <v>2025</v>
      </c>
      <c r="F2280">
        <v>2027</v>
      </c>
      <c r="G2280" s="11">
        <v>166019.46460402399</v>
      </c>
      <c r="H2280">
        <f t="shared" si="146"/>
        <v>166019.46460402399</v>
      </c>
      <c r="I2280" t="str">
        <f t="shared" si="147"/>
        <v/>
      </c>
      <c r="J2280" t="str">
        <f t="shared" si="148"/>
        <v/>
      </c>
      <c r="K2280">
        <f>IF(E2280="","",SUM(ContractsTbl[[#This Row],[salaryY1]:[salaryY4]]))</f>
        <v>332038.92920804798</v>
      </c>
      <c r="L2280" t="b">
        <f t="shared" si="149"/>
        <v>0</v>
      </c>
    </row>
    <row r="2281" spans="1:12" x14ac:dyDescent="0.2">
      <c r="A2281" t="s">
        <v>10106</v>
      </c>
      <c r="B2281" t="s">
        <v>74</v>
      </c>
      <c r="C2281" t="s">
        <v>9431</v>
      </c>
      <c r="D2281" t="s">
        <v>44</v>
      </c>
      <c r="E2281">
        <v>2025</v>
      </c>
      <c r="F2281">
        <v>2027</v>
      </c>
      <c r="G2281" s="11">
        <v>164978.832442068</v>
      </c>
      <c r="H2281">
        <f t="shared" si="146"/>
        <v>164978.832442068</v>
      </c>
      <c r="I2281" t="str">
        <f t="shared" si="147"/>
        <v/>
      </c>
      <c r="J2281" t="str">
        <f t="shared" si="148"/>
        <v/>
      </c>
      <c r="K2281">
        <f>IF(E2281="","",SUM(ContractsTbl[[#This Row],[salaryY1]:[salaryY4]]))</f>
        <v>329957.664884136</v>
      </c>
      <c r="L2281" t="b">
        <f t="shared" si="149"/>
        <v>0</v>
      </c>
    </row>
    <row r="2282" spans="1:12" x14ac:dyDescent="0.2">
      <c r="A2282" t="s">
        <v>10107</v>
      </c>
      <c r="B2282" t="s">
        <v>74</v>
      </c>
      <c r="C2282" t="s">
        <v>9432</v>
      </c>
      <c r="D2282" t="s">
        <v>44</v>
      </c>
      <c r="E2282">
        <v>2025</v>
      </c>
      <c r="F2282">
        <v>2027</v>
      </c>
      <c r="G2282" s="11">
        <v>163938.20028011201</v>
      </c>
      <c r="H2282">
        <f t="shared" si="146"/>
        <v>163938.20028011201</v>
      </c>
      <c r="I2282" t="str">
        <f t="shared" si="147"/>
        <v/>
      </c>
      <c r="J2282" t="str">
        <f t="shared" si="148"/>
        <v/>
      </c>
      <c r="K2282">
        <f>IF(E2282="","",SUM(ContractsTbl[[#This Row],[salaryY1]:[salaryY4]]))</f>
        <v>327876.40056022402</v>
      </c>
      <c r="L2282" t="b">
        <f t="shared" si="149"/>
        <v>0</v>
      </c>
    </row>
    <row r="2283" spans="1:12" x14ac:dyDescent="0.2">
      <c r="A2283" t="s">
        <v>10108</v>
      </c>
      <c r="B2283" t="s">
        <v>74</v>
      </c>
      <c r="C2283" t="s">
        <v>9433</v>
      </c>
      <c r="D2283" t="s">
        <v>44</v>
      </c>
      <c r="E2283">
        <v>2025</v>
      </c>
      <c r="F2283">
        <v>2027</v>
      </c>
      <c r="G2283" s="11">
        <v>162897.56811815599</v>
      </c>
      <c r="H2283">
        <f t="shared" si="146"/>
        <v>162897.56811815599</v>
      </c>
      <c r="I2283" t="str">
        <f t="shared" si="147"/>
        <v/>
      </c>
      <c r="J2283" t="str">
        <f t="shared" si="148"/>
        <v/>
      </c>
      <c r="K2283">
        <f>IF(E2283="","",SUM(ContractsTbl[[#This Row],[salaryY1]:[salaryY4]]))</f>
        <v>325795.13623631198</v>
      </c>
      <c r="L2283" t="b">
        <f t="shared" si="149"/>
        <v>0</v>
      </c>
    </row>
    <row r="2284" spans="1:12" x14ac:dyDescent="0.2">
      <c r="A2284" t="s">
        <v>10109</v>
      </c>
      <c r="B2284" t="s">
        <v>74</v>
      </c>
      <c r="C2284" t="s">
        <v>9434</v>
      </c>
      <c r="D2284" t="s">
        <v>44</v>
      </c>
      <c r="E2284">
        <v>2025</v>
      </c>
      <c r="F2284">
        <v>2027</v>
      </c>
      <c r="G2284" s="11">
        <v>161856.93595620099</v>
      </c>
      <c r="H2284">
        <f t="shared" si="146"/>
        <v>161856.93595620099</v>
      </c>
      <c r="I2284" t="str">
        <f t="shared" si="147"/>
        <v/>
      </c>
      <c r="J2284" t="str">
        <f t="shared" si="148"/>
        <v/>
      </c>
      <c r="K2284">
        <f>IF(E2284="","",SUM(ContractsTbl[[#This Row],[salaryY1]:[salaryY4]]))</f>
        <v>323713.87191240198</v>
      </c>
      <c r="L2284" t="b">
        <f t="shared" si="149"/>
        <v>0</v>
      </c>
    </row>
    <row r="2285" spans="1:12" x14ac:dyDescent="0.2">
      <c r="A2285" t="s">
        <v>10110</v>
      </c>
      <c r="B2285" t="s">
        <v>74</v>
      </c>
      <c r="C2285" t="s">
        <v>9435</v>
      </c>
      <c r="D2285" t="s">
        <v>44</v>
      </c>
      <c r="E2285">
        <v>2025</v>
      </c>
      <c r="F2285">
        <v>2027</v>
      </c>
      <c r="G2285" s="11">
        <v>160816.303794245</v>
      </c>
      <c r="H2285">
        <f t="shared" si="146"/>
        <v>160816.303794245</v>
      </c>
      <c r="I2285" t="str">
        <f t="shared" si="147"/>
        <v/>
      </c>
      <c r="J2285" t="str">
        <f t="shared" si="148"/>
        <v/>
      </c>
      <c r="K2285">
        <f>IF(E2285="","",SUM(ContractsTbl[[#This Row],[salaryY1]:[salaryY4]]))</f>
        <v>321632.60758849001</v>
      </c>
      <c r="L2285" t="b">
        <f t="shared" si="149"/>
        <v>0</v>
      </c>
    </row>
    <row r="2286" spans="1:12" x14ac:dyDescent="0.2">
      <c r="A2286" t="s">
        <v>10111</v>
      </c>
      <c r="B2286" t="s">
        <v>74</v>
      </c>
      <c r="C2286" t="s">
        <v>9436</v>
      </c>
      <c r="D2286" t="s">
        <v>44</v>
      </c>
      <c r="E2286">
        <v>2025</v>
      </c>
      <c r="F2286">
        <v>2027</v>
      </c>
      <c r="G2286" s="11">
        <v>159775.67163229</v>
      </c>
      <c r="H2286">
        <f t="shared" si="146"/>
        <v>159775.67163229</v>
      </c>
      <c r="I2286" t="str">
        <f t="shared" si="147"/>
        <v/>
      </c>
      <c r="J2286" t="str">
        <f t="shared" si="148"/>
        <v/>
      </c>
      <c r="K2286">
        <f>IF(E2286="","",SUM(ContractsTbl[[#This Row],[salaryY1]:[salaryY4]]))</f>
        <v>319551.34326458001</v>
      </c>
      <c r="L2286" t="b">
        <f t="shared" si="149"/>
        <v>0</v>
      </c>
    </row>
    <row r="2287" spans="1:12" x14ac:dyDescent="0.2">
      <c r="A2287" t="s">
        <v>10112</v>
      </c>
      <c r="B2287" t="s">
        <v>74</v>
      </c>
      <c r="C2287" t="s">
        <v>9437</v>
      </c>
      <c r="D2287" t="s">
        <v>44</v>
      </c>
      <c r="E2287">
        <v>2025</v>
      </c>
      <c r="F2287">
        <v>2027</v>
      </c>
      <c r="G2287" s="11">
        <v>158735.03947033401</v>
      </c>
      <c r="H2287">
        <f t="shared" si="146"/>
        <v>158735.03947033401</v>
      </c>
      <c r="I2287" t="str">
        <f t="shared" si="147"/>
        <v/>
      </c>
      <c r="J2287" t="str">
        <f t="shared" si="148"/>
        <v/>
      </c>
      <c r="K2287">
        <f>IF(E2287="","",SUM(ContractsTbl[[#This Row],[salaryY1]:[salaryY4]]))</f>
        <v>317470.07894066803</v>
      </c>
      <c r="L2287" t="b">
        <f t="shared" si="149"/>
        <v>0</v>
      </c>
    </row>
    <row r="2288" spans="1:12" x14ac:dyDescent="0.2">
      <c r="A2288" t="s">
        <v>10113</v>
      </c>
      <c r="B2288" t="s">
        <v>74</v>
      </c>
      <c r="C2288" t="s">
        <v>9438</v>
      </c>
      <c r="D2288" t="s">
        <v>44</v>
      </c>
      <c r="E2288">
        <v>2025</v>
      </c>
      <c r="F2288">
        <v>2027</v>
      </c>
      <c r="G2288" s="11">
        <v>157694.40730837799</v>
      </c>
      <c r="H2288">
        <f t="shared" si="146"/>
        <v>157694.40730837799</v>
      </c>
      <c r="I2288" t="str">
        <f t="shared" si="147"/>
        <v/>
      </c>
      <c r="J2288" t="str">
        <f t="shared" si="148"/>
        <v/>
      </c>
      <c r="K2288">
        <f>IF(E2288="","",SUM(ContractsTbl[[#This Row],[salaryY1]:[salaryY4]]))</f>
        <v>315388.81461675599</v>
      </c>
      <c r="L2288" t="b">
        <f t="shared" si="149"/>
        <v>0</v>
      </c>
    </row>
    <row r="2289" spans="1:12" x14ac:dyDescent="0.2">
      <c r="A2289" t="s">
        <v>10114</v>
      </c>
      <c r="B2289" t="s">
        <v>74</v>
      </c>
      <c r="C2289" t="s">
        <v>9439</v>
      </c>
      <c r="D2289" t="s">
        <v>44</v>
      </c>
      <c r="E2289">
        <v>2025</v>
      </c>
      <c r="F2289">
        <v>2027</v>
      </c>
      <c r="G2289" s="11">
        <v>156653.775146423</v>
      </c>
      <c r="H2289">
        <f t="shared" si="146"/>
        <v>156653.775146423</v>
      </c>
      <c r="I2289" t="str">
        <f t="shared" si="147"/>
        <v/>
      </c>
      <c r="J2289" t="str">
        <f t="shared" si="148"/>
        <v/>
      </c>
      <c r="K2289">
        <f>IF(E2289="","",SUM(ContractsTbl[[#This Row],[salaryY1]:[salaryY4]]))</f>
        <v>313307.55029284599</v>
      </c>
      <c r="L2289" t="b">
        <f t="shared" si="149"/>
        <v>0</v>
      </c>
    </row>
    <row r="2290" spans="1:12" x14ac:dyDescent="0.2">
      <c r="A2290" t="s">
        <v>10115</v>
      </c>
      <c r="B2290" t="s">
        <v>74</v>
      </c>
      <c r="C2290" t="s">
        <v>9440</v>
      </c>
      <c r="D2290" t="s">
        <v>44</v>
      </c>
      <c r="E2290">
        <v>2025</v>
      </c>
      <c r="F2290">
        <v>2027</v>
      </c>
      <c r="G2290" s="11">
        <v>155613.14298446701</v>
      </c>
      <c r="H2290">
        <f t="shared" si="146"/>
        <v>155613.14298446701</v>
      </c>
      <c r="I2290" t="str">
        <f t="shared" si="147"/>
        <v/>
      </c>
      <c r="J2290" t="str">
        <f t="shared" si="148"/>
        <v/>
      </c>
      <c r="K2290">
        <f>IF(E2290="","",SUM(ContractsTbl[[#This Row],[salaryY1]:[salaryY4]]))</f>
        <v>311226.28596893401</v>
      </c>
      <c r="L2290" t="b">
        <f t="shared" si="149"/>
        <v>0</v>
      </c>
    </row>
    <row r="2291" spans="1:12" x14ac:dyDescent="0.2">
      <c r="A2291" t="s">
        <v>9805</v>
      </c>
      <c r="B2291" t="s">
        <v>74</v>
      </c>
      <c r="C2291" t="s">
        <v>9441</v>
      </c>
      <c r="D2291" t="s">
        <v>44</v>
      </c>
      <c r="E2291">
        <v>2025</v>
      </c>
      <c r="F2291">
        <v>2027</v>
      </c>
      <c r="G2291" s="11">
        <v>154572.51082251099</v>
      </c>
      <c r="H2291">
        <f t="shared" si="146"/>
        <v>154572.51082251099</v>
      </c>
      <c r="I2291" t="str">
        <f t="shared" si="147"/>
        <v/>
      </c>
      <c r="J2291" t="str">
        <f t="shared" si="148"/>
        <v/>
      </c>
      <c r="K2291">
        <f>IF(E2291="","",SUM(ContractsTbl[[#This Row],[salaryY1]:[salaryY4]]))</f>
        <v>309145.02164502197</v>
      </c>
      <c r="L2291" t="b">
        <f t="shared" si="149"/>
        <v>0</v>
      </c>
    </row>
    <row r="2292" spans="1:12" x14ac:dyDescent="0.2">
      <c r="A2292" t="s">
        <v>9806</v>
      </c>
      <c r="B2292" t="s">
        <v>74</v>
      </c>
      <c r="C2292" t="s">
        <v>9442</v>
      </c>
      <c r="D2292" t="s">
        <v>44</v>
      </c>
      <c r="E2292">
        <v>2025</v>
      </c>
      <c r="F2292">
        <v>2027</v>
      </c>
      <c r="G2292" s="11">
        <v>153531.87866055599</v>
      </c>
      <c r="H2292">
        <f t="shared" si="146"/>
        <v>153531.87866055599</v>
      </c>
      <c r="I2292" t="str">
        <f t="shared" si="147"/>
        <v/>
      </c>
      <c r="J2292" t="str">
        <f t="shared" si="148"/>
        <v/>
      </c>
      <c r="K2292">
        <f>IF(E2292="","",SUM(ContractsTbl[[#This Row],[salaryY1]:[salaryY4]]))</f>
        <v>307063.75732111197</v>
      </c>
      <c r="L2292" t="b">
        <f t="shared" si="149"/>
        <v>0</v>
      </c>
    </row>
    <row r="2293" spans="1:12" x14ac:dyDescent="0.2">
      <c r="A2293" t="s">
        <v>9807</v>
      </c>
      <c r="B2293" t="s">
        <v>74</v>
      </c>
      <c r="C2293" t="s">
        <v>9443</v>
      </c>
      <c r="D2293" t="s">
        <v>44</v>
      </c>
      <c r="E2293">
        <v>2025</v>
      </c>
      <c r="F2293">
        <v>2027</v>
      </c>
      <c r="G2293" s="11">
        <v>152491.2464986</v>
      </c>
      <c r="H2293">
        <f t="shared" si="146"/>
        <v>152491.2464986</v>
      </c>
      <c r="I2293" t="str">
        <f t="shared" si="147"/>
        <v/>
      </c>
      <c r="J2293" t="str">
        <f t="shared" si="148"/>
        <v/>
      </c>
      <c r="K2293">
        <f>IF(E2293="","",SUM(ContractsTbl[[#This Row],[salaryY1]:[salaryY4]]))</f>
        <v>304982.4929972</v>
      </c>
      <c r="L2293" t="b">
        <f t="shared" si="149"/>
        <v>0</v>
      </c>
    </row>
    <row r="2294" spans="1:12" x14ac:dyDescent="0.2">
      <c r="A2294" t="s">
        <v>9808</v>
      </c>
      <c r="B2294" t="s">
        <v>74</v>
      </c>
      <c r="C2294" t="s">
        <v>9444</v>
      </c>
      <c r="D2294" t="s">
        <v>44</v>
      </c>
      <c r="E2294">
        <v>2025</v>
      </c>
      <c r="F2294">
        <v>2027</v>
      </c>
      <c r="G2294" s="11">
        <v>151450.61433664401</v>
      </c>
      <c r="H2294">
        <f t="shared" si="146"/>
        <v>151450.61433664401</v>
      </c>
      <c r="I2294" t="str">
        <f t="shared" si="147"/>
        <v/>
      </c>
      <c r="J2294" t="str">
        <f t="shared" si="148"/>
        <v/>
      </c>
      <c r="K2294">
        <f>IF(E2294="","",SUM(ContractsTbl[[#This Row],[salaryY1]:[salaryY4]]))</f>
        <v>302901.22867328802</v>
      </c>
      <c r="L2294" t="b">
        <f t="shared" si="149"/>
        <v>0</v>
      </c>
    </row>
    <row r="2295" spans="1:12" x14ac:dyDescent="0.2">
      <c r="A2295" t="s">
        <v>9809</v>
      </c>
      <c r="B2295" t="s">
        <v>74</v>
      </c>
      <c r="C2295" t="s">
        <v>9445</v>
      </c>
      <c r="D2295" t="s">
        <v>44</v>
      </c>
      <c r="E2295">
        <v>2025</v>
      </c>
      <c r="F2295">
        <v>2027</v>
      </c>
      <c r="G2295" s="11">
        <v>150409.98217468901</v>
      </c>
      <c r="H2295">
        <f t="shared" si="146"/>
        <v>150409.98217468901</v>
      </c>
      <c r="I2295" t="str">
        <f t="shared" si="147"/>
        <v/>
      </c>
      <c r="J2295" t="str">
        <f t="shared" si="148"/>
        <v/>
      </c>
      <c r="K2295">
        <f>IF(E2295="","",SUM(ContractsTbl[[#This Row],[salaryY1]:[salaryY4]]))</f>
        <v>300819.96434937802</v>
      </c>
      <c r="L2295" t="b">
        <f t="shared" si="149"/>
        <v>0</v>
      </c>
    </row>
    <row r="2296" spans="1:12" x14ac:dyDescent="0.2">
      <c r="A2296" t="s">
        <v>9810</v>
      </c>
      <c r="B2296" t="s">
        <v>74</v>
      </c>
      <c r="C2296" t="s">
        <v>9446</v>
      </c>
      <c r="D2296" t="s">
        <v>44</v>
      </c>
      <c r="E2296">
        <v>2025</v>
      </c>
      <c r="F2296">
        <v>2027</v>
      </c>
      <c r="G2296" s="11">
        <v>149369.35001273299</v>
      </c>
      <c r="H2296">
        <f t="shared" si="146"/>
        <v>149369.35001273299</v>
      </c>
      <c r="I2296" t="str">
        <f t="shared" si="147"/>
        <v/>
      </c>
      <c r="J2296" t="str">
        <f t="shared" si="148"/>
        <v/>
      </c>
      <c r="K2296">
        <f>IF(E2296="","",SUM(ContractsTbl[[#This Row],[salaryY1]:[salaryY4]]))</f>
        <v>298738.70002546598</v>
      </c>
      <c r="L2296" t="b">
        <f t="shared" si="149"/>
        <v>0</v>
      </c>
    </row>
    <row r="2297" spans="1:12" x14ac:dyDescent="0.2">
      <c r="A2297" t="s">
        <v>9811</v>
      </c>
      <c r="B2297" t="s">
        <v>74</v>
      </c>
      <c r="C2297" t="s">
        <v>9447</v>
      </c>
      <c r="D2297" t="s">
        <v>44</v>
      </c>
      <c r="E2297">
        <v>2025</v>
      </c>
      <c r="F2297">
        <v>2027</v>
      </c>
      <c r="G2297" s="11">
        <v>148328.717850777</v>
      </c>
      <c r="H2297">
        <f t="shared" si="146"/>
        <v>148328.717850777</v>
      </c>
      <c r="I2297" t="str">
        <f t="shared" si="147"/>
        <v/>
      </c>
      <c r="J2297" t="str">
        <f t="shared" si="148"/>
        <v/>
      </c>
      <c r="K2297">
        <f>IF(E2297="","",SUM(ContractsTbl[[#This Row],[salaryY1]:[salaryY4]]))</f>
        <v>296657.435701554</v>
      </c>
      <c r="L2297" t="b">
        <f t="shared" si="149"/>
        <v>0</v>
      </c>
    </row>
    <row r="2298" spans="1:12" x14ac:dyDescent="0.2">
      <c r="A2298" t="s">
        <v>9812</v>
      </c>
      <c r="B2298" t="s">
        <v>74</v>
      </c>
      <c r="C2298" t="s">
        <v>9448</v>
      </c>
      <c r="D2298" t="s">
        <v>44</v>
      </c>
      <c r="E2298">
        <v>2025</v>
      </c>
      <c r="F2298">
        <v>2027</v>
      </c>
      <c r="G2298" s="11">
        <v>147288.08568882101</v>
      </c>
      <c r="H2298">
        <f t="shared" si="146"/>
        <v>147288.08568882101</v>
      </c>
      <c r="I2298" t="str">
        <f t="shared" si="147"/>
        <v/>
      </c>
      <c r="J2298" t="str">
        <f t="shared" si="148"/>
        <v/>
      </c>
      <c r="K2298">
        <f>IF(E2298="","",SUM(ContractsTbl[[#This Row],[salaryY1]:[salaryY4]]))</f>
        <v>294576.17137764202</v>
      </c>
      <c r="L2298" t="b">
        <f t="shared" si="149"/>
        <v>0</v>
      </c>
    </row>
    <row r="2299" spans="1:12" x14ac:dyDescent="0.2">
      <c r="A2299" t="s">
        <v>9813</v>
      </c>
      <c r="B2299" t="s">
        <v>74</v>
      </c>
      <c r="C2299" t="s">
        <v>9449</v>
      </c>
      <c r="D2299" t="s">
        <v>44</v>
      </c>
      <c r="E2299">
        <v>2025</v>
      </c>
      <c r="F2299">
        <v>2027</v>
      </c>
      <c r="G2299" s="11">
        <v>146247.45352686601</v>
      </c>
      <c r="H2299">
        <f t="shared" si="146"/>
        <v>146247.45352686601</v>
      </c>
      <c r="I2299" t="str">
        <f t="shared" si="147"/>
        <v/>
      </c>
      <c r="J2299" t="str">
        <f t="shared" si="148"/>
        <v/>
      </c>
      <c r="K2299">
        <f>IF(E2299="","",SUM(ContractsTbl[[#This Row],[salaryY1]:[salaryY4]]))</f>
        <v>292494.90705373202</v>
      </c>
      <c r="L2299" t="b">
        <f t="shared" si="149"/>
        <v>0</v>
      </c>
    </row>
    <row r="2300" spans="1:12" x14ac:dyDescent="0.2">
      <c r="A2300" t="s">
        <v>9814</v>
      </c>
      <c r="B2300" t="s">
        <v>74</v>
      </c>
      <c r="C2300" t="s">
        <v>9450</v>
      </c>
      <c r="D2300" t="s">
        <v>44</v>
      </c>
      <c r="E2300">
        <v>2025</v>
      </c>
      <c r="F2300">
        <v>2027</v>
      </c>
      <c r="G2300" s="11">
        <v>145206.82136490999</v>
      </c>
      <c r="H2300">
        <f t="shared" si="146"/>
        <v>145206.82136490999</v>
      </c>
      <c r="I2300" t="str">
        <f t="shared" si="147"/>
        <v/>
      </c>
      <c r="J2300" t="str">
        <f t="shared" si="148"/>
        <v/>
      </c>
      <c r="K2300">
        <f>IF(E2300="","",SUM(ContractsTbl[[#This Row],[salaryY1]:[salaryY4]]))</f>
        <v>290413.64272981999</v>
      </c>
      <c r="L2300" t="b">
        <f t="shared" si="149"/>
        <v>0</v>
      </c>
    </row>
    <row r="2301" spans="1:12" x14ac:dyDescent="0.2">
      <c r="A2301" t="s">
        <v>9815</v>
      </c>
      <c r="B2301" t="s">
        <v>74</v>
      </c>
      <c r="C2301" t="s">
        <v>9451</v>
      </c>
      <c r="D2301" t="s">
        <v>44</v>
      </c>
      <c r="E2301">
        <v>2025</v>
      </c>
      <c r="F2301">
        <v>2027</v>
      </c>
      <c r="G2301" s="11">
        <v>144166.189202954</v>
      </c>
      <c r="H2301">
        <f t="shared" si="146"/>
        <v>144166.189202954</v>
      </c>
      <c r="I2301" t="str">
        <f t="shared" si="147"/>
        <v/>
      </c>
      <c r="J2301" t="str">
        <f t="shared" si="148"/>
        <v/>
      </c>
      <c r="K2301">
        <f>IF(E2301="","",SUM(ContractsTbl[[#This Row],[salaryY1]:[salaryY4]]))</f>
        <v>288332.37840590801</v>
      </c>
      <c r="L2301" t="b">
        <f t="shared" si="149"/>
        <v>0</v>
      </c>
    </row>
    <row r="2302" spans="1:12" x14ac:dyDescent="0.2">
      <c r="A2302" t="s">
        <v>9816</v>
      </c>
      <c r="B2302" t="s">
        <v>74</v>
      </c>
      <c r="C2302" t="s">
        <v>9452</v>
      </c>
      <c r="D2302" t="s">
        <v>44</v>
      </c>
      <c r="E2302">
        <v>2025</v>
      </c>
      <c r="F2302">
        <v>2027</v>
      </c>
      <c r="G2302" s="11">
        <v>143125.557040999</v>
      </c>
      <c r="H2302">
        <f t="shared" si="146"/>
        <v>143125.557040999</v>
      </c>
      <c r="I2302" t="str">
        <f t="shared" si="147"/>
        <v/>
      </c>
      <c r="J2302" t="str">
        <f t="shared" si="148"/>
        <v/>
      </c>
      <c r="K2302">
        <f>IF(E2302="","",SUM(ContractsTbl[[#This Row],[salaryY1]:[salaryY4]]))</f>
        <v>286251.11408199801</v>
      </c>
      <c r="L2302" t="b">
        <f t="shared" si="149"/>
        <v>0</v>
      </c>
    </row>
    <row r="2303" spans="1:12" x14ac:dyDescent="0.2">
      <c r="A2303" t="s">
        <v>9817</v>
      </c>
      <c r="B2303" t="s">
        <v>74</v>
      </c>
      <c r="C2303" t="s">
        <v>9453</v>
      </c>
      <c r="D2303" t="s">
        <v>44</v>
      </c>
      <c r="E2303">
        <v>2025</v>
      </c>
      <c r="F2303">
        <v>2027</v>
      </c>
      <c r="G2303" s="11">
        <v>142084.92487904301</v>
      </c>
      <c r="H2303">
        <f t="shared" si="146"/>
        <v>142084.92487904301</v>
      </c>
      <c r="I2303" t="str">
        <f t="shared" si="147"/>
        <v/>
      </c>
      <c r="J2303" t="str">
        <f t="shared" si="148"/>
        <v/>
      </c>
      <c r="K2303">
        <f>IF(E2303="","",SUM(ContractsTbl[[#This Row],[salaryY1]:[salaryY4]]))</f>
        <v>284169.84975808603</v>
      </c>
      <c r="L2303" t="b">
        <f t="shared" si="149"/>
        <v>0</v>
      </c>
    </row>
    <row r="2304" spans="1:12" x14ac:dyDescent="0.2">
      <c r="A2304" t="s">
        <v>9818</v>
      </c>
      <c r="B2304" t="s">
        <v>74</v>
      </c>
      <c r="C2304" t="s">
        <v>9454</v>
      </c>
      <c r="D2304" t="s">
        <v>44</v>
      </c>
      <c r="E2304">
        <v>2025</v>
      </c>
      <c r="F2304">
        <v>2027</v>
      </c>
      <c r="G2304" s="11">
        <v>141044.292717087</v>
      </c>
      <c r="H2304">
        <f t="shared" si="146"/>
        <v>141044.292717087</v>
      </c>
      <c r="I2304" t="str">
        <f t="shared" si="147"/>
        <v/>
      </c>
      <c r="J2304" t="str">
        <f t="shared" si="148"/>
        <v/>
      </c>
      <c r="K2304">
        <f>IF(E2304="","",SUM(ContractsTbl[[#This Row],[salaryY1]:[salaryY4]]))</f>
        <v>282088.58543417399</v>
      </c>
      <c r="L2304" t="b">
        <f t="shared" si="149"/>
        <v>0</v>
      </c>
    </row>
    <row r="2305" spans="1:12" x14ac:dyDescent="0.2">
      <c r="A2305" t="s">
        <v>9819</v>
      </c>
      <c r="B2305" t="s">
        <v>74</v>
      </c>
      <c r="C2305" t="s">
        <v>9455</v>
      </c>
      <c r="D2305" t="s">
        <v>44</v>
      </c>
      <c r="E2305">
        <v>2025</v>
      </c>
      <c r="F2305">
        <v>2027</v>
      </c>
      <c r="G2305" s="11">
        <v>140003.660555132</v>
      </c>
      <c r="H2305">
        <f t="shared" si="146"/>
        <v>140003.660555132</v>
      </c>
      <c r="I2305" t="str">
        <f t="shared" si="147"/>
        <v/>
      </c>
      <c r="J2305" t="str">
        <f t="shared" si="148"/>
        <v/>
      </c>
      <c r="K2305">
        <f>IF(E2305="","",SUM(ContractsTbl[[#This Row],[salaryY1]:[salaryY4]]))</f>
        <v>280007.32111026399</v>
      </c>
      <c r="L2305" t="b">
        <f t="shared" si="149"/>
        <v>0</v>
      </c>
    </row>
    <row r="2306" spans="1:12" x14ac:dyDescent="0.2">
      <c r="A2306" t="s">
        <v>9820</v>
      </c>
      <c r="B2306" t="s">
        <v>74</v>
      </c>
      <c r="C2306" t="s">
        <v>9456</v>
      </c>
      <c r="D2306" t="s">
        <v>44</v>
      </c>
      <c r="E2306">
        <v>2025</v>
      </c>
      <c r="F2306">
        <v>2027</v>
      </c>
      <c r="G2306" s="11">
        <v>138963.02839317601</v>
      </c>
      <c r="H2306">
        <f t="shared" si="146"/>
        <v>138963.02839317601</v>
      </c>
      <c r="I2306" t="str">
        <f t="shared" si="147"/>
        <v/>
      </c>
      <c r="J2306" t="str">
        <f t="shared" si="148"/>
        <v/>
      </c>
      <c r="K2306">
        <f>IF(E2306="","",SUM(ContractsTbl[[#This Row],[salaryY1]:[salaryY4]]))</f>
        <v>277926.05678635201</v>
      </c>
      <c r="L2306" t="b">
        <f t="shared" si="149"/>
        <v>0</v>
      </c>
    </row>
    <row r="2307" spans="1:12" x14ac:dyDescent="0.2">
      <c r="A2307" t="s">
        <v>9821</v>
      </c>
      <c r="B2307" t="s">
        <v>74</v>
      </c>
      <c r="C2307" t="s">
        <v>9457</v>
      </c>
      <c r="D2307" t="s">
        <v>44</v>
      </c>
      <c r="E2307">
        <v>2025</v>
      </c>
      <c r="F2307">
        <v>2027</v>
      </c>
      <c r="G2307" s="11">
        <v>137922.39623121999</v>
      </c>
      <c r="H2307">
        <f t="shared" si="146"/>
        <v>137922.39623121999</v>
      </c>
      <c r="I2307" t="str">
        <f t="shared" si="147"/>
        <v/>
      </c>
      <c r="J2307" t="str">
        <f t="shared" si="148"/>
        <v/>
      </c>
      <c r="K2307">
        <f>IF(E2307="","",SUM(ContractsTbl[[#This Row],[salaryY1]:[salaryY4]]))</f>
        <v>275844.79246243997</v>
      </c>
      <c r="L2307" t="b">
        <f t="shared" si="149"/>
        <v>0</v>
      </c>
    </row>
    <row r="2308" spans="1:12" x14ac:dyDescent="0.2">
      <c r="A2308" t="s">
        <v>9822</v>
      </c>
      <c r="B2308" t="s">
        <v>74</v>
      </c>
      <c r="C2308" t="s">
        <v>9458</v>
      </c>
      <c r="D2308" t="s">
        <v>44</v>
      </c>
      <c r="E2308">
        <v>2025</v>
      </c>
      <c r="F2308">
        <v>2027</v>
      </c>
      <c r="G2308" s="11">
        <v>136881.76406926499</v>
      </c>
      <c r="H2308">
        <f t="shared" si="146"/>
        <v>136881.76406926499</v>
      </c>
      <c r="I2308" t="str">
        <f t="shared" si="147"/>
        <v/>
      </c>
      <c r="J2308" t="str">
        <f t="shared" si="148"/>
        <v/>
      </c>
      <c r="K2308">
        <f>IF(E2308="","",SUM(ContractsTbl[[#This Row],[salaryY1]:[salaryY4]]))</f>
        <v>273763.52813852997</v>
      </c>
      <c r="L2308" t="b">
        <f t="shared" si="149"/>
        <v>0</v>
      </c>
    </row>
    <row r="2309" spans="1:12" x14ac:dyDescent="0.2">
      <c r="A2309" t="s">
        <v>9823</v>
      </c>
      <c r="B2309" t="s">
        <v>74</v>
      </c>
      <c r="C2309" t="s">
        <v>9459</v>
      </c>
      <c r="D2309" t="s">
        <v>44</v>
      </c>
      <c r="E2309">
        <v>2025</v>
      </c>
      <c r="F2309">
        <v>2027</v>
      </c>
      <c r="G2309" s="11">
        <v>135841.131907309</v>
      </c>
      <c r="H2309">
        <f t="shared" si="146"/>
        <v>135841.131907309</v>
      </c>
      <c r="I2309" t="str">
        <f t="shared" si="147"/>
        <v/>
      </c>
      <c r="J2309" t="str">
        <f t="shared" si="148"/>
        <v/>
      </c>
      <c r="K2309">
        <f>IF(E2309="","",SUM(ContractsTbl[[#This Row],[salaryY1]:[salaryY4]]))</f>
        <v>271682.263814618</v>
      </c>
      <c r="L2309" t="b">
        <f t="shared" si="149"/>
        <v>0</v>
      </c>
    </row>
    <row r="2310" spans="1:12" x14ac:dyDescent="0.2">
      <c r="A2310" t="s">
        <v>9824</v>
      </c>
      <c r="B2310" t="s">
        <v>74</v>
      </c>
      <c r="C2310" t="s">
        <v>9460</v>
      </c>
      <c r="D2310" t="s">
        <v>44</v>
      </c>
      <c r="E2310">
        <v>2025</v>
      </c>
      <c r="F2310">
        <v>2027</v>
      </c>
      <c r="G2310" s="11">
        <v>134800.49974535301</v>
      </c>
      <c r="H2310">
        <f t="shared" si="146"/>
        <v>134800.49974535301</v>
      </c>
      <c r="I2310" t="str">
        <f t="shared" si="147"/>
        <v/>
      </c>
      <c r="J2310" t="str">
        <f t="shared" si="148"/>
        <v/>
      </c>
      <c r="K2310">
        <f>IF(E2310="","",SUM(ContractsTbl[[#This Row],[salaryY1]:[salaryY4]]))</f>
        <v>269600.99949070602</v>
      </c>
      <c r="L2310" t="b">
        <f t="shared" si="149"/>
        <v>0</v>
      </c>
    </row>
    <row r="2311" spans="1:12" x14ac:dyDescent="0.2">
      <c r="A2311" t="s">
        <v>9825</v>
      </c>
      <c r="B2311" t="s">
        <v>74</v>
      </c>
      <c r="C2311" t="s">
        <v>9461</v>
      </c>
      <c r="D2311" t="s">
        <v>44</v>
      </c>
      <c r="E2311">
        <v>2025</v>
      </c>
      <c r="F2311">
        <v>2027</v>
      </c>
      <c r="G2311" s="11">
        <v>133759.86758339801</v>
      </c>
      <c r="H2311">
        <f t="shared" si="146"/>
        <v>133759.86758339801</v>
      </c>
      <c r="I2311" t="str">
        <f t="shared" si="147"/>
        <v/>
      </c>
      <c r="J2311" t="str">
        <f t="shared" si="148"/>
        <v/>
      </c>
      <c r="K2311">
        <f>IF(E2311="","",SUM(ContractsTbl[[#This Row],[salaryY1]:[salaryY4]]))</f>
        <v>267519.73516679602</v>
      </c>
      <c r="L2311" t="b">
        <f t="shared" si="149"/>
        <v>0</v>
      </c>
    </row>
    <row r="2312" spans="1:12" x14ac:dyDescent="0.2">
      <c r="A2312" t="s">
        <v>9826</v>
      </c>
      <c r="B2312" t="s">
        <v>74</v>
      </c>
      <c r="C2312" t="s">
        <v>9462</v>
      </c>
      <c r="D2312" t="s">
        <v>44</v>
      </c>
      <c r="E2312">
        <v>2025</v>
      </c>
      <c r="F2312">
        <v>2027</v>
      </c>
      <c r="G2312" s="11">
        <v>132719.23542144199</v>
      </c>
      <c r="H2312">
        <f t="shared" si="146"/>
        <v>132719.23542144199</v>
      </c>
      <c r="I2312" t="str">
        <f t="shared" si="147"/>
        <v/>
      </c>
      <c r="J2312" t="str">
        <f t="shared" si="148"/>
        <v/>
      </c>
      <c r="K2312">
        <f>IF(E2312="","",SUM(ContractsTbl[[#This Row],[salaryY1]:[salaryY4]]))</f>
        <v>265438.47084288398</v>
      </c>
      <c r="L2312" t="b">
        <f t="shared" si="149"/>
        <v>0</v>
      </c>
    </row>
    <row r="2313" spans="1:12" x14ac:dyDescent="0.2">
      <c r="A2313" t="s">
        <v>9827</v>
      </c>
      <c r="B2313" t="s">
        <v>74</v>
      </c>
      <c r="C2313" t="s">
        <v>9463</v>
      </c>
      <c r="D2313" t="s">
        <v>44</v>
      </c>
      <c r="E2313">
        <v>2025</v>
      </c>
      <c r="F2313">
        <v>2027</v>
      </c>
      <c r="G2313" s="11">
        <v>131678.603259486</v>
      </c>
      <c r="H2313">
        <f t="shared" si="146"/>
        <v>131678.603259486</v>
      </c>
      <c r="I2313" t="str">
        <f t="shared" si="147"/>
        <v/>
      </c>
      <c r="J2313" t="str">
        <f t="shared" si="148"/>
        <v/>
      </c>
      <c r="K2313">
        <f>IF(E2313="","",SUM(ContractsTbl[[#This Row],[salaryY1]:[salaryY4]]))</f>
        <v>263357.206518972</v>
      </c>
      <c r="L2313" t="b">
        <f t="shared" si="149"/>
        <v>0</v>
      </c>
    </row>
    <row r="2314" spans="1:12" x14ac:dyDescent="0.2">
      <c r="A2314" t="s">
        <v>9828</v>
      </c>
      <c r="B2314" t="s">
        <v>74</v>
      </c>
      <c r="C2314" t="s">
        <v>9464</v>
      </c>
      <c r="D2314" t="s">
        <v>44</v>
      </c>
      <c r="E2314">
        <v>2025</v>
      </c>
      <c r="F2314">
        <v>2027</v>
      </c>
      <c r="G2314" s="11">
        <v>130637.97109753</v>
      </c>
      <c r="H2314">
        <f t="shared" si="146"/>
        <v>130637.97109753</v>
      </c>
      <c r="I2314" t="str">
        <f t="shared" si="147"/>
        <v/>
      </c>
      <c r="J2314" t="str">
        <f t="shared" si="148"/>
        <v/>
      </c>
      <c r="K2314">
        <f>IF(E2314="","",SUM(ContractsTbl[[#This Row],[salaryY1]:[salaryY4]]))</f>
        <v>261275.94219505999</v>
      </c>
      <c r="L2314" t="b">
        <f t="shared" si="149"/>
        <v>0</v>
      </c>
    </row>
    <row r="2315" spans="1:12" x14ac:dyDescent="0.2">
      <c r="A2315" t="s">
        <v>9829</v>
      </c>
      <c r="B2315" t="s">
        <v>74</v>
      </c>
      <c r="C2315" t="s">
        <v>9465</v>
      </c>
      <c r="D2315" t="s">
        <v>44</v>
      </c>
      <c r="E2315">
        <v>2025</v>
      </c>
      <c r="F2315">
        <v>2027</v>
      </c>
      <c r="G2315" s="11">
        <v>129597.338935575</v>
      </c>
      <c r="H2315">
        <f t="shared" si="146"/>
        <v>129597.338935575</v>
      </c>
      <c r="I2315" t="str">
        <f t="shared" si="147"/>
        <v/>
      </c>
      <c r="J2315" t="str">
        <f t="shared" si="148"/>
        <v/>
      </c>
      <c r="K2315">
        <f>IF(E2315="","",SUM(ContractsTbl[[#This Row],[salaryY1]:[salaryY4]]))</f>
        <v>259194.67787114999</v>
      </c>
      <c r="L2315" t="b">
        <f t="shared" si="149"/>
        <v>0</v>
      </c>
    </row>
    <row r="2316" spans="1:12" x14ac:dyDescent="0.2">
      <c r="A2316" t="s">
        <v>9830</v>
      </c>
      <c r="B2316" t="s">
        <v>74</v>
      </c>
      <c r="C2316" t="s">
        <v>9466</v>
      </c>
      <c r="D2316" t="s">
        <v>44</v>
      </c>
      <c r="E2316">
        <v>2025</v>
      </c>
      <c r="F2316">
        <v>2027</v>
      </c>
      <c r="G2316" s="11">
        <v>128556.70677361899</v>
      </c>
      <c r="H2316">
        <f t="shared" si="146"/>
        <v>128556.70677361899</v>
      </c>
      <c r="I2316" t="str">
        <f t="shared" si="147"/>
        <v/>
      </c>
      <c r="J2316" t="str">
        <f t="shared" si="148"/>
        <v/>
      </c>
      <c r="K2316">
        <f>IF(E2316="","",SUM(ContractsTbl[[#This Row],[salaryY1]:[salaryY4]]))</f>
        <v>257113.41354723799</v>
      </c>
      <c r="L2316" t="b">
        <f t="shared" si="149"/>
        <v>0</v>
      </c>
    </row>
    <row r="2317" spans="1:12" x14ac:dyDescent="0.2">
      <c r="A2317" t="s">
        <v>9831</v>
      </c>
      <c r="B2317" t="s">
        <v>74</v>
      </c>
      <c r="C2317" t="s">
        <v>9467</v>
      </c>
      <c r="D2317" t="s">
        <v>44</v>
      </c>
      <c r="E2317">
        <v>2025</v>
      </c>
      <c r="F2317">
        <v>2027</v>
      </c>
      <c r="G2317" s="11">
        <v>127516.074611663</v>
      </c>
      <c r="H2317">
        <f t="shared" si="146"/>
        <v>127516.074611663</v>
      </c>
      <c r="I2317" t="str">
        <f t="shared" si="147"/>
        <v/>
      </c>
      <c r="J2317" t="str">
        <f t="shared" si="148"/>
        <v/>
      </c>
      <c r="K2317">
        <f>IF(E2317="","",SUM(ContractsTbl[[#This Row],[salaryY1]:[salaryY4]]))</f>
        <v>255032.14922332601</v>
      </c>
      <c r="L2317" t="b">
        <f t="shared" si="149"/>
        <v>0</v>
      </c>
    </row>
    <row r="2318" spans="1:12" x14ac:dyDescent="0.2">
      <c r="A2318" t="s">
        <v>9832</v>
      </c>
      <c r="B2318" t="s">
        <v>74</v>
      </c>
      <c r="C2318" t="s">
        <v>9468</v>
      </c>
      <c r="D2318" t="s">
        <v>44</v>
      </c>
      <c r="E2318">
        <v>2025</v>
      </c>
      <c r="F2318">
        <v>2027</v>
      </c>
      <c r="G2318" s="11">
        <v>126475.442449708</v>
      </c>
      <c r="H2318">
        <f t="shared" si="146"/>
        <v>126475.442449708</v>
      </c>
      <c r="I2318" t="str">
        <f t="shared" si="147"/>
        <v/>
      </c>
      <c r="J2318" t="str">
        <f t="shared" si="148"/>
        <v/>
      </c>
      <c r="K2318">
        <f>IF(E2318="","",SUM(ContractsTbl[[#This Row],[salaryY1]:[salaryY4]]))</f>
        <v>252950.88489941601</v>
      </c>
      <c r="L2318" t="b">
        <f t="shared" si="149"/>
        <v>0</v>
      </c>
    </row>
    <row r="2319" spans="1:12" x14ac:dyDescent="0.2">
      <c r="A2319" t="s">
        <v>9833</v>
      </c>
      <c r="B2319" t="s">
        <v>74</v>
      </c>
      <c r="C2319" t="s">
        <v>9469</v>
      </c>
      <c r="D2319" t="s">
        <v>44</v>
      </c>
      <c r="E2319">
        <v>2025</v>
      </c>
      <c r="F2319">
        <v>2027</v>
      </c>
      <c r="G2319" s="11">
        <v>125434.810287752</v>
      </c>
      <c r="H2319">
        <f t="shared" si="146"/>
        <v>125434.810287752</v>
      </c>
      <c r="I2319" t="str">
        <f t="shared" si="147"/>
        <v/>
      </c>
      <c r="J2319" t="str">
        <f t="shared" si="148"/>
        <v/>
      </c>
      <c r="K2319">
        <f>IF(E2319="","",SUM(ContractsTbl[[#This Row],[salaryY1]:[salaryY4]]))</f>
        <v>250869.620575504</v>
      </c>
      <c r="L2319" t="b">
        <f t="shared" si="149"/>
        <v>0</v>
      </c>
    </row>
    <row r="2320" spans="1:12" x14ac:dyDescent="0.2">
      <c r="A2320" t="s">
        <v>9834</v>
      </c>
      <c r="B2320" t="s">
        <v>74</v>
      </c>
      <c r="C2320" t="s">
        <v>9470</v>
      </c>
      <c r="D2320" t="s">
        <v>44</v>
      </c>
      <c r="E2320">
        <v>2025</v>
      </c>
      <c r="F2320">
        <v>2027</v>
      </c>
      <c r="G2320" s="11">
        <v>124394.178125796</v>
      </c>
      <c r="H2320">
        <f t="shared" si="146"/>
        <v>124394.178125796</v>
      </c>
      <c r="I2320" t="str">
        <f t="shared" si="147"/>
        <v/>
      </c>
      <c r="J2320" t="str">
        <f t="shared" si="148"/>
        <v/>
      </c>
      <c r="K2320">
        <f>IF(E2320="","",SUM(ContractsTbl[[#This Row],[salaryY1]:[salaryY4]]))</f>
        <v>248788.35625159199</v>
      </c>
      <c r="L2320" t="b">
        <f t="shared" si="149"/>
        <v>0</v>
      </c>
    </row>
    <row r="2321" spans="1:12" x14ac:dyDescent="0.2">
      <c r="A2321" t="s">
        <v>9835</v>
      </c>
      <c r="B2321" t="s">
        <v>74</v>
      </c>
      <c r="C2321" t="s">
        <v>9471</v>
      </c>
      <c r="D2321" t="s">
        <v>44</v>
      </c>
      <c r="E2321">
        <v>2025</v>
      </c>
      <c r="F2321">
        <v>2027</v>
      </c>
      <c r="G2321" s="11">
        <v>123353.545963841</v>
      </c>
      <c r="H2321">
        <f t="shared" si="146"/>
        <v>123353.545963841</v>
      </c>
      <c r="I2321" t="str">
        <f t="shared" si="147"/>
        <v/>
      </c>
      <c r="J2321" t="str">
        <f t="shared" si="148"/>
        <v/>
      </c>
      <c r="K2321">
        <f>IF(E2321="","",SUM(ContractsTbl[[#This Row],[salaryY1]:[salaryY4]]))</f>
        <v>246707.09192768199</v>
      </c>
      <c r="L2321" t="b">
        <f t="shared" si="149"/>
        <v>0</v>
      </c>
    </row>
    <row r="2322" spans="1:12" x14ac:dyDescent="0.2">
      <c r="A2322" t="s">
        <v>9836</v>
      </c>
      <c r="B2322" t="s">
        <v>74</v>
      </c>
      <c r="C2322" t="s">
        <v>9472</v>
      </c>
      <c r="D2322" t="s">
        <v>44</v>
      </c>
      <c r="E2322">
        <v>2025</v>
      </c>
      <c r="F2322">
        <v>2027</v>
      </c>
      <c r="G2322" s="11">
        <v>122312.91380188501</v>
      </c>
      <c r="H2322">
        <f t="shared" si="146"/>
        <v>122312.91380188501</v>
      </c>
      <c r="I2322" t="str">
        <f t="shared" si="147"/>
        <v/>
      </c>
      <c r="J2322" t="str">
        <f t="shared" si="148"/>
        <v/>
      </c>
      <c r="K2322">
        <f>IF(E2322="","",SUM(ContractsTbl[[#This Row],[salaryY1]:[salaryY4]]))</f>
        <v>244625.82760377001</v>
      </c>
      <c r="L2322" t="b">
        <f t="shared" si="149"/>
        <v>0</v>
      </c>
    </row>
    <row r="2323" spans="1:12" x14ac:dyDescent="0.2">
      <c r="A2323" t="s">
        <v>9837</v>
      </c>
      <c r="B2323" t="s">
        <v>74</v>
      </c>
      <c r="C2323" t="s">
        <v>9473</v>
      </c>
      <c r="D2323" t="s">
        <v>44</v>
      </c>
      <c r="E2323">
        <v>2025</v>
      </c>
      <c r="F2323">
        <v>2027</v>
      </c>
      <c r="G2323" s="11">
        <v>121272.281639929</v>
      </c>
      <c r="H2323">
        <f t="shared" si="146"/>
        <v>121272.281639929</v>
      </c>
      <c r="I2323" t="str">
        <f t="shared" si="147"/>
        <v/>
      </c>
      <c r="J2323" t="str">
        <f t="shared" si="148"/>
        <v/>
      </c>
      <c r="K2323">
        <f>IF(E2323="","",SUM(ContractsTbl[[#This Row],[salaryY1]:[salaryY4]]))</f>
        <v>242544.563279858</v>
      </c>
      <c r="L2323" t="b">
        <f t="shared" si="149"/>
        <v>0</v>
      </c>
    </row>
    <row r="2324" spans="1:12" x14ac:dyDescent="0.2">
      <c r="A2324" t="s">
        <v>9838</v>
      </c>
      <c r="B2324" t="s">
        <v>74</v>
      </c>
      <c r="C2324" t="s">
        <v>9474</v>
      </c>
      <c r="D2324" t="s">
        <v>44</v>
      </c>
      <c r="E2324">
        <v>2025</v>
      </c>
      <c r="F2324">
        <v>2027</v>
      </c>
      <c r="G2324" s="11">
        <v>120231.649477973</v>
      </c>
      <c r="H2324">
        <f t="shared" si="146"/>
        <v>120231.649477973</v>
      </c>
      <c r="I2324" t="str">
        <f t="shared" si="147"/>
        <v/>
      </c>
      <c r="J2324" t="str">
        <f t="shared" si="148"/>
        <v/>
      </c>
      <c r="K2324">
        <f>IF(E2324="","",SUM(ContractsTbl[[#This Row],[salaryY1]:[salaryY4]]))</f>
        <v>240463.298955946</v>
      </c>
      <c r="L2324" t="b">
        <f t="shared" si="149"/>
        <v>0</v>
      </c>
    </row>
    <row r="2325" spans="1:12" x14ac:dyDescent="0.2">
      <c r="A2325" t="s">
        <v>9839</v>
      </c>
      <c r="B2325" t="s">
        <v>74</v>
      </c>
      <c r="C2325" t="s">
        <v>9475</v>
      </c>
      <c r="D2325" t="s">
        <v>44</v>
      </c>
      <c r="E2325">
        <v>2025</v>
      </c>
      <c r="F2325">
        <v>2027</v>
      </c>
      <c r="G2325" s="11">
        <v>119191.017316018</v>
      </c>
      <c r="H2325">
        <f t="shared" si="146"/>
        <v>119191.017316018</v>
      </c>
      <c r="I2325" t="str">
        <f t="shared" si="147"/>
        <v/>
      </c>
      <c r="J2325" t="str">
        <f t="shared" si="148"/>
        <v/>
      </c>
      <c r="K2325">
        <f>IF(E2325="","",SUM(ContractsTbl[[#This Row],[salaryY1]:[salaryY4]]))</f>
        <v>238382.034632036</v>
      </c>
      <c r="L2325" t="b">
        <f t="shared" si="149"/>
        <v>0</v>
      </c>
    </row>
    <row r="2326" spans="1:12" x14ac:dyDescent="0.2">
      <c r="A2326" t="s">
        <v>9840</v>
      </c>
      <c r="B2326" t="s">
        <v>74</v>
      </c>
      <c r="C2326" t="s">
        <v>9476</v>
      </c>
      <c r="D2326" t="s">
        <v>44</v>
      </c>
      <c r="E2326">
        <v>2025</v>
      </c>
      <c r="F2326">
        <v>2027</v>
      </c>
      <c r="G2326" s="11">
        <v>118150.38515406199</v>
      </c>
      <c r="H2326">
        <f t="shared" si="146"/>
        <v>118150.38515406199</v>
      </c>
      <c r="I2326" t="str">
        <f t="shared" si="147"/>
        <v/>
      </c>
      <c r="J2326" t="str">
        <f t="shared" si="148"/>
        <v/>
      </c>
      <c r="K2326">
        <f>IF(E2326="","",SUM(ContractsTbl[[#This Row],[salaryY1]:[salaryY4]]))</f>
        <v>236300.77030812399</v>
      </c>
      <c r="L2326" t="b">
        <f t="shared" si="149"/>
        <v>0</v>
      </c>
    </row>
    <row r="2327" spans="1:12" x14ac:dyDescent="0.2">
      <c r="A2327" t="s">
        <v>9841</v>
      </c>
      <c r="B2327" t="s">
        <v>74</v>
      </c>
      <c r="C2327" t="s">
        <v>9477</v>
      </c>
      <c r="D2327" t="s">
        <v>44</v>
      </c>
      <c r="E2327">
        <v>2025</v>
      </c>
      <c r="F2327">
        <v>2027</v>
      </c>
      <c r="G2327" s="11">
        <v>117109.752992106</v>
      </c>
      <c r="H2327">
        <f t="shared" si="146"/>
        <v>117109.752992106</v>
      </c>
      <c r="I2327" t="str">
        <f t="shared" si="147"/>
        <v/>
      </c>
      <c r="J2327" t="str">
        <f t="shared" si="148"/>
        <v/>
      </c>
      <c r="K2327">
        <f>IF(E2327="","",SUM(ContractsTbl[[#This Row],[salaryY1]:[salaryY4]]))</f>
        <v>234219.50598421201</v>
      </c>
      <c r="L2327" t="b">
        <f t="shared" si="149"/>
        <v>0</v>
      </c>
    </row>
    <row r="2328" spans="1:12" x14ac:dyDescent="0.2">
      <c r="A2328" t="s">
        <v>9842</v>
      </c>
      <c r="B2328" t="s">
        <v>74</v>
      </c>
      <c r="C2328" t="s">
        <v>9478</v>
      </c>
      <c r="D2328" t="s">
        <v>44</v>
      </c>
      <c r="E2328">
        <v>2025</v>
      </c>
      <c r="F2328">
        <v>2027</v>
      </c>
      <c r="G2328" s="11">
        <v>116069.12083015101</v>
      </c>
      <c r="H2328">
        <f t="shared" si="146"/>
        <v>116069.12083015101</v>
      </c>
      <c r="I2328" t="str">
        <f t="shared" si="147"/>
        <v/>
      </c>
      <c r="J2328" t="str">
        <f t="shared" si="148"/>
        <v/>
      </c>
      <c r="K2328">
        <f>IF(E2328="","",SUM(ContractsTbl[[#This Row],[salaryY1]:[salaryY4]]))</f>
        <v>232138.24166030201</v>
      </c>
      <c r="L2328" t="b">
        <f t="shared" si="149"/>
        <v>0</v>
      </c>
    </row>
    <row r="2329" spans="1:12" x14ac:dyDescent="0.2">
      <c r="A2329" t="s">
        <v>9843</v>
      </c>
      <c r="B2329" t="s">
        <v>74</v>
      </c>
      <c r="C2329" t="s">
        <v>9479</v>
      </c>
      <c r="D2329" t="s">
        <v>44</v>
      </c>
      <c r="E2329">
        <v>2025</v>
      </c>
      <c r="F2329">
        <v>2027</v>
      </c>
      <c r="G2329" s="11">
        <v>115028.488668195</v>
      </c>
      <c r="H2329">
        <f t="shared" si="146"/>
        <v>115028.488668195</v>
      </c>
      <c r="I2329" t="str">
        <f t="shared" si="147"/>
        <v/>
      </c>
      <c r="J2329" t="str">
        <f t="shared" si="148"/>
        <v/>
      </c>
      <c r="K2329">
        <f>IF(E2329="","",SUM(ContractsTbl[[#This Row],[salaryY1]:[salaryY4]]))</f>
        <v>230056.97733639</v>
      </c>
      <c r="L2329" t="b">
        <f t="shared" si="149"/>
        <v>0</v>
      </c>
    </row>
    <row r="2330" spans="1:12" x14ac:dyDescent="0.2">
      <c r="A2330" t="s">
        <v>9844</v>
      </c>
      <c r="B2330" t="s">
        <v>74</v>
      </c>
      <c r="C2330" t="s">
        <v>9480</v>
      </c>
      <c r="D2330" t="s">
        <v>44</v>
      </c>
      <c r="E2330">
        <v>2025</v>
      </c>
      <c r="F2330">
        <v>2027</v>
      </c>
      <c r="G2330" s="11">
        <v>113987.856506239</v>
      </c>
      <c r="H2330">
        <f t="shared" ref="H2330:H2393" si="150">IF(F2330&gt;=2027,G2330,"")</f>
        <v>113987.856506239</v>
      </c>
      <c r="I2330" t="str">
        <f t="shared" ref="I2330:I2393" si="151">IF(F2330&gt;=2028,G2330,"")</f>
        <v/>
      </c>
      <c r="J2330" t="str">
        <f t="shared" ref="J2330:J2393" si="152">IF(F2330&gt;=2029,G2330,"")</f>
        <v/>
      </c>
      <c r="K2330">
        <f>IF(E2330="","",SUM(ContractsTbl[[#This Row],[salaryY1]:[salaryY4]]))</f>
        <v>227975.71301247799</v>
      </c>
      <c r="L2330" t="b">
        <f t="shared" ref="L2330:L2393" si="153">IF(F2330="",TRUE,FALSE)</f>
        <v>0</v>
      </c>
    </row>
    <row r="2331" spans="1:12" x14ac:dyDescent="0.2">
      <c r="A2331" t="s">
        <v>9845</v>
      </c>
      <c r="B2331" t="s">
        <v>74</v>
      </c>
      <c r="C2331" t="s">
        <v>9481</v>
      </c>
      <c r="D2331" t="s">
        <v>44</v>
      </c>
      <c r="E2331">
        <v>2025</v>
      </c>
      <c r="F2331">
        <v>2027</v>
      </c>
      <c r="G2331" s="11">
        <v>112947.224344284</v>
      </c>
      <c r="H2331">
        <f t="shared" si="150"/>
        <v>112947.224344284</v>
      </c>
      <c r="I2331" t="str">
        <f t="shared" si="151"/>
        <v/>
      </c>
      <c r="J2331" t="str">
        <f t="shared" si="152"/>
        <v/>
      </c>
      <c r="K2331">
        <f>IF(E2331="","",SUM(ContractsTbl[[#This Row],[salaryY1]:[salaryY4]]))</f>
        <v>225894.44868856799</v>
      </c>
      <c r="L2331" t="b">
        <f t="shared" si="153"/>
        <v>0</v>
      </c>
    </row>
    <row r="2332" spans="1:12" x14ac:dyDescent="0.2">
      <c r="A2332" t="s">
        <v>9846</v>
      </c>
      <c r="B2332" t="s">
        <v>74</v>
      </c>
      <c r="C2332" t="s">
        <v>9482</v>
      </c>
      <c r="D2332" t="s">
        <v>44</v>
      </c>
      <c r="E2332">
        <v>2025</v>
      </c>
      <c r="F2332">
        <v>2027</v>
      </c>
      <c r="G2332" s="11">
        <v>111906.59218232799</v>
      </c>
      <c r="H2332">
        <f t="shared" si="150"/>
        <v>111906.59218232799</v>
      </c>
      <c r="I2332" t="str">
        <f t="shared" si="151"/>
        <v/>
      </c>
      <c r="J2332" t="str">
        <f t="shared" si="152"/>
        <v/>
      </c>
      <c r="K2332">
        <f>IF(E2332="","",SUM(ContractsTbl[[#This Row],[salaryY1]:[salaryY4]]))</f>
        <v>223813.18436465599</v>
      </c>
      <c r="L2332" t="b">
        <f t="shared" si="153"/>
        <v>0</v>
      </c>
    </row>
    <row r="2333" spans="1:12" x14ac:dyDescent="0.2">
      <c r="A2333" t="s">
        <v>9847</v>
      </c>
      <c r="B2333" t="s">
        <v>74</v>
      </c>
      <c r="C2333" t="s">
        <v>9483</v>
      </c>
      <c r="D2333" t="s">
        <v>44</v>
      </c>
      <c r="E2333">
        <v>2025</v>
      </c>
      <c r="F2333">
        <v>2027</v>
      </c>
      <c r="G2333" s="11">
        <v>110865.960020372</v>
      </c>
      <c r="H2333">
        <f t="shared" si="150"/>
        <v>110865.960020372</v>
      </c>
      <c r="I2333" t="str">
        <f t="shared" si="151"/>
        <v/>
      </c>
      <c r="J2333" t="str">
        <f t="shared" si="152"/>
        <v/>
      </c>
      <c r="K2333">
        <f>IF(E2333="","",SUM(ContractsTbl[[#This Row],[salaryY1]:[salaryY4]]))</f>
        <v>221731.92004074401</v>
      </c>
      <c r="L2333" t="b">
        <f t="shared" si="153"/>
        <v>0</v>
      </c>
    </row>
    <row r="2334" spans="1:12" x14ac:dyDescent="0.2">
      <c r="A2334" t="s">
        <v>9848</v>
      </c>
      <c r="B2334" t="s">
        <v>74</v>
      </c>
      <c r="C2334" t="s">
        <v>9484</v>
      </c>
      <c r="D2334" t="s">
        <v>44</v>
      </c>
      <c r="E2334">
        <v>2025</v>
      </c>
      <c r="F2334">
        <v>2027</v>
      </c>
      <c r="G2334" s="11">
        <v>109825.327858417</v>
      </c>
      <c r="H2334">
        <f t="shared" si="150"/>
        <v>109825.327858417</v>
      </c>
      <c r="I2334" t="str">
        <f t="shared" si="151"/>
        <v/>
      </c>
      <c r="J2334" t="str">
        <f t="shared" si="152"/>
        <v/>
      </c>
      <c r="K2334">
        <f>IF(E2334="","",SUM(ContractsTbl[[#This Row],[salaryY1]:[salaryY4]]))</f>
        <v>219650.65571683401</v>
      </c>
      <c r="L2334" t="b">
        <f t="shared" si="153"/>
        <v>0</v>
      </c>
    </row>
    <row r="2335" spans="1:12" x14ac:dyDescent="0.2">
      <c r="A2335" t="s">
        <v>9849</v>
      </c>
      <c r="B2335" t="s">
        <v>74</v>
      </c>
      <c r="C2335" t="s">
        <v>9485</v>
      </c>
      <c r="D2335" t="s">
        <v>44</v>
      </c>
      <c r="E2335">
        <v>2025</v>
      </c>
      <c r="F2335">
        <v>2027</v>
      </c>
      <c r="G2335" s="11">
        <v>108784.695696461</v>
      </c>
      <c r="H2335">
        <f t="shared" si="150"/>
        <v>108784.695696461</v>
      </c>
      <c r="I2335" t="str">
        <f t="shared" si="151"/>
        <v/>
      </c>
      <c r="J2335" t="str">
        <f t="shared" si="152"/>
        <v/>
      </c>
      <c r="K2335">
        <f>IF(E2335="","",SUM(ContractsTbl[[#This Row],[salaryY1]:[salaryY4]]))</f>
        <v>217569.391392922</v>
      </c>
      <c r="L2335" t="b">
        <f t="shared" si="153"/>
        <v>0</v>
      </c>
    </row>
    <row r="2336" spans="1:12" x14ac:dyDescent="0.2">
      <c r="A2336" t="s">
        <v>9850</v>
      </c>
      <c r="B2336" t="s">
        <v>74</v>
      </c>
      <c r="C2336" t="s">
        <v>9486</v>
      </c>
      <c r="D2336" t="s">
        <v>44</v>
      </c>
      <c r="E2336">
        <v>2025</v>
      </c>
      <c r="F2336">
        <v>2027</v>
      </c>
      <c r="G2336" s="11">
        <v>107744.063534505</v>
      </c>
      <c r="H2336">
        <f t="shared" si="150"/>
        <v>107744.063534505</v>
      </c>
      <c r="I2336" t="str">
        <f t="shared" si="151"/>
        <v/>
      </c>
      <c r="J2336" t="str">
        <f t="shared" si="152"/>
        <v/>
      </c>
      <c r="K2336">
        <f>IF(E2336="","",SUM(ContractsTbl[[#This Row],[salaryY1]:[salaryY4]]))</f>
        <v>215488.12706900999</v>
      </c>
      <c r="L2336" t="b">
        <f t="shared" si="153"/>
        <v>0</v>
      </c>
    </row>
    <row r="2337" spans="1:12" x14ac:dyDescent="0.2">
      <c r="A2337" t="s">
        <v>9851</v>
      </c>
      <c r="B2337" t="s">
        <v>74</v>
      </c>
      <c r="C2337" t="s">
        <v>9487</v>
      </c>
      <c r="D2337" t="s">
        <v>44</v>
      </c>
      <c r="E2337">
        <v>2025</v>
      </c>
      <c r="F2337">
        <v>2027</v>
      </c>
      <c r="G2337" s="11">
        <v>247188.77323656701</v>
      </c>
      <c r="H2337">
        <f t="shared" si="150"/>
        <v>247188.77323656701</v>
      </c>
      <c r="I2337" t="str">
        <f t="shared" si="151"/>
        <v/>
      </c>
      <c r="J2337" t="str">
        <f t="shared" si="152"/>
        <v/>
      </c>
      <c r="K2337">
        <f>IF(E2337="","",SUM(ContractsTbl[[#This Row],[salaryY1]:[salaryY4]]))</f>
        <v>494377.54647313402</v>
      </c>
      <c r="L2337" t="b">
        <f t="shared" si="153"/>
        <v>0</v>
      </c>
    </row>
    <row r="2338" spans="1:12" x14ac:dyDescent="0.2">
      <c r="A2338" t="s">
        <v>9852</v>
      </c>
      <c r="B2338" t="s">
        <v>74</v>
      </c>
      <c r="C2338" t="s">
        <v>9488</v>
      </c>
      <c r="D2338" t="s">
        <v>44</v>
      </c>
      <c r="E2338">
        <v>2025</v>
      </c>
      <c r="F2338">
        <v>2027</v>
      </c>
      <c r="G2338" s="11">
        <v>246148.14107461201</v>
      </c>
      <c r="H2338">
        <f t="shared" si="150"/>
        <v>246148.14107461201</v>
      </c>
      <c r="I2338" t="str">
        <f t="shared" si="151"/>
        <v/>
      </c>
      <c r="J2338" t="str">
        <f t="shared" si="152"/>
        <v/>
      </c>
      <c r="K2338">
        <f>IF(E2338="","",SUM(ContractsTbl[[#This Row],[salaryY1]:[salaryY4]]))</f>
        <v>492296.28214922402</v>
      </c>
      <c r="L2338" t="b">
        <f t="shared" si="153"/>
        <v>0</v>
      </c>
    </row>
    <row r="2339" spans="1:12" x14ac:dyDescent="0.2">
      <c r="A2339" t="s">
        <v>9853</v>
      </c>
      <c r="B2339" t="s">
        <v>74</v>
      </c>
      <c r="C2339" t="s">
        <v>9489</v>
      </c>
      <c r="D2339" t="s">
        <v>44</v>
      </c>
      <c r="E2339">
        <v>2025</v>
      </c>
      <c r="F2339">
        <v>2027</v>
      </c>
      <c r="G2339" s="11">
        <v>245107.50891265599</v>
      </c>
      <c r="H2339">
        <f t="shared" si="150"/>
        <v>245107.50891265599</v>
      </c>
      <c r="I2339" t="str">
        <f t="shared" si="151"/>
        <v/>
      </c>
      <c r="J2339" t="str">
        <f t="shared" si="152"/>
        <v/>
      </c>
      <c r="K2339">
        <f>IF(E2339="","",SUM(ContractsTbl[[#This Row],[salaryY1]:[salaryY4]]))</f>
        <v>490215.01782531198</v>
      </c>
      <c r="L2339" t="b">
        <f t="shared" si="153"/>
        <v>0</v>
      </c>
    </row>
    <row r="2340" spans="1:12" x14ac:dyDescent="0.2">
      <c r="A2340" t="s">
        <v>9854</v>
      </c>
      <c r="B2340" t="s">
        <v>74</v>
      </c>
      <c r="C2340" t="s">
        <v>9490</v>
      </c>
      <c r="D2340" t="s">
        <v>44</v>
      </c>
      <c r="E2340">
        <v>2025</v>
      </c>
      <c r="F2340">
        <v>2027</v>
      </c>
      <c r="G2340" s="11">
        <v>244066.8767507</v>
      </c>
      <c r="H2340">
        <f t="shared" si="150"/>
        <v>244066.8767507</v>
      </c>
      <c r="I2340" t="str">
        <f t="shared" si="151"/>
        <v/>
      </c>
      <c r="J2340" t="str">
        <f t="shared" si="152"/>
        <v/>
      </c>
      <c r="K2340">
        <f>IF(E2340="","",SUM(ContractsTbl[[#This Row],[salaryY1]:[salaryY4]]))</f>
        <v>488133.7535014</v>
      </c>
      <c r="L2340" t="b">
        <f t="shared" si="153"/>
        <v>0</v>
      </c>
    </row>
    <row r="2341" spans="1:12" x14ac:dyDescent="0.2">
      <c r="A2341" t="s">
        <v>9855</v>
      </c>
      <c r="B2341" t="s">
        <v>74</v>
      </c>
      <c r="C2341" t="s">
        <v>9491</v>
      </c>
      <c r="D2341" t="s">
        <v>44</v>
      </c>
      <c r="E2341">
        <v>2025</v>
      </c>
      <c r="F2341">
        <v>2027</v>
      </c>
      <c r="G2341" s="11">
        <v>243026.244588745</v>
      </c>
      <c r="H2341">
        <f t="shared" si="150"/>
        <v>243026.244588745</v>
      </c>
      <c r="I2341" t="str">
        <f t="shared" si="151"/>
        <v/>
      </c>
      <c r="J2341" t="str">
        <f t="shared" si="152"/>
        <v/>
      </c>
      <c r="K2341">
        <f>IF(E2341="","",SUM(ContractsTbl[[#This Row],[salaryY1]:[salaryY4]]))</f>
        <v>486052.48917749</v>
      </c>
      <c r="L2341" t="b">
        <f t="shared" si="153"/>
        <v>0</v>
      </c>
    </row>
    <row r="2342" spans="1:12" x14ac:dyDescent="0.2">
      <c r="A2342" t="s">
        <v>9856</v>
      </c>
      <c r="B2342" t="s">
        <v>74</v>
      </c>
      <c r="C2342" t="s">
        <v>9492</v>
      </c>
      <c r="D2342" t="s">
        <v>44</v>
      </c>
      <c r="E2342">
        <v>2025</v>
      </c>
      <c r="F2342">
        <v>2027</v>
      </c>
      <c r="G2342" s="11">
        <v>241985.61242678901</v>
      </c>
      <c r="H2342">
        <f t="shared" si="150"/>
        <v>241985.61242678901</v>
      </c>
      <c r="I2342" t="str">
        <f t="shared" si="151"/>
        <v/>
      </c>
      <c r="J2342" t="str">
        <f t="shared" si="152"/>
        <v/>
      </c>
      <c r="K2342">
        <f>IF(E2342="","",SUM(ContractsTbl[[#This Row],[salaryY1]:[salaryY4]]))</f>
        <v>483971.22485357802</v>
      </c>
      <c r="L2342" t="b">
        <f t="shared" si="153"/>
        <v>0</v>
      </c>
    </row>
    <row r="2343" spans="1:12" x14ac:dyDescent="0.2">
      <c r="A2343" t="s">
        <v>9857</v>
      </c>
      <c r="B2343" t="s">
        <v>74</v>
      </c>
      <c r="C2343" t="s">
        <v>9493</v>
      </c>
      <c r="D2343" t="s">
        <v>44</v>
      </c>
      <c r="E2343">
        <v>2025</v>
      </c>
      <c r="F2343">
        <v>2027</v>
      </c>
      <c r="G2343" s="11">
        <v>240944.98026483299</v>
      </c>
      <c r="H2343">
        <f t="shared" si="150"/>
        <v>240944.98026483299</v>
      </c>
      <c r="I2343" t="str">
        <f t="shared" si="151"/>
        <v/>
      </c>
      <c r="J2343" t="str">
        <f t="shared" si="152"/>
        <v/>
      </c>
      <c r="K2343">
        <f>IF(E2343="","",SUM(ContractsTbl[[#This Row],[salaryY1]:[salaryY4]]))</f>
        <v>481889.96052966599</v>
      </c>
      <c r="L2343" t="b">
        <f t="shared" si="153"/>
        <v>0</v>
      </c>
    </row>
    <row r="2344" spans="1:12" x14ac:dyDescent="0.2">
      <c r="A2344" t="s">
        <v>9858</v>
      </c>
      <c r="B2344" t="s">
        <v>74</v>
      </c>
      <c r="C2344" t="s">
        <v>9494</v>
      </c>
      <c r="D2344" t="s">
        <v>44</v>
      </c>
      <c r="E2344">
        <v>2025</v>
      </c>
      <c r="F2344">
        <v>2027</v>
      </c>
      <c r="G2344" s="11">
        <v>239904.34810287799</v>
      </c>
      <c r="H2344">
        <f t="shared" si="150"/>
        <v>239904.34810287799</v>
      </c>
      <c r="I2344" t="str">
        <f t="shared" si="151"/>
        <v/>
      </c>
      <c r="J2344" t="str">
        <f t="shared" si="152"/>
        <v/>
      </c>
      <c r="K2344">
        <f>IF(E2344="","",SUM(ContractsTbl[[#This Row],[salaryY1]:[salaryY4]]))</f>
        <v>479808.69620575599</v>
      </c>
      <c r="L2344" t="b">
        <f t="shared" si="153"/>
        <v>0</v>
      </c>
    </row>
    <row r="2345" spans="1:12" x14ac:dyDescent="0.2">
      <c r="A2345" t="s">
        <v>9859</v>
      </c>
      <c r="B2345" t="s">
        <v>74</v>
      </c>
      <c r="C2345" t="s">
        <v>9495</v>
      </c>
      <c r="D2345" t="s">
        <v>44</v>
      </c>
      <c r="E2345">
        <v>2025</v>
      </c>
      <c r="F2345">
        <v>2027</v>
      </c>
      <c r="G2345" s="11">
        <v>238863.715940922</v>
      </c>
      <c r="H2345">
        <f t="shared" si="150"/>
        <v>238863.715940922</v>
      </c>
      <c r="I2345" t="str">
        <f t="shared" si="151"/>
        <v/>
      </c>
      <c r="J2345" t="str">
        <f t="shared" si="152"/>
        <v/>
      </c>
      <c r="K2345">
        <f>IF(E2345="","",SUM(ContractsTbl[[#This Row],[salaryY1]:[salaryY4]]))</f>
        <v>477727.43188184401</v>
      </c>
      <c r="L2345" t="b">
        <f t="shared" si="153"/>
        <v>0</v>
      </c>
    </row>
    <row r="2346" spans="1:12" x14ac:dyDescent="0.2">
      <c r="A2346" t="s">
        <v>9860</v>
      </c>
      <c r="B2346" t="s">
        <v>74</v>
      </c>
      <c r="C2346" t="s">
        <v>9496</v>
      </c>
      <c r="D2346" t="s">
        <v>44</v>
      </c>
      <c r="E2346">
        <v>2025</v>
      </c>
      <c r="F2346">
        <v>2027</v>
      </c>
      <c r="G2346" s="11">
        <v>237823.08377896601</v>
      </c>
      <c r="H2346">
        <f t="shared" si="150"/>
        <v>237823.08377896601</v>
      </c>
      <c r="I2346" t="str">
        <f t="shared" si="151"/>
        <v/>
      </c>
      <c r="J2346" t="str">
        <f t="shared" si="152"/>
        <v/>
      </c>
      <c r="K2346">
        <f>IF(E2346="","",SUM(ContractsTbl[[#This Row],[salaryY1]:[salaryY4]]))</f>
        <v>475646.16755793203</v>
      </c>
      <c r="L2346" t="b">
        <f t="shared" si="153"/>
        <v>0</v>
      </c>
    </row>
    <row r="2347" spans="1:12" x14ac:dyDescent="0.2">
      <c r="A2347" t="s">
        <v>9861</v>
      </c>
      <c r="B2347" t="s">
        <v>74</v>
      </c>
      <c r="C2347" t="s">
        <v>9497</v>
      </c>
      <c r="D2347" t="s">
        <v>44</v>
      </c>
      <c r="E2347">
        <v>2025</v>
      </c>
      <c r="F2347">
        <v>2027</v>
      </c>
      <c r="G2347" s="11">
        <v>236782.45161701099</v>
      </c>
      <c r="H2347">
        <f t="shared" si="150"/>
        <v>236782.45161701099</v>
      </c>
      <c r="I2347" t="str">
        <f t="shared" si="151"/>
        <v/>
      </c>
      <c r="J2347" t="str">
        <f t="shared" si="152"/>
        <v/>
      </c>
      <c r="K2347">
        <f>IF(E2347="","",SUM(ContractsTbl[[#This Row],[salaryY1]:[salaryY4]]))</f>
        <v>473564.90323402197</v>
      </c>
      <c r="L2347" t="b">
        <f t="shared" si="153"/>
        <v>0</v>
      </c>
    </row>
    <row r="2348" spans="1:12" x14ac:dyDescent="0.2">
      <c r="A2348" t="s">
        <v>9862</v>
      </c>
      <c r="B2348" t="s">
        <v>74</v>
      </c>
      <c r="C2348" t="s">
        <v>9498</v>
      </c>
      <c r="D2348" t="s">
        <v>44</v>
      </c>
      <c r="E2348">
        <v>2025</v>
      </c>
      <c r="F2348">
        <v>2027</v>
      </c>
      <c r="G2348" s="11">
        <v>235741.819455055</v>
      </c>
      <c r="H2348">
        <f t="shared" si="150"/>
        <v>235741.819455055</v>
      </c>
      <c r="I2348" t="str">
        <f t="shared" si="151"/>
        <v/>
      </c>
      <c r="J2348" t="str">
        <f t="shared" si="152"/>
        <v/>
      </c>
      <c r="K2348">
        <f>IF(E2348="","",SUM(ContractsTbl[[#This Row],[salaryY1]:[salaryY4]]))</f>
        <v>471483.63891010999</v>
      </c>
      <c r="L2348" t="b">
        <f t="shared" si="153"/>
        <v>0</v>
      </c>
    </row>
    <row r="2349" spans="1:12" x14ac:dyDescent="0.2">
      <c r="A2349" t="s">
        <v>9863</v>
      </c>
      <c r="B2349" t="s">
        <v>74</v>
      </c>
      <c r="C2349" t="s">
        <v>9499</v>
      </c>
      <c r="D2349" t="s">
        <v>44</v>
      </c>
      <c r="E2349">
        <v>2025</v>
      </c>
      <c r="F2349">
        <v>2027</v>
      </c>
      <c r="G2349" s="11">
        <v>234701.18729309901</v>
      </c>
      <c r="H2349">
        <f t="shared" si="150"/>
        <v>234701.18729309901</v>
      </c>
      <c r="I2349" t="str">
        <f t="shared" si="151"/>
        <v/>
      </c>
      <c r="J2349" t="str">
        <f t="shared" si="152"/>
        <v/>
      </c>
      <c r="K2349">
        <f>IF(E2349="","",SUM(ContractsTbl[[#This Row],[salaryY1]:[salaryY4]]))</f>
        <v>469402.37458619801</v>
      </c>
      <c r="L2349" t="b">
        <f t="shared" si="153"/>
        <v>0</v>
      </c>
    </row>
    <row r="2350" spans="1:12" x14ac:dyDescent="0.2">
      <c r="A2350" t="s">
        <v>9864</v>
      </c>
      <c r="B2350" t="s">
        <v>74</v>
      </c>
      <c r="C2350" t="s">
        <v>9500</v>
      </c>
      <c r="D2350" t="s">
        <v>44</v>
      </c>
      <c r="E2350">
        <v>2025</v>
      </c>
      <c r="F2350">
        <v>2027</v>
      </c>
      <c r="G2350" s="11">
        <v>233660.55513114299</v>
      </c>
      <c r="H2350">
        <f t="shared" si="150"/>
        <v>233660.55513114299</v>
      </c>
      <c r="I2350" t="str">
        <f t="shared" si="151"/>
        <v/>
      </c>
      <c r="J2350" t="str">
        <f t="shared" si="152"/>
        <v/>
      </c>
      <c r="K2350">
        <f>IF(E2350="","",SUM(ContractsTbl[[#This Row],[salaryY1]:[salaryY4]]))</f>
        <v>467321.11026228598</v>
      </c>
      <c r="L2350" t="b">
        <f t="shared" si="153"/>
        <v>0</v>
      </c>
    </row>
    <row r="2351" spans="1:12" x14ac:dyDescent="0.2">
      <c r="A2351" t="s">
        <v>9865</v>
      </c>
      <c r="B2351" t="s">
        <v>74</v>
      </c>
      <c r="C2351" t="s">
        <v>9501</v>
      </c>
      <c r="D2351" t="s">
        <v>44</v>
      </c>
      <c r="E2351">
        <v>2025</v>
      </c>
      <c r="F2351">
        <v>2027</v>
      </c>
      <c r="G2351" s="11">
        <v>232619.92296918799</v>
      </c>
      <c r="H2351">
        <f t="shared" si="150"/>
        <v>232619.92296918799</v>
      </c>
      <c r="I2351" t="str">
        <f t="shared" si="151"/>
        <v/>
      </c>
      <c r="J2351" t="str">
        <f t="shared" si="152"/>
        <v/>
      </c>
      <c r="K2351">
        <f>IF(E2351="","",SUM(ContractsTbl[[#This Row],[salaryY1]:[salaryY4]]))</f>
        <v>465239.84593837598</v>
      </c>
      <c r="L2351" t="b">
        <f t="shared" si="153"/>
        <v>0</v>
      </c>
    </row>
    <row r="2352" spans="1:12" x14ac:dyDescent="0.2">
      <c r="A2352" t="s">
        <v>9866</v>
      </c>
      <c r="B2352" t="s">
        <v>74</v>
      </c>
      <c r="C2352" t="s">
        <v>9502</v>
      </c>
      <c r="D2352" t="s">
        <v>44</v>
      </c>
      <c r="E2352">
        <v>2025</v>
      </c>
      <c r="F2352">
        <v>2027</v>
      </c>
      <c r="G2352" s="11">
        <v>231579.290807232</v>
      </c>
      <c r="H2352">
        <f t="shared" si="150"/>
        <v>231579.290807232</v>
      </c>
      <c r="I2352" t="str">
        <f t="shared" si="151"/>
        <v/>
      </c>
      <c r="J2352" t="str">
        <f t="shared" si="152"/>
        <v/>
      </c>
      <c r="K2352">
        <f>IF(E2352="","",SUM(ContractsTbl[[#This Row],[salaryY1]:[salaryY4]]))</f>
        <v>463158.581614464</v>
      </c>
      <c r="L2352" t="b">
        <f t="shared" si="153"/>
        <v>0</v>
      </c>
    </row>
    <row r="2353" spans="1:12" x14ac:dyDescent="0.2">
      <c r="A2353" t="s">
        <v>9867</v>
      </c>
      <c r="B2353" t="s">
        <v>74</v>
      </c>
      <c r="C2353" t="s">
        <v>9503</v>
      </c>
      <c r="D2353" t="s">
        <v>44</v>
      </c>
      <c r="E2353">
        <v>2025</v>
      </c>
      <c r="F2353">
        <v>2027</v>
      </c>
      <c r="G2353" s="11">
        <v>230538.65864527601</v>
      </c>
      <c r="H2353">
        <f t="shared" si="150"/>
        <v>230538.65864527601</v>
      </c>
      <c r="I2353" t="str">
        <f t="shared" si="151"/>
        <v/>
      </c>
      <c r="J2353" t="str">
        <f t="shared" si="152"/>
        <v/>
      </c>
      <c r="K2353">
        <f>IF(E2353="","",SUM(ContractsTbl[[#This Row],[salaryY1]:[salaryY4]]))</f>
        <v>461077.31729055202</v>
      </c>
      <c r="L2353" t="b">
        <f t="shared" si="153"/>
        <v>0</v>
      </c>
    </row>
    <row r="2354" spans="1:12" x14ac:dyDescent="0.2">
      <c r="A2354" t="s">
        <v>9868</v>
      </c>
      <c r="B2354" t="s">
        <v>74</v>
      </c>
      <c r="C2354" t="s">
        <v>9504</v>
      </c>
      <c r="D2354" t="s">
        <v>44</v>
      </c>
      <c r="E2354">
        <v>2025</v>
      </c>
      <c r="F2354">
        <v>2027</v>
      </c>
      <c r="G2354" s="11">
        <v>229498.02648332101</v>
      </c>
      <c r="H2354">
        <f t="shared" si="150"/>
        <v>229498.02648332101</v>
      </c>
      <c r="I2354" t="str">
        <f t="shared" si="151"/>
        <v/>
      </c>
      <c r="J2354" t="str">
        <f t="shared" si="152"/>
        <v/>
      </c>
      <c r="K2354">
        <f>IF(E2354="","",SUM(ContractsTbl[[#This Row],[salaryY1]:[salaryY4]]))</f>
        <v>458996.05296664202</v>
      </c>
      <c r="L2354" t="b">
        <f t="shared" si="153"/>
        <v>0</v>
      </c>
    </row>
    <row r="2355" spans="1:12" x14ac:dyDescent="0.2">
      <c r="A2355" t="s">
        <v>10116</v>
      </c>
      <c r="B2355" t="s">
        <v>74</v>
      </c>
      <c r="C2355" t="s">
        <v>9505</v>
      </c>
      <c r="D2355" t="s">
        <v>44</v>
      </c>
      <c r="E2355">
        <v>2025</v>
      </c>
      <c r="F2355">
        <v>2027</v>
      </c>
      <c r="G2355" s="11">
        <v>228457.39432136499</v>
      </c>
      <c r="H2355">
        <f t="shared" si="150"/>
        <v>228457.39432136499</v>
      </c>
      <c r="I2355" t="str">
        <f t="shared" si="151"/>
        <v/>
      </c>
      <c r="J2355" t="str">
        <f t="shared" si="152"/>
        <v/>
      </c>
      <c r="K2355">
        <f>IF(E2355="","",SUM(ContractsTbl[[#This Row],[salaryY1]:[salaryY4]]))</f>
        <v>456914.78864272998</v>
      </c>
      <c r="L2355" t="b">
        <f t="shared" si="153"/>
        <v>0</v>
      </c>
    </row>
    <row r="2356" spans="1:12" x14ac:dyDescent="0.2">
      <c r="A2356" t="s">
        <v>10117</v>
      </c>
      <c r="B2356" t="s">
        <v>74</v>
      </c>
      <c r="C2356" t="s">
        <v>9506</v>
      </c>
      <c r="D2356" t="s">
        <v>44</v>
      </c>
      <c r="E2356">
        <v>2025</v>
      </c>
      <c r="F2356">
        <v>2027</v>
      </c>
      <c r="G2356" s="11">
        <v>227416.76215940501</v>
      </c>
      <c r="H2356">
        <f t="shared" si="150"/>
        <v>227416.76215940501</v>
      </c>
      <c r="I2356" t="str">
        <f t="shared" si="151"/>
        <v/>
      </c>
      <c r="J2356" t="str">
        <f t="shared" si="152"/>
        <v/>
      </c>
      <c r="K2356">
        <f>IF(E2356="","",SUM(ContractsTbl[[#This Row],[salaryY1]:[salaryY4]]))</f>
        <v>454833.52431881003</v>
      </c>
      <c r="L2356" t="b">
        <f t="shared" si="153"/>
        <v>0</v>
      </c>
    </row>
    <row r="2357" spans="1:12" x14ac:dyDescent="0.2">
      <c r="A2357" t="s">
        <v>10118</v>
      </c>
      <c r="B2357" t="s">
        <v>74</v>
      </c>
      <c r="C2357" t="s">
        <v>9507</v>
      </c>
      <c r="D2357" t="s">
        <v>44</v>
      </c>
      <c r="E2357">
        <v>2025</v>
      </c>
      <c r="F2357">
        <v>2027</v>
      </c>
      <c r="G2357" s="11">
        <v>226376.129997449</v>
      </c>
      <c r="H2357">
        <f t="shared" si="150"/>
        <v>226376.129997449</v>
      </c>
      <c r="I2357" t="str">
        <f t="shared" si="151"/>
        <v/>
      </c>
      <c r="J2357" t="str">
        <f t="shared" si="152"/>
        <v/>
      </c>
      <c r="K2357">
        <f>IF(E2357="","",SUM(ContractsTbl[[#This Row],[salaryY1]:[salaryY4]]))</f>
        <v>452752.25999489799</v>
      </c>
      <c r="L2357" t="b">
        <f t="shared" si="153"/>
        <v>0</v>
      </c>
    </row>
    <row r="2358" spans="1:12" x14ac:dyDescent="0.2">
      <c r="A2358" t="s">
        <v>10119</v>
      </c>
      <c r="B2358" t="s">
        <v>74</v>
      </c>
      <c r="C2358" t="s">
        <v>9508</v>
      </c>
      <c r="D2358" t="s">
        <v>44</v>
      </c>
      <c r="E2358">
        <v>2025</v>
      </c>
      <c r="F2358">
        <v>2027</v>
      </c>
      <c r="G2358" s="11">
        <v>225335.49783549301</v>
      </c>
      <c r="H2358">
        <f t="shared" si="150"/>
        <v>225335.49783549301</v>
      </c>
      <c r="I2358" t="str">
        <f t="shared" si="151"/>
        <v/>
      </c>
      <c r="J2358" t="str">
        <f t="shared" si="152"/>
        <v/>
      </c>
      <c r="K2358">
        <f>IF(E2358="","",SUM(ContractsTbl[[#This Row],[salaryY1]:[salaryY4]]))</f>
        <v>450670.99567098601</v>
      </c>
      <c r="L2358" t="b">
        <f t="shared" si="153"/>
        <v>0</v>
      </c>
    </row>
    <row r="2359" spans="1:12" x14ac:dyDescent="0.2">
      <c r="A2359" t="s">
        <v>10120</v>
      </c>
      <c r="B2359" t="s">
        <v>74</v>
      </c>
      <c r="C2359" t="s">
        <v>9509</v>
      </c>
      <c r="D2359" t="s">
        <v>44</v>
      </c>
      <c r="E2359">
        <v>2025</v>
      </c>
      <c r="F2359">
        <v>2027</v>
      </c>
      <c r="G2359" s="11">
        <v>224294.86567353699</v>
      </c>
      <c r="H2359">
        <f t="shared" si="150"/>
        <v>224294.86567353699</v>
      </c>
      <c r="I2359" t="str">
        <f t="shared" si="151"/>
        <v/>
      </c>
      <c r="J2359" t="str">
        <f t="shared" si="152"/>
        <v/>
      </c>
      <c r="K2359">
        <f>IF(E2359="","",SUM(ContractsTbl[[#This Row],[salaryY1]:[salaryY4]]))</f>
        <v>448589.73134707398</v>
      </c>
      <c r="L2359" t="b">
        <f t="shared" si="153"/>
        <v>0</v>
      </c>
    </row>
    <row r="2360" spans="1:12" x14ac:dyDescent="0.2">
      <c r="A2360" t="s">
        <v>10121</v>
      </c>
      <c r="B2360" t="s">
        <v>74</v>
      </c>
      <c r="C2360" t="s">
        <v>9510</v>
      </c>
      <c r="D2360" t="s">
        <v>44</v>
      </c>
      <c r="E2360">
        <v>2025</v>
      </c>
      <c r="F2360">
        <v>2027</v>
      </c>
      <c r="G2360" s="11">
        <v>223254.233511581</v>
      </c>
      <c r="H2360">
        <f t="shared" si="150"/>
        <v>223254.233511581</v>
      </c>
      <c r="I2360" t="str">
        <f t="shared" si="151"/>
        <v/>
      </c>
      <c r="J2360" t="str">
        <f t="shared" si="152"/>
        <v/>
      </c>
      <c r="K2360">
        <f>IF(E2360="","",SUM(ContractsTbl[[#This Row],[salaryY1]:[salaryY4]]))</f>
        <v>446508.467023162</v>
      </c>
      <c r="L2360" t="b">
        <f t="shared" si="153"/>
        <v>0</v>
      </c>
    </row>
    <row r="2361" spans="1:12" x14ac:dyDescent="0.2">
      <c r="A2361" t="s">
        <v>10122</v>
      </c>
      <c r="B2361" t="s">
        <v>74</v>
      </c>
      <c r="C2361" t="s">
        <v>9511</v>
      </c>
      <c r="D2361" t="s">
        <v>44</v>
      </c>
      <c r="E2361">
        <v>2025</v>
      </c>
      <c r="F2361">
        <v>2027</v>
      </c>
      <c r="G2361" s="11">
        <v>222213.60134962501</v>
      </c>
      <c r="H2361">
        <f t="shared" si="150"/>
        <v>222213.60134962501</v>
      </c>
      <c r="I2361" t="str">
        <f t="shared" si="151"/>
        <v/>
      </c>
      <c r="J2361" t="str">
        <f t="shared" si="152"/>
        <v/>
      </c>
      <c r="K2361">
        <f>IF(E2361="","",SUM(ContractsTbl[[#This Row],[salaryY1]:[salaryY4]]))</f>
        <v>444427.20269925002</v>
      </c>
      <c r="L2361" t="b">
        <f t="shared" si="153"/>
        <v>0</v>
      </c>
    </row>
    <row r="2362" spans="1:12" x14ac:dyDescent="0.2">
      <c r="A2362" t="s">
        <v>10123</v>
      </c>
      <c r="B2362" t="s">
        <v>74</v>
      </c>
      <c r="C2362" t="s">
        <v>9512</v>
      </c>
      <c r="D2362" t="s">
        <v>44</v>
      </c>
      <c r="E2362">
        <v>2025</v>
      </c>
      <c r="F2362">
        <v>2027</v>
      </c>
      <c r="G2362" s="11">
        <v>221172.96918766899</v>
      </c>
      <c r="H2362">
        <f t="shared" si="150"/>
        <v>221172.96918766899</v>
      </c>
      <c r="I2362" t="str">
        <f t="shared" si="151"/>
        <v/>
      </c>
      <c r="J2362" t="str">
        <f t="shared" si="152"/>
        <v/>
      </c>
      <c r="K2362">
        <f>IF(E2362="","",SUM(ContractsTbl[[#This Row],[salaryY1]:[salaryY4]]))</f>
        <v>442345.93837533798</v>
      </c>
      <c r="L2362" t="b">
        <f t="shared" si="153"/>
        <v>0</v>
      </c>
    </row>
    <row r="2363" spans="1:12" x14ac:dyDescent="0.2">
      <c r="A2363" t="s">
        <v>10124</v>
      </c>
      <c r="B2363" t="s">
        <v>74</v>
      </c>
      <c r="C2363" t="s">
        <v>9513</v>
      </c>
      <c r="D2363" t="s">
        <v>44</v>
      </c>
      <c r="E2363">
        <v>2025</v>
      </c>
      <c r="F2363">
        <v>2027</v>
      </c>
      <c r="G2363" s="11">
        <v>220132.337025713</v>
      </c>
      <c r="H2363">
        <f t="shared" si="150"/>
        <v>220132.337025713</v>
      </c>
      <c r="I2363" t="str">
        <f t="shared" si="151"/>
        <v/>
      </c>
      <c r="J2363" t="str">
        <f t="shared" si="152"/>
        <v/>
      </c>
      <c r="K2363">
        <f>IF(E2363="","",SUM(ContractsTbl[[#This Row],[salaryY1]:[salaryY4]]))</f>
        <v>440264.674051426</v>
      </c>
      <c r="L2363" t="b">
        <f t="shared" si="153"/>
        <v>0</v>
      </c>
    </row>
    <row r="2364" spans="1:12" x14ac:dyDescent="0.2">
      <c r="A2364" t="s">
        <v>10125</v>
      </c>
      <c r="B2364" t="s">
        <v>74</v>
      </c>
      <c r="C2364" t="s">
        <v>9514</v>
      </c>
      <c r="D2364" t="s">
        <v>44</v>
      </c>
      <c r="E2364">
        <v>2025</v>
      </c>
      <c r="F2364">
        <v>2027</v>
      </c>
      <c r="G2364" s="11">
        <v>219091.70486375701</v>
      </c>
      <c r="H2364">
        <f t="shared" si="150"/>
        <v>219091.70486375701</v>
      </c>
      <c r="I2364" t="str">
        <f t="shared" si="151"/>
        <v/>
      </c>
      <c r="J2364" t="str">
        <f t="shared" si="152"/>
        <v/>
      </c>
      <c r="K2364">
        <f>IF(E2364="","",SUM(ContractsTbl[[#This Row],[salaryY1]:[salaryY4]]))</f>
        <v>438183.40972751402</v>
      </c>
      <c r="L2364" t="b">
        <f t="shared" si="153"/>
        <v>0</v>
      </c>
    </row>
    <row r="2365" spans="1:12" x14ac:dyDescent="0.2">
      <c r="A2365" t="s">
        <v>10126</v>
      </c>
      <c r="B2365" t="s">
        <v>74</v>
      </c>
      <c r="C2365" t="s">
        <v>9515</v>
      </c>
      <c r="D2365" t="s">
        <v>44</v>
      </c>
      <c r="E2365">
        <v>2025</v>
      </c>
      <c r="F2365">
        <v>2027</v>
      </c>
      <c r="G2365" s="11">
        <v>218051.07270180099</v>
      </c>
      <c r="H2365">
        <f t="shared" si="150"/>
        <v>218051.07270180099</v>
      </c>
      <c r="I2365" t="str">
        <f t="shared" si="151"/>
        <v/>
      </c>
      <c r="J2365" t="str">
        <f t="shared" si="152"/>
        <v/>
      </c>
      <c r="K2365">
        <f>IF(E2365="","",SUM(ContractsTbl[[#This Row],[salaryY1]:[salaryY4]]))</f>
        <v>436102.14540360199</v>
      </c>
      <c r="L2365" t="b">
        <f t="shared" si="153"/>
        <v>0</v>
      </c>
    </row>
    <row r="2366" spans="1:12" x14ac:dyDescent="0.2">
      <c r="A2366" t="s">
        <v>10127</v>
      </c>
      <c r="B2366" t="s">
        <v>74</v>
      </c>
      <c r="C2366" t="s">
        <v>9516</v>
      </c>
      <c r="D2366" t="s">
        <v>44</v>
      </c>
      <c r="E2366">
        <v>2025</v>
      </c>
      <c r="F2366">
        <v>2027</v>
      </c>
      <c r="G2366" s="11">
        <v>217010.440539845</v>
      </c>
      <c r="H2366">
        <f t="shared" si="150"/>
        <v>217010.440539845</v>
      </c>
      <c r="I2366" t="str">
        <f t="shared" si="151"/>
        <v/>
      </c>
      <c r="J2366" t="str">
        <f t="shared" si="152"/>
        <v/>
      </c>
      <c r="K2366">
        <f>IF(E2366="","",SUM(ContractsTbl[[#This Row],[salaryY1]:[salaryY4]]))</f>
        <v>434020.88107969001</v>
      </c>
      <c r="L2366" t="b">
        <f t="shared" si="153"/>
        <v>0</v>
      </c>
    </row>
    <row r="2367" spans="1:12" x14ac:dyDescent="0.2">
      <c r="A2367" t="s">
        <v>10128</v>
      </c>
      <c r="B2367" t="s">
        <v>74</v>
      </c>
      <c r="C2367" t="s">
        <v>9517</v>
      </c>
      <c r="D2367" t="s">
        <v>44</v>
      </c>
      <c r="E2367">
        <v>2025</v>
      </c>
      <c r="F2367">
        <v>2027</v>
      </c>
      <c r="G2367" s="11">
        <v>215969.80837788901</v>
      </c>
      <c r="H2367">
        <f t="shared" si="150"/>
        <v>215969.80837788901</v>
      </c>
      <c r="I2367" t="str">
        <f t="shared" si="151"/>
        <v/>
      </c>
      <c r="J2367" t="str">
        <f t="shared" si="152"/>
        <v/>
      </c>
      <c r="K2367">
        <f>IF(E2367="","",SUM(ContractsTbl[[#This Row],[salaryY1]:[salaryY4]]))</f>
        <v>431939.61675577803</v>
      </c>
      <c r="L2367" t="b">
        <f t="shared" si="153"/>
        <v>0</v>
      </c>
    </row>
    <row r="2368" spans="1:12" x14ac:dyDescent="0.2">
      <c r="A2368" t="s">
        <v>10129</v>
      </c>
      <c r="B2368" t="s">
        <v>74</v>
      </c>
      <c r="C2368" t="s">
        <v>9518</v>
      </c>
      <c r="D2368" t="s">
        <v>44</v>
      </c>
      <c r="E2368">
        <v>2025</v>
      </c>
      <c r="F2368">
        <v>2027</v>
      </c>
      <c r="G2368" s="11">
        <v>214929.176215933</v>
      </c>
      <c r="H2368">
        <f t="shared" si="150"/>
        <v>214929.176215933</v>
      </c>
      <c r="I2368" t="str">
        <f t="shared" si="151"/>
        <v/>
      </c>
      <c r="J2368" t="str">
        <f t="shared" si="152"/>
        <v/>
      </c>
      <c r="K2368">
        <f>IF(E2368="","",SUM(ContractsTbl[[#This Row],[salaryY1]:[salaryY4]]))</f>
        <v>429858.35243186599</v>
      </c>
      <c r="L2368" t="b">
        <f t="shared" si="153"/>
        <v>0</v>
      </c>
    </row>
    <row r="2369" spans="1:12" x14ac:dyDescent="0.2">
      <c r="A2369" t="s">
        <v>10130</v>
      </c>
      <c r="B2369" t="s">
        <v>74</v>
      </c>
      <c r="C2369" t="s">
        <v>9519</v>
      </c>
      <c r="D2369" t="s">
        <v>44</v>
      </c>
      <c r="E2369">
        <v>2025</v>
      </c>
      <c r="F2369">
        <v>2027</v>
      </c>
      <c r="G2369" s="11">
        <v>213888.54405397701</v>
      </c>
      <c r="H2369">
        <f t="shared" si="150"/>
        <v>213888.54405397701</v>
      </c>
      <c r="I2369" t="str">
        <f t="shared" si="151"/>
        <v/>
      </c>
      <c r="J2369" t="str">
        <f t="shared" si="152"/>
        <v/>
      </c>
      <c r="K2369">
        <f>IF(E2369="","",SUM(ContractsTbl[[#This Row],[salaryY1]:[salaryY4]]))</f>
        <v>427777.08810795401</v>
      </c>
      <c r="L2369" t="b">
        <f t="shared" si="153"/>
        <v>0</v>
      </c>
    </row>
    <row r="2370" spans="1:12" x14ac:dyDescent="0.2">
      <c r="A2370" t="s">
        <v>10131</v>
      </c>
      <c r="B2370" t="s">
        <v>74</v>
      </c>
      <c r="C2370" t="s">
        <v>9520</v>
      </c>
      <c r="D2370" t="s">
        <v>44</v>
      </c>
      <c r="E2370">
        <v>2025</v>
      </c>
      <c r="F2370">
        <v>2027</v>
      </c>
      <c r="G2370" s="11">
        <v>212847.91189202099</v>
      </c>
      <c r="H2370">
        <f t="shared" si="150"/>
        <v>212847.91189202099</v>
      </c>
      <c r="I2370" t="str">
        <f t="shared" si="151"/>
        <v/>
      </c>
      <c r="J2370" t="str">
        <f t="shared" si="152"/>
        <v/>
      </c>
      <c r="K2370">
        <f>IF(E2370="","",SUM(ContractsTbl[[#This Row],[salaryY1]:[salaryY4]]))</f>
        <v>425695.82378404198</v>
      </c>
      <c r="L2370" t="b">
        <f t="shared" si="153"/>
        <v>0</v>
      </c>
    </row>
    <row r="2371" spans="1:12" x14ac:dyDescent="0.2">
      <c r="A2371" t="s">
        <v>10132</v>
      </c>
      <c r="B2371" t="s">
        <v>74</v>
      </c>
      <c r="C2371" t="s">
        <v>9521</v>
      </c>
      <c r="D2371" t="s">
        <v>44</v>
      </c>
      <c r="E2371">
        <v>2025</v>
      </c>
      <c r="F2371">
        <v>2027</v>
      </c>
      <c r="G2371" s="11">
        <v>211807.279730065</v>
      </c>
      <c r="H2371">
        <f t="shared" si="150"/>
        <v>211807.279730065</v>
      </c>
      <c r="I2371" t="str">
        <f t="shared" si="151"/>
        <v/>
      </c>
      <c r="J2371" t="str">
        <f t="shared" si="152"/>
        <v/>
      </c>
      <c r="K2371">
        <f>IF(E2371="","",SUM(ContractsTbl[[#This Row],[salaryY1]:[salaryY4]]))</f>
        <v>423614.55946013</v>
      </c>
      <c r="L2371" t="b">
        <f t="shared" si="153"/>
        <v>0</v>
      </c>
    </row>
    <row r="2372" spans="1:12" x14ac:dyDescent="0.2">
      <c r="A2372" t="s">
        <v>10133</v>
      </c>
      <c r="B2372" t="s">
        <v>74</v>
      </c>
      <c r="C2372" t="s">
        <v>9522</v>
      </c>
      <c r="D2372" t="s">
        <v>44</v>
      </c>
      <c r="E2372">
        <v>2025</v>
      </c>
      <c r="F2372">
        <v>2027</v>
      </c>
      <c r="G2372" s="11">
        <v>210766.64756810799</v>
      </c>
      <c r="H2372">
        <f t="shared" si="150"/>
        <v>210766.64756810799</v>
      </c>
      <c r="I2372" t="str">
        <f t="shared" si="151"/>
        <v/>
      </c>
      <c r="J2372" t="str">
        <f t="shared" si="152"/>
        <v/>
      </c>
      <c r="K2372">
        <f>IF(E2372="","",SUM(ContractsTbl[[#This Row],[salaryY1]:[salaryY4]]))</f>
        <v>421533.29513621598</v>
      </c>
      <c r="L2372" t="b">
        <f t="shared" si="153"/>
        <v>0</v>
      </c>
    </row>
    <row r="2373" spans="1:12" x14ac:dyDescent="0.2">
      <c r="A2373" t="s">
        <v>10134</v>
      </c>
      <c r="B2373" t="s">
        <v>74</v>
      </c>
      <c r="C2373" t="s">
        <v>9523</v>
      </c>
      <c r="D2373" t="s">
        <v>44</v>
      </c>
      <c r="E2373">
        <v>2025</v>
      </c>
      <c r="F2373">
        <v>2027</v>
      </c>
      <c r="G2373" s="11">
        <v>209726.015406152</v>
      </c>
      <c r="H2373">
        <f t="shared" si="150"/>
        <v>209726.015406152</v>
      </c>
      <c r="I2373" t="str">
        <f t="shared" si="151"/>
        <v/>
      </c>
      <c r="J2373" t="str">
        <f t="shared" si="152"/>
        <v/>
      </c>
      <c r="K2373">
        <f>IF(E2373="","",SUM(ContractsTbl[[#This Row],[salaryY1]:[salaryY4]]))</f>
        <v>419452.030812304</v>
      </c>
      <c r="L2373" t="b">
        <f t="shared" si="153"/>
        <v>0</v>
      </c>
    </row>
    <row r="2374" spans="1:12" x14ac:dyDescent="0.2">
      <c r="A2374" t="s">
        <v>10135</v>
      </c>
      <c r="B2374" t="s">
        <v>74</v>
      </c>
      <c r="C2374" t="s">
        <v>9524</v>
      </c>
      <c r="D2374" t="s">
        <v>44</v>
      </c>
      <c r="E2374">
        <v>2025</v>
      </c>
      <c r="F2374">
        <v>2027</v>
      </c>
      <c r="G2374" s="11">
        <v>208685.38324419601</v>
      </c>
      <c r="H2374">
        <f t="shared" si="150"/>
        <v>208685.38324419601</v>
      </c>
      <c r="I2374" t="str">
        <f t="shared" si="151"/>
        <v/>
      </c>
      <c r="J2374" t="str">
        <f t="shared" si="152"/>
        <v/>
      </c>
      <c r="K2374">
        <f>IF(E2374="","",SUM(ContractsTbl[[#This Row],[salaryY1]:[salaryY4]]))</f>
        <v>417370.76648839202</v>
      </c>
      <c r="L2374" t="b">
        <f t="shared" si="153"/>
        <v>0</v>
      </c>
    </row>
    <row r="2375" spans="1:12" x14ac:dyDescent="0.2">
      <c r="A2375" t="s">
        <v>10136</v>
      </c>
      <c r="B2375" t="s">
        <v>74</v>
      </c>
      <c r="C2375" t="s">
        <v>9525</v>
      </c>
      <c r="D2375" t="s">
        <v>44</v>
      </c>
      <c r="E2375">
        <v>2025</v>
      </c>
      <c r="F2375">
        <v>2027</v>
      </c>
      <c r="G2375" s="11">
        <v>207644.75108223999</v>
      </c>
      <c r="H2375">
        <f t="shared" si="150"/>
        <v>207644.75108223999</v>
      </c>
      <c r="I2375" t="str">
        <f t="shared" si="151"/>
        <v/>
      </c>
      <c r="J2375" t="str">
        <f t="shared" si="152"/>
        <v/>
      </c>
      <c r="K2375">
        <f>IF(E2375="","",SUM(ContractsTbl[[#This Row],[salaryY1]:[salaryY4]]))</f>
        <v>415289.50216447999</v>
      </c>
      <c r="L2375" t="b">
        <f t="shared" si="153"/>
        <v>0</v>
      </c>
    </row>
    <row r="2376" spans="1:12" x14ac:dyDescent="0.2">
      <c r="A2376" t="s">
        <v>10137</v>
      </c>
      <c r="B2376" t="s">
        <v>74</v>
      </c>
      <c r="C2376" t="s">
        <v>9526</v>
      </c>
      <c r="D2376" t="s">
        <v>44</v>
      </c>
      <c r="E2376">
        <v>2025</v>
      </c>
      <c r="F2376">
        <v>2027</v>
      </c>
      <c r="G2376" s="11">
        <v>206604.118920284</v>
      </c>
      <c r="H2376">
        <f t="shared" si="150"/>
        <v>206604.118920284</v>
      </c>
      <c r="I2376" t="str">
        <f t="shared" si="151"/>
        <v/>
      </c>
      <c r="J2376" t="str">
        <f t="shared" si="152"/>
        <v/>
      </c>
      <c r="K2376">
        <f>IF(E2376="","",SUM(ContractsTbl[[#This Row],[salaryY1]:[salaryY4]]))</f>
        <v>413208.23784056801</v>
      </c>
      <c r="L2376" t="b">
        <f t="shared" si="153"/>
        <v>0</v>
      </c>
    </row>
    <row r="2377" spans="1:12" x14ac:dyDescent="0.2">
      <c r="A2377" t="s">
        <v>10138</v>
      </c>
      <c r="B2377" t="s">
        <v>74</v>
      </c>
      <c r="C2377" t="s">
        <v>9527</v>
      </c>
      <c r="D2377" t="s">
        <v>44</v>
      </c>
      <c r="E2377">
        <v>2025</v>
      </c>
      <c r="F2377">
        <v>2027</v>
      </c>
      <c r="G2377" s="11">
        <v>205563.48675832801</v>
      </c>
      <c r="H2377">
        <f t="shared" si="150"/>
        <v>205563.48675832801</v>
      </c>
      <c r="I2377" t="str">
        <f t="shared" si="151"/>
        <v/>
      </c>
      <c r="J2377" t="str">
        <f t="shared" si="152"/>
        <v/>
      </c>
      <c r="K2377">
        <f>IF(E2377="","",SUM(ContractsTbl[[#This Row],[salaryY1]:[salaryY4]]))</f>
        <v>411126.97351665603</v>
      </c>
      <c r="L2377" t="b">
        <f t="shared" si="153"/>
        <v>0</v>
      </c>
    </row>
    <row r="2378" spans="1:12" x14ac:dyDescent="0.2">
      <c r="A2378" t="s">
        <v>10139</v>
      </c>
      <c r="B2378" t="s">
        <v>74</v>
      </c>
      <c r="C2378" t="s">
        <v>9528</v>
      </c>
      <c r="D2378" t="s">
        <v>44</v>
      </c>
      <c r="E2378">
        <v>2025</v>
      </c>
      <c r="F2378">
        <v>2027</v>
      </c>
      <c r="G2378" s="11">
        <v>204522.854596372</v>
      </c>
      <c r="H2378">
        <f t="shared" si="150"/>
        <v>204522.854596372</v>
      </c>
      <c r="I2378" t="str">
        <f t="shared" si="151"/>
        <v/>
      </c>
      <c r="J2378" t="str">
        <f t="shared" si="152"/>
        <v/>
      </c>
      <c r="K2378">
        <f>IF(E2378="","",SUM(ContractsTbl[[#This Row],[salaryY1]:[salaryY4]]))</f>
        <v>409045.70919274399</v>
      </c>
      <c r="L2378" t="b">
        <f t="shared" si="153"/>
        <v>0</v>
      </c>
    </row>
    <row r="2379" spans="1:12" x14ac:dyDescent="0.2">
      <c r="A2379" t="s">
        <v>10140</v>
      </c>
      <c r="B2379" t="s">
        <v>74</v>
      </c>
      <c r="C2379" t="s">
        <v>9529</v>
      </c>
      <c r="D2379" t="s">
        <v>44</v>
      </c>
      <c r="E2379">
        <v>2025</v>
      </c>
      <c r="F2379">
        <v>2027</v>
      </c>
      <c r="G2379" s="11">
        <v>203482.22243441601</v>
      </c>
      <c r="H2379">
        <f t="shared" si="150"/>
        <v>203482.22243441601</v>
      </c>
      <c r="I2379" t="str">
        <f t="shared" si="151"/>
        <v/>
      </c>
      <c r="J2379" t="str">
        <f t="shared" si="152"/>
        <v/>
      </c>
      <c r="K2379">
        <f>IF(E2379="","",SUM(ContractsTbl[[#This Row],[salaryY1]:[salaryY4]]))</f>
        <v>406964.44486883201</v>
      </c>
      <c r="L2379" t="b">
        <f t="shared" si="153"/>
        <v>0</v>
      </c>
    </row>
    <row r="2380" spans="1:12" x14ac:dyDescent="0.2">
      <c r="A2380" t="s">
        <v>10141</v>
      </c>
      <c r="B2380" t="s">
        <v>74</v>
      </c>
      <c r="C2380" t="s">
        <v>9530</v>
      </c>
      <c r="D2380" t="s">
        <v>44</v>
      </c>
      <c r="E2380">
        <v>2025</v>
      </c>
      <c r="F2380">
        <v>2027</v>
      </c>
      <c r="G2380" s="11">
        <v>202441.59027245999</v>
      </c>
      <c r="H2380">
        <f t="shared" si="150"/>
        <v>202441.59027245999</v>
      </c>
      <c r="I2380" t="str">
        <f t="shared" si="151"/>
        <v/>
      </c>
      <c r="J2380" t="str">
        <f t="shared" si="152"/>
        <v/>
      </c>
      <c r="K2380">
        <f>IF(E2380="","",SUM(ContractsTbl[[#This Row],[salaryY1]:[salaryY4]]))</f>
        <v>404883.18054491997</v>
      </c>
      <c r="L2380" t="b">
        <f t="shared" si="153"/>
        <v>0</v>
      </c>
    </row>
    <row r="2381" spans="1:12" x14ac:dyDescent="0.2">
      <c r="A2381" t="s">
        <v>10142</v>
      </c>
      <c r="B2381" t="s">
        <v>74</v>
      </c>
      <c r="C2381" t="s">
        <v>9531</v>
      </c>
      <c r="D2381" t="s">
        <v>44</v>
      </c>
      <c r="E2381">
        <v>2025</v>
      </c>
      <c r="F2381">
        <v>2027</v>
      </c>
      <c r="G2381" s="11">
        <v>201400.958110504</v>
      </c>
      <c r="H2381">
        <f t="shared" si="150"/>
        <v>201400.958110504</v>
      </c>
      <c r="I2381" t="str">
        <f t="shared" si="151"/>
        <v/>
      </c>
      <c r="J2381" t="str">
        <f t="shared" si="152"/>
        <v/>
      </c>
      <c r="K2381">
        <f>IF(E2381="","",SUM(ContractsTbl[[#This Row],[salaryY1]:[salaryY4]]))</f>
        <v>402801.916221008</v>
      </c>
      <c r="L2381" t="b">
        <f t="shared" si="153"/>
        <v>0</v>
      </c>
    </row>
    <row r="2382" spans="1:12" x14ac:dyDescent="0.2">
      <c r="A2382" t="s">
        <v>10143</v>
      </c>
      <c r="B2382" t="s">
        <v>74</v>
      </c>
      <c r="C2382" t="s">
        <v>9532</v>
      </c>
      <c r="D2382" t="s">
        <v>44</v>
      </c>
      <c r="E2382">
        <v>2025</v>
      </c>
      <c r="F2382">
        <v>2027</v>
      </c>
      <c r="G2382" s="11">
        <v>200360.32594854801</v>
      </c>
      <c r="H2382">
        <f t="shared" si="150"/>
        <v>200360.32594854801</v>
      </c>
      <c r="I2382" t="str">
        <f t="shared" si="151"/>
        <v/>
      </c>
      <c r="J2382" t="str">
        <f t="shared" si="152"/>
        <v/>
      </c>
      <c r="K2382">
        <f>IF(E2382="","",SUM(ContractsTbl[[#This Row],[salaryY1]:[salaryY4]]))</f>
        <v>400720.65189709602</v>
      </c>
      <c r="L2382" t="b">
        <f t="shared" si="153"/>
        <v>0</v>
      </c>
    </row>
    <row r="2383" spans="1:12" x14ac:dyDescent="0.2">
      <c r="A2383" t="s">
        <v>10144</v>
      </c>
      <c r="B2383" t="s">
        <v>74</v>
      </c>
      <c r="C2383" t="s">
        <v>9533</v>
      </c>
      <c r="D2383" t="s">
        <v>44</v>
      </c>
      <c r="E2383">
        <v>2025</v>
      </c>
      <c r="F2383">
        <v>2027</v>
      </c>
      <c r="G2383" s="11">
        <v>199319.69378659199</v>
      </c>
      <c r="H2383">
        <f t="shared" si="150"/>
        <v>199319.69378659199</v>
      </c>
      <c r="I2383" t="str">
        <f t="shared" si="151"/>
        <v/>
      </c>
      <c r="J2383" t="str">
        <f t="shared" si="152"/>
        <v/>
      </c>
      <c r="K2383">
        <f>IF(E2383="","",SUM(ContractsTbl[[#This Row],[salaryY1]:[salaryY4]]))</f>
        <v>398639.38757318398</v>
      </c>
      <c r="L2383" t="b">
        <f t="shared" si="153"/>
        <v>0</v>
      </c>
    </row>
    <row r="2384" spans="1:12" x14ac:dyDescent="0.2">
      <c r="A2384" t="s">
        <v>10145</v>
      </c>
      <c r="B2384" t="s">
        <v>74</v>
      </c>
      <c r="C2384" t="s">
        <v>9534</v>
      </c>
      <c r="D2384" t="s">
        <v>44</v>
      </c>
      <c r="E2384">
        <v>2025</v>
      </c>
      <c r="F2384">
        <v>2027</v>
      </c>
      <c r="G2384" s="11">
        <v>198279.061624636</v>
      </c>
      <c r="H2384">
        <f t="shared" si="150"/>
        <v>198279.061624636</v>
      </c>
      <c r="I2384" t="str">
        <f t="shared" si="151"/>
        <v/>
      </c>
      <c r="J2384" t="str">
        <f t="shared" si="152"/>
        <v/>
      </c>
      <c r="K2384">
        <f>IF(E2384="","",SUM(ContractsTbl[[#This Row],[salaryY1]:[salaryY4]]))</f>
        <v>396558.123249272</v>
      </c>
      <c r="L2384" t="b">
        <f t="shared" si="153"/>
        <v>0</v>
      </c>
    </row>
    <row r="2385" spans="1:12" x14ac:dyDescent="0.2">
      <c r="A2385" t="s">
        <v>10146</v>
      </c>
      <c r="B2385" t="s">
        <v>74</v>
      </c>
      <c r="C2385" t="s">
        <v>9535</v>
      </c>
      <c r="D2385" t="s">
        <v>44</v>
      </c>
      <c r="E2385">
        <v>2025</v>
      </c>
      <c r="F2385">
        <v>2027</v>
      </c>
      <c r="G2385" s="11">
        <v>197238.42946268001</v>
      </c>
      <c r="H2385">
        <f t="shared" si="150"/>
        <v>197238.42946268001</v>
      </c>
      <c r="I2385" t="str">
        <f t="shared" si="151"/>
        <v/>
      </c>
      <c r="J2385" t="str">
        <f t="shared" si="152"/>
        <v/>
      </c>
      <c r="K2385">
        <f>IF(E2385="","",SUM(ContractsTbl[[#This Row],[salaryY1]:[salaryY4]]))</f>
        <v>394476.85892536002</v>
      </c>
      <c r="L2385" t="b">
        <f t="shared" si="153"/>
        <v>0</v>
      </c>
    </row>
    <row r="2386" spans="1:12" x14ac:dyDescent="0.2">
      <c r="A2386" t="s">
        <v>10147</v>
      </c>
      <c r="B2386" t="s">
        <v>74</v>
      </c>
      <c r="C2386" t="s">
        <v>9536</v>
      </c>
      <c r="D2386" t="s">
        <v>44</v>
      </c>
      <c r="E2386">
        <v>2025</v>
      </c>
      <c r="F2386">
        <v>2027</v>
      </c>
      <c r="G2386" s="11">
        <v>196197.79730072399</v>
      </c>
      <c r="H2386">
        <f t="shared" si="150"/>
        <v>196197.79730072399</v>
      </c>
      <c r="I2386" t="str">
        <f t="shared" si="151"/>
        <v/>
      </c>
      <c r="J2386" t="str">
        <f t="shared" si="152"/>
        <v/>
      </c>
      <c r="K2386">
        <f>IF(E2386="","",SUM(ContractsTbl[[#This Row],[salaryY1]:[salaryY4]]))</f>
        <v>392395.59460144799</v>
      </c>
      <c r="L2386" t="b">
        <f t="shared" si="153"/>
        <v>0</v>
      </c>
    </row>
    <row r="2387" spans="1:12" x14ac:dyDescent="0.2">
      <c r="A2387" t="s">
        <v>10148</v>
      </c>
      <c r="B2387" t="s">
        <v>74</v>
      </c>
      <c r="C2387" t="s">
        <v>9537</v>
      </c>
      <c r="D2387" t="s">
        <v>44</v>
      </c>
      <c r="E2387">
        <v>2025</v>
      </c>
      <c r="F2387">
        <v>2027</v>
      </c>
      <c r="G2387" s="11">
        <v>195157.165138768</v>
      </c>
      <c r="H2387">
        <f t="shared" si="150"/>
        <v>195157.165138768</v>
      </c>
      <c r="I2387" t="str">
        <f t="shared" si="151"/>
        <v/>
      </c>
      <c r="J2387" t="str">
        <f t="shared" si="152"/>
        <v/>
      </c>
      <c r="K2387">
        <f>IF(E2387="","",SUM(ContractsTbl[[#This Row],[salaryY1]:[salaryY4]]))</f>
        <v>390314.33027753601</v>
      </c>
      <c r="L2387" t="b">
        <f t="shared" si="153"/>
        <v>0</v>
      </c>
    </row>
    <row r="2388" spans="1:12" x14ac:dyDescent="0.2">
      <c r="A2388" t="s">
        <v>10149</v>
      </c>
      <c r="B2388" t="s">
        <v>74</v>
      </c>
      <c r="C2388" t="s">
        <v>9538</v>
      </c>
      <c r="D2388" t="s">
        <v>44</v>
      </c>
      <c r="E2388">
        <v>2025</v>
      </c>
      <c r="F2388">
        <v>2027</v>
      </c>
      <c r="G2388" s="11">
        <v>194116.53297681201</v>
      </c>
      <c r="H2388">
        <f t="shared" si="150"/>
        <v>194116.53297681201</v>
      </c>
      <c r="I2388" t="str">
        <f t="shared" si="151"/>
        <v/>
      </c>
      <c r="J2388" t="str">
        <f t="shared" si="152"/>
        <v/>
      </c>
      <c r="K2388">
        <f>IF(E2388="","",SUM(ContractsTbl[[#This Row],[salaryY1]:[salaryY4]]))</f>
        <v>388233.06595362403</v>
      </c>
      <c r="L2388" t="b">
        <f t="shared" si="153"/>
        <v>0</v>
      </c>
    </row>
    <row r="2389" spans="1:12" x14ac:dyDescent="0.2">
      <c r="A2389" t="s">
        <v>10150</v>
      </c>
      <c r="B2389" t="s">
        <v>74</v>
      </c>
      <c r="C2389" t="s">
        <v>9539</v>
      </c>
      <c r="D2389" t="s">
        <v>44</v>
      </c>
      <c r="E2389">
        <v>2025</v>
      </c>
      <c r="F2389">
        <v>2027</v>
      </c>
      <c r="G2389" s="11">
        <v>193075.900814856</v>
      </c>
      <c r="H2389">
        <f t="shared" si="150"/>
        <v>193075.900814856</v>
      </c>
      <c r="I2389" t="str">
        <f t="shared" si="151"/>
        <v/>
      </c>
      <c r="J2389" t="str">
        <f t="shared" si="152"/>
        <v/>
      </c>
      <c r="K2389">
        <f>IF(E2389="","",SUM(ContractsTbl[[#This Row],[salaryY1]:[salaryY4]]))</f>
        <v>386151.80162971199</v>
      </c>
      <c r="L2389" t="b">
        <f t="shared" si="153"/>
        <v>0</v>
      </c>
    </row>
    <row r="2390" spans="1:12" x14ac:dyDescent="0.2">
      <c r="A2390" t="s">
        <v>10151</v>
      </c>
      <c r="B2390" t="s">
        <v>74</v>
      </c>
      <c r="C2390" t="s">
        <v>9540</v>
      </c>
      <c r="D2390" t="s">
        <v>44</v>
      </c>
      <c r="E2390">
        <v>2025</v>
      </c>
      <c r="F2390">
        <v>2027</v>
      </c>
      <c r="G2390" s="11">
        <v>192035.26865290001</v>
      </c>
      <c r="H2390">
        <f t="shared" si="150"/>
        <v>192035.26865290001</v>
      </c>
      <c r="I2390" t="str">
        <f t="shared" si="151"/>
        <v/>
      </c>
      <c r="J2390" t="str">
        <f t="shared" si="152"/>
        <v/>
      </c>
      <c r="K2390">
        <f>IF(E2390="","",SUM(ContractsTbl[[#This Row],[salaryY1]:[salaryY4]]))</f>
        <v>384070.53730580001</v>
      </c>
      <c r="L2390" t="b">
        <f t="shared" si="153"/>
        <v>0</v>
      </c>
    </row>
    <row r="2391" spans="1:12" x14ac:dyDescent="0.2">
      <c r="A2391" t="s">
        <v>10152</v>
      </c>
      <c r="B2391" t="s">
        <v>74</v>
      </c>
      <c r="C2391" t="s">
        <v>9541</v>
      </c>
      <c r="D2391" t="s">
        <v>44</v>
      </c>
      <c r="E2391">
        <v>2025</v>
      </c>
      <c r="F2391">
        <v>2027</v>
      </c>
      <c r="G2391" s="11">
        <v>190994.63649094399</v>
      </c>
      <c r="H2391">
        <f t="shared" si="150"/>
        <v>190994.63649094399</v>
      </c>
      <c r="I2391" t="str">
        <f t="shared" si="151"/>
        <v/>
      </c>
      <c r="J2391" t="str">
        <f t="shared" si="152"/>
        <v/>
      </c>
      <c r="K2391">
        <f>IF(E2391="","",SUM(ContractsTbl[[#This Row],[salaryY1]:[salaryY4]]))</f>
        <v>381989.27298188797</v>
      </c>
      <c r="L2391" t="b">
        <f t="shared" si="153"/>
        <v>0</v>
      </c>
    </row>
    <row r="2392" spans="1:12" x14ac:dyDescent="0.2">
      <c r="A2392" t="s">
        <v>10153</v>
      </c>
      <c r="B2392" t="s">
        <v>74</v>
      </c>
      <c r="C2392" t="s">
        <v>9542</v>
      </c>
      <c r="D2392" t="s">
        <v>44</v>
      </c>
      <c r="E2392">
        <v>2025</v>
      </c>
      <c r="F2392">
        <v>2027</v>
      </c>
      <c r="G2392" s="11">
        <v>189954.004328988</v>
      </c>
      <c r="H2392">
        <f t="shared" si="150"/>
        <v>189954.004328988</v>
      </c>
      <c r="I2392" t="str">
        <f t="shared" si="151"/>
        <v/>
      </c>
      <c r="J2392" t="str">
        <f t="shared" si="152"/>
        <v/>
      </c>
      <c r="K2392">
        <f>IF(E2392="","",SUM(ContractsTbl[[#This Row],[salaryY1]:[salaryY4]]))</f>
        <v>379908.008657976</v>
      </c>
      <c r="L2392" t="b">
        <f t="shared" si="153"/>
        <v>0</v>
      </c>
    </row>
    <row r="2393" spans="1:12" x14ac:dyDescent="0.2">
      <c r="A2393" t="s">
        <v>10154</v>
      </c>
      <c r="B2393" t="s">
        <v>74</v>
      </c>
      <c r="C2393" t="s">
        <v>9543</v>
      </c>
      <c r="D2393" t="s">
        <v>44</v>
      </c>
      <c r="E2393">
        <v>2025</v>
      </c>
      <c r="F2393">
        <v>2027</v>
      </c>
      <c r="G2393" s="11">
        <v>188913.37216703201</v>
      </c>
      <c r="H2393">
        <f t="shared" si="150"/>
        <v>188913.37216703201</v>
      </c>
      <c r="I2393" t="str">
        <f t="shared" si="151"/>
        <v/>
      </c>
      <c r="J2393" t="str">
        <f t="shared" si="152"/>
        <v/>
      </c>
      <c r="K2393">
        <f>IF(E2393="","",SUM(ContractsTbl[[#This Row],[salaryY1]:[salaryY4]]))</f>
        <v>377826.74433406402</v>
      </c>
      <c r="L2393" t="b">
        <f t="shared" si="153"/>
        <v>0</v>
      </c>
    </row>
    <row r="2394" spans="1:12" x14ac:dyDescent="0.2">
      <c r="A2394" t="s">
        <v>10155</v>
      </c>
      <c r="B2394" t="s">
        <v>74</v>
      </c>
      <c r="C2394" t="s">
        <v>9544</v>
      </c>
      <c r="D2394" t="s">
        <v>44</v>
      </c>
      <c r="E2394">
        <v>2025</v>
      </c>
      <c r="F2394">
        <v>2027</v>
      </c>
      <c r="G2394" s="11">
        <v>187872.74000507599</v>
      </c>
      <c r="H2394">
        <f t="shared" ref="H2394:H2457" si="154">IF(F2394&gt;=2027,G2394,"")</f>
        <v>187872.74000507599</v>
      </c>
      <c r="I2394" t="str">
        <f t="shared" ref="I2394:I2457" si="155">IF(F2394&gt;=2028,G2394,"")</f>
        <v/>
      </c>
      <c r="J2394" t="str">
        <f t="shared" ref="J2394:J2457" si="156">IF(F2394&gt;=2029,G2394,"")</f>
        <v/>
      </c>
      <c r="K2394">
        <f>IF(E2394="","",SUM(ContractsTbl[[#This Row],[salaryY1]:[salaryY4]]))</f>
        <v>375745.48001015198</v>
      </c>
      <c r="L2394" t="b">
        <f t="shared" ref="L2394:L2457" si="157">IF(F2394="",TRUE,FALSE)</f>
        <v>0</v>
      </c>
    </row>
    <row r="2395" spans="1:12" x14ac:dyDescent="0.2">
      <c r="A2395" t="s">
        <v>10156</v>
      </c>
      <c r="B2395" t="s">
        <v>74</v>
      </c>
      <c r="C2395" t="s">
        <v>9545</v>
      </c>
      <c r="D2395" t="s">
        <v>44</v>
      </c>
      <c r="E2395">
        <v>2025</v>
      </c>
      <c r="F2395">
        <v>2027</v>
      </c>
      <c r="G2395" s="11">
        <v>186832.10784312</v>
      </c>
      <c r="H2395">
        <f t="shared" si="154"/>
        <v>186832.10784312</v>
      </c>
      <c r="I2395" t="str">
        <f t="shared" si="155"/>
        <v/>
      </c>
      <c r="J2395" t="str">
        <f t="shared" si="156"/>
        <v/>
      </c>
      <c r="K2395">
        <f>IF(E2395="","",SUM(ContractsTbl[[#This Row],[salaryY1]:[salaryY4]]))</f>
        <v>373664.21568624</v>
      </c>
      <c r="L2395" t="b">
        <f t="shared" si="157"/>
        <v>0</v>
      </c>
    </row>
    <row r="2396" spans="1:12" x14ac:dyDescent="0.2">
      <c r="A2396" t="s">
        <v>10157</v>
      </c>
      <c r="B2396" t="s">
        <v>74</v>
      </c>
      <c r="C2396" t="s">
        <v>9546</v>
      </c>
      <c r="D2396" t="s">
        <v>44</v>
      </c>
      <c r="E2396">
        <v>2025</v>
      </c>
      <c r="F2396">
        <v>2027</v>
      </c>
      <c r="G2396" s="11">
        <v>185791.47568116401</v>
      </c>
      <c r="H2396">
        <f t="shared" si="154"/>
        <v>185791.47568116401</v>
      </c>
      <c r="I2396" t="str">
        <f t="shared" si="155"/>
        <v/>
      </c>
      <c r="J2396" t="str">
        <f t="shared" si="156"/>
        <v/>
      </c>
      <c r="K2396">
        <f>IF(E2396="","",SUM(ContractsTbl[[#This Row],[salaryY1]:[salaryY4]]))</f>
        <v>371582.95136232802</v>
      </c>
      <c r="L2396" t="b">
        <f t="shared" si="157"/>
        <v>0</v>
      </c>
    </row>
    <row r="2397" spans="1:12" x14ac:dyDescent="0.2">
      <c r="A2397" t="s">
        <v>10158</v>
      </c>
      <c r="B2397" t="s">
        <v>74</v>
      </c>
      <c r="C2397" t="s">
        <v>9547</v>
      </c>
      <c r="D2397" t="s">
        <v>44</v>
      </c>
      <c r="E2397">
        <v>2025</v>
      </c>
      <c r="F2397">
        <v>2027</v>
      </c>
      <c r="G2397" s="11">
        <v>184750.84351920799</v>
      </c>
      <c r="H2397">
        <f t="shared" si="154"/>
        <v>184750.84351920799</v>
      </c>
      <c r="I2397" t="str">
        <f t="shared" si="155"/>
        <v/>
      </c>
      <c r="J2397" t="str">
        <f t="shared" si="156"/>
        <v/>
      </c>
      <c r="K2397">
        <f>IF(E2397="","",SUM(ContractsTbl[[#This Row],[salaryY1]:[salaryY4]]))</f>
        <v>369501.68703841598</v>
      </c>
      <c r="L2397" t="b">
        <f t="shared" si="157"/>
        <v>0</v>
      </c>
    </row>
    <row r="2398" spans="1:12" x14ac:dyDescent="0.2">
      <c r="A2398" t="s">
        <v>10159</v>
      </c>
      <c r="B2398" t="s">
        <v>74</v>
      </c>
      <c r="C2398" t="s">
        <v>9548</v>
      </c>
      <c r="D2398" t="s">
        <v>44</v>
      </c>
      <c r="E2398">
        <v>2025</v>
      </c>
      <c r="F2398">
        <v>2027</v>
      </c>
      <c r="G2398" s="11">
        <v>183710.211357252</v>
      </c>
      <c r="H2398">
        <f t="shared" si="154"/>
        <v>183710.211357252</v>
      </c>
      <c r="I2398" t="str">
        <f t="shared" si="155"/>
        <v/>
      </c>
      <c r="J2398" t="str">
        <f t="shared" si="156"/>
        <v/>
      </c>
      <c r="K2398">
        <f>IF(E2398="","",SUM(ContractsTbl[[#This Row],[salaryY1]:[salaryY4]]))</f>
        <v>367420.42271450401</v>
      </c>
      <c r="L2398" t="b">
        <f t="shared" si="157"/>
        <v>0</v>
      </c>
    </row>
    <row r="2399" spans="1:12" x14ac:dyDescent="0.2">
      <c r="A2399" t="s">
        <v>10160</v>
      </c>
      <c r="B2399" t="s">
        <v>74</v>
      </c>
      <c r="C2399" t="s">
        <v>9549</v>
      </c>
      <c r="D2399" t="s">
        <v>44</v>
      </c>
      <c r="E2399">
        <v>2025</v>
      </c>
      <c r="F2399">
        <v>2027</v>
      </c>
      <c r="G2399" s="11">
        <v>182669.57919529601</v>
      </c>
      <c r="H2399">
        <f t="shared" si="154"/>
        <v>182669.57919529601</v>
      </c>
      <c r="I2399" t="str">
        <f t="shared" si="155"/>
        <v/>
      </c>
      <c r="J2399" t="str">
        <f t="shared" si="156"/>
        <v/>
      </c>
      <c r="K2399">
        <f>IF(E2399="","",SUM(ContractsTbl[[#This Row],[salaryY1]:[salaryY4]]))</f>
        <v>365339.15839059203</v>
      </c>
      <c r="L2399" t="b">
        <f t="shared" si="157"/>
        <v>0</v>
      </c>
    </row>
    <row r="2400" spans="1:12" x14ac:dyDescent="0.2">
      <c r="A2400" t="s">
        <v>10161</v>
      </c>
      <c r="B2400" t="s">
        <v>74</v>
      </c>
      <c r="C2400" t="s">
        <v>9550</v>
      </c>
      <c r="D2400" t="s">
        <v>44</v>
      </c>
      <c r="E2400">
        <v>2025</v>
      </c>
      <c r="F2400">
        <v>2027</v>
      </c>
      <c r="G2400" s="11">
        <v>181628.94703333999</v>
      </c>
      <c r="H2400">
        <f t="shared" si="154"/>
        <v>181628.94703333999</v>
      </c>
      <c r="I2400" t="str">
        <f t="shared" si="155"/>
        <v/>
      </c>
      <c r="J2400" t="str">
        <f t="shared" si="156"/>
        <v/>
      </c>
      <c r="K2400">
        <f>IF(E2400="","",SUM(ContractsTbl[[#This Row],[salaryY1]:[salaryY4]]))</f>
        <v>363257.89406667999</v>
      </c>
      <c r="L2400" t="b">
        <f t="shared" si="157"/>
        <v>0</v>
      </c>
    </row>
    <row r="2401" spans="1:12" x14ac:dyDescent="0.2">
      <c r="A2401" t="s">
        <v>10162</v>
      </c>
      <c r="B2401" t="s">
        <v>74</v>
      </c>
      <c r="C2401" t="s">
        <v>9551</v>
      </c>
      <c r="D2401" t="s">
        <v>44</v>
      </c>
      <c r="E2401">
        <v>2025</v>
      </c>
      <c r="F2401">
        <v>2027</v>
      </c>
      <c r="G2401" s="11">
        <v>181628.94703333999</v>
      </c>
      <c r="H2401">
        <f t="shared" si="154"/>
        <v>181628.94703333999</v>
      </c>
      <c r="I2401" t="str">
        <f t="shared" si="155"/>
        <v/>
      </c>
      <c r="J2401" t="str">
        <f t="shared" si="156"/>
        <v/>
      </c>
      <c r="K2401">
        <f>IF(E2401="","",SUM(ContractsTbl[[#This Row],[salaryY1]:[salaryY4]]))</f>
        <v>363257.89406667999</v>
      </c>
      <c r="L2401" t="b">
        <f t="shared" si="157"/>
        <v>0</v>
      </c>
    </row>
    <row r="2402" spans="1:12" x14ac:dyDescent="0.2">
      <c r="A2402" t="s">
        <v>10163</v>
      </c>
      <c r="B2402" t="s">
        <v>74</v>
      </c>
      <c r="C2402" t="s">
        <v>9552</v>
      </c>
      <c r="D2402" t="s">
        <v>44</v>
      </c>
      <c r="E2402">
        <v>2025</v>
      </c>
      <c r="F2402">
        <v>2027</v>
      </c>
      <c r="G2402" s="11">
        <v>199319.69378659199</v>
      </c>
      <c r="H2402">
        <f t="shared" si="154"/>
        <v>199319.69378659199</v>
      </c>
      <c r="I2402" t="str">
        <f t="shared" si="155"/>
        <v/>
      </c>
      <c r="J2402" t="str">
        <f t="shared" si="156"/>
        <v/>
      </c>
      <c r="K2402">
        <f>IF(E2402="","",SUM(ContractsTbl[[#This Row],[salaryY1]:[salaryY4]]))</f>
        <v>398639.38757318398</v>
      </c>
      <c r="L2402" t="b">
        <f t="shared" si="157"/>
        <v>0</v>
      </c>
    </row>
    <row r="2403" spans="1:12" x14ac:dyDescent="0.2">
      <c r="A2403" t="s">
        <v>10164</v>
      </c>
      <c r="B2403" t="s">
        <v>74</v>
      </c>
      <c r="C2403" t="s">
        <v>9553</v>
      </c>
      <c r="D2403" t="s">
        <v>44</v>
      </c>
      <c r="E2403">
        <v>2025</v>
      </c>
      <c r="F2403">
        <v>2027</v>
      </c>
      <c r="G2403" s="11">
        <v>198279.061624636</v>
      </c>
      <c r="H2403">
        <f t="shared" si="154"/>
        <v>198279.061624636</v>
      </c>
      <c r="I2403" t="str">
        <f t="shared" si="155"/>
        <v/>
      </c>
      <c r="J2403" t="str">
        <f t="shared" si="156"/>
        <v/>
      </c>
      <c r="K2403">
        <f>IF(E2403="","",SUM(ContractsTbl[[#This Row],[salaryY1]:[salaryY4]]))</f>
        <v>396558.123249272</v>
      </c>
      <c r="L2403" t="b">
        <f t="shared" si="157"/>
        <v>0</v>
      </c>
    </row>
    <row r="2404" spans="1:12" x14ac:dyDescent="0.2">
      <c r="A2404" t="s">
        <v>10165</v>
      </c>
      <c r="B2404" t="s">
        <v>74</v>
      </c>
      <c r="C2404" t="s">
        <v>9554</v>
      </c>
      <c r="D2404" t="s">
        <v>44</v>
      </c>
      <c r="E2404">
        <v>2025</v>
      </c>
      <c r="F2404">
        <v>2027</v>
      </c>
      <c r="G2404" s="11">
        <v>197238.42946268001</v>
      </c>
      <c r="H2404">
        <f t="shared" si="154"/>
        <v>197238.42946268001</v>
      </c>
      <c r="I2404" t="str">
        <f t="shared" si="155"/>
        <v/>
      </c>
      <c r="J2404" t="str">
        <f t="shared" si="156"/>
        <v/>
      </c>
      <c r="K2404">
        <f>IF(E2404="","",SUM(ContractsTbl[[#This Row],[salaryY1]:[salaryY4]]))</f>
        <v>394476.85892536002</v>
      </c>
      <c r="L2404" t="b">
        <f t="shared" si="157"/>
        <v>0</v>
      </c>
    </row>
    <row r="2405" spans="1:12" x14ac:dyDescent="0.2">
      <c r="A2405" t="s">
        <v>10166</v>
      </c>
      <c r="B2405" t="s">
        <v>74</v>
      </c>
      <c r="C2405" t="s">
        <v>9555</v>
      </c>
      <c r="D2405" t="s">
        <v>44</v>
      </c>
      <c r="E2405">
        <v>2025</v>
      </c>
      <c r="F2405">
        <v>2027</v>
      </c>
      <c r="G2405" s="11">
        <v>196197.79730072399</v>
      </c>
      <c r="H2405">
        <f t="shared" si="154"/>
        <v>196197.79730072399</v>
      </c>
      <c r="I2405" t="str">
        <f t="shared" si="155"/>
        <v/>
      </c>
      <c r="J2405" t="str">
        <f t="shared" si="156"/>
        <v/>
      </c>
      <c r="K2405">
        <f>IF(E2405="","",SUM(ContractsTbl[[#This Row],[salaryY1]:[salaryY4]]))</f>
        <v>392395.59460144799</v>
      </c>
      <c r="L2405" t="b">
        <f t="shared" si="157"/>
        <v>0</v>
      </c>
    </row>
    <row r="2406" spans="1:12" x14ac:dyDescent="0.2">
      <c r="A2406" t="s">
        <v>10167</v>
      </c>
      <c r="B2406" t="s">
        <v>74</v>
      </c>
      <c r="C2406" t="s">
        <v>9556</v>
      </c>
      <c r="D2406" t="s">
        <v>44</v>
      </c>
      <c r="E2406">
        <v>2025</v>
      </c>
      <c r="F2406">
        <v>2027</v>
      </c>
      <c r="G2406" s="11">
        <v>195157.165138768</v>
      </c>
      <c r="H2406">
        <f t="shared" si="154"/>
        <v>195157.165138768</v>
      </c>
      <c r="I2406" t="str">
        <f t="shared" si="155"/>
        <v/>
      </c>
      <c r="J2406" t="str">
        <f t="shared" si="156"/>
        <v/>
      </c>
      <c r="K2406">
        <f>IF(E2406="","",SUM(ContractsTbl[[#This Row],[salaryY1]:[salaryY4]]))</f>
        <v>390314.33027753601</v>
      </c>
      <c r="L2406" t="b">
        <f t="shared" si="157"/>
        <v>0</v>
      </c>
    </row>
    <row r="2407" spans="1:12" x14ac:dyDescent="0.2">
      <c r="A2407" t="s">
        <v>10168</v>
      </c>
      <c r="B2407" t="s">
        <v>74</v>
      </c>
      <c r="C2407" t="s">
        <v>9557</v>
      </c>
      <c r="D2407" t="s">
        <v>44</v>
      </c>
      <c r="E2407">
        <v>2025</v>
      </c>
      <c r="F2407">
        <v>2027</v>
      </c>
      <c r="G2407" s="11">
        <v>194116.53297681201</v>
      </c>
      <c r="H2407">
        <f t="shared" si="154"/>
        <v>194116.53297681201</v>
      </c>
      <c r="I2407" t="str">
        <f t="shared" si="155"/>
        <v/>
      </c>
      <c r="J2407" t="str">
        <f t="shared" si="156"/>
        <v/>
      </c>
      <c r="K2407">
        <f>IF(E2407="","",SUM(ContractsTbl[[#This Row],[salaryY1]:[salaryY4]]))</f>
        <v>388233.06595362403</v>
      </c>
      <c r="L2407" t="b">
        <f t="shared" si="157"/>
        <v>0</v>
      </c>
    </row>
    <row r="2408" spans="1:12" x14ac:dyDescent="0.2">
      <c r="A2408" t="s">
        <v>10169</v>
      </c>
      <c r="B2408" t="s">
        <v>74</v>
      </c>
      <c r="C2408" t="s">
        <v>9558</v>
      </c>
      <c r="D2408" t="s">
        <v>44</v>
      </c>
      <c r="E2408">
        <v>2025</v>
      </c>
      <c r="F2408">
        <v>2027</v>
      </c>
      <c r="G2408" s="11">
        <v>193075.900814856</v>
      </c>
      <c r="H2408">
        <f t="shared" si="154"/>
        <v>193075.900814856</v>
      </c>
      <c r="I2408" t="str">
        <f t="shared" si="155"/>
        <v/>
      </c>
      <c r="J2408" t="str">
        <f t="shared" si="156"/>
        <v/>
      </c>
      <c r="K2408">
        <f>IF(E2408="","",SUM(ContractsTbl[[#This Row],[salaryY1]:[salaryY4]]))</f>
        <v>386151.80162971199</v>
      </c>
      <c r="L2408" t="b">
        <f t="shared" si="157"/>
        <v>0</v>
      </c>
    </row>
    <row r="2409" spans="1:12" x14ac:dyDescent="0.2">
      <c r="A2409" t="s">
        <v>10170</v>
      </c>
      <c r="B2409" t="s">
        <v>74</v>
      </c>
      <c r="C2409" t="s">
        <v>9559</v>
      </c>
      <c r="D2409" t="s">
        <v>44</v>
      </c>
      <c r="E2409">
        <v>2025</v>
      </c>
      <c r="F2409">
        <v>2027</v>
      </c>
      <c r="G2409" s="11">
        <v>192035.26865290001</v>
      </c>
      <c r="H2409">
        <f t="shared" si="154"/>
        <v>192035.26865290001</v>
      </c>
      <c r="I2409" t="str">
        <f t="shared" si="155"/>
        <v/>
      </c>
      <c r="J2409" t="str">
        <f t="shared" si="156"/>
        <v/>
      </c>
      <c r="K2409">
        <f>IF(E2409="","",SUM(ContractsTbl[[#This Row],[salaryY1]:[salaryY4]]))</f>
        <v>384070.53730580001</v>
      </c>
      <c r="L2409" t="b">
        <f t="shared" si="157"/>
        <v>0</v>
      </c>
    </row>
    <row r="2410" spans="1:12" x14ac:dyDescent="0.2">
      <c r="A2410" t="s">
        <v>10171</v>
      </c>
      <c r="B2410" t="s">
        <v>74</v>
      </c>
      <c r="C2410" t="s">
        <v>9560</v>
      </c>
      <c r="D2410" t="s">
        <v>44</v>
      </c>
      <c r="E2410">
        <v>2025</v>
      </c>
      <c r="F2410">
        <v>2027</v>
      </c>
      <c r="G2410" s="11">
        <v>190994.63649094399</v>
      </c>
      <c r="H2410">
        <f t="shared" si="154"/>
        <v>190994.63649094399</v>
      </c>
      <c r="I2410" t="str">
        <f t="shared" si="155"/>
        <v/>
      </c>
      <c r="J2410" t="str">
        <f t="shared" si="156"/>
        <v/>
      </c>
      <c r="K2410">
        <f>IF(E2410="","",SUM(ContractsTbl[[#This Row],[salaryY1]:[salaryY4]]))</f>
        <v>381989.27298188797</v>
      </c>
      <c r="L2410" t="b">
        <f t="shared" si="157"/>
        <v>0</v>
      </c>
    </row>
    <row r="2411" spans="1:12" x14ac:dyDescent="0.2">
      <c r="A2411" t="s">
        <v>10172</v>
      </c>
      <c r="B2411" t="s">
        <v>74</v>
      </c>
      <c r="C2411" t="s">
        <v>9561</v>
      </c>
      <c r="D2411" t="s">
        <v>44</v>
      </c>
      <c r="E2411">
        <v>2025</v>
      </c>
      <c r="F2411">
        <v>2027</v>
      </c>
      <c r="G2411" s="11">
        <v>189954.004328988</v>
      </c>
      <c r="H2411">
        <f t="shared" si="154"/>
        <v>189954.004328988</v>
      </c>
      <c r="I2411" t="str">
        <f t="shared" si="155"/>
        <v/>
      </c>
      <c r="J2411" t="str">
        <f t="shared" si="156"/>
        <v/>
      </c>
      <c r="K2411">
        <f>IF(E2411="","",SUM(ContractsTbl[[#This Row],[salaryY1]:[salaryY4]]))</f>
        <v>379908.008657976</v>
      </c>
      <c r="L2411" t="b">
        <f t="shared" si="157"/>
        <v>0</v>
      </c>
    </row>
    <row r="2412" spans="1:12" x14ac:dyDescent="0.2">
      <c r="A2412" t="s">
        <v>10173</v>
      </c>
      <c r="B2412" t="s">
        <v>74</v>
      </c>
      <c r="C2412" t="s">
        <v>9562</v>
      </c>
      <c r="D2412" t="s">
        <v>44</v>
      </c>
      <c r="E2412">
        <v>2025</v>
      </c>
      <c r="F2412">
        <v>2027</v>
      </c>
      <c r="G2412" s="11">
        <v>188913.37216703201</v>
      </c>
      <c r="H2412">
        <f t="shared" si="154"/>
        <v>188913.37216703201</v>
      </c>
      <c r="I2412" t="str">
        <f t="shared" si="155"/>
        <v/>
      </c>
      <c r="J2412" t="str">
        <f t="shared" si="156"/>
        <v/>
      </c>
      <c r="K2412">
        <f>IF(E2412="","",SUM(ContractsTbl[[#This Row],[salaryY1]:[salaryY4]]))</f>
        <v>377826.74433406402</v>
      </c>
      <c r="L2412" t="b">
        <f t="shared" si="157"/>
        <v>0</v>
      </c>
    </row>
    <row r="2413" spans="1:12" x14ac:dyDescent="0.2">
      <c r="A2413" t="s">
        <v>10174</v>
      </c>
      <c r="B2413" t="s">
        <v>74</v>
      </c>
      <c r="C2413" t="s">
        <v>9563</v>
      </c>
      <c r="D2413" t="s">
        <v>44</v>
      </c>
      <c r="E2413">
        <v>2025</v>
      </c>
      <c r="F2413">
        <v>2027</v>
      </c>
      <c r="G2413" s="11">
        <v>402242.96536796499</v>
      </c>
      <c r="H2413">
        <f t="shared" si="154"/>
        <v>402242.96536796499</v>
      </c>
      <c r="I2413" t="str">
        <f t="shared" si="155"/>
        <v/>
      </c>
      <c r="J2413" t="str">
        <f t="shared" si="156"/>
        <v/>
      </c>
      <c r="K2413">
        <f>IF(E2413="","",SUM(ContractsTbl[[#This Row],[salaryY1]:[salaryY4]]))</f>
        <v>804485.93073592999</v>
      </c>
      <c r="L2413" t="b">
        <f t="shared" si="157"/>
        <v>0</v>
      </c>
    </row>
    <row r="2414" spans="1:12" x14ac:dyDescent="0.2">
      <c r="A2414" t="s">
        <v>10175</v>
      </c>
      <c r="B2414" t="s">
        <v>74</v>
      </c>
      <c r="C2414" t="s">
        <v>9564</v>
      </c>
      <c r="D2414" t="s">
        <v>44</v>
      </c>
      <c r="E2414">
        <v>2025</v>
      </c>
      <c r="F2414">
        <v>2027</v>
      </c>
      <c r="G2414" s="11">
        <v>401202.33320600999</v>
      </c>
      <c r="H2414">
        <f t="shared" si="154"/>
        <v>401202.33320600999</v>
      </c>
      <c r="I2414" t="str">
        <f t="shared" si="155"/>
        <v/>
      </c>
      <c r="J2414" t="str">
        <f t="shared" si="156"/>
        <v/>
      </c>
      <c r="K2414">
        <f>IF(E2414="","",SUM(ContractsTbl[[#This Row],[salaryY1]:[salaryY4]]))</f>
        <v>802404.66641201999</v>
      </c>
      <c r="L2414" t="b">
        <f t="shared" si="157"/>
        <v>0</v>
      </c>
    </row>
    <row r="2415" spans="1:12" x14ac:dyDescent="0.2">
      <c r="A2415" t="s">
        <v>10176</v>
      </c>
      <c r="B2415" t="s">
        <v>74</v>
      </c>
      <c r="C2415" t="s">
        <v>9565</v>
      </c>
      <c r="D2415" t="s">
        <v>44</v>
      </c>
      <c r="E2415">
        <v>2025</v>
      </c>
      <c r="F2415">
        <v>2027</v>
      </c>
      <c r="G2415" s="11">
        <v>400161.701044054</v>
      </c>
      <c r="H2415">
        <f t="shared" si="154"/>
        <v>400161.701044054</v>
      </c>
      <c r="I2415" t="str">
        <f t="shared" si="155"/>
        <v/>
      </c>
      <c r="J2415" t="str">
        <f t="shared" si="156"/>
        <v/>
      </c>
      <c r="K2415">
        <f>IF(E2415="","",SUM(ContractsTbl[[#This Row],[salaryY1]:[salaryY4]]))</f>
        <v>800323.40208810801</v>
      </c>
      <c r="L2415" t="b">
        <f t="shared" si="157"/>
        <v>0</v>
      </c>
    </row>
    <row r="2416" spans="1:12" x14ac:dyDescent="0.2">
      <c r="A2416" t="s">
        <v>10177</v>
      </c>
      <c r="B2416" t="s">
        <v>74</v>
      </c>
      <c r="C2416" t="s">
        <v>9566</v>
      </c>
      <c r="D2416" t="s">
        <v>44</v>
      </c>
      <c r="E2416">
        <v>2025</v>
      </c>
      <c r="F2416">
        <v>2027</v>
      </c>
      <c r="G2416" s="11">
        <v>399121.06888209801</v>
      </c>
      <c r="H2416">
        <f t="shared" si="154"/>
        <v>399121.06888209801</v>
      </c>
      <c r="I2416" t="str">
        <f t="shared" si="155"/>
        <v/>
      </c>
      <c r="J2416" t="str">
        <f t="shared" si="156"/>
        <v/>
      </c>
      <c r="K2416">
        <f>IF(E2416="","",SUM(ContractsTbl[[#This Row],[salaryY1]:[salaryY4]]))</f>
        <v>798242.13776419603</v>
      </c>
      <c r="L2416" t="b">
        <f t="shared" si="157"/>
        <v>0</v>
      </c>
    </row>
    <row r="2417" spans="1:12" x14ac:dyDescent="0.2">
      <c r="A2417" t="s">
        <v>10178</v>
      </c>
      <c r="B2417" t="s">
        <v>74</v>
      </c>
      <c r="C2417" t="s">
        <v>9567</v>
      </c>
      <c r="D2417" t="s">
        <v>44</v>
      </c>
      <c r="E2417">
        <v>2025</v>
      </c>
      <c r="F2417">
        <v>2027</v>
      </c>
      <c r="G2417" s="11">
        <v>398080.43672014301</v>
      </c>
      <c r="H2417">
        <f t="shared" si="154"/>
        <v>398080.43672014301</v>
      </c>
      <c r="I2417" t="str">
        <f t="shared" si="155"/>
        <v/>
      </c>
      <c r="J2417" t="str">
        <f t="shared" si="156"/>
        <v/>
      </c>
      <c r="K2417">
        <f>IF(E2417="","",SUM(ContractsTbl[[#This Row],[salaryY1]:[salaryY4]]))</f>
        <v>796160.87344028603</v>
      </c>
      <c r="L2417" t="b">
        <f t="shared" si="157"/>
        <v>0</v>
      </c>
    </row>
    <row r="2418" spans="1:12" x14ac:dyDescent="0.2">
      <c r="A2418" t="s">
        <v>10179</v>
      </c>
      <c r="B2418" t="s">
        <v>74</v>
      </c>
      <c r="C2418" t="s">
        <v>9568</v>
      </c>
      <c r="D2418" t="s">
        <v>44</v>
      </c>
      <c r="E2418">
        <v>2025</v>
      </c>
      <c r="F2418">
        <v>2027</v>
      </c>
      <c r="G2418" s="11">
        <v>397039.80455818702</v>
      </c>
      <c r="H2418">
        <f t="shared" si="154"/>
        <v>397039.80455818702</v>
      </c>
      <c r="I2418" t="str">
        <f t="shared" si="155"/>
        <v/>
      </c>
      <c r="J2418" t="str">
        <f t="shared" si="156"/>
        <v/>
      </c>
      <c r="K2418">
        <f>IF(E2418="","",SUM(ContractsTbl[[#This Row],[salaryY1]:[salaryY4]]))</f>
        <v>794079.60911637405</v>
      </c>
      <c r="L2418" t="b">
        <f t="shared" si="157"/>
        <v>0</v>
      </c>
    </row>
    <row r="2419" spans="1:12" x14ac:dyDescent="0.2">
      <c r="A2419" t="s">
        <v>10180</v>
      </c>
      <c r="B2419" t="s">
        <v>74</v>
      </c>
      <c r="C2419" t="s">
        <v>9569</v>
      </c>
      <c r="D2419" t="s">
        <v>44</v>
      </c>
      <c r="E2419">
        <v>2025</v>
      </c>
      <c r="F2419">
        <v>2027</v>
      </c>
      <c r="G2419" s="11">
        <v>395999.17239623098</v>
      </c>
      <c r="H2419">
        <f t="shared" si="154"/>
        <v>395999.17239623098</v>
      </c>
      <c r="I2419" t="str">
        <f t="shared" si="155"/>
        <v/>
      </c>
      <c r="J2419" t="str">
        <f t="shared" si="156"/>
        <v/>
      </c>
      <c r="K2419">
        <f>IF(E2419="","",SUM(ContractsTbl[[#This Row],[salaryY1]:[salaryY4]]))</f>
        <v>791998.34479246195</v>
      </c>
      <c r="L2419" t="b">
        <f t="shared" si="157"/>
        <v>0</v>
      </c>
    </row>
    <row r="2420" spans="1:12" x14ac:dyDescent="0.2">
      <c r="A2420" t="s">
        <v>10181</v>
      </c>
      <c r="B2420" t="s">
        <v>74</v>
      </c>
      <c r="C2420" t="s">
        <v>9570</v>
      </c>
      <c r="D2420" t="s">
        <v>44</v>
      </c>
      <c r="E2420">
        <v>2025</v>
      </c>
      <c r="F2420">
        <v>2027</v>
      </c>
      <c r="G2420" s="11">
        <v>394958.54023427598</v>
      </c>
      <c r="H2420">
        <f t="shared" si="154"/>
        <v>394958.54023427598</v>
      </c>
      <c r="I2420" t="str">
        <f t="shared" si="155"/>
        <v/>
      </c>
      <c r="J2420" t="str">
        <f t="shared" si="156"/>
        <v/>
      </c>
      <c r="K2420">
        <f>IF(E2420="","",SUM(ContractsTbl[[#This Row],[salaryY1]:[salaryY4]]))</f>
        <v>789917.08046855195</v>
      </c>
      <c r="L2420" t="b">
        <f t="shared" si="157"/>
        <v>0</v>
      </c>
    </row>
    <row r="2421" spans="1:12" x14ac:dyDescent="0.2">
      <c r="A2421" t="s">
        <v>10182</v>
      </c>
      <c r="B2421" t="s">
        <v>74</v>
      </c>
      <c r="C2421" t="s">
        <v>9571</v>
      </c>
      <c r="D2421" t="s">
        <v>44</v>
      </c>
      <c r="E2421">
        <v>2025</v>
      </c>
      <c r="F2421">
        <v>2027</v>
      </c>
      <c r="G2421" s="11">
        <v>393917.90807231999</v>
      </c>
      <c r="H2421">
        <f t="shared" si="154"/>
        <v>393917.90807231999</v>
      </c>
      <c r="I2421" t="str">
        <f t="shared" si="155"/>
        <v/>
      </c>
      <c r="J2421" t="str">
        <f t="shared" si="156"/>
        <v/>
      </c>
      <c r="K2421">
        <f>IF(E2421="","",SUM(ContractsTbl[[#This Row],[salaryY1]:[salaryY4]]))</f>
        <v>787835.81614463998</v>
      </c>
      <c r="L2421" t="b">
        <f t="shared" si="157"/>
        <v>0</v>
      </c>
    </row>
    <row r="2422" spans="1:12" x14ac:dyDescent="0.2">
      <c r="A2422" t="s">
        <v>10183</v>
      </c>
      <c r="B2422" t="s">
        <v>74</v>
      </c>
      <c r="C2422" t="s">
        <v>9572</v>
      </c>
      <c r="D2422" t="s">
        <v>44</v>
      </c>
      <c r="E2422">
        <v>2025</v>
      </c>
      <c r="F2422">
        <v>2027</v>
      </c>
      <c r="G2422" s="11">
        <v>392877.275910364</v>
      </c>
      <c r="H2422">
        <f t="shared" si="154"/>
        <v>392877.275910364</v>
      </c>
      <c r="I2422" t="str">
        <f t="shared" si="155"/>
        <v/>
      </c>
      <c r="J2422" t="str">
        <f t="shared" si="156"/>
        <v/>
      </c>
      <c r="K2422">
        <f>IF(E2422="","",SUM(ContractsTbl[[#This Row],[salaryY1]:[salaryY4]]))</f>
        <v>785754.551820728</v>
      </c>
      <c r="L2422" t="b">
        <f t="shared" si="157"/>
        <v>0</v>
      </c>
    </row>
    <row r="2423" spans="1:12" x14ac:dyDescent="0.2">
      <c r="A2423" t="s">
        <v>10184</v>
      </c>
      <c r="B2423" t="s">
        <v>74</v>
      </c>
      <c r="C2423" t="s">
        <v>9573</v>
      </c>
      <c r="D2423" t="s">
        <v>44</v>
      </c>
      <c r="E2423">
        <v>2025</v>
      </c>
      <c r="F2423">
        <v>2027</v>
      </c>
      <c r="G2423" s="11">
        <v>391836.64374840801</v>
      </c>
      <c r="H2423">
        <f t="shared" si="154"/>
        <v>391836.64374840801</v>
      </c>
      <c r="I2423" t="str">
        <f t="shared" si="155"/>
        <v/>
      </c>
      <c r="J2423" t="str">
        <f t="shared" si="156"/>
        <v/>
      </c>
      <c r="K2423">
        <f>IF(E2423="","",SUM(ContractsTbl[[#This Row],[salaryY1]:[salaryY4]]))</f>
        <v>783673.28749681602</v>
      </c>
      <c r="L2423" t="b">
        <f t="shared" si="157"/>
        <v>0</v>
      </c>
    </row>
    <row r="2424" spans="1:12" x14ac:dyDescent="0.2">
      <c r="A2424" t="s">
        <v>10185</v>
      </c>
      <c r="B2424" t="s">
        <v>74</v>
      </c>
      <c r="C2424" t="s">
        <v>9574</v>
      </c>
      <c r="D2424" t="s">
        <v>44</v>
      </c>
      <c r="E2424">
        <v>2025</v>
      </c>
      <c r="F2424">
        <v>2027</v>
      </c>
      <c r="G2424" s="11">
        <v>390796.01158645301</v>
      </c>
      <c r="H2424">
        <f t="shared" si="154"/>
        <v>390796.01158645301</v>
      </c>
      <c r="I2424" t="str">
        <f t="shared" si="155"/>
        <v/>
      </c>
      <c r="J2424" t="str">
        <f t="shared" si="156"/>
        <v/>
      </c>
      <c r="K2424">
        <f>IF(E2424="","",SUM(ContractsTbl[[#This Row],[salaryY1]:[salaryY4]]))</f>
        <v>781592.02317290602</v>
      </c>
      <c r="L2424" t="b">
        <f t="shared" si="157"/>
        <v>0</v>
      </c>
    </row>
    <row r="2425" spans="1:12" x14ac:dyDescent="0.2">
      <c r="A2425" t="s">
        <v>10186</v>
      </c>
      <c r="B2425" t="s">
        <v>74</v>
      </c>
      <c r="C2425" t="s">
        <v>9575</v>
      </c>
      <c r="D2425" t="s">
        <v>44</v>
      </c>
      <c r="E2425">
        <v>2025</v>
      </c>
      <c r="F2425">
        <v>2027</v>
      </c>
      <c r="G2425" s="11">
        <v>389755.37942449702</v>
      </c>
      <c r="H2425">
        <f t="shared" si="154"/>
        <v>389755.37942449702</v>
      </c>
      <c r="I2425" t="str">
        <f t="shared" si="155"/>
        <v/>
      </c>
      <c r="J2425" t="str">
        <f t="shared" si="156"/>
        <v/>
      </c>
      <c r="K2425">
        <f>IF(E2425="","",SUM(ContractsTbl[[#This Row],[salaryY1]:[salaryY4]]))</f>
        <v>779510.75884899404</v>
      </c>
      <c r="L2425" t="b">
        <f t="shared" si="157"/>
        <v>0</v>
      </c>
    </row>
    <row r="2426" spans="1:12" x14ac:dyDescent="0.2">
      <c r="A2426" t="s">
        <v>10187</v>
      </c>
      <c r="B2426" t="s">
        <v>74</v>
      </c>
      <c r="C2426" t="s">
        <v>9576</v>
      </c>
      <c r="D2426" t="s">
        <v>44</v>
      </c>
      <c r="E2426">
        <v>2025</v>
      </c>
      <c r="F2426">
        <v>2027</v>
      </c>
      <c r="G2426" s="11">
        <v>388714.74726254097</v>
      </c>
      <c r="H2426">
        <f t="shared" si="154"/>
        <v>388714.74726254097</v>
      </c>
      <c r="I2426" t="str">
        <f t="shared" si="155"/>
        <v/>
      </c>
      <c r="J2426" t="str">
        <f t="shared" si="156"/>
        <v/>
      </c>
      <c r="K2426">
        <f>IF(E2426="","",SUM(ContractsTbl[[#This Row],[salaryY1]:[salaryY4]]))</f>
        <v>777429.49452508194</v>
      </c>
      <c r="L2426" t="b">
        <f t="shared" si="157"/>
        <v>0</v>
      </c>
    </row>
    <row r="2427" spans="1:12" x14ac:dyDescent="0.2">
      <c r="A2427" t="s">
        <v>10188</v>
      </c>
      <c r="B2427" t="s">
        <v>74</v>
      </c>
      <c r="C2427" t="s">
        <v>9577</v>
      </c>
      <c r="D2427" t="s">
        <v>44</v>
      </c>
      <c r="E2427">
        <v>2025</v>
      </c>
      <c r="F2427">
        <v>2027</v>
      </c>
      <c r="G2427" s="11">
        <v>387674.11510058597</v>
      </c>
      <c r="H2427">
        <f t="shared" si="154"/>
        <v>387674.11510058597</v>
      </c>
      <c r="I2427" t="str">
        <f t="shared" si="155"/>
        <v/>
      </c>
      <c r="J2427" t="str">
        <f t="shared" si="156"/>
        <v/>
      </c>
      <c r="K2427">
        <f>IF(E2427="","",SUM(ContractsTbl[[#This Row],[salaryY1]:[salaryY4]]))</f>
        <v>775348.23020117194</v>
      </c>
      <c r="L2427" t="b">
        <f t="shared" si="157"/>
        <v>0</v>
      </c>
    </row>
    <row r="2428" spans="1:12" x14ac:dyDescent="0.2">
      <c r="A2428" t="s">
        <v>10189</v>
      </c>
      <c r="B2428" t="s">
        <v>74</v>
      </c>
      <c r="C2428" t="s">
        <v>9578</v>
      </c>
      <c r="D2428" t="s">
        <v>44</v>
      </c>
      <c r="E2428">
        <v>2025</v>
      </c>
      <c r="F2428">
        <v>2027</v>
      </c>
      <c r="G2428" s="11">
        <v>386633.48293862998</v>
      </c>
      <c r="H2428">
        <f t="shared" si="154"/>
        <v>386633.48293862998</v>
      </c>
      <c r="I2428" t="str">
        <f t="shared" si="155"/>
        <v/>
      </c>
      <c r="J2428" t="str">
        <f t="shared" si="156"/>
        <v/>
      </c>
      <c r="K2428">
        <f>IF(E2428="","",SUM(ContractsTbl[[#This Row],[salaryY1]:[salaryY4]]))</f>
        <v>773266.96587725997</v>
      </c>
      <c r="L2428" t="b">
        <f t="shared" si="157"/>
        <v>0</v>
      </c>
    </row>
    <row r="2429" spans="1:12" x14ac:dyDescent="0.2">
      <c r="A2429" t="s">
        <v>10190</v>
      </c>
      <c r="B2429" t="s">
        <v>74</v>
      </c>
      <c r="C2429" t="s">
        <v>9579</v>
      </c>
      <c r="D2429" t="s">
        <v>44</v>
      </c>
      <c r="E2429">
        <v>2025</v>
      </c>
      <c r="F2429">
        <v>2027</v>
      </c>
      <c r="G2429" s="11">
        <v>385592.85077667399</v>
      </c>
      <c r="H2429">
        <f t="shared" si="154"/>
        <v>385592.85077667399</v>
      </c>
      <c r="I2429" t="str">
        <f t="shared" si="155"/>
        <v/>
      </c>
      <c r="J2429" t="str">
        <f t="shared" si="156"/>
        <v/>
      </c>
      <c r="K2429">
        <f>IF(E2429="","",SUM(ContractsTbl[[#This Row],[salaryY1]:[salaryY4]]))</f>
        <v>771185.70155334799</v>
      </c>
      <c r="L2429" t="b">
        <f t="shared" si="157"/>
        <v>0</v>
      </c>
    </row>
    <row r="2430" spans="1:12" x14ac:dyDescent="0.2">
      <c r="A2430" t="s">
        <v>10191</v>
      </c>
      <c r="B2430" t="s">
        <v>74</v>
      </c>
      <c r="C2430" t="s">
        <v>9580</v>
      </c>
      <c r="D2430" t="s">
        <v>44</v>
      </c>
      <c r="E2430">
        <v>2025</v>
      </c>
      <c r="F2430">
        <v>2027</v>
      </c>
      <c r="G2430" s="11">
        <v>384552.21861471899</v>
      </c>
      <c r="H2430">
        <f t="shared" si="154"/>
        <v>384552.21861471899</v>
      </c>
      <c r="I2430" t="str">
        <f t="shared" si="155"/>
        <v/>
      </c>
      <c r="J2430" t="str">
        <f t="shared" si="156"/>
        <v/>
      </c>
      <c r="K2430">
        <f>IF(E2430="","",SUM(ContractsTbl[[#This Row],[salaryY1]:[salaryY4]]))</f>
        <v>769104.43722943799</v>
      </c>
      <c r="L2430" t="b">
        <f t="shared" si="157"/>
        <v>0</v>
      </c>
    </row>
    <row r="2431" spans="1:12" x14ac:dyDescent="0.2">
      <c r="A2431" t="s">
        <v>10192</v>
      </c>
      <c r="B2431" t="s">
        <v>74</v>
      </c>
      <c r="C2431" t="s">
        <v>9581</v>
      </c>
      <c r="D2431" t="s">
        <v>44</v>
      </c>
      <c r="E2431">
        <v>2025</v>
      </c>
      <c r="F2431">
        <v>2027</v>
      </c>
      <c r="G2431" s="11">
        <v>383511.586452763</v>
      </c>
      <c r="H2431">
        <f t="shared" si="154"/>
        <v>383511.586452763</v>
      </c>
      <c r="I2431" t="str">
        <f t="shared" si="155"/>
        <v/>
      </c>
      <c r="J2431" t="str">
        <f t="shared" si="156"/>
        <v/>
      </c>
      <c r="K2431">
        <f>IF(E2431="","",SUM(ContractsTbl[[#This Row],[salaryY1]:[salaryY4]]))</f>
        <v>767023.17290552601</v>
      </c>
      <c r="L2431" t="b">
        <f t="shared" si="157"/>
        <v>0</v>
      </c>
    </row>
    <row r="2432" spans="1:12" x14ac:dyDescent="0.2">
      <c r="A2432" t="s">
        <v>10193</v>
      </c>
      <c r="B2432" t="s">
        <v>74</v>
      </c>
      <c r="C2432" t="s">
        <v>9582</v>
      </c>
      <c r="D2432" t="s">
        <v>44</v>
      </c>
      <c r="E2432">
        <v>2025</v>
      </c>
      <c r="F2432">
        <v>2027</v>
      </c>
      <c r="G2432" s="11">
        <v>382470.95429080701</v>
      </c>
      <c r="H2432">
        <f t="shared" si="154"/>
        <v>382470.95429080701</v>
      </c>
      <c r="I2432" t="str">
        <f t="shared" si="155"/>
        <v/>
      </c>
      <c r="J2432" t="str">
        <f t="shared" si="156"/>
        <v/>
      </c>
      <c r="K2432">
        <f>IF(E2432="","",SUM(ContractsTbl[[#This Row],[salaryY1]:[salaryY4]]))</f>
        <v>764941.90858161403</v>
      </c>
      <c r="L2432" t="b">
        <f t="shared" si="157"/>
        <v>0</v>
      </c>
    </row>
    <row r="2433" spans="1:12" x14ac:dyDescent="0.2">
      <c r="A2433" t="s">
        <v>10194</v>
      </c>
      <c r="B2433" t="s">
        <v>74</v>
      </c>
      <c r="C2433" t="s">
        <v>9583</v>
      </c>
      <c r="D2433" t="s">
        <v>44</v>
      </c>
      <c r="E2433">
        <v>2025</v>
      </c>
      <c r="F2433">
        <v>2027</v>
      </c>
      <c r="G2433" s="11">
        <v>381430.32212885201</v>
      </c>
      <c r="H2433">
        <f t="shared" si="154"/>
        <v>381430.32212885201</v>
      </c>
      <c r="I2433" t="str">
        <f t="shared" si="155"/>
        <v/>
      </c>
      <c r="J2433" t="str">
        <f t="shared" si="156"/>
        <v/>
      </c>
      <c r="K2433">
        <f>IF(E2433="","",SUM(ContractsTbl[[#This Row],[salaryY1]:[salaryY4]]))</f>
        <v>762860.64425770403</v>
      </c>
      <c r="L2433" t="b">
        <f t="shared" si="157"/>
        <v>0</v>
      </c>
    </row>
    <row r="2434" spans="1:12" x14ac:dyDescent="0.2">
      <c r="A2434" t="s">
        <v>10195</v>
      </c>
      <c r="B2434" t="s">
        <v>74</v>
      </c>
      <c r="C2434" t="s">
        <v>9584</v>
      </c>
      <c r="D2434" t="s">
        <v>44</v>
      </c>
      <c r="E2434">
        <v>2025</v>
      </c>
      <c r="F2434">
        <v>2027</v>
      </c>
      <c r="G2434" s="11">
        <v>380389.68996689602</v>
      </c>
      <c r="H2434">
        <f t="shared" si="154"/>
        <v>380389.68996689602</v>
      </c>
      <c r="I2434" t="str">
        <f t="shared" si="155"/>
        <v/>
      </c>
      <c r="J2434" t="str">
        <f t="shared" si="156"/>
        <v/>
      </c>
      <c r="K2434">
        <f>IF(E2434="","",SUM(ContractsTbl[[#This Row],[salaryY1]:[salaryY4]]))</f>
        <v>760779.37993379205</v>
      </c>
      <c r="L2434" t="b">
        <f t="shared" si="157"/>
        <v>0</v>
      </c>
    </row>
    <row r="2435" spans="1:12" x14ac:dyDescent="0.2">
      <c r="A2435" t="s">
        <v>10196</v>
      </c>
      <c r="B2435" t="s">
        <v>74</v>
      </c>
      <c r="C2435" t="s">
        <v>9585</v>
      </c>
      <c r="D2435" t="s">
        <v>44</v>
      </c>
      <c r="E2435">
        <v>2025</v>
      </c>
      <c r="F2435">
        <v>2027</v>
      </c>
      <c r="G2435" s="11">
        <v>379349.05780493998</v>
      </c>
      <c r="H2435">
        <f t="shared" si="154"/>
        <v>379349.05780493998</v>
      </c>
      <c r="I2435" t="str">
        <f t="shared" si="155"/>
        <v/>
      </c>
      <c r="J2435" t="str">
        <f t="shared" si="156"/>
        <v/>
      </c>
      <c r="K2435">
        <f>IF(E2435="","",SUM(ContractsTbl[[#This Row],[salaryY1]:[salaryY4]]))</f>
        <v>758698.11560987995</v>
      </c>
      <c r="L2435" t="b">
        <f t="shared" si="157"/>
        <v>0</v>
      </c>
    </row>
    <row r="2436" spans="1:12" x14ac:dyDescent="0.2">
      <c r="A2436" t="s">
        <v>10197</v>
      </c>
      <c r="B2436" t="s">
        <v>74</v>
      </c>
      <c r="C2436" t="s">
        <v>9586</v>
      </c>
      <c r="D2436" t="s">
        <v>44</v>
      </c>
      <c r="E2436">
        <v>2025</v>
      </c>
      <c r="F2436">
        <v>2027</v>
      </c>
      <c r="G2436" s="11">
        <v>378308.42564298399</v>
      </c>
      <c r="H2436">
        <f t="shared" si="154"/>
        <v>378308.42564298399</v>
      </c>
      <c r="I2436" t="str">
        <f t="shared" si="155"/>
        <v/>
      </c>
      <c r="J2436" t="str">
        <f t="shared" si="156"/>
        <v/>
      </c>
      <c r="K2436">
        <f>IF(E2436="","",SUM(ContractsTbl[[#This Row],[salaryY1]:[salaryY4]]))</f>
        <v>756616.85128596798</v>
      </c>
      <c r="L2436" t="b">
        <f t="shared" si="157"/>
        <v>0</v>
      </c>
    </row>
    <row r="2437" spans="1:12" x14ac:dyDescent="0.2">
      <c r="A2437" t="s">
        <v>10198</v>
      </c>
      <c r="B2437" t="s">
        <v>74</v>
      </c>
      <c r="C2437" t="s">
        <v>9587</v>
      </c>
      <c r="D2437" t="s">
        <v>44</v>
      </c>
      <c r="E2437">
        <v>2025</v>
      </c>
      <c r="F2437">
        <v>2027</v>
      </c>
      <c r="G2437" s="11">
        <v>377267.79348102899</v>
      </c>
      <c r="H2437">
        <f t="shared" si="154"/>
        <v>377267.79348102899</v>
      </c>
      <c r="I2437" t="str">
        <f t="shared" si="155"/>
        <v/>
      </c>
      <c r="J2437" t="str">
        <f t="shared" si="156"/>
        <v/>
      </c>
      <c r="K2437">
        <f>IF(E2437="","",SUM(ContractsTbl[[#This Row],[salaryY1]:[salaryY4]]))</f>
        <v>754535.58696205798</v>
      </c>
      <c r="L2437" t="b">
        <f t="shared" si="157"/>
        <v>0</v>
      </c>
    </row>
    <row r="2438" spans="1:12" x14ac:dyDescent="0.2">
      <c r="A2438" t="s">
        <v>10199</v>
      </c>
      <c r="B2438" t="s">
        <v>74</v>
      </c>
      <c r="C2438" t="s">
        <v>9588</v>
      </c>
      <c r="D2438" t="s">
        <v>44</v>
      </c>
      <c r="E2438">
        <v>2025</v>
      </c>
      <c r="F2438">
        <v>2027</v>
      </c>
      <c r="G2438" s="11">
        <v>376227.161319073</v>
      </c>
      <c r="H2438">
        <f t="shared" si="154"/>
        <v>376227.161319073</v>
      </c>
      <c r="I2438" t="str">
        <f t="shared" si="155"/>
        <v/>
      </c>
      <c r="J2438" t="str">
        <f t="shared" si="156"/>
        <v/>
      </c>
      <c r="K2438">
        <f>IF(E2438="","",SUM(ContractsTbl[[#This Row],[salaryY1]:[salaryY4]]))</f>
        <v>752454.322638146</v>
      </c>
      <c r="L2438" t="b">
        <f t="shared" si="157"/>
        <v>0</v>
      </c>
    </row>
    <row r="2439" spans="1:12" x14ac:dyDescent="0.2">
      <c r="A2439" t="s">
        <v>10200</v>
      </c>
      <c r="B2439" t="s">
        <v>74</v>
      </c>
      <c r="C2439" t="s">
        <v>9589</v>
      </c>
      <c r="D2439" t="s">
        <v>44</v>
      </c>
      <c r="E2439">
        <v>2025</v>
      </c>
      <c r="F2439">
        <v>2027</v>
      </c>
      <c r="G2439" s="11">
        <v>375186.52915711701</v>
      </c>
      <c r="H2439">
        <f t="shared" si="154"/>
        <v>375186.52915711701</v>
      </c>
      <c r="I2439" t="str">
        <f t="shared" si="155"/>
        <v/>
      </c>
      <c r="J2439" t="str">
        <f t="shared" si="156"/>
        <v/>
      </c>
      <c r="K2439">
        <f>IF(E2439="","",SUM(ContractsTbl[[#This Row],[salaryY1]:[salaryY4]]))</f>
        <v>750373.05831423402</v>
      </c>
      <c r="L2439" t="b">
        <f t="shared" si="157"/>
        <v>0</v>
      </c>
    </row>
    <row r="2440" spans="1:12" x14ac:dyDescent="0.2">
      <c r="A2440" t="s">
        <v>10201</v>
      </c>
      <c r="B2440" t="s">
        <v>74</v>
      </c>
      <c r="C2440" t="s">
        <v>9590</v>
      </c>
      <c r="D2440" t="s">
        <v>44</v>
      </c>
      <c r="E2440">
        <v>2025</v>
      </c>
      <c r="F2440">
        <v>2027</v>
      </c>
      <c r="G2440" s="11">
        <v>374145.89699516201</v>
      </c>
      <c r="H2440">
        <f t="shared" si="154"/>
        <v>374145.89699516201</v>
      </c>
      <c r="I2440" t="str">
        <f t="shared" si="155"/>
        <v/>
      </c>
      <c r="J2440" t="str">
        <f t="shared" si="156"/>
        <v/>
      </c>
      <c r="K2440">
        <f>IF(E2440="","",SUM(ContractsTbl[[#This Row],[salaryY1]:[salaryY4]]))</f>
        <v>748291.79399032402</v>
      </c>
      <c r="L2440" t="b">
        <f t="shared" si="157"/>
        <v>0</v>
      </c>
    </row>
    <row r="2441" spans="1:12" x14ac:dyDescent="0.2">
      <c r="A2441" t="s">
        <v>10202</v>
      </c>
      <c r="B2441" t="s">
        <v>74</v>
      </c>
      <c r="C2441" t="s">
        <v>9591</v>
      </c>
      <c r="D2441" t="s">
        <v>44</v>
      </c>
      <c r="E2441">
        <v>2025</v>
      </c>
      <c r="F2441">
        <v>2027</v>
      </c>
      <c r="G2441" s="11">
        <v>373105.26483320602</v>
      </c>
      <c r="H2441">
        <f t="shared" si="154"/>
        <v>373105.26483320602</v>
      </c>
      <c r="I2441" t="str">
        <f t="shared" si="155"/>
        <v/>
      </c>
      <c r="J2441" t="str">
        <f t="shared" si="156"/>
        <v/>
      </c>
      <c r="K2441">
        <f>IF(E2441="","",SUM(ContractsTbl[[#This Row],[salaryY1]:[salaryY4]]))</f>
        <v>746210.52966641204</v>
      </c>
      <c r="L2441" t="b">
        <f t="shared" si="157"/>
        <v>0</v>
      </c>
    </row>
    <row r="2442" spans="1:12" x14ac:dyDescent="0.2">
      <c r="A2442" t="s">
        <v>10203</v>
      </c>
      <c r="B2442" t="s">
        <v>74</v>
      </c>
      <c r="C2442" t="s">
        <v>9592</v>
      </c>
      <c r="D2442" t="s">
        <v>44</v>
      </c>
      <c r="E2442">
        <v>2025</v>
      </c>
      <c r="F2442">
        <v>2027</v>
      </c>
      <c r="G2442" s="11">
        <v>372064.63267124997</v>
      </c>
      <c r="H2442">
        <f t="shared" si="154"/>
        <v>372064.63267124997</v>
      </c>
      <c r="I2442" t="str">
        <f t="shared" si="155"/>
        <v/>
      </c>
      <c r="J2442" t="str">
        <f t="shared" si="156"/>
        <v/>
      </c>
      <c r="K2442">
        <f>IF(E2442="","",SUM(ContractsTbl[[#This Row],[salaryY1]:[salaryY4]]))</f>
        <v>744129.26534249994</v>
      </c>
      <c r="L2442" t="b">
        <f t="shared" si="157"/>
        <v>0</v>
      </c>
    </row>
    <row r="2443" spans="1:12" x14ac:dyDescent="0.2">
      <c r="A2443" t="s">
        <v>10204</v>
      </c>
      <c r="B2443" t="s">
        <v>74</v>
      </c>
      <c r="C2443" t="s">
        <v>9593</v>
      </c>
      <c r="D2443" t="s">
        <v>44</v>
      </c>
      <c r="E2443">
        <v>2025</v>
      </c>
      <c r="F2443">
        <v>2027</v>
      </c>
      <c r="G2443" s="11">
        <v>371024.00050929497</v>
      </c>
      <c r="H2443">
        <f t="shared" si="154"/>
        <v>371024.00050929497</v>
      </c>
      <c r="I2443" t="str">
        <f t="shared" si="155"/>
        <v/>
      </c>
      <c r="J2443" t="str">
        <f t="shared" si="156"/>
        <v/>
      </c>
      <c r="K2443">
        <f>IF(E2443="","",SUM(ContractsTbl[[#This Row],[salaryY1]:[salaryY4]]))</f>
        <v>742048.00101858994</v>
      </c>
      <c r="L2443" t="b">
        <f t="shared" si="157"/>
        <v>0</v>
      </c>
    </row>
    <row r="2444" spans="1:12" x14ac:dyDescent="0.2">
      <c r="A2444" t="s">
        <v>10205</v>
      </c>
      <c r="B2444" t="s">
        <v>74</v>
      </c>
      <c r="C2444" t="s">
        <v>9594</v>
      </c>
      <c r="D2444" t="s">
        <v>44</v>
      </c>
      <c r="E2444">
        <v>2025</v>
      </c>
      <c r="F2444">
        <v>2027</v>
      </c>
      <c r="G2444" s="11">
        <v>369983.36834733898</v>
      </c>
      <c r="H2444">
        <f t="shared" si="154"/>
        <v>369983.36834733898</v>
      </c>
      <c r="I2444" t="str">
        <f t="shared" si="155"/>
        <v/>
      </c>
      <c r="J2444" t="str">
        <f t="shared" si="156"/>
        <v/>
      </c>
      <c r="K2444">
        <f>IF(E2444="","",SUM(ContractsTbl[[#This Row],[salaryY1]:[salaryY4]]))</f>
        <v>739966.73669467797</v>
      </c>
      <c r="L2444" t="b">
        <f t="shared" si="157"/>
        <v>0</v>
      </c>
    </row>
    <row r="2445" spans="1:12" x14ac:dyDescent="0.2">
      <c r="A2445" t="s">
        <v>10206</v>
      </c>
      <c r="B2445" t="s">
        <v>74</v>
      </c>
      <c r="C2445" t="s">
        <v>9595</v>
      </c>
      <c r="D2445" t="s">
        <v>44</v>
      </c>
      <c r="E2445">
        <v>2025</v>
      </c>
      <c r="F2445">
        <v>2027</v>
      </c>
      <c r="G2445" s="11">
        <v>368942.73618538299</v>
      </c>
      <c r="H2445">
        <f t="shared" si="154"/>
        <v>368942.73618538299</v>
      </c>
      <c r="I2445" t="str">
        <f t="shared" si="155"/>
        <v/>
      </c>
      <c r="J2445" t="str">
        <f t="shared" si="156"/>
        <v/>
      </c>
      <c r="K2445">
        <f>IF(E2445="","",SUM(ContractsTbl[[#This Row],[salaryY1]:[salaryY4]]))</f>
        <v>737885.47237076599</v>
      </c>
      <c r="L2445" t="b">
        <f t="shared" si="157"/>
        <v>0</v>
      </c>
    </row>
    <row r="2446" spans="1:12" x14ac:dyDescent="0.2">
      <c r="A2446" t="s">
        <v>10207</v>
      </c>
      <c r="B2446" t="s">
        <v>74</v>
      </c>
      <c r="C2446" t="s">
        <v>9596</v>
      </c>
      <c r="D2446" t="s">
        <v>44</v>
      </c>
      <c r="E2446">
        <v>2025</v>
      </c>
      <c r="F2446">
        <v>2027</v>
      </c>
      <c r="G2446" s="11">
        <v>367902.10402342799</v>
      </c>
      <c r="H2446">
        <f t="shared" si="154"/>
        <v>367902.10402342799</v>
      </c>
      <c r="I2446" t="str">
        <f t="shared" si="155"/>
        <v/>
      </c>
      <c r="J2446" t="str">
        <f t="shared" si="156"/>
        <v/>
      </c>
      <c r="K2446">
        <f>IF(E2446="","",SUM(ContractsTbl[[#This Row],[salaryY1]:[salaryY4]]))</f>
        <v>735804.20804685599</v>
      </c>
      <c r="L2446" t="b">
        <f t="shared" si="157"/>
        <v>0</v>
      </c>
    </row>
    <row r="2447" spans="1:12" x14ac:dyDescent="0.2">
      <c r="A2447" t="s">
        <v>10208</v>
      </c>
      <c r="B2447" t="s">
        <v>74</v>
      </c>
      <c r="C2447" t="s">
        <v>9597</v>
      </c>
      <c r="D2447" t="s">
        <v>44</v>
      </c>
      <c r="E2447">
        <v>2025</v>
      </c>
      <c r="F2447">
        <v>2027</v>
      </c>
      <c r="G2447" s="11">
        <v>366861.471861472</v>
      </c>
      <c r="H2447">
        <f t="shared" si="154"/>
        <v>366861.471861472</v>
      </c>
      <c r="I2447" t="str">
        <f t="shared" si="155"/>
        <v/>
      </c>
      <c r="J2447" t="str">
        <f t="shared" si="156"/>
        <v/>
      </c>
      <c r="K2447">
        <f>IF(E2447="","",SUM(ContractsTbl[[#This Row],[salaryY1]:[salaryY4]]))</f>
        <v>733722.94372294401</v>
      </c>
      <c r="L2447" t="b">
        <f t="shared" si="157"/>
        <v>0</v>
      </c>
    </row>
    <row r="2448" spans="1:12" x14ac:dyDescent="0.2">
      <c r="A2448" t="s">
        <v>10209</v>
      </c>
      <c r="B2448" t="s">
        <v>74</v>
      </c>
      <c r="C2448" t="s">
        <v>9598</v>
      </c>
      <c r="D2448" t="s">
        <v>44</v>
      </c>
      <c r="E2448">
        <v>2025</v>
      </c>
      <c r="F2448">
        <v>2027</v>
      </c>
      <c r="G2448" s="11">
        <v>365820.83969951601</v>
      </c>
      <c r="H2448">
        <f t="shared" si="154"/>
        <v>365820.83969951601</v>
      </c>
      <c r="I2448" t="str">
        <f t="shared" si="155"/>
        <v/>
      </c>
      <c r="J2448" t="str">
        <f t="shared" si="156"/>
        <v/>
      </c>
      <c r="K2448">
        <f>IF(E2448="","",SUM(ContractsTbl[[#This Row],[salaryY1]:[salaryY4]]))</f>
        <v>731641.67939903203</v>
      </c>
      <c r="L2448" t="b">
        <f t="shared" si="157"/>
        <v>0</v>
      </c>
    </row>
    <row r="2449" spans="1:12" x14ac:dyDescent="0.2">
      <c r="A2449" t="s">
        <v>10210</v>
      </c>
      <c r="B2449" t="s">
        <v>74</v>
      </c>
      <c r="C2449" t="s">
        <v>9599</v>
      </c>
      <c r="D2449" t="s">
        <v>44</v>
      </c>
      <c r="E2449">
        <v>2025</v>
      </c>
      <c r="F2449">
        <v>2027</v>
      </c>
      <c r="G2449" s="11">
        <v>364780.20753756003</v>
      </c>
      <c r="H2449">
        <f t="shared" si="154"/>
        <v>364780.20753756003</v>
      </c>
      <c r="I2449" t="str">
        <f t="shared" si="155"/>
        <v/>
      </c>
      <c r="J2449" t="str">
        <f t="shared" si="156"/>
        <v/>
      </c>
      <c r="K2449">
        <f>IF(E2449="","",SUM(ContractsTbl[[#This Row],[salaryY1]:[salaryY4]]))</f>
        <v>729560.41507512005</v>
      </c>
      <c r="L2449" t="b">
        <f t="shared" si="157"/>
        <v>0</v>
      </c>
    </row>
    <row r="2450" spans="1:12" x14ac:dyDescent="0.2">
      <c r="A2450" t="s">
        <v>10211</v>
      </c>
      <c r="B2450" t="s">
        <v>74</v>
      </c>
      <c r="C2450" t="s">
        <v>9600</v>
      </c>
      <c r="D2450" t="s">
        <v>44</v>
      </c>
      <c r="E2450">
        <v>2025</v>
      </c>
      <c r="F2450">
        <v>2027</v>
      </c>
      <c r="G2450" s="11">
        <v>363739.57537560503</v>
      </c>
      <c r="H2450">
        <f t="shared" si="154"/>
        <v>363739.57537560503</v>
      </c>
      <c r="I2450" t="str">
        <f t="shared" si="155"/>
        <v/>
      </c>
      <c r="J2450" t="str">
        <f t="shared" si="156"/>
        <v/>
      </c>
      <c r="K2450">
        <f>IF(E2450="","",SUM(ContractsTbl[[#This Row],[salaryY1]:[salaryY4]]))</f>
        <v>727479.15075121005</v>
      </c>
      <c r="L2450" t="b">
        <f t="shared" si="157"/>
        <v>0</v>
      </c>
    </row>
    <row r="2451" spans="1:12" x14ac:dyDescent="0.2">
      <c r="A2451" t="s">
        <v>10212</v>
      </c>
      <c r="B2451" t="s">
        <v>74</v>
      </c>
      <c r="C2451" t="s">
        <v>9601</v>
      </c>
      <c r="D2451" t="s">
        <v>44</v>
      </c>
      <c r="E2451">
        <v>2025</v>
      </c>
      <c r="F2451">
        <v>2027</v>
      </c>
      <c r="G2451" s="11">
        <v>362698.94321364898</v>
      </c>
      <c r="H2451">
        <f t="shared" si="154"/>
        <v>362698.94321364898</v>
      </c>
      <c r="I2451" t="str">
        <f t="shared" si="155"/>
        <v/>
      </c>
      <c r="J2451" t="str">
        <f t="shared" si="156"/>
        <v/>
      </c>
      <c r="K2451">
        <f>IF(E2451="","",SUM(ContractsTbl[[#This Row],[salaryY1]:[salaryY4]]))</f>
        <v>725397.88642729796</v>
      </c>
      <c r="L2451" t="b">
        <f t="shared" si="157"/>
        <v>0</v>
      </c>
    </row>
    <row r="2452" spans="1:12" x14ac:dyDescent="0.2">
      <c r="A2452" t="s">
        <v>10213</v>
      </c>
      <c r="B2452" t="s">
        <v>74</v>
      </c>
      <c r="C2452" t="s">
        <v>9602</v>
      </c>
      <c r="D2452" t="s">
        <v>44</v>
      </c>
      <c r="E2452">
        <v>2025</v>
      </c>
      <c r="F2452">
        <v>2027</v>
      </c>
      <c r="G2452" s="11">
        <v>361658.31105169299</v>
      </c>
      <c r="H2452">
        <f t="shared" si="154"/>
        <v>361658.31105169299</v>
      </c>
      <c r="I2452" t="str">
        <f t="shared" si="155"/>
        <v/>
      </c>
      <c r="J2452" t="str">
        <f t="shared" si="156"/>
        <v/>
      </c>
      <c r="K2452">
        <f>IF(E2452="","",SUM(ContractsTbl[[#This Row],[salaryY1]:[salaryY4]]))</f>
        <v>723316.62210338598</v>
      </c>
      <c r="L2452" t="b">
        <f t="shared" si="157"/>
        <v>0</v>
      </c>
    </row>
    <row r="2453" spans="1:12" x14ac:dyDescent="0.2">
      <c r="A2453" t="s">
        <v>10214</v>
      </c>
      <c r="B2453" t="s">
        <v>74</v>
      </c>
      <c r="C2453" t="s">
        <v>9603</v>
      </c>
      <c r="D2453" t="s">
        <v>44</v>
      </c>
      <c r="E2453">
        <v>2025</v>
      </c>
      <c r="F2453">
        <v>2027</v>
      </c>
      <c r="G2453" s="11">
        <v>360617.67888973799</v>
      </c>
      <c r="H2453">
        <f t="shared" si="154"/>
        <v>360617.67888973799</v>
      </c>
      <c r="I2453" t="str">
        <f t="shared" si="155"/>
        <v/>
      </c>
      <c r="J2453" t="str">
        <f t="shared" si="156"/>
        <v/>
      </c>
      <c r="K2453">
        <f>IF(E2453="","",SUM(ContractsTbl[[#This Row],[salaryY1]:[salaryY4]]))</f>
        <v>721235.35777947598</v>
      </c>
      <c r="L2453" t="b">
        <f t="shared" si="157"/>
        <v>0</v>
      </c>
    </row>
    <row r="2454" spans="1:12" x14ac:dyDescent="0.2">
      <c r="A2454" t="s">
        <v>10215</v>
      </c>
      <c r="B2454" t="s">
        <v>74</v>
      </c>
      <c r="C2454" t="s">
        <v>9604</v>
      </c>
      <c r="D2454" t="s">
        <v>44</v>
      </c>
      <c r="E2454">
        <v>2025</v>
      </c>
      <c r="F2454">
        <v>2027</v>
      </c>
      <c r="G2454" s="11">
        <v>359577.046727782</v>
      </c>
      <c r="H2454">
        <f t="shared" si="154"/>
        <v>359577.046727782</v>
      </c>
      <c r="I2454" t="str">
        <f t="shared" si="155"/>
        <v/>
      </c>
      <c r="J2454" t="str">
        <f t="shared" si="156"/>
        <v/>
      </c>
      <c r="K2454">
        <f>IF(E2454="","",SUM(ContractsTbl[[#This Row],[salaryY1]:[salaryY4]]))</f>
        <v>719154.093455564</v>
      </c>
      <c r="L2454" t="b">
        <f t="shared" si="157"/>
        <v>0</v>
      </c>
    </row>
    <row r="2455" spans="1:12" x14ac:dyDescent="0.2">
      <c r="A2455" t="s">
        <v>10216</v>
      </c>
      <c r="B2455" t="s">
        <v>74</v>
      </c>
      <c r="C2455" t="s">
        <v>9605</v>
      </c>
      <c r="D2455" t="s">
        <v>44</v>
      </c>
      <c r="E2455">
        <v>2025</v>
      </c>
      <c r="F2455">
        <v>2027</v>
      </c>
      <c r="G2455" s="11">
        <v>358536.41456582601</v>
      </c>
      <c r="H2455">
        <f t="shared" si="154"/>
        <v>358536.41456582601</v>
      </c>
      <c r="I2455" t="str">
        <f t="shared" si="155"/>
        <v/>
      </c>
      <c r="J2455" t="str">
        <f t="shared" si="156"/>
        <v/>
      </c>
      <c r="K2455">
        <f>IF(E2455="","",SUM(ContractsTbl[[#This Row],[salaryY1]:[salaryY4]]))</f>
        <v>717072.82913165202</v>
      </c>
      <c r="L2455" t="b">
        <f t="shared" si="157"/>
        <v>0</v>
      </c>
    </row>
    <row r="2456" spans="1:12" x14ac:dyDescent="0.2">
      <c r="A2456" t="s">
        <v>10217</v>
      </c>
      <c r="B2456" t="s">
        <v>74</v>
      </c>
      <c r="C2456" t="s">
        <v>9606</v>
      </c>
      <c r="D2456" t="s">
        <v>44</v>
      </c>
      <c r="E2456">
        <v>2025</v>
      </c>
      <c r="F2456">
        <v>2027</v>
      </c>
      <c r="G2456" s="11">
        <v>357495.78240387101</v>
      </c>
      <c r="H2456">
        <f t="shared" si="154"/>
        <v>357495.78240387101</v>
      </c>
      <c r="I2456" t="str">
        <f t="shared" si="155"/>
        <v/>
      </c>
      <c r="J2456" t="str">
        <f t="shared" si="156"/>
        <v/>
      </c>
      <c r="K2456">
        <f>IF(E2456="","",SUM(ContractsTbl[[#This Row],[salaryY1]:[salaryY4]]))</f>
        <v>714991.56480774202</v>
      </c>
      <c r="L2456" t="b">
        <f t="shared" si="157"/>
        <v>0</v>
      </c>
    </row>
    <row r="2457" spans="1:12" x14ac:dyDescent="0.2">
      <c r="A2457" t="s">
        <v>10218</v>
      </c>
      <c r="B2457" t="s">
        <v>74</v>
      </c>
      <c r="C2457" t="s">
        <v>9607</v>
      </c>
      <c r="D2457" t="s">
        <v>44</v>
      </c>
      <c r="E2457">
        <v>2025</v>
      </c>
      <c r="F2457">
        <v>2027</v>
      </c>
      <c r="G2457" s="11">
        <v>356455.15024191502</v>
      </c>
      <c r="H2457">
        <f t="shared" si="154"/>
        <v>356455.15024191502</v>
      </c>
      <c r="I2457" t="str">
        <f t="shared" si="155"/>
        <v/>
      </c>
      <c r="J2457" t="str">
        <f t="shared" si="156"/>
        <v/>
      </c>
      <c r="K2457">
        <f>IF(E2457="","",SUM(ContractsTbl[[#This Row],[salaryY1]:[salaryY4]]))</f>
        <v>712910.30048383004</v>
      </c>
      <c r="L2457" t="b">
        <f t="shared" si="157"/>
        <v>0</v>
      </c>
    </row>
    <row r="2458" spans="1:12" x14ac:dyDescent="0.2">
      <c r="A2458" t="s">
        <v>10219</v>
      </c>
      <c r="B2458" t="s">
        <v>74</v>
      </c>
      <c r="C2458" t="s">
        <v>9608</v>
      </c>
      <c r="D2458" t="s">
        <v>44</v>
      </c>
      <c r="E2458">
        <v>2025</v>
      </c>
      <c r="F2458">
        <v>2027</v>
      </c>
      <c r="G2458" s="11">
        <v>355414.51807995897</v>
      </c>
      <c r="H2458">
        <f t="shared" ref="H2458:H2521" si="158">IF(F2458&gt;=2027,G2458,"")</f>
        <v>355414.51807995897</v>
      </c>
      <c r="I2458" t="str">
        <f t="shared" ref="I2458:I2521" si="159">IF(F2458&gt;=2028,G2458,"")</f>
        <v/>
      </c>
      <c r="J2458" t="str">
        <f t="shared" ref="J2458:J2521" si="160">IF(F2458&gt;=2029,G2458,"")</f>
        <v/>
      </c>
      <c r="K2458">
        <f>IF(E2458="","",SUM(ContractsTbl[[#This Row],[salaryY1]:[salaryY4]]))</f>
        <v>710829.03615991795</v>
      </c>
      <c r="L2458" t="b">
        <f t="shared" ref="L2458:L2521" si="161">IF(F2458="",TRUE,FALSE)</f>
        <v>0</v>
      </c>
    </row>
    <row r="2459" spans="1:12" x14ac:dyDescent="0.2">
      <c r="A2459" t="s">
        <v>10220</v>
      </c>
      <c r="B2459" t="s">
        <v>74</v>
      </c>
      <c r="C2459" t="s">
        <v>9609</v>
      </c>
      <c r="D2459" t="s">
        <v>44</v>
      </c>
      <c r="E2459">
        <v>2025</v>
      </c>
      <c r="F2459">
        <v>2027</v>
      </c>
      <c r="G2459" s="11">
        <v>354373.88591800397</v>
      </c>
      <c r="H2459">
        <f t="shared" si="158"/>
        <v>354373.88591800397</v>
      </c>
      <c r="I2459" t="str">
        <f t="shared" si="159"/>
        <v/>
      </c>
      <c r="J2459" t="str">
        <f t="shared" si="160"/>
        <v/>
      </c>
      <c r="K2459">
        <f>IF(E2459="","",SUM(ContractsTbl[[#This Row],[salaryY1]:[salaryY4]]))</f>
        <v>708747.77183600795</v>
      </c>
      <c r="L2459" t="b">
        <f t="shared" si="161"/>
        <v>0</v>
      </c>
    </row>
    <row r="2460" spans="1:12" x14ac:dyDescent="0.2">
      <c r="A2460" t="s">
        <v>10221</v>
      </c>
      <c r="B2460" t="s">
        <v>74</v>
      </c>
      <c r="C2460" t="s">
        <v>9610</v>
      </c>
      <c r="D2460" t="s">
        <v>44</v>
      </c>
      <c r="E2460">
        <v>2025</v>
      </c>
      <c r="F2460">
        <v>2027</v>
      </c>
      <c r="G2460" s="11">
        <v>353333.25375604798</v>
      </c>
      <c r="H2460">
        <f t="shared" si="158"/>
        <v>353333.25375604798</v>
      </c>
      <c r="I2460" t="str">
        <f t="shared" si="159"/>
        <v/>
      </c>
      <c r="J2460" t="str">
        <f t="shared" si="160"/>
        <v/>
      </c>
      <c r="K2460">
        <f>IF(E2460="","",SUM(ContractsTbl[[#This Row],[salaryY1]:[salaryY4]]))</f>
        <v>706666.50751209597</v>
      </c>
      <c r="L2460" t="b">
        <f t="shared" si="161"/>
        <v>0</v>
      </c>
    </row>
    <row r="2461" spans="1:12" x14ac:dyDescent="0.2">
      <c r="A2461" t="s">
        <v>10222</v>
      </c>
      <c r="B2461" t="s">
        <v>74</v>
      </c>
      <c r="C2461" t="s">
        <v>9611</v>
      </c>
      <c r="D2461" t="s">
        <v>44</v>
      </c>
      <c r="E2461">
        <v>2025</v>
      </c>
      <c r="F2461">
        <v>2027</v>
      </c>
      <c r="G2461" s="11">
        <v>352292.62159409199</v>
      </c>
      <c r="H2461">
        <f t="shared" si="158"/>
        <v>352292.62159409199</v>
      </c>
      <c r="I2461" t="str">
        <f t="shared" si="159"/>
        <v/>
      </c>
      <c r="J2461" t="str">
        <f t="shared" si="160"/>
        <v/>
      </c>
      <c r="K2461">
        <f>IF(E2461="","",SUM(ContractsTbl[[#This Row],[salaryY1]:[salaryY4]]))</f>
        <v>704585.24318818399</v>
      </c>
      <c r="L2461" t="b">
        <f t="shared" si="161"/>
        <v>0</v>
      </c>
    </row>
    <row r="2462" spans="1:12" x14ac:dyDescent="0.2">
      <c r="A2462" t="s">
        <v>10223</v>
      </c>
      <c r="B2462" t="s">
        <v>74</v>
      </c>
      <c r="C2462" t="s">
        <v>9612</v>
      </c>
      <c r="D2462" t="s">
        <v>44</v>
      </c>
      <c r="E2462">
        <v>2025</v>
      </c>
      <c r="F2462">
        <v>2027</v>
      </c>
      <c r="G2462" s="11">
        <v>351251.98943213699</v>
      </c>
      <c r="H2462">
        <f t="shared" si="158"/>
        <v>351251.98943213699</v>
      </c>
      <c r="I2462" t="str">
        <f t="shared" si="159"/>
        <v/>
      </c>
      <c r="J2462" t="str">
        <f t="shared" si="160"/>
        <v/>
      </c>
      <c r="K2462">
        <f>IF(E2462="","",SUM(ContractsTbl[[#This Row],[salaryY1]:[salaryY4]]))</f>
        <v>702503.97886427399</v>
      </c>
      <c r="L2462" t="b">
        <f t="shared" si="161"/>
        <v>0</v>
      </c>
    </row>
    <row r="2463" spans="1:12" x14ac:dyDescent="0.2">
      <c r="A2463" t="s">
        <v>10224</v>
      </c>
      <c r="B2463" t="s">
        <v>74</v>
      </c>
      <c r="C2463" t="s">
        <v>9613</v>
      </c>
      <c r="D2463" t="s">
        <v>44</v>
      </c>
      <c r="E2463">
        <v>2025</v>
      </c>
      <c r="F2463">
        <v>2027</v>
      </c>
      <c r="G2463" s="11">
        <v>350211.357270181</v>
      </c>
      <c r="H2463">
        <f t="shared" si="158"/>
        <v>350211.357270181</v>
      </c>
      <c r="I2463" t="str">
        <f t="shared" si="159"/>
        <v/>
      </c>
      <c r="J2463" t="str">
        <f t="shared" si="160"/>
        <v/>
      </c>
      <c r="K2463">
        <f>IF(E2463="","",SUM(ContractsTbl[[#This Row],[salaryY1]:[salaryY4]]))</f>
        <v>700422.71454036201</v>
      </c>
      <c r="L2463" t="b">
        <f t="shared" si="161"/>
        <v>0</v>
      </c>
    </row>
    <row r="2464" spans="1:12" x14ac:dyDescent="0.2">
      <c r="A2464" t="s">
        <v>10225</v>
      </c>
      <c r="B2464" t="s">
        <v>74</v>
      </c>
      <c r="C2464" t="s">
        <v>9614</v>
      </c>
      <c r="D2464" t="s">
        <v>44</v>
      </c>
      <c r="E2464">
        <v>2025</v>
      </c>
      <c r="F2464">
        <v>2027</v>
      </c>
      <c r="G2464" s="11">
        <v>349170.72510822501</v>
      </c>
      <c r="H2464">
        <f t="shared" si="158"/>
        <v>349170.72510822501</v>
      </c>
      <c r="I2464" t="str">
        <f t="shared" si="159"/>
        <v/>
      </c>
      <c r="J2464" t="str">
        <f t="shared" si="160"/>
        <v/>
      </c>
      <c r="K2464">
        <f>IF(E2464="","",SUM(ContractsTbl[[#This Row],[salaryY1]:[salaryY4]]))</f>
        <v>698341.45021645003</v>
      </c>
      <c r="L2464" t="b">
        <f t="shared" si="161"/>
        <v>0</v>
      </c>
    </row>
    <row r="2465" spans="1:12" x14ac:dyDescent="0.2">
      <c r="A2465" t="s">
        <v>10226</v>
      </c>
      <c r="B2465" t="s">
        <v>74</v>
      </c>
      <c r="C2465" t="s">
        <v>9615</v>
      </c>
      <c r="D2465" t="s">
        <v>44</v>
      </c>
      <c r="E2465">
        <v>2025</v>
      </c>
      <c r="F2465">
        <v>2027</v>
      </c>
      <c r="G2465" s="11">
        <v>348130.09294627002</v>
      </c>
      <c r="H2465">
        <f t="shared" si="158"/>
        <v>348130.09294627002</v>
      </c>
      <c r="I2465" t="str">
        <f t="shared" si="159"/>
        <v/>
      </c>
      <c r="J2465" t="str">
        <f t="shared" si="160"/>
        <v/>
      </c>
      <c r="K2465">
        <f>IF(E2465="","",SUM(ContractsTbl[[#This Row],[salaryY1]:[salaryY4]]))</f>
        <v>696260.18589254003</v>
      </c>
      <c r="L2465" t="b">
        <f t="shared" si="161"/>
        <v>0</v>
      </c>
    </row>
    <row r="2466" spans="1:12" x14ac:dyDescent="0.2">
      <c r="A2466" t="s">
        <v>10227</v>
      </c>
      <c r="B2466" t="s">
        <v>74</v>
      </c>
      <c r="C2466" t="s">
        <v>9616</v>
      </c>
      <c r="D2466" t="s">
        <v>44</v>
      </c>
      <c r="E2466">
        <v>2025</v>
      </c>
      <c r="F2466">
        <v>2027</v>
      </c>
      <c r="G2466" s="11">
        <v>347089.46078431403</v>
      </c>
      <c r="H2466">
        <f t="shared" si="158"/>
        <v>347089.46078431403</v>
      </c>
      <c r="I2466" t="str">
        <f t="shared" si="159"/>
        <v/>
      </c>
      <c r="J2466" t="str">
        <f t="shared" si="160"/>
        <v/>
      </c>
      <c r="K2466">
        <f>IF(E2466="","",SUM(ContractsTbl[[#This Row],[salaryY1]:[salaryY4]]))</f>
        <v>694178.92156862805</v>
      </c>
      <c r="L2466" t="b">
        <f t="shared" si="161"/>
        <v>0</v>
      </c>
    </row>
    <row r="2467" spans="1:12" x14ac:dyDescent="0.2">
      <c r="A2467" t="s">
        <v>10228</v>
      </c>
      <c r="B2467" t="s">
        <v>74</v>
      </c>
      <c r="C2467" t="s">
        <v>9617</v>
      </c>
      <c r="D2467" t="s">
        <v>44</v>
      </c>
      <c r="E2467">
        <v>2025</v>
      </c>
      <c r="F2467">
        <v>2027</v>
      </c>
      <c r="G2467" s="11">
        <v>346048.82862235798</v>
      </c>
      <c r="H2467">
        <f t="shared" si="158"/>
        <v>346048.82862235798</v>
      </c>
      <c r="I2467" t="str">
        <f t="shared" si="159"/>
        <v/>
      </c>
      <c r="J2467" t="str">
        <f t="shared" si="160"/>
        <v/>
      </c>
      <c r="K2467">
        <f>IF(E2467="","",SUM(ContractsTbl[[#This Row],[salaryY1]:[salaryY4]]))</f>
        <v>692097.65724471596</v>
      </c>
      <c r="L2467" t="b">
        <f t="shared" si="161"/>
        <v>0</v>
      </c>
    </row>
    <row r="2468" spans="1:12" x14ac:dyDescent="0.2">
      <c r="A2468" t="s">
        <v>10229</v>
      </c>
      <c r="B2468" t="s">
        <v>74</v>
      </c>
      <c r="C2468" t="s">
        <v>9618</v>
      </c>
      <c r="D2468" t="s">
        <v>44</v>
      </c>
      <c r="E2468">
        <v>2025</v>
      </c>
      <c r="F2468">
        <v>2027</v>
      </c>
      <c r="G2468" s="11">
        <v>345008.19646040199</v>
      </c>
      <c r="H2468">
        <f t="shared" si="158"/>
        <v>345008.19646040199</v>
      </c>
      <c r="I2468" t="str">
        <f t="shared" si="159"/>
        <v/>
      </c>
      <c r="J2468" t="str">
        <f t="shared" si="160"/>
        <v/>
      </c>
      <c r="K2468">
        <f>IF(E2468="","",SUM(ContractsTbl[[#This Row],[salaryY1]:[salaryY4]]))</f>
        <v>690016.39292080398</v>
      </c>
      <c r="L2468" t="b">
        <f t="shared" si="161"/>
        <v>0</v>
      </c>
    </row>
    <row r="2469" spans="1:12" x14ac:dyDescent="0.2">
      <c r="A2469" t="s">
        <v>10230</v>
      </c>
      <c r="B2469" t="s">
        <v>74</v>
      </c>
      <c r="C2469" t="s">
        <v>9619</v>
      </c>
      <c r="D2469" t="s">
        <v>44</v>
      </c>
      <c r="E2469">
        <v>2025</v>
      </c>
      <c r="F2469">
        <v>2027</v>
      </c>
      <c r="G2469" s="11">
        <v>343967.56429844699</v>
      </c>
      <c r="H2469">
        <f t="shared" si="158"/>
        <v>343967.56429844699</v>
      </c>
      <c r="I2469" t="str">
        <f t="shared" si="159"/>
        <v/>
      </c>
      <c r="J2469" t="str">
        <f t="shared" si="160"/>
        <v/>
      </c>
      <c r="K2469">
        <f>IF(E2469="","",SUM(ContractsTbl[[#This Row],[salaryY1]:[salaryY4]]))</f>
        <v>687935.12859689398</v>
      </c>
      <c r="L2469" t="b">
        <f t="shared" si="161"/>
        <v>0</v>
      </c>
    </row>
    <row r="2470" spans="1:12" x14ac:dyDescent="0.2">
      <c r="A2470" t="s">
        <v>10231</v>
      </c>
      <c r="B2470" t="s">
        <v>74</v>
      </c>
      <c r="C2470" t="s">
        <v>9620</v>
      </c>
      <c r="D2470" t="s">
        <v>44</v>
      </c>
      <c r="E2470">
        <v>2025</v>
      </c>
      <c r="F2470">
        <v>2027</v>
      </c>
      <c r="G2470" s="11">
        <v>342926.932136491</v>
      </c>
      <c r="H2470">
        <f t="shared" si="158"/>
        <v>342926.932136491</v>
      </c>
      <c r="I2470" t="str">
        <f t="shared" si="159"/>
        <v/>
      </c>
      <c r="J2470" t="str">
        <f t="shared" si="160"/>
        <v/>
      </c>
      <c r="K2470">
        <f>IF(E2470="","",SUM(ContractsTbl[[#This Row],[salaryY1]:[salaryY4]]))</f>
        <v>685853.864272982</v>
      </c>
      <c r="L2470" t="b">
        <f t="shared" si="161"/>
        <v>0</v>
      </c>
    </row>
    <row r="2471" spans="1:12" x14ac:dyDescent="0.2">
      <c r="A2471" t="s">
        <v>10232</v>
      </c>
      <c r="B2471" t="s">
        <v>74</v>
      </c>
      <c r="C2471" t="s">
        <v>9621</v>
      </c>
      <c r="D2471" t="s">
        <v>44</v>
      </c>
      <c r="E2471">
        <v>2025</v>
      </c>
      <c r="F2471">
        <v>2027</v>
      </c>
      <c r="G2471" s="11">
        <v>341886.29997453501</v>
      </c>
      <c r="H2471">
        <f t="shared" si="158"/>
        <v>341886.29997453501</v>
      </c>
      <c r="I2471" t="str">
        <f t="shared" si="159"/>
        <v/>
      </c>
      <c r="J2471" t="str">
        <f t="shared" si="160"/>
        <v/>
      </c>
      <c r="K2471">
        <f>IF(E2471="","",SUM(ContractsTbl[[#This Row],[salaryY1]:[salaryY4]]))</f>
        <v>683772.59994907002</v>
      </c>
      <c r="L2471" t="b">
        <f t="shared" si="161"/>
        <v>0</v>
      </c>
    </row>
    <row r="2472" spans="1:12" x14ac:dyDescent="0.2">
      <c r="A2472" t="s">
        <v>10233</v>
      </c>
      <c r="B2472" t="s">
        <v>74</v>
      </c>
      <c r="C2472" t="s">
        <v>9622</v>
      </c>
      <c r="D2472" t="s">
        <v>44</v>
      </c>
      <c r="E2472">
        <v>2025</v>
      </c>
      <c r="F2472">
        <v>2027</v>
      </c>
      <c r="G2472" s="11">
        <v>340845.66781258001</v>
      </c>
      <c r="H2472">
        <f t="shared" si="158"/>
        <v>340845.66781258001</v>
      </c>
      <c r="I2472" t="str">
        <f t="shared" si="159"/>
        <v/>
      </c>
      <c r="J2472" t="str">
        <f t="shared" si="160"/>
        <v/>
      </c>
      <c r="K2472">
        <f>IF(E2472="","",SUM(ContractsTbl[[#This Row],[salaryY1]:[salaryY4]]))</f>
        <v>681691.33562516002</v>
      </c>
      <c r="L2472" t="b">
        <f t="shared" si="161"/>
        <v>0</v>
      </c>
    </row>
    <row r="2473" spans="1:12" x14ac:dyDescent="0.2">
      <c r="A2473" t="s">
        <v>10234</v>
      </c>
      <c r="B2473" t="s">
        <v>74</v>
      </c>
      <c r="C2473" t="s">
        <v>9623</v>
      </c>
      <c r="D2473" t="s">
        <v>44</v>
      </c>
      <c r="E2473">
        <v>2025</v>
      </c>
      <c r="F2473">
        <v>2027</v>
      </c>
      <c r="G2473" s="11">
        <v>339805.03565062402</v>
      </c>
      <c r="H2473">
        <f t="shared" si="158"/>
        <v>339805.03565062402</v>
      </c>
      <c r="I2473" t="str">
        <f t="shared" si="159"/>
        <v/>
      </c>
      <c r="J2473" t="str">
        <f t="shared" si="160"/>
        <v/>
      </c>
      <c r="K2473">
        <f>IF(E2473="","",SUM(ContractsTbl[[#This Row],[salaryY1]:[salaryY4]]))</f>
        <v>679610.07130124804</v>
      </c>
      <c r="L2473" t="b">
        <f t="shared" si="161"/>
        <v>0</v>
      </c>
    </row>
    <row r="2474" spans="1:12" x14ac:dyDescent="0.2">
      <c r="A2474" t="s">
        <v>10235</v>
      </c>
      <c r="B2474" t="s">
        <v>74</v>
      </c>
      <c r="C2474" t="s">
        <v>9624</v>
      </c>
      <c r="D2474" t="s">
        <v>44</v>
      </c>
      <c r="E2474">
        <v>2025</v>
      </c>
      <c r="F2474">
        <v>2027</v>
      </c>
      <c r="G2474" s="11">
        <v>338764.40348866797</v>
      </c>
      <c r="H2474">
        <f t="shared" si="158"/>
        <v>338764.40348866797</v>
      </c>
      <c r="I2474" t="str">
        <f t="shared" si="159"/>
        <v/>
      </c>
      <c r="J2474" t="str">
        <f t="shared" si="160"/>
        <v/>
      </c>
      <c r="K2474">
        <f>IF(E2474="","",SUM(ContractsTbl[[#This Row],[salaryY1]:[salaryY4]]))</f>
        <v>677528.80697733595</v>
      </c>
      <c r="L2474" t="b">
        <f t="shared" si="161"/>
        <v>0</v>
      </c>
    </row>
    <row r="2475" spans="1:12" x14ac:dyDescent="0.2">
      <c r="A2475" t="s">
        <v>10236</v>
      </c>
      <c r="B2475" t="s">
        <v>74</v>
      </c>
      <c r="C2475" t="s">
        <v>9625</v>
      </c>
      <c r="D2475" t="s">
        <v>44</v>
      </c>
      <c r="E2475">
        <v>2025</v>
      </c>
      <c r="F2475">
        <v>2027</v>
      </c>
      <c r="G2475" s="11">
        <v>337723.77132671297</v>
      </c>
      <c r="H2475">
        <f t="shared" si="158"/>
        <v>337723.77132671297</v>
      </c>
      <c r="I2475" t="str">
        <f t="shared" si="159"/>
        <v/>
      </c>
      <c r="J2475" t="str">
        <f t="shared" si="160"/>
        <v/>
      </c>
      <c r="K2475">
        <f>IF(E2475="","",SUM(ContractsTbl[[#This Row],[salaryY1]:[salaryY4]]))</f>
        <v>675447.54265342595</v>
      </c>
      <c r="L2475" t="b">
        <f t="shared" si="161"/>
        <v>0</v>
      </c>
    </row>
    <row r="2476" spans="1:12" x14ac:dyDescent="0.2">
      <c r="A2476" t="s">
        <v>10237</v>
      </c>
      <c r="B2476" t="s">
        <v>74</v>
      </c>
      <c r="C2476" t="s">
        <v>9626</v>
      </c>
      <c r="D2476" t="s">
        <v>44</v>
      </c>
      <c r="E2476">
        <v>2025</v>
      </c>
      <c r="F2476">
        <v>2027</v>
      </c>
      <c r="G2476" s="11">
        <v>336683.13916475698</v>
      </c>
      <c r="H2476">
        <f t="shared" si="158"/>
        <v>336683.13916475698</v>
      </c>
      <c r="I2476" t="str">
        <f t="shared" si="159"/>
        <v/>
      </c>
      <c r="J2476" t="str">
        <f t="shared" si="160"/>
        <v/>
      </c>
      <c r="K2476">
        <f>IF(E2476="","",SUM(ContractsTbl[[#This Row],[salaryY1]:[salaryY4]]))</f>
        <v>673366.27832951397</v>
      </c>
      <c r="L2476" t="b">
        <f t="shared" si="161"/>
        <v>0</v>
      </c>
    </row>
    <row r="2477" spans="1:12" x14ac:dyDescent="0.2">
      <c r="A2477" t="s">
        <v>10238</v>
      </c>
      <c r="B2477" t="s">
        <v>74</v>
      </c>
      <c r="C2477" t="s">
        <v>9627</v>
      </c>
      <c r="D2477" t="s">
        <v>44</v>
      </c>
      <c r="E2477">
        <v>2025</v>
      </c>
      <c r="F2477">
        <v>2027</v>
      </c>
      <c r="G2477" s="11">
        <v>335642.50700280099</v>
      </c>
      <c r="H2477">
        <f t="shared" si="158"/>
        <v>335642.50700280099</v>
      </c>
      <c r="I2477" t="str">
        <f t="shared" si="159"/>
        <v/>
      </c>
      <c r="J2477" t="str">
        <f t="shared" si="160"/>
        <v/>
      </c>
      <c r="K2477">
        <f>IF(E2477="","",SUM(ContractsTbl[[#This Row],[salaryY1]:[salaryY4]]))</f>
        <v>671285.01400560199</v>
      </c>
      <c r="L2477" t="b">
        <f t="shared" si="161"/>
        <v>0</v>
      </c>
    </row>
    <row r="2478" spans="1:12" x14ac:dyDescent="0.2">
      <c r="A2478" t="s">
        <v>10239</v>
      </c>
      <c r="B2478" t="s">
        <v>74</v>
      </c>
      <c r="C2478" t="s">
        <v>9628</v>
      </c>
      <c r="D2478" t="s">
        <v>44</v>
      </c>
      <c r="E2478">
        <v>2025</v>
      </c>
      <c r="F2478">
        <v>2027</v>
      </c>
      <c r="G2478" s="11">
        <v>334601.87484084599</v>
      </c>
      <c r="H2478">
        <f t="shared" si="158"/>
        <v>334601.87484084599</v>
      </c>
      <c r="I2478" t="str">
        <f t="shared" si="159"/>
        <v/>
      </c>
      <c r="J2478" t="str">
        <f t="shared" si="160"/>
        <v/>
      </c>
      <c r="K2478">
        <f>IF(E2478="","",SUM(ContractsTbl[[#This Row],[salaryY1]:[salaryY4]]))</f>
        <v>669203.74968169199</v>
      </c>
      <c r="L2478" t="b">
        <f t="shared" si="161"/>
        <v>0</v>
      </c>
    </row>
    <row r="2479" spans="1:12" x14ac:dyDescent="0.2">
      <c r="A2479" t="s">
        <v>10240</v>
      </c>
      <c r="B2479" t="s">
        <v>74</v>
      </c>
      <c r="C2479" t="s">
        <v>9629</v>
      </c>
      <c r="D2479" t="s">
        <v>44</v>
      </c>
      <c r="E2479">
        <v>2025</v>
      </c>
      <c r="F2479">
        <v>2027</v>
      </c>
      <c r="G2479" s="11">
        <v>333561.24267889</v>
      </c>
      <c r="H2479">
        <f t="shared" si="158"/>
        <v>333561.24267889</v>
      </c>
      <c r="I2479" t="str">
        <f t="shared" si="159"/>
        <v/>
      </c>
      <c r="J2479" t="str">
        <f t="shared" si="160"/>
        <v/>
      </c>
      <c r="K2479">
        <f>IF(E2479="","",SUM(ContractsTbl[[#This Row],[salaryY1]:[salaryY4]]))</f>
        <v>667122.48535778001</v>
      </c>
      <c r="L2479" t="b">
        <f t="shared" si="161"/>
        <v>0</v>
      </c>
    </row>
    <row r="2480" spans="1:12" x14ac:dyDescent="0.2">
      <c r="A2480" t="s">
        <v>10241</v>
      </c>
      <c r="B2480" t="s">
        <v>74</v>
      </c>
      <c r="C2480" t="s">
        <v>9630</v>
      </c>
      <c r="D2480" t="s">
        <v>44</v>
      </c>
      <c r="E2480">
        <v>2025</v>
      </c>
      <c r="F2480">
        <v>2027</v>
      </c>
      <c r="G2480" s="11">
        <v>332520.61051693402</v>
      </c>
      <c r="H2480">
        <f t="shared" si="158"/>
        <v>332520.61051693402</v>
      </c>
      <c r="I2480" t="str">
        <f t="shared" si="159"/>
        <v/>
      </c>
      <c r="J2480" t="str">
        <f t="shared" si="160"/>
        <v/>
      </c>
      <c r="K2480">
        <f>IF(E2480="","",SUM(ContractsTbl[[#This Row],[salaryY1]:[salaryY4]]))</f>
        <v>665041.22103386803</v>
      </c>
      <c r="L2480" t="b">
        <f t="shared" si="161"/>
        <v>0</v>
      </c>
    </row>
    <row r="2481" spans="1:12" x14ac:dyDescent="0.2">
      <c r="A2481" t="s">
        <v>10242</v>
      </c>
      <c r="B2481" t="s">
        <v>74</v>
      </c>
      <c r="C2481" t="s">
        <v>9631</v>
      </c>
      <c r="D2481" t="s">
        <v>44</v>
      </c>
      <c r="E2481">
        <v>2025</v>
      </c>
      <c r="F2481">
        <v>2027</v>
      </c>
      <c r="G2481" s="11">
        <v>331479.97835497803</v>
      </c>
      <c r="H2481">
        <f t="shared" si="158"/>
        <v>331479.97835497803</v>
      </c>
      <c r="I2481" t="str">
        <f t="shared" si="159"/>
        <v/>
      </c>
      <c r="J2481" t="str">
        <f t="shared" si="160"/>
        <v/>
      </c>
      <c r="K2481">
        <f>IF(E2481="","",SUM(ContractsTbl[[#This Row],[salaryY1]:[salaryY4]]))</f>
        <v>662959.95670995605</v>
      </c>
      <c r="L2481" t="b">
        <f t="shared" si="161"/>
        <v>0</v>
      </c>
    </row>
    <row r="2482" spans="1:12" x14ac:dyDescent="0.2">
      <c r="A2482" t="s">
        <v>10243</v>
      </c>
      <c r="B2482" t="s">
        <v>74</v>
      </c>
      <c r="C2482" t="s">
        <v>9632</v>
      </c>
      <c r="D2482" t="s">
        <v>44</v>
      </c>
      <c r="E2482">
        <v>2025</v>
      </c>
      <c r="F2482">
        <v>2027</v>
      </c>
      <c r="G2482" s="11">
        <v>330439.34619302303</v>
      </c>
      <c r="H2482">
        <f t="shared" si="158"/>
        <v>330439.34619302303</v>
      </c>
      <c r="I2482" t="str">
        <f t="shared" si="159"/>
        <v/>
      </c>
      <c r="J2482" t="str">
        <f t="shared" si="160"/>
        <v/>
      </c>
      <c r="K2482">
        <f>IF(E2482="","",SUM(ContractsTbl[[#This Row],[salaryY1]:[salaryY4]]))</f>
        <v>660878.69238604605</v>
      </c>
      <c r="L2482" t="b">
        <f t="shared" si="161"/>
        <v>0</v>
      </c>
    </row>
    <row r="2483" spans="1:12" x14ac:dyDescent="0.2">
      <c r="A2483" t="s">
        <v>10244</v>
      </c>
      <c r="B2483" t="s">
        <v>74</v>
      </c>
      <c r="C2483" t="s">
        <v>9633</v>
      </c>
      <c r="D2483" t="s">
        <v>44</v>
      </c>
      <c r="E2483">
        <v>2025</v>
      </c>
      <c r="F2483">
        <v>2027</v>
      </c>
      <c r="G2483" s="11">
        <v>329398.71403106698</v>
      </c>
      <c r="H2483">
        <f t="shared" si="158"/>
        <v>329398.71403106698</v>
      </c>
      <c r="I2483" t="str">
        <f t="shared" si="159"/>
        <v/>
      </c>
      <c r="J2483" t="str">
        <f t="shared" si="160"/>
        <v/>
      </c>
      <c r="K2483">
        <f>IF(E2483="","",SUM(ContractsTbl[[#This Row],[salaryY1]:[salaryY4]]))</f>
        <v>658797.42806213396</v>
      </c>
      <c r="L2483" t="b">
        <f t="shared" si="161"/>
        <v>0</v>
      </c>
    </row>
    <row r="2484" spans="1:12" x14ac:dyDescent="0.2">
      <c r="A2484" t="s">
        <v>10245</v>
      </c>
      <c r="B2484" t="s">
        <v>74</v>
      </c>
      <c r="C2484" t="s">
        <v>9634</v>
      </c>
      <c r="D2484" t="s">
        <v>44</v>
      </c>
      <c r="E2484">
        <v>2025</v>
      </c>
      <c r="F2484">
        <v>2027</v>
      </c>
      <c r="G2484" s="11">
        <v>328358.08186911099</v>
      </c>
      <c r="H2484">
        <f t="shared" si="158"/>
        <v>328358.08186911099</v>
      </c>
      <c r="I2484" t="str">
        <f t="shared" si="159"/>
        <v/>
      </c>
      <c r="J2484" t="str">
        <f t="shared" si="160"/>
        <v/>
      </c>
      <c r="K2484">
        <f>IF(E2484="","",SUM(ContractsTbl[[#This Row],[salaryY1]:[salaryY4]]))</f>
        <v>656716.16373822198</v>
      </c>
      <c r="L2484" t="b">
        <f t="shared" si="161"/>
        <v>0</v>
      </c>
    </row>
    <row r="2485" spans="1:12" x14ac:dyDescent="0.2">
      <c r="A2485" t="s">
        <v>10246</v>
      </c>
      <c r="B2485" t="s">
        <v>74</v>
      </c>
      <c r="C2485" t="s">
        <v>9635</v>
      </c>
      <c r="D2485" t="s">
        <v>44</v>
      </c>
      <c r="E2485">
        <v>2025</v>
      </c>
      <c r="F2485">
        <v>2027</v>
      </c>
      <c r="G2485" s="11">
        <v>327317.44970715599</v>
      </c>
      <c r="H2485">
        <f t="shared" si="158"/>
        <v>327317.44970715599</v>
      </c>
      <c r="I2485" t="str">
        <f t="shared" si="159"/>
        <v/>
      </c>
      <c r="J2485" t="str">
        <f t="shared" si="160"/>
        <v/>
      </c>
      <c r="K2485">
        <f>IF(E2485="","",SUM(ContractsTbl[[#This Row],[salaryY1]:[salaryY4]]))</f>
        <v>654634.89941431198</v>
      </c>
      <c r="L2485" t="b">
        <f t="shared" si="161"/>
        <v>0</v>
      </c>
    </row>
    <row r="2486" spans="1:12" x14ac:dyDescent="0.2">
      <c r="A2486" t="s">
        <v>10247</v>
      </c>
      <c r="B2486" t="s">
        <v>74</v>
      </c>
      <c r="C2486" t="s">
        <v>9636</v>
      </c>
      <c r="D2486" t="s">
        <v>44</v>
      </c>
      <c r="E2486">
        <v>2025</v>
      </c>
      <c r="F2486">
        <v>2027</v>
      </c>
      <c r="G2486" s="11">
        <v>326276.8175452</v>
      </c>
      <c r="H2486">
        <f t="shared" si="158"/>
        <v>326276.8175452</v>
      </c>
      <c r="I2486" t="str">
        <f t="shared" si="159"/>
        <v/>
      </c>
      <c r="J2486" t="str">
        <f t="shared" si="160"/>
        <v/>
      </c>
      <c r="K2486">
        <f>IF(E2486="","",SUM(ContractsTbl[[#This Row],[salaryY1]:[salaryY4]]))</f>
        <v>652553.6350904</v>
      </c>
      <c r="L2486" t="b">
        <f t="shared" si="161"/>
        <v>0</v>
      </c>
    </row>
    <row r="2487" spans="1:12" x14ac:dyDescent="0.2">
      <c r="A2487" t="s">
        <v>10248</v>
      </c>
      <c r="B2487" t="s">
        <v>74</v>
      </c>
      <c r="C2487" t="s">
        <v>9637</v>
      </c>
      <c r="D2487" t="s">
        <v>44</v>
      </c>
      <c r="E2487">
        <v>2025</v>
      </c>
      <c r="F2487">
        <v>2027</v>
      </c>
      <c r="G2487" s="11">
        <v>325236.18538324401</v>
      </c>
      <c r="H2487">
        <f t="shared" si="158"/>
        <v>325236.18538324401</v>
      </c>
      <c r="I2487" t="str">
        <f t="shared" si="159"/>
        <v/>
      </c>
      <c r="J2487" t="str">
        <f t="shared" si="160"/>
        <v/>
      </c>
      <c r="K2487">
        <f>IF(E2487="","",SUM(ContractsTbl[[#This Row],[salaryY1]:[salaryY4]]))</f>
        <v>650472.37076648802</v>
      </c>
      <c r="L2487" t="b">
        <f t="shared" si="161"/>
        <v>0</v>
      </c>
    </row>
    <row r="2488" spans="1:12" x14ac:dyDescent="0.2">
      <c r="A2488" t="s">
        <v>10249</v>
      </c>
      <c r="B2488" t="s">
        <v>74</v>
      </c>
      <c r="C2488" t="s">
        <v>9638</v>
      </c>
      <c r="D2488" t="s">
        <v>44</v>
      </c>
      <c r="E2488">
        <v>2025</v>
      </c>
      <c r="F2488">
        <v>2027</v>
      </c>
      <c r="G2488" s="11">
        <v>324195.55322128901</v>
      </c>
      <c r="H2488">
        <f t="shared" si="158"/>
        <v>324195.55322128901</v>
      </c>
      <c r="I2488" t="str">
        <f t="shared" si="159"/>
        <v/>
      </c>
      <c r="J2488" t="str">
        <f t="shared" si="160"/>
        <v/>
      </c>
      <c r="K2488">
        <f>IF(E2488="","",SUM(ContractsTbl[[#This Row],[salaryY1]:[salaryY4]]))</f>
        <v>648391.10644257802</v>
      </c>
      <c r="L2488" t="b">
        <f t="shared" si="161"/>
        <v>0</v>
      </c>
    </row>
    <row r="2489" spans="1:12" x14ac:dyDescent="0.2">
      <c r="A2489" t="s">
        <v>10250</v>
      </c>
      <c r="B2489" t="s">
        <v>74</v>
      </c>
      <c r="C2489" t="s">
        <v>9639</v>
      </c>
      <c r="D2489" t="s">
        <v>44</v>
      </c>
      <c r="E2489">
        <v>2025</v>
      </c>
      <c r="F2489">
        <v>2027</v>
      </c>
      <c r="G2489" s="11">
        <v>323154.92105933302</v>
      </c>
      <c r="H2489">
        <f t="shared" si="158"/>
        <v>323154.92105933302</v>
      </c>
      <c r="I2489" t="str">
        <f t="shared" si="159"/>
        <v/>
      </c>
      <c r="J2489" t="str">
        <f t="shared" si="160"/>
        <v/>
      </c>
      <c r="K2489">
        <f>IF(E2489="","",SUM(ContractsTbl[[#This Row],[salaryY1]:[salaryY4]]))</f>
        <v>646309.84211866604</v>
      </c>
      <c r="L2489" t="b">
        <f t="shared" si="161"/>
        <v>0</v>
      </c>
    </row>
    <row r="2490" spans="1:12" x14ac:dyDescent="0.2">
      <c r="A2490" t="s">
        <v>10251</v>
      </c>
      <c r="B2490" t="s">
        <v>74</v>
      </c>
      <c r="C2490" t="s">
        <v>9640</v>
      </c>
      <c r="D2490" t="s">
        <v>44</v>
      </c>
      <c r="E2490">
        <v>2025</v>
      </c>
      <c r="F2490">
        <v>2027</v>
      </c>
      <c r="G2490" s="11">
        <v>322114.28889737697</v>
      </c>
      <c r="H2490">
        <f t="shared" si="158"/>
        <v>322114.28889737697</v>
      </c>
      <c r="I2490" t="str">
        <f t="shared" si="159"/>
        <v/>
      </c>
      <c r="J2490" t="str">
        <f t="shared" si="160"/>
        <v/>
      </c>
      <c r="K2490">
        <f>IF(E2490="","",SUM(ContractsTbl[[#This Row],[salaryY1]:[salaryY4]]))</f>
        <v>644228.57779475395</v>
      </c>
      <c r="L2490" t="b">
        <f t="shared" si="161"/>
        <v>0</v>
      </c>
    </row>
    <row r="2491" spans="1:12" x14ac:dyDescent="0.2">
      <c r="A2491" t="s">
        <v>10252</v>
      </c>
      <c r="B2491" t="s">
        <v>74</v>
      </c>
      <c r="C2491" t="s">
        <v>9641</v>
      </c>
      <c r="D2491" t="s">
        <v>44</v>
      </c>
      <c r="E2491">
        <v>2025</v>
      </c>
      <c r="F2491">
        <v>2027</v>
      </c>
      <c r="G2491" s="11">
        <v>321073.65673542197</v>
      </c>
      <c r="H2491">
        <f t="shared" si="158"/>
        <v>321073.65673542197</v>
      </c>
      <c r="I2491" t="str">
        <f t="shared" si="159"/>
        <v/>
      </c>
      <c r="J2491" t="str">
        <f t="shared" si="160"/>
        <v/>
      </c>
      <c r="K2491">
        <f>IF(E2491="","",SUM(ContractsTbl[[#This Row],[salaryY1]:[salaryY4]]))</f>
        <v>642147.31347084395</v>
      </c>
      <c r="L2491" t="b">
        <f t="shared" si="161"/>
        <v>0</v>
      </c>
    </row>
    <row r="2492" spans="1:12" x14ac:dyDescent="0.2">
      <c r="A2492" t="s">
        <v>10253</v>
      </c>
      <c r="B2492" t="s">
        <v>74</v>
      </c>
      <c r="C2492" t="s">
        <v>9642</v>
      </c>
      <c r="D2492" t="s">
        <v>44</v>
      </c>
      <c r="E2492">
        <v>2025</v>
      </c>
      <c r="F2492">
        <v>2027</v>
      </c>
      <c r="G2492" s="11">
        <v>320033.02457346598</v>
      </c>
      <c r="H2492">
        <f t="shared" si="158"/>
        <v>320033.02457346598</v>
      </c>
      <c r="I2492" t="str">
        <f t="shared" si="159"/>
        <v/>
      </c>
      <c r="J2492" t="str">
        <f t="shared" si="160"/>
        <v/>
      </c>
      <c r="K2492">
        <f>IF(E2492="","",SUM(ContractsTbl[[#This Row],[salaryY1]:[salaryY4]]))</f>
        <v>640066.04914693197</v>
      </c>
      <c r="L2492" t="b">
        <f t="shared" si="161"/>
        <v>0</v>
      </c>
    </row>
    <row r="2493" spans="1:12" x14ac:dyDescent="0.2">
      <c r="A2493" t="s">
        <v>10254</v>
      </c>
      <c r="B2493" t="s">
        <v>74</v>
      </c>
      <c r="C2493" t="s">
        <v>9643</v>
      </c>
      <c r="D2493" t="s">
        <v>44</v>
      </c>
      <c r="E2493">
        <v>2025</v>
      </c>
      <c r="F2493">
        <v>2027</v>
      </c>
      <c r="G2493" s="11">
        <v>318992.39241150999</v>
      </c>
      <c r="H2493">
        <f t="shared" si="158"/>
        <v>318992.39241150999</v>
      </c>
      <c r="I2493" t="str">
        <f t="shared" si="159"/>
        <v/>
      </c>
      <c r="J2493" t="str">
        <f t="shared" si="160"/>
        <v/>
      </c>
      <c r="K2493">
        <f>IF(E2493="","",SUM(ContractsTbl[[#This Row],[salaryY1]:[salaryY4]]))</f>
        <v>637984.78482301999</v>
      </c>
      <c r="L2493" t="b">
        <f t="shared" si="161"/>
        <v>0</v>
      </c>
    </row>
    <row r="2494" spans="1:12" x14ac:dyDescent="0.2">
      <c r="A2494" t="s">
        <v>10255</v>
      </c>
      <c r="B2494" t="s">
        <v>74</v>
      </c>
      <c r="C2494" t="s">
        <v>9644</v>
      </c>
      <c r="D2494" t="s">
        <v>44</v>
      </c>
      <c r="E2494">
        <v>2025</v>
      </c>
      <c r="F2494">
        <v>2027</v>
      </c>
      <c r="G2494" s="11">
        <v>317951.760249554</v>
      </c>
      <c r="H2494">
        <f t="shared" si="158"/>
        <v>317951.760249554</v>
      </c>
      <c r="I2494" t="str">
        <f t="shared" si="159"/>
        <v/>
      </c>
      <c r="J2494" t="str">
        <f t="shared" si="160"/>
        <v/>
      </c>
      <c r="K2494">
        <f>IF(E2494="","",SUM(ContractsTbl[[#This Row],[salaryY1]:[salaryY4]]))</f>
        <v>635903.52049910801</v>
      </c>
      <c r="L2494" t="b">
        <f t="shared" si="161"/>
        <v>0</v>
      </c>
    </row>
    <row r="2495" spans="1:12" x14ac:dyDescent="0.2">
      <c r="A2495" t="s">
        <v>10256</v>
      </c>
      <c r="B2495" t="s">
        <v>74</v>
      </c>
      <c r="C2495" t="s">
        <v>9645</v>
      </c>
      <c r="D2495" t="s">
        <v>44</v>
      </c>
      <c r="E2495">
        <v>2025</v>
      </c>
      <c r="F2495">
        <v>2027</v>
      </c>
      <c r="G2495" s="11">
        <v>316911.12808759901</v>
      </c>
      <c r="H2495">
        <f t="shared" si="158"/>
        <v>316911.12808759901</v>
      </c>
      <c r="I2495" t="str">
        <f t="shared" si="159"/>
        <v/>
      </c>
      <c r="J2495" t="str">
        <f t="shared" si="160"/>
        <v/>
      </c>
      <c r="K2495">
        <f>IF(E2495="","",SUM(ContractsTbl[[#This Row],[salaryY1]:[salaryY4]]))</f>
        <v>633822.25617519801</v>
      </c>
      <c r="L2495" t="b">
        <f t="shared" si="161"/>
        <v>0</v>
      </c>
    </row>
    <row r="2496" spans="1:12" x14ac:dyDescent="0.2">
      <c r="A2496" t="s">
        <v>10257</v>
      </c>
      <c r="B2496" t="s">
        <v>74</v>
      </c>
      <c r="C2496" t="s">
        <v>9646</v>
      </c>
      <c r="D2496" t="s">
        <v>44</v>
      </c>
      <c r="E2496">
        <v>2025</v>
      </c>
      <c r="F2496">
        <v>2027</v>
      </c>
      <c r="G2496" s="11">
        <v>315870.49592564302</v>
      </c>
      <c r="H2496">
        <f t="shared" si="158"/>
        <v>315870.49592564302</v>
      </c>
      <c r="I2496" t="str">
        <f t="shared" si="159"/>
        <v/>
      </c>
      <c r="J2496" t="str">
        <f t="shared" si="160"/>
        <v/>
      </c>
      <c r="K2496">
        <f>IF(E2496="","",SUM(ContractsTbl[[#This Row],[salaryY1]:[salaryY4]]))</f>
        <v>631740.99185128603</v>
      </c>
      <c r="L2496" t="b">
        <f t="shared" si="161"/>
        <v>0</v>
      </c>
    </row>
    <row r="2497" spans="1:12" x14ac:dyDescent="0.2">
      <c r="A2497" t="s">
        <v>10258</v>
      </c>
      <c r="B2497" t="s">
        <v>74</v>
      </c>
      <c r="C2497" t="s">
        <v>9647</v>
      </c>
      <c r="D2497" t="s">
        <v>44</v>
      </c>
      <c r="E2497">
        <v>2025</v>
      </c>
      <c r="F2497">
        <v>2027</v>
      </c>
      <c r="G2497" s="11">
        <v>314829.86376368703</v>
      </c>
      <c r="H2497">
        <f t="shared" si="158"/>
        <v>314829.86376368703</v>
      </c>
      <c r="I2497" t="str">
        <f t="shared" si="159"/>
        <v/>
      </c>
      <c r="J2497" t="str">
        <f t="shared" si="160"/>
        <v/>
      </c>
      <c r="K2497">
        <f>IF(E2497="","",SUM(ContractsTbl[[#This Row],[salaryY1]:[salaryY4]]))</f>
        <v>629659.72752737405</v>
      </c>
      <c r="L2497" t="b">
        <f t="shared" si="161"/>
        <v>0</v>
      </c>
    </row>
    <row r="2498" spans="1:12" x14ac:dyDescent="0.2">
      <c r="A2498" t="s">
        <v>10259</v>
      </c>
      <c r="B2498" t="s">
        <v>74</v>
      </c>
      <c r="C2498" t="s">
        <v>9648</v>
      </c>
      <c r="D2498" t="s">
        <v>44</v>
      </c>
      <c r="E2498">
        <v>2025</v>
      </c>
      <c r="F2498">
        <v>2027</v>
      </c>
      <c r="G2498" s="11">
        <v>313789.23160173203</v>
      </c>
      <c r="H2498">
        <f t="shared" si="158"/>
        <v>313789.23160173203</v>
      </c>
      <c r="I2498" t="str">
        <f t="shared" si="159"/>
        <v/>
      </c>
      <c r="J2498" t="str">
        <f t="shared" si="160"/>
        <v/>
      </c>
      <c r="K2498">
        <f>IF(E2498="","",SUM(ContractsTbl[[#This Row],[salaryY1]:[salaryY4]]))</f>
        <v>627578.46320346405</v>
      </c>
      <c r="L2498" t="b">
        <f t="shared" si="161"/>
        <v>0</v>
      </c>
    </row>
    <row r="2499" spans="1:12" x14ac:dyDescent="0.2">
      <c r="A2499" t="s">
        <v>10260</v>
      </c>
      <c r="B2499" t="s">
        <v>74</v>
      </c>
      <c r="C2499" t="s">
        <v>9649</v>
      </c>
      <c r="D2499" t="s">
        <v>44</v>
      </c>
      <c r="E2499">
        <v>2025</v>
      </c>
      <c r="F2499">
        <v>2027</v>
      </c>
      <c r="G2499" s="11">
        <v>312748.59943977598</v>
      </c>
      <c r="H2499">
        <f t="shared" si="158"/>
        <v>312748.59943977598</v>
      </c>
      <c r="I2499" t="str">
        <f t="shared" si="159"/>
        <v/>
      </c>
      <c r="J2499" t="str">
        <f t="shared" si="160"/>
        <v/>
      </c>
      <c r="K2499">
        <f>IF(E2499="","",SUM(ContractsTbl[[#This Row],[salaryY1]:[salaryY4]]))</f>
        <v>625497.19887955196</v>
      </c>
      <c r="L2499" t="b">
        <f t="shared" si="161"/>
        <v>0</v>
      </c>
    </row>
    <row r="2500" spans="1:12" x14ac:dyDescent="0.2">
      <c r="A2500" t="s">
        <v>10261</v>
      </c>
      <c r="B2500" t="s">
        <v>74</v>
      </c>
      <c r="C2500" t="s">
        <v>9650</v>
      </c>
      <c r="D2500" t="s">
        <v>44</v>
      </c>
      <c r="E2500">
        <v>2025</v>
      </c>
      <c r="F2500">
        <v>2027</v>
      </c>
      <c r="G2500" s="11">
        <v>311707.96727781999</v>
      </c>
      <c r="H2500">
        <f t="shared" si="158"/>
        <v>311707.96727781999</v>
      </c>
      <c r="I2500" t="str">
        <f t="shared" si="159"/>
        <v/>
      </c>
      <c r="J2500" t="str">
        <f t="shared" si="160"/>
        <v/>
      </c>
      <c r="K2500">
        <f>IF(E2500="","",SUM(ContractsTbl[[#This Row],[salaryY1]:[salaryY4]]))</f>
        <v>623415.93455563998</v>
      </c>
      <c r="L2500" t="b">
        <f t="shared" si="161"/>
        <v>0</v>
      </c>
    </row>
    <row r="2501" spans="1:12" x14ac:dyDescent="0.2">
      <c r="A2501" t="s">
        <v>10262</v>
      </c>
      <c r="B2501" t="s">
        <v>74</v>
      </c>
      <c r="C2501" t="s">
        <v>9651</v>
      </c>
      <c r="D2501" t="s">
        <v>44</v>
      </c>
      <c r="E2501">
        <v>2025</v>
      </c>
      <c r="F2501">
        <v>2027</v>
      </c>
      <c r="G2501" s="11">
        <v>310667.33511586499</v>
      </c>
      <c r="H2501">
        <f t="shared" si="158"/>
        <v>310667.33511586499</v>
      </c>
      <c r="I2501" t="str">
        <f t="shared" si="159"/>
        <v/>
      </c>
      <c r="J2501" t="str">
        <f t="shared" si="160"/>
        <v/>
      </c>
      <c r="K2501">
        <f>IF(E2501="","",SUM(ContractsTbl[[#This Row],[salaryY1]:[salaryY4]]))</f>
        <v>621334.67023172998</v>
      </c>
      <c r="L2501" t="b">
        <f t="shared" si="161"/>
        <v>0</v>
      </c>
    </row>
    <row r="2502" spans="1:12" x14ac:dyDescent="0.2">
      <c r="A2502" t="s">
        <v>10263</v>
      </c>
      <c r="B2502" t="s">
        <v>74</v>
      </c>
      <c r="C2502" t="s">
        <v>9652</v>
      </c>
      <c r="D2502" t="s">
        <v>44</v>
      </c>
      <c r="E2502">
        <v>2025</v>
      </c>
      <c r="F2502">
        <v>2027</v>
      </c>
      <c r="G2502" s="11">
        <v>309626.702953909</v>
      </c>
      <c r="H2502">
        <f t="shared" si="158"/>
        <v>309626.702953909</v>
      </c>
      <c r="I2502" t="str">
        <f t="shared" si="159"/>
        <v/>
      </c>
      <c r="J2502" t="str">
        <f t="shared" si="160"/>
        <v/>
      </c>
      <c r="K2502">
        <f>IF(E2502="","",SUM(ContractsTbl[[#This Row],[salaryY1]:[salaryY4]]))</f>
        <v>619253.405907818</v>
      </c>
      <c r="L2502" t="b">
        <f t="shared" si="161"/>
        <v>0</v>
      </c>
    </row>
    <row r="2503" spans="1:12" x14ac:dyDescent="0.2">
      <c r="A2503" t="s">
        <v>10264</v>
      </c>
      <c r="B2503" t="s">
        <v>74</v>
      </c>
      <c r="C2503" t="s">
        <v>9653</v>
      </c>
      <c r="D2503" t="s">
        <v>44</v>
      </c>
      <c r="E2503">
        <v>2025</v>
      </c>
      <c r="F2503">
        <v>2027</v>
      </c>
      <c r="G2503" s="11">
        <v>308586.07079195301</v>
      </c>
      <c r="H2503">
        <f t="shared" si="158"/>
        <v>308586.07079195301</v>
      </c>
      <c r="I2503" t="str">
        <f t="shared" si="159"/>
        <v/>
      </c>
      <c r="J2503" t="str">
        <f t="shared" si="160"/>
        <v/>
      </c>
      <c r="K2503">
        <f>IF(E2503="","",SUM(ContractsTbl[[#This Row],[salaryY1]:[salaryY4]]))</f>
        <v>617172.14158390602</v>
      </c>
      <c r="L2503" t="b">
        <f t="shared" si="161"/>
        <v>0</v>
      </c>
    </row>
    <row r="2504" spans="1:12" x14ac:dyDescent="0.2">
      <c r="A2504" t="s">
        <v>10265</v>
      </c>
      <c r="B2504" t="s">
        <v>74</v>
      </c>
      <c r="C2504" t="s">
        <v>9654</v>
      </c>
      <c r="D2504" t="s">
        <v>44</v>
      </c>
      <c r="E2504">
        <v>2025</v>
      </c>
      <c r="F2504">
        <v>2027</v>
      </c>
      <c r="G2504" s="11">
        <v>307545.43862999801</v>
      </c>
      <c r="H2504">
        <f t="shared" si="158"/>
        <v>307545.43862999801</v>
      </c>
      <c r="I2504" t="str">
        <f t="shared" si="159"/>
        <v/>
      </c>
      <c r="J2504" t="str">
        <f t="shared" si="160"/>
        <v/>
      </c>
      <c r="K2504">
        <f>IF(E2504="","",SUM(ContractsTbl[[#This Row],[salaryY1]:[salaryY4]]))</f>
        <v>615090.87725999602</v>
      </c>
      <c r="L2504" t="b">
        <f t="shared" si="161"/>
        <v>0</v>
      </c>
    </row>
    <row r="2505" spans="1:12" x14ac:dyDescent="0.2">
      <c r="A2505" t="s">
        <v>10266</v>
      </c>
      <c r="B2505" t="s">
        <v>74</v>
      </c>
      <c r="C2505" t="s">
        <v>9655</v>
      </c>
      <c r="D2505" t="s">
        <v>44</v>
      </c>
      <c r="E2505">
        <v>2025</v>
      </c>
      <c r="F2505">
        <v>2027</v>
      </c>
      <c r="G2505" s="11">
        <v>306504.80646804202</v>
      </c>
      <c r="H2505">
        <f t="shared" si="158"/>
        <v>306504.80646804202</v>
      </c>
      <c r="I2505" t="str">
        <f t="shared" si="159"/>
        <v/>
      </c>
      <c r="J2505" t="str">
        <f t="shared" si="160"/>
        <v/>
      </c>
      <c r="K2505">
        <f>IF(E2505="","",SUM(ContractsTbl[[#This Row],[salaryY1]:[salaryY4]]))</f>
        <v>613009.61293608404</v>
      </c>
      <c r="L2505" t="b">
        <f t="shared" si="161"/>
        <v>0</v>
      </c>
    </row>
    <row r="2506" spans="1:12" x14ac:dyDescent="0.2">
      <c r="A2506" t="s">
        <v>10267</v>
      </c>
      <c r="B2506" t="s">
        <v>74</v>
      </c>
      <c r="C2506" t="s">
        <v>9656</v>
      </c>
      <c r="D2506" t="s">
        <v>44</v>
      </c>
      <c r="E2506">
        <v>2025</v>
      </c>
      <c r="F2506">
        <v>2027</v>
      </c>
      <c r="G2506" s="11">
        <v>305464.17430608597</v>
      </c>
      <c r="H2506">
        <f t="shared" si="158"/>
        <v>305464.17430608597</v>
      </c>
      <c r="I2506" t="str">
        <f t="shared" si="159"/>
        <v/>
      </c>
      <c r="J2506" t="str">
        <f t="shared" si="160"/>
        <v/>
      </c>
      <c r="K2506">
        <f>IF(E2506="","",SUM(ContractsTbl[[#This Row],[salaryY1]:[salaryY4]]))</f>
        <v>610928.34861217195</v>
      </c>
      <c r="L2506" t="b">
        <f t="shared" si="161"/>
        <v>0</v>
      </c>
    </row>
    <row r="2507" spans="1:12" x14ac:dyDescent="0.2">
      <c r="A2507" t="s">
        <v>10268</v>
      </c>
      <c r="B2507" t="s">
        <v>74</v>
      </c>
      <c r="C2507" t="s">
        <v>9657</v>
      </c>
      <c r="D2507" t="s">
        <v>44</v>
      </c>
      <c r="E2507">
        <v>2025</v>
      </c>
      <c r="F2507">
        <v>2027</v>
      </c>
      <c r="G2507" s="11">
        <v>304423.54214412998</v>
      </c>
      <c r="H2507">
        <f t="shared" si="158"/>
        <v>304423.54214412998</v>
      </c>
      <c r="I2507" t="str">
        <f t="shared" si="159"/>
        <v/>
      </c>
      <c r="J2507" t="str">
        <f t="shared" si="160"/>
        <v/>
      </c>
      <c r="K2507">
        <f>IF(E2507="","",SUM(ContractsTbl[[#This Row],[salaryY1]:[salaryY4]]))</f>
        <v>608847.08428825997</v>
      </c>
      <c r="L2507" t="b">
        <f t="shared" si="161"/>
        <v>0</v>
      </c>
    </row>
    <row r="2508" spans="1:12" x14ac:dyDescent="0.2">
      <c r="A2508" t="s">
        <v>10269</v>
      </c>
      <c r="B2508" t="s">
        <v>74</v>
      </c>
      <c r="C2508" t="s">
        <v>9658</v>
      </c>
      <c r="D2508" t="s">
        <v>44</v>
      </c>
      <c r="E2508">
        <v>2025</v>
      </c>
      <c r="F2508">
        <v>2027</v>
      </c>
      <c r="G2508" s="11">
        <v>303382.90998217498</v>
      </c>
      <c r="H2508">
        <f t="shared" si="158"/>
        <v>303382.90998217498</v>
      </c>
      <c r="I2508" t="str">
        <f t="shared" si="159"/>
        <v/>
      </c>
      <c r="J2508" t="str">
        <f t="shared" si="160"/>
        <v/>
      </c>
      <c r="K2508">
        <f>IF(E2508="","",SUM(ContractsTbl[[#This Row],[salaryY1]:[salaryY4]]))</f>
        <v>606765.81996434997</v>
      </c>
      <c r="L2508" t="b">
        <f t="shared" si="161"/>
        <v>0</v>
      </c>
    </row>
    <row r="2509" spans="1:12" x14ac:dyDescent="0.2">
      <c r="A2509" t="s">
        <v>10270</v>
      </c>
      <c r="B2509" t="s">
        <v>74</v>
      </c>
      <c r="C2509" t="s">
        <v>9659</v>
      </c>
      <c r="D2509" t="s">
        <v>44</v>
      </c>
      <c r="E2509">
        <v>2025</v>
      </c>
      <c r="F2509">
        <v>2027</v>
      </c>
      <c r="G2509" s="11">
        <v>302342.27782021899</v>
      </c>
      <c r="H2509">
        <f t="shared" si="158"/>
        <v>302342.27782021899</v>
      </c>
      <c r="I2509" t="str">
        <f t="shared" si="159"/>
        <v/>
      </c>
      <c r="J2509" t="str">
        <f t="shared" si="160"/>
        <v/>
      </c>
      <c r="K2509">
        <f>IF(E2509="","",SUM(ContractsTbl[[#This Row],[salaryY1]:[salaryY4]]))</f>
        <v>604684.55564043799</v>
      </c>
      <c r="L2509" t="b">
        <f t="shared" si="161"/>
        <v>0</v>
      </c>
    </row>
    <row r="2510" spans="1:12" x14ac:dyDescent="0.2">
      <c r="A2510" t="s">
        <v>10271</v>
      </c>
      <c r="B2510" t="s">
        <v>74</v>
      </c>
      <c r="C2510" t="s">
        <v>9660</v>
      </c>
      <c r="D2510" t="s">
        <v>44</v>
      </c>
      <c r="E2510">
        <v>2025</v>
      </c>
      <c r="F2510">
        <v>2027</v>
      </c>
      <c r="G2510" s="11">
        <v>301301.64565826301</v>
      </c>
      <c r="H2510">
        <f t="shared" si="158"/>
        <v>301301.64565826301</v>
      </c>
      <c r="I2510" t="str">
        <f t="shared" si="159"/>
        <v/>
      </c>
      <c r="J2510" t="str">
        <f t="shared" si="160"/>
        <v/>
      </c>
      <c r="K2510">
        <f>IF(E2510="","",SUM(ContractsTbl[[#This Row],[salaryY1]:[salaryY4]]))</f>
        <v>602603.29131652601</v>
      </c>
      <c r="L2510" t="b">
        <f t="shared" si="161"/>
        <v>0</v>
      </c>
    </row>
    <row r="2511" spans="1:12" x14ac:dyDescent="0.2">
      <c r="A2511" t="s">
        <v>10272</v>
      </c>
      <c r="B2511" t="s">
        <v>74</v>
      </c>
      <c r="C2511" t="s">
        <v>9661</v>
      </c>
      <c r="D2511" t="s">
        <v>44</v>
      </c>
      <c r="E2511">
        <v>2025</v>
      </c>
      <c r="F2511">
        <v>2027</v>
      </c>
      <c r="G2511" s="11">
        <v>300261.01349630801</v>
      </c>
      <c r="H2511">
        <f t="shared" si="158"/>
        <v>300261.01349630801</v>
      </c>
      <c r="I2511" t="str">
        <f t="shared" si="159"/>
        <v/>
      </c>
      <c r="J2511" t="str">
        <f t="shared" si="160"/>
        <v/>
      </c>
      <c r="K2511">
        <f>IF(E2511="","",SUM(ContractsTbl[[#This Row],[salaryY1]:[salaryY4]]))</f>
        <v>600522.02699261601</v>
      </c>
      <c r="L2511" t="b">
        <f t="shared" si="161"/>
        <v>0</v>
      </c>
    </row>
    <row r="2512" spans="1:12" x14ac:dyDescent="0.2">
      <c r="A2512" t="s">
        <v>10273</v>
      </c>
      <c r="B2512" t="s">
        <v>74</v>
      </c>
      <c r="C2512" t="s">
        <v>9662</v>
      </c>
      <c r="D2512" t="s">
        <v>44</v>
      </c>
      <c r="E2512">
        <v>2025</v>
      </c>
      <c r="F2512">
        <v>2027</v>
      </c>
      <c r="G2512" s="11">
        <v>299220.38133435202</v>
      </c>
      <c r="H2512">
        <f t="shared" si="158"/>
        <v>299220.38133435202</v>
      </c>
      <c r="I2512" t="str">
        <f t="shared" si="159"/>
        <v/>
      </c>
      <c r="J2512" t="str">
        <f t="shared" si="160"/>
        <v/>
      </c>
      <c r="K2512">
        <f>IF(E2512="","",SUM(ContractsTbl[[#This Row],[salaryY1]:[salaryY4]]))</f>
        <v>598440.76266870403</v>
      </c>
      <c r="L2512" t="b">
        <f t="shared" si="161"/>
        <v>0</v>
      </c>
    </row>
    <row r="2513" spans="1:12" x14ac:dyDescent="0.2">
      <c r="A2513" t="s">
        <v>10274</v>
      </c>
      <c r="B2513" t="s">
        <v>74</v>
      </c>
      <c r="C2513" t="s">
        <v>9663</v>
      </c>
      <c r="D2513" t="s">
        <v>44</v>
      </c>
      <c r="E2513">
        <v>2025</v>
      </c>
      <c r="F2513">
        <v>2027</v>
      </c>
      <c r="G2513" s="11">
        <v>298179.74917239603</v>
      </c>
      <c r="H2513">
        <f t="shared" si="158"/>
        <v>298179.74917239603</v>
      </c>
      <c r="I2513" t="str">
        <f t="shared" si="159"/>
        <v/>
      </c>
      <c r="J2513" t="str">
        <f t="shared" si="160"/>
        <v/>
      </c>
      <c r="K2513">
        <f>IF(E2513="","",SUM(ContractsTbl[[#This Row],[salaryY1]:[salaryY4]]))</f>
        <v>596359.49834479205</v>
      </c>
      <c r="L2513" t="b">
        <f t="shared" si="161"/>
        <v>0</v>
      </c>
    </row>
    <row r="2514" spans="1:12" x14ac:dyDescent="0.2">
      <c r="A2514" t="s">
        <v>10275</v>
      </c>
      <c r="B2514" t="s">
        <v>74</v>
      </c>
      <c r="C2514" t="s">
        <v>9664</v>
      </c>
      <c r="D2514" t="s">
        <v>44</v>
      </c>
      <c r="E2514">
        <v>2025</v>
      </c>
      <c r="F2514">
        <v>2027</v>
      </c>
      <c r="G2514" s="11">
        <v>297139.11701044103</v>
      </c>
      <c r="H2514">
        <f t="shared" si="158"/>
        <v>297139.11701044103</v>
      </c>
      <c r="I2514" t="str">
        <f t="shared" si="159"/>
        <v/>
      </c>
      <c r="J2514" t="str">
        <f t="shared" si="160"/>
        <v/>
      </c>
      <c r="K2514">
        <f>IF(E2514="","",SUM(ContractsTbl[[#This Row],[salaryY1]:[salaryY4]]))</f>
        <v>594278.23402088205</v>
      </c>
      <c r="L2514" t="b">
        <f t="shared" si="161"/>
        <v>0</v>
      </c>
    </row>
    <row r="2515" spans="1:12" x14ac:dyDescent="0.2">
      <c r="A2515" t="s">
        <v>10276</v>
      </c>
      <c r="B2515" t="s">
        <v>74</v>
      </c>
      <c r="C2515" t="s">
        <v>9665</v>
      </c>
      <c r="D2515" t="s">
        <v>44</v>
      </c>
      <c r="E2515">
        <v>2025</v>
      </c>
      <c r="F2515">
        <v>2027</v>
      </c>
      <c r="G2515" s="11">
        <v>296098.48484848498</v>
      </c>
      <c r="H2515">
        <f t="shared" si="158"/>
        <v>296098.48484848498</v>
      </c>
      <c r="I2515" t="str">
        <f t="shared" si="159"/>
        <v/>
      </c>
      <c r="J2515" t="str">
        <f t="shared" si="160"/>
        <v/>
      </c>
      <c r="K2515">
        <f>IF(E2515="","",SUM(ContractsTbl[[#This Row],[salaryY1]:[salaryY4]]))</f>
        <v>592196.96969696996</v>
      </c>
      <c r="L2515" t="b">
        <f t="shared" si="161"/>
        <v>0</v>
      </c>
    </row>
    <row r="2516" spans="1:12" x14ac:dyDescent="0.2">
      <c r="A2516" t="s">
        <v>10277</v>
      </c>
      <c r="B2516" t="s">
        <v>74</v>
      </c>
      <c r="C2516" t="s">
        <v>9666</v>
      </c>
      <c r="D2516" t="s">
        <v>44</v>
      </c>
      <c r="E2516">
        <v>2025</v>
      </c>
      <c r="F2516">
        <v>2027</v>
      </c>
      <c r="G2516" s="11">
        <v>295057.85268652899</v>
      </c>
      <c r="H2516">
        <f t="shared" si="158"/>
        <v>295057.85268652899</v>
      </c>
      <c r="I2516" t="str">
        <f t="shared" si="159"/>
        <v/>
      </c>
      <c r="J2516" t="str">
        <f t="shared" si="160"/>
        <v/>
      </c>
      <c r="K2516">
        <f>IF(E2516="","",SUM(ContractsTbl[[#This Row],[salaryY1]:[salaryY4]]))</f>
        <v>590115.70537305798</v>
      </c>
      <c r="L2516" t="b">
        <f t="shared" si="161"/>
        <v>0</v>
      </c>
    </row>
    <row r="2517" spans="1:12" x14ac:dyDescent="0.2">
      <c r="A2517" t="s">
        <v>10278</v>
      </c>
      <c r="B2517" t="s">
        <v>74</v>
      </c>
      <c r="C2517" t="s">
        <v>9667</v>
      </c>
      <c r="D2517" t="s">
        <v>44</v>
      </c>
      <c r="E2517">
        <v>2025</v>
      </c>
      <c r="F2517">
        <v>2027</v>
      </c>
      <c r="G2517" s="11">
        <v>294017.22052457399</v>
      </c>
      <c r="H2517">
        <f t="shared" si="158"/>
        <v>294017.22052457399</v>
      </c>
      <c r="I2517" t="str">
        <f t="shared" si="159"/>
        <v/>
      </c>
      <c r="J2517" t="str">
        <f t="shared" si="160"/>
        <v/>
      </c>
      <c r="K2517">
        <f>IF(E2517="","",SUM(ContractsTbl[[#This Row],[salaryY1]:[salaryY4]]))</f>
        <v>588034.44104914798</v>
      </c>
      <c r="L2517" t="b">
        <f t="shared" si="161"/>
        <v>0</v>
      </c>
    </row>
    <row r="2518" spans="1:12" x14ac:dyDescent="0.2">
      <c r="A2518" t="s">
        <v>10279</v>
      </c>
      <c r="B2518" t="s">
        <v>74</v>
      </c>
      <c r="C2518" t="s">
        <v>9668</v>
      </c>
      <c r="D2518" t="s">
        <v>44</v>
      </c>
      <c r="E2518">
        <v>2025</v>
      </c>
      <c r="F2518">
        <v>2027</v>
      </c>
      <c r="G2518" s="11">
        <v>292976.588362618</v>
      </c>
      <c r="H2518">
        <f t="shared" si="158"/>
        <v>292976.588362618</v>
      </c>
      <c r="I2518" t="str">
        <f t="shared" si="159"/>
        <v/>
      </c>
      <c r="J2518" t="str">
        <f t="shared" si="160"/>
        <v/>
      </c>
      <c r="K2518">
        <f>IF(E2518="","",SUM(ContractsTbl[[#This Row],[salaryY1]:[salaryY4]]))</f>
        <v>585953.176725236</v>
      </c>
      <c r="L2518" t="b">
        <f t="shared" si="161"/>
        <v>0</v>
      </c>
    </row>
    <row r="2519" spans="1:12" x14ac:dyDescent="0.2">
      <c r="A2519" t="s">
        <v>10280</v>
      </c>
      <c r="B2519" t="s">
        <v>74</v>
      </c>
      <c r="C2519" t="s">
        <v>9669</v>
      </c>
      <c r="D2519" t="s">
        <v>44</v>
      </c>
      <c r="E2519">
        <v>2025</v>
      </c>
      <c r="F2519">
        <v>2027</v>
      </c>
      <c r="G2519" s="11">
        <v>291935.95620066201</v>
      </c>
      <c r="H2519">
        <f t="shared" si="158"/>
        <v>291935.95620066201</v>
      </c>
      <c r="I2519" t="str">
        <f t="shared" si="159"/>
        <v/>
      </c>
      <c r="J2519" t="str">
        <f t="shared" si="160"/>
        <v/>
      </c>
      <c r="K2519">
        <f>IF(E2519="","",SUM(ContractsTbl[[#This Row],[salaryY1]:[salaryY4]]))</f>
        <v>583871.91240132402</v>
      </c>
      <c r="L2519" t="b">
        <f t="shared" si="161"/>
        <v>0</v>
      </c>
    </row>
    <row r="2520" spans="1:12" x14ac:dyDescent="0.2">
      <c r="A2520" t="s">
        <v>10281</v>
      </c>
      <c r="B2520" t="s">
        <v>74</v>
      </c>
      <c r="C2520" t="s">
        <v>9670</v>
      </c>
      <c r="D2520" t="s">
        <v>44</v>
      </c>
      <c r="E2520">
        <v>2025</v>
      </c>
      <c r="F2520">
        <v>2027</v>
      </c>
      <c r="G2520" s="11">
        <v>290895.32403870602</v>
      </c>
      <c r="H2520">
        <f t="shared" si="158"/>
        <v>290895.32403870602</v>
      </c>
      <c r="I2520" t="str">
        <f t="shared" si="159"/>
        <v/>
      </c>
      <c r="J2520" t="str">
        <f t="shared" si="160"/>
        <v/>
      </c>
      <c r="K2520">
        <f>IF(E2520="","",SUM(ContractsTbl[[#This Row],[salaryY1]:[salaryY4]]))</f>
        <v>581790.64807741204</v>
      </c>
      <c r="L2520" t="b">
        <f t="shared" si="161"/>
        <v>0</v>
      </c>
    </row>
    <row r="2521" spans="1:12" x14ac:dyDescent="0.2">
      <c r="A2521" t="s">
        <v>10282</v>
      </c>
      <c r="B2521" t="s">
        <v>74</v>
      </c>
      <c r="C2521" t="s">
        <v>9671</v>
      </c>
      <c r="D2521" t="s">
        <v>44</v>
      </c>
      <c r="E2521">
        <v>2025</v>
      </c>
      <c r="F2521">
        <v>2027</v>
      </c>
      <c r="G2521" s="11">
        <v>289854.69187675102</v>
      </c>
      <c r="H2521">
        <f t="shared" si="158"/>
        <v>289854.69187675102</v>
      </c>
      <c r="I2521" t="str">
        <f t="shared" si="159"/>
        <v/>
      </c>
      <c r="J2521" t="str">
        <f t="shared" si="160"/>
        <v/>
      </c>
      <c r="K2521">
        <f>IF(E2521="","",SUM(ContractsTbl[[#This Row],[salaryY1]:[salaryY4]]))</f>
        <v>579709.38375350204</v>
      </c>
      <c r="L2521" t="b">
        <f t="shared" si="161"/>
        <v>0</v>
      </c>
    </row>
    <row r="2522" spans="1:12" x14ac:dyDescent="0.2">
      <c r="A2522" t="s">
        <v>10283</v>
      </c>
      <c r="B2522" t="s">
        <v>74</v>
      </c>
      <c r="C2522" t="s">
        <v>9672</v>
      </c>
      <c r="D2522" t="s">
        <v>44</v>
      </c>
      <c r="E2522">
        <v>2025</v>
      </c>
      <c r="F2522">
        <v>2027</v>
      </c>
      <c r="G2522" s="11">
        <v>288814.05971479497</v>
      </c>
      <c r="H2522">
        <f t="shared" ref="H2522:H2585" si="162">IF(F2522&gt;=2027,G2522,"")</f>
        <v>288814.05971479497</v>
      </c>
      <c r="I2522" t="str">
        <f t="shared" ref="I2522:I2585" si="163">IF(F2522&gt;=2028,G2522,"")</f>
        <v/>
      </c>
      <c r="J2522" t="str">
        <f t="shared" ref="J2522:J2585" si="164">IF(F2522&gt;=2029,G2522,"")</f>
        <v/>
      </c>
      <c r="K2522">
        <f>IF(E2522="","",SUM(ContractsTbl[[#This Row],[salaryY1]:[salaryY4]]))</f>
        <v>577628.11942958995</v>
      </c>
      <c r="L2522" t="b">
        <f t="shared" ref="L2522:L2585" si="165">IF(F2522="",TRUE,FALSE)</f>
        <v>0</v>
      </c>
    </row>
    <row r="2523" spans="1:12" x14ac:dyDescent="0.2">
      <c r="A2523" t="s">
        <v>10284</v>
      </c>
      <c r="B2523" t="s">
        <v>74</v>
      </c>
      <c r="C2523" t="s">
        <v>9673</v>
      </c>
      <c r="D2523" t="s">
        <v>44</v>
      </c>
      <c r="E2523">
        <v>2025</v>
      </c>
      <c r="F2523">
        <v>2027</v>
      </c>
      <c r="G2523" s="11">
        <v>287773.42755283898</v>
      </c>
      <c r="H2523">
        <f t="shared" si="162"/>
        <v>287773.42755283898</v>
      </c>
      <c r="I2523" t="str">
        <f t="shared" si="163"/>
        <v/>
      </c>
      <c r="J2523" t="str">
        <f t="shared" si="164"/>
        <v/>
      </c>
      <c r="K2523">
        <f>IF(E2523="","",SUM(ContractsTbl[[#This Row],[salaryY1]:[salaryY4]]))</f>
        <v>575546.85510567797</v>
      </c>
      <c r="L2523" t="b">
        <f t="shared" si="165"/>
        <v>0</v>
      </c>
    </row>
    <row r="2524" spans="1:12" x14ac:dyDescent="0.2">
      <c r="A2524" t="s">
        <v>10285</v>
      </c>
      <c r="B2524" t="s">
        <v>74</v>
      </c>
      <c r="C2524" t="s">
        <v>9674</v>
      </c>
      <c r="D2524" t="s">
        <v>44</v>
      </c>
      <c r="E2524">
        <v>2025</v>
      </c>
      <c r="F2524">
        <v>2027</v>
      </c>
      <c r="G2524" s="11">
        <v>286732.79539088398</v>
      </c>
      <c r="H2524">
        <f t="shared" si="162"/>
        <v>286732.79539088398</v>
      </c>
      <c r="I2524" t="str">
        <f t="shared" si="163"/>
        <v/>
      </c>
      <c r="J2524" t="str">
        <f t="shared" si="164"/>
        <v/>
      </c>
      <c r="K2524">
        <f>IF(E2524="","",SUM(ContractsTbl[[#This Row],[salaryY1]:[salaryY4]]))</f>
        <v>573465.59078176797</v>
      </c>
      <c r="L2524" t="b">
        <f t="shared" si="165"/>
        <v>0</v>
      </c>
    </row>
    <row r="2525" spans="1:12" x14ac:dyDescent="0.2">
      <c r="A2525" t="s">
        <v>10286</v>
      </c>
      <c r="B2525" t="s">
        <v>74</v>
      </c>
      <c r="C2525" t="s">
        <v>9675</v>
      </c>
      <c r="D2525" t="s">
        <v>44</v>
      </c>
      <c r="E2525">
        <v>2025</v>
      </c>
      <c r="F2525">
        <v>2027</v>
      </c>
      <c r="G2525" s="11">
        <v>285692.163228928</v>
      </c>
      <c r="H2525">
        <f t="shared" si="162"/>
        <v>285692.163228928</v>
      </c>
      <c r="I2525" t="str">
        <f t="shared" si="163"/>
        <v/>
      </c>
      <c r="J2525" t="str">
        <f t="shared" si="164"/>
        <v/>
      </c>
      <c r="K2525">
        <f>IF(E2525="","",SUM(ContractsTbl[[#This Row],[salaryY1]:[salaryY4]]))</f>
        <v>571384.32645785599</v>
      </c>
      <c r="L2525" t="b">
        <f t="shared" si="165"/>
        <v>0</v>
      </c>
    </row>
    <row r="2526" spans="1:12" x14ac:dyDescent="0.2">
      <c r="A2526" t="s">
        <v>10287</v>
      </c>
      <c r="B2526" t="s">
        <v>74</v>
      </c>
      <c r="C2526" t="s">
        <v>9676</v>
      </c>
      <c r="D2526" t="s">
        <v>44</v>
      </c>
      <c r="E2526">
        <v>2025</v>
      </c>
      <c r="F2526">
        <v>2027</v>
      </c>
      <c r="G2526" s="11">
        <v>284651.53106697201</v>
      </c>
      <c r="H2526">
        <f t="shared" si="162"/>
        <v>284651.53106697201</v>
      </c>
      <c r="I2526" t="str">
        <f t="shared" si="163"/>
        <v/>
      </c>
      <c r="J2526" t="str">
        <f t="shared" si="164"/>
        <v/>
      </c>
      <c r="K2526">
        <f>IF(E2526="","",SUM(ContractsTbl[[#This Row],[salaryY1]:[salaryY4]]))</f>
        <v>569303.06213394401</v>
      </c>
      <c r="L2526" t="b">
        <f t="shared" si="165"/>
        <v>0</v>
      </c>
    </row>
    <row r="2527" spans="1:12" x14ac:dyDescent="0.2">
      <c r="A2527" t="s">
        <v>10288</v>
      </c>
      <c r="B2527" t="s">
        <v>74</v>
      </c>
      <c r="C2527" t="s">
        <v>9677</v>
      </c>
      <c r="D2527" t="s">
        <v>44</v>
      </c>
      <c r="E2527">
        <v>2025</v>
      </c>
      <c r="F2527">
        <v>2027</v>
      </c>
      <c r="G2527" s="11">
        <v>283610.89890501701</v>
      </c>
      <c r="H2527">
        <f t="shared" si="162"/>
        <v>283610.89890501701</v>
      </c>
      <c r="I2527" t="str">
        <f t="shared" si="163"/>
        <v/>
      </c>
      <c r="J2527" t="str">
        <f t="shared" si="164"/>
        <v/>
      </c>
      <c r="K2527">
        <f>IF(E2527="","",SUM(ContractsTbl[[#This Row],[salaryY1]:[salaryY4]]))</f>
        <v>567221.79781003401</v>
      </c>
      <c r="L2527" t="b">
        <f t="shared" si="165"/>
        <v>0</v>
      </c>
    </row>
    <row r="2528" spans="1:12" x14ac:dyDescent="0.2">
      <c r="A2528" t="s">
        <v>10289</v>
      </c>
      <c r="B2528" t="s">
        <v>74</v>
      </c>
      <c r="C2528" t="s">
        <v>9678</v>
      </c>
      <c r="D2528" t="s">
        <v>44</v>
      </c>
      <c r="E2528">
        <v>2025</v>
      </c>
      <c r="F2528">
        <v>2027</v>
      </c>
      <c r="G2528" s="11">
        <v>282570.26674306102</v>
      </c>
      <c r="H2528">
        <f t="shared" si="162"/>
        <v>282570.26674306102</v>
      </c>
      <c r="I2528" t="str">
        <f t="shared" si="163"/>
        <v/>
      </c>
      <c r="J2528" t="str">
        <f t="shared" si="164"/>
        <v/>
      </c>
      <c r="K2528">
        <f>IF(E2528="","",SUM(ContractsTbl[[#This Row],[salaryY1]:[salaryY4]]))</f>
        <v>565140.53348612203</v>
      </c>
      <c r="L2528" t="b">
        <f t="shared" si="165"/>
        <v>0</v>
      </c>
    </row>
    <row r="2529" spans="1:12" x14ac:dyDescent="0.2">
      <c r="A2529" t="s">
        <v>10290</v>
      </c>
      <c r="B2529" t="s">
        <v>74</v>
      </c>
      <c r="C2529" t="s">
        <v>9679</v>
      </c>
      <c r="D2529" t="s">
        <v>44</v>
      </c>
      <c r="E2529">
        <v>2025</v>
      </c>
      <c r="F2529">
        <v>2027</v>
      </c>
      <c r="G2529" s="11">
        <v>281529.63458110503</v>
      </c>
      <c r="H2529">
        <f t="shared" si="162"/>
        <v>281529.63458110503</v>
      </c>
      <c r="I2529" t="str">
        <f t="shared" si="163"/>
        <v/>
      </c>
      <c r="J2529" t="str">
        <f t="shared" si="164"/>
        <v/>
      </c>
      <c r="K2529">
        <f>IF(E2529="","",SUM(ContractsTbl[[#This Row],[salaryY1]:[salaryY4]]))</f>
        <v>563059.26916221005</v>
      </c>
      <c r="L2529" t="b">
        <f t="shared" si="165"/>
        <v>0</v>
      </c>
    </row>
    <row r="2530" spans="1:12" x14ac:dyDescent="0.2">
      <c r="A2530" t="s">
        <v>10291</v>
      </c>
      <c r="B2530" t="s">
        <v>74</v>
      </c>
      <c r="C2530" t="s">
        <v>9680</v>
      </c>
      <c r="D2530" t="s">
        <v>44</v>
      </c>
      <c r="E2530">
        <v>2025</v>
      </c>
      <c r="F2530">
        <v>2027</v>
      </c>
      <c r="G2530" s="11">
        <v>280489.00241915003</v>
      </c>
      <c r="H2530">
        <f t="shared" si="162"/>
        <v>280489.00241915003</v>
      </c>
      <c r="I2530" t="str">
        <f t="shared" si="163"/>
        <v/>
      </c>
      <c r="J2530" t="str">
        <f t="shared" si="164"/>
        <v/>
      </c>
      <c r="K2530">
        <f>IF(E2530="","",SUM(ContractsTbl[[#This Row],[salaryY1]:[salaryY4]]))</f>
        <v>560978.00483830005</v>
      </c>
      <c r="L2530" t="b">
        <f t="shared" si="165"/>
        <v>0</v>
      </c>
    </row>
    <row r="2531" spans="1:12" x14ac:dyDescent="0.2">
      <c r="A2531" t="s">
        <v>10292</v>
      </c>
      <c r="B2531" t="s">
        <v>74</v>
      </c>
      <c r="C2531" t="s">
        <v>9681</v>
      </c>
      <c r="D2531" t="s">
        <v>44</v>
      </c>
      <c r="E2531">
        <v>2025</v>
      </c>
      <c r="F2531">
        <v>2027</v>
      </c>
      <c r="G2531" s="11">
        <v>279448.37025719398</v>
      </c>
      <c r="H2531">
        <f t="shared" si="162"/>
        <v>279448.37025719398</v>
      </c>
      <c r="I2531" t="str">
        <f t="shared" si="163"/>
        <v/>
      </c>
      <c r="J2531" t="str">
        <f t="shared" si="164"/>
        <v/>
      </c>
      <c r="K2531">
        <f>IF(E2531="","",SUM(ContractsTbl[[#This Row],[salaryY1]:[salaryY4]]))</f>
        <v>558896.74051438796</v>
      </c>
      <c r="L2531" t="b">
        <f t="shared" si="165"/>
        <v>0</v>
      </c>
    </row>
    <row r="2532" spans="1:12" x14ac:dyDescent="0.2">
      <c r="A2532" t="s">
        <v>10293</v>
      </c>
      <c r="B2532" t="s">
        <v>74</v>
      </c>
      <c r="C2532" t="s">
        <v>9682</v>
      </c>
      <c r="D2532" t="s">
        <v>44</v>
      </c>
      <c r="E2532">
        <v>2025</v>
      </c>
      <c r="F2532">
        <v>2027</v>
      </c>
      <c r="G2532" s="11">
        <v>278407.73809523799</v>
      </c>
      <c r="H2532">
        <f t="shared" si="162"/>
        <v>278407.73809523799</v>
      </c>
      <c r="I2532" t="str">
        <f t="shared" si="163"/>
        <v/>
      </c>
      <c r="J2532" t="str">
        <f t="shared" si="164"/>
        <v/>
      </c>
      <c r="K2532">
        <f>IF(E2532="","",SUM(ContractsTbl[[#This Row],[salaryY1]:[salaryY4]]))</f>
        <v>556815.47619047598</v>
      </c>
      <c r="L2532" t="b">
        <f t="shared" si="165"/>
        <v>0</v>
      </c>
    </row>
    <row r="2533" spans="1:12" x14ac:dyDescent="0.2">
      <c r="A2533" t="s">
        <v>10294</v>
      </c>
      <c r="B2533" t="s">
        <v>74</v>
      </c>
      <c r="C2533" t="s">
        <v>9683</v>
      </c>
      <c r="D2533" t="s">
        <v>44</v>
      </c>
      <c r="E2533">
        <v>2025</v>
      </c>
      <c r="F2533">
        <v>2027</v>
      </c>
      <c r="G2533" s="11">
        <v>277367.105933282</v>
      </c>
      <c r="H2533">
        <f t="shared" si="162"/>
        <v>277367.105933282</v>
      </c>
      <c r="I2533" t="str">
        <f t="shared" si="163"/>
        <v/>
      </c>
      <c r="J2533" t="str">
        <f t="shared" si="164"/>
        <v/>
      </c>
      <c r="K2533">
        <f>IF(E2533="","",SUM(ContractsTbl[[#This Row],[salaryY1]:[salaryY4]]))</f>
        <v>554734.211866564</v>
      </c>
      <c r="L2533" t="b">
        <f t="shared" si="165"/>
        <v>0</v>
      </c>
    </row>
    <row r="2534" spans="1:12" x14ac:dyDescent="0.2">
      <c r="A2534" t="s">
        <v>10295</v>
      </c>
      <c r="B2534" t="s">
        <v>74</v>
      </c>
      <c r="C2534" t="s">
        <v>9684</v>
      </c>
      <c r="D2534" t="s">
        <v>44</v>
      </c>
      <c r="E2534">
        <v>2025</v>
      </c>
      <c r="F2534">
        <v>2027</v>
      </c>
      <c r="G2534" s="11">
        <v>276326.473771327</v>
      </c>
      <c r="H2534">
        <f t="shared" si="162"/>
        <v>276326.473771327</v>
      </c>
      <c r="I2534" t="str">
        <f t="shared" si="163"/>
        <v/>
      </c>
      <c r="J2534" t="str">
        <f t="shared" si="164"/>
        <v/>
      </c>
      <c r="K2534">
        <f>IF(E2534="","",SUM(ContractsTbl[[#This Row],[salaryY1]:[salaryY4]]))</f>
        <v>552652.947542654</v>
      </c>
      <c r="L2534" t="b">
        <f t="shared" si="165"/>
        <v>0</v>
      </c>
    </row>
    <row r="2535" spans="1:12" x14ac:dyDescent="0.2">
      <c r="A2535" t="s">
        <v>10296</v>
      </c>
      <c r="B2535" t="s">
        <v>74</v>
      </c>
      <c r="C2535" t="s">
        <v>9685</v>
      </c>
      <c r="D2535" t="s">
        <v>44</v>
      </c>
      <c r="E2535">
        <v>2025</v>
      </c>
      <c r="F2535">
        <v>2027</v>
      </c>
      <c r="G2535" s="11">
        <v>275285.84160937101</v>
      </c>
      <c r="H2535">
        <f t="shared" si="162"/>
        <v>275285.84160937101</v>
      </c>
      <c r="I2535" t="str">
        <f t="shared" si="163"/>
        <v/>
      </c>
      <c r="J2535" t="str">
        <f t="shared" si="164"/>
        <v/>
      </c>
      <c r="K2535">
        <f>IF(E2535="","",SUM(ContractsTbl[[#This Row],[salaryY1]:[salaryY4]]))</f>
        <v>550571.68321874202</v>
      </c>
      <c r="L2535" t="b">
        <f t="shared" si="165"/>
        <v>0</v>
      </c>
    </row>
    <row r="2536" spans="1:12" x14ac:dyDescent="0.2">
      <c r="A2536" t="s">
        <v>10297</v>
      </c>
      <c r="B2536" t="s">
        <v>74</v>
      </c>
      <c r="C2536" t="s">
        <v>9686</v>
      </c>
      <c r="D2536" t="s">
        <v>44</v>
      </c>
      <c r="E2536">
        <v>2025</v>
      </c>
      <c r="F2536">
        <v>2027</v>
      </c>
      <c r="G2536" s="11">
        <v>274245.20944741502</v>
      </c>
      <c r="H2536">
        <f t="shared" si="162"/>
        <v>274245.20944741502</v>
      </c>
      <c r="I2536" t="str">
        <f t="shared" si="163"/>
        <v/>
      </c>
      <c r="J2536" t="str">
        <f t="shared" si="164"/>
        <v/>
      </c>
      <c r="K2536">
        <f>IF(E2536="","",SUM(ContractsTbl[[#This Row],[salaryY1]:[salaryY4]]))</f>
        <v>548490.41889483004</v>
      </c>
      <c r="L2536" t="b">
        <f t="shared" si="165"/>
        <v>0</v>
      </c>
    </row>
    <row r="2537" spans="1:12" x14ac:dyDescent="0.2">
      <c r="A2537" t="s">
        <v>10298</v>
      </c>
      <c r="B2537" t="s">
        <v>74</v>
      </c>
      <c r="C2537" t="s">
        <v>9687</v>
      </c>
      <c r="D2537" t="s">
        <v>44</v>
      </c>
      <c r="E2537">
        <v>2025</v>
      </c>
      <c r="F2537">
        <v>2027</v>
      </c>
      <c r="G2537" s="11">
        <v>273204.57728546002</v>
      </c>
      <c r="H2537">
        <f t="shared" si="162"/>
        <v>273204.57728546002</v>
      </c>
      <c r="I2537" t="str">
        <f t="shared" si="163"/>
        <v/>
      </c>
      <c r="J2537" t="str">
        <f t="shared" si="164"/>
        <v/>
      </c>
      <c r="K2537">
        <f>IF(E2537="","",SUM(ContractsTbl[[#This Row],[salaryY1]:[salaryY4]]))</f>
        <v>546409.15457092004</v>
      </c>
      <c r="L2537" t="b">
        <f t="shared" si="165"/>
        <v>0</v>
      </c>
    </row>
    <row r="2538" spans="1:12" x14ac:dyDescent="0.2">
      <c r="A2538" t="s">
        <v>10299</v>
      </c>
      <c r="B2538" t="s">
        <v>74</v>
      </c>
      <c r="C2538" t="s">
        <v>9688</v>
      </c>
      <c r="D2538" t="s">
        <v>44</v>
      </c>
      <c r="E2538">
        <v>2025</v>
      </c>
      <c r="F2538">
        <v>2027</v>
      </c>
      <c r="G2538" s="11">
        <v>272163.94512350397</v>
      </c>
      <c r="H2538">
        <f t="shared" si="162"/>
        <v>272163.94512350397</v>
      </c>
      <c r="I2538" t="str">
        <f t="shared" si="163"/>
        <v/>
      </c>
      <c r="J2538" t="str">
        <f t="shared" si="164"/>
        <v/>
      </c>
      <c r="K2538">
        <f>IF(E2538="","",SUM(ContractsTbl[[#This Row],[salaryY1]:[salaryY4]]))</f>
        <v>544327.89024700795</v>
      </c>
      <c r="L2538" t="b">
        <f t="shared" si="165"/>
        <v>0</v>
      </c>
    </row>
    <row r="2539" spans="1:12" x14ac:dyDescent="0.2">
      <c r="A2539" t="s">
        <v>10300</v>
      </c>
      <c r="B2539" t="s">
        <v>74</v>
      </c>
      <c r="C2539" t="s">
        <v>9689</v>
      </c>
      <c r="D2539" t="s">
        <v>44</v>
      </c>
      <c r="E2539">
        <v>2025</v>
      </c>
      <c r="F2539">
        <v>2027</v>
      </c>
      <c r="G2539" s="11">
        <v>271123.31296154798</v>
      </c>
      <c r="H2539">
        <f t="shared" si="162"/>
        <v>271123.31296154798</v>
      </c>
      <c r="I2539" t="str">
        <f t="shared" si="163"/>
        <v/>
      </c>
      <c r="J2539" t="str">
        <f t="shared" si="164"/>
        <v/>
      </c>
      <c r="K2539">
        <f>IF(E2539="","",SUM(ContractsTbl[[#This Row],[salaryY1]:[salaryY4]]))</f>
        <v>542246.62592309597</v>
      </c>
      <c r="L2539" t="b">
        <f t="shared" si="165"/>
        <v>0</v>
      </c>
    </row>
    <row r="2540" spans="1:12" x14ac:dyDescent="0.2">
      <c r="A2540" t="s">
        <v>10301</v>
      </c>
      <c r="B2540" t="s">
        <v>74</v>
      </c>
      <c r="C2540" t="s">
        <v>9690</v>
      </c>
      <c r="D2540" t="s">
        <v>44</v>
      </c>
      <c r="E2540">
        <v>2025</v>
      </c>
      <c r="F2540">
        <v>2027</v>
      </c>
      <c r="G2540" s="11">
        <v>270082.68079959298</v>
      </c>
      <c r="H2540">
        <f t="shared" si="162"/>
        <v>270082.68079959298</v>
      </c>
      <c r="I2540" t="str">
        <f t="shared" si="163"/>
        <v/>
      </c>
      <c r="J2540" t="str">
        <f t="shared" si="164"/>
        <v/>
      </c>
      <c r="K2540">
        <f>IF(E2540="","",SUM(ContractsTbl[[#This Row],[salaryY1]:[salaryY4]]))</f>
        <v>540165.36159918597</v>
      </c>
      <c r="L2540" t="b">
        <f t="shared" si="165"/>
        <v>0</v>
      </c>
    </row>
    <row r="2541" spans="1:12" x14ac:dyDescent="0.2">
      <c r="A2541" t="s">
        <v>10302</v>
      </c>
      <c r="B2541" t="s">
        <v>74</v>
      </c>
      <c r="C2541" t="s">
        <v>9691</v>
      </c>
      <c r="D2541" t="s">
        <v>44</v>
      </c>
      <c r="E2541">
        <v>2025</v>
      </c>
      <c r="F2541">
        <v>2027</v>
      </c>
      <c r="G2541" s="11">
        <v>269042.048637637</v>
      </c>
      <c r="H2541">
        <f t="shared" si="162"/>
        <v>269042.048637637</v>
      </c>
      <c r="I2541" t="str">
        <f t="shared" si="163"/>
        <v/>
      </c>
      <c r="J2541" t="str">
        <f t="shared" si="164"/>
        <v/>
      </c>
      <c r="K2541">
        <f>IF(E2541="","",SUM(ContractsTbl[[#This Row],[salaryY1]:[salaryY4]]))</f>
        <v>538084.09727527399</v>
      </c>
      <c r="L2541" t="b">
        <f t="shared" si="165"/>
        <v>0</v>
      </c>
    </row>
    <row r="2542" spans="1:12" x14ac:dyDescent="0.2">
      <c r="A2542" t="s">
        <v>10303</v>
      </c>
      <c r="B2542" t="s">
        <v>74</v>
      </c>
      <c r="C2542" t="s">
        <v>9692</v>
      </c>
      <c r="D2542" t="s">
        <v>44</v>
      </c>
      <c r="E2542">
        <v>2025</v>
      </c>
      <c r="F2542">
        <v>2027</v>
      </c>
      <c r="G2542" s="11">
        <v>268001.41647568101</v>
      </c>
      <c r="H2542">
        <f t="shared" si="162"/>
        <v>268001.41647568101</v>
      </c>
      <c r="I2542" t="str">
        <f t="shared" si="163"/>
        <v/>
      </c>
      <c r="J2542" t="str">
        <f t="shared" si="164"/>
        <v/>
      </c>
      <c r="K2542">
        <f>IF(E2542="","",SUM(ContractsTbl[[#This Row],[salaryY1]:[salaryY4]]))</f>
        <v>536002.83295136201</v>
      </c>
      <c r="L2542" t="b">
        <f t="shared" si="165"/>
        <v>0</v>
      </c>
    </row>
    <row r="2543" spans="1:12" x14ac:dyDescent="0.2">
      <c r="A2543" t="s">
        <v>10304</v>
      </c>
      <c r="B2543" t="s">
        <v>74</v>
      </c>
      <c r="C2543" t="s">
        <v>9693</v>
      </c>
      <c r="D2543" t="s">
        <v>44</v>
      </c>
      <c r="E2543">
        <v>2025</v>
      </c>
      <c r="F2543">
        <v>2027</v>
      </c>
      <c r="G2543" s="11">
        <v>266960.78431372601</v>
      </c>
      <c r="H2543">
        <f t="shared" si="162"/>
        <v>266960.78431372601</v>
      </c>
      <c r="I2543" t="str">
        <f t="shared" si="163"/>
        <v/>
      </c>
      <c r="J2543" t="str">
        <f t="shared" si="164"/>
        <v/>
      </c>
      <c r="K2543">
        <f>IF(E2543="","",SUM(ContractsTbl[[#This Row],[salaryY1]:[salaryY4]]))</f>
        <v>533921.56862745201</v>
      </c>
      <c r="L2543" t="b">
        <f t="shared" si="165"/>
        <v>0</v>
      </c>
    </row>
    <row r="2544" spans="1:12" x14ac:dyDescent="0.2">
      <c r="A2544" t="s">
        <v>10305</v>
      </c>
      <c r="B2544" t="s">
        <v>74</v>
      </c>
      <c r="C2544" t="s">
        <v>9694</v>
      </c>
      <c r="D2544" t="s">
        <v>44</v>
      </c>
      <c r="E2544">
        <v>2025</v>
      </c>
      <c r="F2544">
        <v>2027</v>
      </c>
      <c r="G2544" s="11">
        <v>265920.15215177002</v>
      </c>
      <c r="H2544">
        <f t="shared" si="162"/>
        <v>265920.15215177002</v>
      </c>
      <c r="I2544" t="str">
        <f t="shared" si="163"/>
        <v/>
      </c>
      <c r="J2544" t="str">
        <f t="shared" si="164"/>
        <v/>
      </c>
      <c r="K2544">
        <f>IF(E2544="","",SUM(ContractsTbl[[#This Row],[salaryY1]:[salaryY4]]))</f>
        <v>531840.30430354003</v>
      </c>
      <c r="L2544" t="b">
        <f t="shared" si="165"/>
        <v>0</v>
      </c>
    </row>
    <row r="2545" spans="1:12" x14ac:dyDescent="0.2">
      <c r="A2545" t="s">
        <v>10306</v>
      </c>
      <c r="B2545" t="s">
        <v>74</v>
      </c>
      <c r="C2545" t="s">
        <v>9695</v>
      </c>
      <c r="D2545" t="s">
        <v>44</v>
      </c>
      <c r="E2545">
        <v>2025</v>
      </c>
      <c r="F2545">
        <v>2027</v>
      </c>
      <c r="G2545" s="11">
        <v>264879.51998981403</v>
      </c>
      <c r="H2545">
        <f t="shared" si="162"/>
        <v>264879.51998981403</v>
      </c>
      <c r="I2545" t="str">
        <f t="shared" si="163"/>
        <v/>
      </c>
      <c r="J2545" t="str">
        <f t="shared" si="164"/>
        <v/>
      </c>
      <c r="K2545">
        <f>IF(E2545="","",SUM(ContractsTbl[[#This Row],[salaryY1]:[salaryY4]]))</f>
        <v>529759.03997962805</v>
      </c>
      <c r="L2545" t="b">
        <f t="shared" si="165"/>
        <v>0</v>
      </c>
    </row>
    <row r="2546" spans="1:12" x14ac:dyDescent="0.2">
      <c r="A2546" t="s">
        <v>10307</v>
      </c>
      <c r="B2546" t="s">
        <v>74</v>
      </c>
      <c r="C2546" t="s">
        <v>9696</v>
      </c>
      <c r="D2546" t="s">
        <v>44</v>
      </c>
      <c r="E2546">
        <v>2025</v>
      </c>
      <c r="F2546">
        <v>2027</v>
      </c>
      <c r="G2546" s="11">
        <v>263838.88782785903</v>
      </c>
      <c r="H2546">
        <f t="shared" si="162"/>
        <v>263838.88782785903</v>
      </c>
      <c r="I2546" t="str">
        <f t="shared" si="163"/>
        <v/>
      </c>
      <c r="J2546" t="str">
        <f t="shared" si="164"/>
        <v/>
      </c>
      <c r="K2546">
        <f>IF(E2546="","",SUM(ContractsTbl[[#This Row],[salaryY1]:[salaryY4]]))</f>
        <v>527677.77565571805</v>
      </c>
      <c r="L2546" t="b">
        <f t="shared" si="165"/>
        <v>0</v>
      </c>
    </row>
    <row r="2547" spans="1:12" x14ac:dyDescent="0.2">
      <c r="A2547" t="s">
        <v>10308</v>
      </c>
      <c r="B2547" t="s">
        <v>74</v>
      </c>
      <c r="C2547" t="s">
        <v>9697</v>
      </c>
      <c r="D2547" t="s">
        <v>44</v>
      </c>
      <c r="E2547">
        <v>2025</v>
      </c>
      <c r="F2547">
        <v>2027</v>
      </c>
      <c r="G2547" s="11">
        <v>262798.25566590298</v>
      </c>
      <c r="H2547">
        <f t="shared" si="162"/>
        <v>262798.25566590298</v>
      </c>
      <c r="I2547" t="str">
        <f t="shared" si="163"/>
        <v/>
      </c>
      <c r="J2547" t="str">
        <f t="shared" si="164"/>
        <v/>
      </c>
      <c r="K2547">
        <f>IF(E2547="","",SUM(ContractsTbl[[#This Row],[salaryY1]:[salaryY4]]))</f>
        <v>525596.51133180596</v>
      </c>
      <c r="L2547" t="b">
        <f t="shared" si="165"/>
        <v>0</v>
      </c>
    </row>
    <row r="2548" spans="1:12" x14ac:dyDescent="0.2">
      <c r="A2548" t="s">
        <v>10309</v>
      </c>
      <c r="B2548" t="s">
        <v>74</v>
      </c>
      <c r="C2548" t="s">
        <v>9698</v>
      </c>
      <c r="D2548" t="s">
        <v>44</v>
      </c>
      <c r="E2548">
        <v>2025</v>
      </c>
      <c r="F2548">
        <v>2027</v>
      </c>
      <c r="G2548" s="11">
        <v>261757.62350394699</v>
      </c>
      <c r="H2548">
        <f t="shared" si="162"/>
        <v>261757.62350394699</v>
      </c>
      <c r="I2548" t="str">
        <f t="shared" si="163"/>
        <v/>
      </c>
      <c r="J2548" t="str">
        <f t="shared" si="164"/>
        <v/>
      </c>
      <c r="K2548">
        <f>IF(E2548="","",SUM(ContractsTbl[[#This Row],[salaryY1]:[salaryY4]]))</f>
        <v>523515.24700789398</v>
      </c>
      <c r="L2548" t="b">
        <f t="shared" si="165"/>
        <v>0</v>
      </c>
    </row>
    <row r="2549" spans="1:12" x14ac:dyDescent="0.2">
      <c r="A2549" t="s">
        <v>10310</v>
      </c>
      <c r="B2549" t="s">
        <v>74</v>
      </c>
      <c r="C2549" t="s">
        <v>9699</v>
      </c>
      <c r="D2549" t="s">
        <v>44</v>
      </c>
      <c r="E2549">
        <v>2025</v>
      </c>
      <c r="F2549">
        <v>2027</v>
      </c>
      <c r="G2549" s="11">
        <v>260716.991341991</v>
      </c>
      <c r="H2549">
        <f t="shared" si="162"/>
        <v>260716.991341991</v>
      </c>
      <c r="I2549" t="str">
        <f t="shared" si="163"/>
        <v/>
      </c>
      <c r="J2549" t="str">
        <f t="shared" si="164"/>
        <v/>
      </c>
      <c r="K2549">
        <f>IF(E2549="","",SUM(ContractsTbl[[#This Row],[salaryY1]:[salaryY4]]))</f>
        <v>521433.982683982</v>
      </c>
      <c r="L2549" t="b">
        <f t="shared" si="165"/>
        <v>0</v>
      </c>
    </row>
    <row r="2550" spans="1:12" x14ac:dyDescent="0.2">
      <c r="A2550" t="s">
        <v>10311</v>
      </c>
      <c r="B2550" t="s">
        <v>74</v>
      </c>
      <c r="C2550" t="s">
        <v>9700</v>
      </c>
      <c r="D2550" t="s">
        <v>44</v>
      </c>
      <c r="E2550">
        <v>2025</v>
      </c>
      <c r="F2550">
        <v>2027</v>
      </c>
      <c r="G2550" s="11">
        <v>259676.359180036</v>
      </c>
      <c r="H2550">
        <f t="shared" si="162"/>
        <v>259676.359180036</v>
      </c>
      <c r="I2550" t="str">
        <f t="shared" si="163"/>
        <v/>
      </c>
      <c r="J2550" t="str">
        <f t="shared" si="164"/>
        <v/>
      </c>
      <c r="K2550">
        <f>IF(E2550="","",SUM(ContractsTbl[[#This Row],[salaryY1]:[salaryY4]]))</f>
        <v>519352.718360072</v>
      </c>
      <c r="L2550" t="b">
        <f t="shared" si="165"/>
        <v>0</v>
      </c>
    </row>
    <row r="2551" spans="1:12" x14ac:dyDescent="0.2">
      <c r="A2551" t="s">
        <v>10312</v>
      </c>
      <c r="B2551" t="s">
        <v>74</v>
      </c>
      <c r="C2551" t="s">
        <v>9701</v>
      </c>
      <c r="D2551" t="s">
        <v>44</v>
      </c>
      <c r="E2551">
        <v>2025</v>
      </c>
      <c r="F2551">
        <v>2027</v>
      </c>
      <c r="G2551" s="11">
        <v>258635.72701808001</v>
      </c>
      <c r="H2551">
        <f t="shared" si="162"/>
        <v>258635.72701808001</v>
      </c>
      <c r="I2551" t="str">
        <f t="shared" si="163"/>
        <v/>
      </c>
      <c r="J2551" t="str">
        <f t="shared" si="164"/>
        <v/>
      </c>
      <c r="K2551">
        <f>IF(E2551="","",SUM(ContractsTbl[[#This Row],[salaryY1]:[salaryY4]]))</f>
        <v>517271.45403616002</v>
      </c>
      <c r="L2551" t="b">
        <f t="shared" si="165"/>
        <v>0</v>
      </c>
    </row>
    <row r="2552" spans="1:12" x14ac:dyDescent="0.2">
      <c r="A2552" t="s">
        <v>10313</v>
      </c>
      <c r="B2552" t="s">
        <v>74</v>
      </c>
      <c r="C2552" t="s">
        <v>9702</v>
      </c>
      <c r="D2552" t="s">
        <v>44</v>
      </c>
      <c r="E2552">
        <v>2025</v>
      </c>
      <c r="F2552">
        <v>2027</v>
      </c>
      <c r="G2552" s="11">
        <v>257595.09485612399</v>
      </c>
      <c r="H2552">
        <f t="shared" si="162"/>
        <v>257595.09485612399</v>
      </c>
      <c r="I2552" t="str">
        <f t="shared" si="163"/>
        <v/>
      </c>
      <c r="J2552" t="str">
        <f t="shared" si="164"/>
        <v/>
      </c>
      <c r="K2552">
        <f>IF(E2552="","",SUM(ContractsTbl[[#This Row],[salaryY1]:[salaryY4]]))</f>
        <v>515190.18971224799</v>
      </c>
      <c r="L2552" t="b">
        <f t="shared" si="165"/>
        <v>0</v>
      </c>
    </row>
    <row r="2553" spans="1:12" x14ac:dyDescent="0.2">
      <c r="A2553" t="s">
        <v>10314</v>
      </c>
      <c r="B2553" t="s">
        <v>74</v>
      </c>
      <c r="C2553" t="s">
        <v>9703</v>
      </c>
      <c r="D2553" t="s">
        <v>44</v>
      </c>
      <c r="E2553">
        <v>2025</v>
      </c>
      <c r="F2553">
        <v>2027</v>
      </c>
      <c r="G2553" s="11">
        <v>256554.46269416899</v>
      </c>
      <c r="H2553">
        <f t="shared" si="162"/>
        <v>256554.46269416899</v>
      </c>
      <c r="I2553" t="str">
        <f t="shared" si="163"/>
        <v/>
      </c>
      <c r="J2553" t="str">
        <f t="shared" si="164"/>
        <v/>
      </c>
      <c r="K2553">
        <f>IF(E2553="","",SUM(ContractsTbl[[#This Row],[salaryY1]:[salaryY4]]))</f>
        <v>513108.92538833799</v>
      </c>
      <c r="L2553" t="b">
        <f t="shared" si="165"/>
        <v>0</v>
      </c>
    </row>
    <row r="2554" spans="1:12" x14ac:dyDescent="0.2">
      <c r="A2554" t="s">
        <v>10315</v>
      </c>
      <c r="B2554" t="s">
        <v>74</v>
      </c>
      <c r="C2554" t="s">
        <v>9704</v>
      </c>
      <c r="D2554" t="s">
        <v>44</v>
      </c>
      <c r="E2554">
        <v>2025</v>
      </c>
      <c r="F2554">
        <v>2027</v>
      </c>
      <c r="G2554" s="11">
        <v>255513.830532213</v>
      </c>
      <c r="H2554">
        <f t="shared" si="162"/>
        <v>255513.830532213</v>
      </c>
      <c r="I2554" t="str">
        <f t="shared" si="163"/>
        <v/>
      </c>
      <c r="J2554" t="str">
        <f t="shared" si="164"/>
        <v/>
      </c>
      <c r="K2554">
        <f>IF(E2554="","",SUM(ContractsTbl[[#This Row],[salaryY1]:[salaryY4]]))</f>
        <v>511027.66106442601</v>
      </c>
      <c r="L2554" t="b">
        <f t="shared" si="165"/>
        <v>0</v>
      </c>
    </row>
    <row r="2555" spans="1:12" x14ac:dyDescent="0.2">
      <c r="A2555" t="s">
        <v>10316</v>
      </c>
      <c r="B2555" t="s">
        <v>74</v>
      </c>
      <c r="C2555" t="s">
        <v>9705</v>
      </c>
      <c r="D2555" t="s">
        <v>44</v>
      </c>
      <c r="E2555">
        <v>2025</v>
      </c>
      <c r="F2555">
        <v>2027</v>
      </c>
      <c r="G2555" s="11">
        <v>254473.19837025701</v>
      </c>
      <c r="H2555">
        <f t="shared" si="162"/>
        <v>254473.19837025701</v>
      </c>
      <c r="I2555" t="str">
        <f t="shared" si="163"/>
        <v/>
      </c>
      <c r="J2555" t="str">
        <f t="shared" si="164"/>
        <v/>
      </c>
      <c r="K2555">
        <f>IF(E2555="","",SUM(ContractsTbl[[#This Row],[salaryY1]:[salaryY4]]))</f>
        <v>508946.39674051403</v>
      </c>
      <c r="L2555" t="b">
        <f t="shared" si="165"/>
        <v>0</v>
      </c>
    </row>
    <row r="2556" spans="1:12" x14ac:dyDescent="0.2">
      <c r="A2556" t="s">
        <v>10317</v>
      </c>
      <c r="B2556" t="s">
        <v>74</v>
      </c>
      <c r="C2556" t="s">
        <v>9706</v>
      </c>
      <c r="D2556" t="s">
        <v>44</v>
      </c>
      <c r="E2556">
        <v>2025</v>
      </c>
      <c r="F2556">
        <v>2027</v>
      </c>
      <c r="G2556" s="11">
        <v>253432.56620830201</v>
      </c>
      <c r="H2556">
        <f t="shared" si="162"/>
        <v>253432.56620830201</v>
      </c>
      <c r="I2556" t="str">
        <f t="shared" si="163"/>
        <v/>
      </c>
      <c r="J2556" t="str">
        <f t="shared" si="164"/>
        <v/>
      </c>
      <c r="K2556">
        <f>IF(E2556="","",SUM(ContractsTbl[[#This Row],[salaryY1]:[salaryY4]]))</f>
        <v>506865.13241660403</v>
      </c>
      <c r="L2556" t="b">
        <f t="shared" si="165"/>
        <v>0</v>
      </c>
    </row>
    <row r="2557" spans="1:12" x14ac:dyDescent="0.2">
      <c r="A2557" t="s">
        <v>10318</v>
      </c>
      <c r="B2557" t="s">
        <v>74</v>
      </c>
      <c r="C2557" t="s">
        <v>9707</v>
      </c>
      <c r="D2557" t="s">
        <v>44</v>
      </c>
      <c r="E2557">
        <v>2025</v>
      </c>
      <c r="F2557">
        <v>2027</v>
      </c>
      <c r="G2557" s="11">
        <v>252391.934046346</v>
      </c>
      <c r="H2557">
        <f t="shared" si="162"/>
        <v>252391.934046346</v>
      </c>
      <c r="I2557" t="str">
        <f t="shared" si="163"/>
        <v/>
      </c>
      <c r="J2557" t="str">
        <f t="shared" si="164"/>
        <v/>
      </c>
      <c r="K2557">
        <f>IF(E2557="","",SUM(ContractsTbl[[#This Row],[salaryY1]:[salaryY4]]))</f>
        <v>504783.86809269199</v>
      </c>
      <c r="L2557" t="b">
        <f t="shared" si="165"/>
        <v>0</v>
      </c>
    </row>
    <row r="2558" spans="1:12" x14ac:dyDescent="0.2">
      <c r="A2558" t="s">
        <v>10319</v>
      </c>
      <c r="B2558" t="s">
        <v>74</v>
      </c>
      <c r="C2558" t="s">
        <v>9708</v>
      </c>
      <c r="D2558" t="s">
        <v>44</v>
      </c>
      <c r="E2558">
        <v>2025</v>
      </c>
      <c r="F2558">
        <v>2027</v>
      </c>
      <c r="G2558" s="11">
        <v>251351.30188439001</v>
      </c>
      <c r="H2558">
        <f t="shared" si="162"/>
        <v>251351.30188439001</v>
      </c>
      <c r="I2558" t="str">
        <f t="shared" si="163"/>
        <v/>
      </c>
      <c r="J2558" t="str">
        <f t="shared" si="164"/>
        <v/>
      </c>
      <c r="K2558">
        <f>IF(E2558="","",SUM(ContractsTbl[[#This Row],[salaryY1]:[salaryY4]]))</f>
        <v>502702.60376878001</v>
      </c>
      <c r="L2558" t="b">
        <f t="shared" si="165"/>
        <v>0</v>
      </c>
    </row>
    <row r="2559" spans="1:12" x14ac:dyDescent="0.2">
      <c r="A2559" t="s">
        <v>10320</v>
      </c>
      <c r="B2559" t="s">
        <v>74</v>
      </c>
      <c r="C2559" t="s">
        <v>9709</v>
      </c>
      <c r="D2559" t="s">
        <v>44</v>
      </c>
      <c r="E2559">
        <v>2025</v>
      </c>
      <c r="F2559">
        <v>2027</v>
      </c>
      <c r="G2559" s="11">
        <v>250310.66972243501</v>
      </c>
      <c r="H2559">
        <f t="shared" si="162"/>
        <v>250310.66972243501</v>
      </c>
      <c r="I2559" t="str">
        <f t="shared" si="163"/>
        <v/>
      </c>
      <c r="J2559" t="str">
        <f t="shared" si="164"/>
        <v/>
      </c>
      <c r="K2559">
        <f>IF(E2559="","",SUM(ContractsTbl[[#This Row],[salaryY1]:[salaryY4]]))</f>
        <v>500621.33944487001</v>
      </c>
      <c r="L2559" t="b">
        <f t="shared" si="165"/>
        <v>0</v>
      </c>
    </row>
    <row r="2560" spans="1:12" x14ac:dyDescent="0.2">
      <c r="A2560" t="s">
        <v>10321</v>
      </c>
      <c r="B2560" t="s">
        <v>74</v>
      </c>
      <c r="C2560" t="s">
        <v>9710</v>
      </c>
      <c r="D2560" t="s">
        <v>44</v>
      </c>
      <c r="E2560">
        <v>2025</v>
      </c>
      <c r="F2560">
        <v>2027</v>
      </c>
      <c r="G2560" s="11">
        <v>249270.03756047899</v>
      </c>
      <c r="H2560">
        <f t="shared" si="162"/>
        <v>249270.03756047899</v>
      </c>
      <c r="I2560" t="str">
        <f t="shared" si="163"/>
        <v/>
      </c>
      <c r="J2560" t="str">
        <f t="shared" si="164"/>
        <v/>
      </c>
      <c r="K2560">
        <f>IF(E2560="","",SUM(ContractsTbl[[#This Row],[salaryY1]:[salaryY4]]))</f>
        <v>498540.07512095798</v>
      </c>
      <c r="L2560" t="b">
        <f t="shared" si="165"/>
        <v>0</v>
      </c>
    </row>
    <row r="2561" spans="1:12" x14ac:dyDescent="0.2">
      <c r="A2561" t="s">
        <v>10322</v>
      </c>
      <c r="B2561" t="s">
        <v>74</v>
      </c>
      <c r="C2561" t="s">
        <v>9711</v>
      </c>
      <c r="D2561" t="s">
        <v>44</v>
      </c>
      <c r="E2561">
        <v>2025</v>
      </c>
      <c r="F2561">
        <v>2027</v>
      </c>
      <c r="G2561" s="11">
        <v>248229.405398523</v>
      </c>
      <c r="H2561">
        <f t="shared" si="162"/>
        <v>248229.405398523</v>
      </c>
      <c r="I2561" t="str">
        <f t="shared" si="163"/>
        <v/>
      </c>
      <c r="J2561" t="str">
        <f t="shared" si="164"/>
        <v/>
      </c>
      <c r="K2561">
        <f>IF(E2561="","",SUM(ContractsTbl[[#This Row],[salaryY1]:[salaryY4]]))</f>
        <v>496458.810797046</v>
      </c>
      <c r="L2561" t="b">
        <f t="shared" si="165"/>
        <v>0</v>
      </c>
    </row>
    <row r="2562" spans="1:12" x14ac:dyDescent="0.2">
      <c r="A2562" t="s">
        <v>10323</v>
      </c>
      <c r="B2562" t="s">
        <v>74</v>
      </c>
      <c r="C2562" t="s">
        <v>9712</v>
      </c>
      <c r="D2562" t="s">
        <v>44</v>
      </c>
      <c r="E2562">
        <v>2025</v>
      </c>
      <c r="F2562">
        <v>2027</v>
      </c>
      <c r="G2562" s="11">
        <v>247188.77323656701</v>
      </c>
      <c r="H2562">
        <f t="shared" si="162"/>
        <v>247188.77323656701</v>
      </c>
      <c r="I2562" t="str">
        <f t="shared" si="163"/>
        <v/>
      </c>
      <c r="J2562" t="str">
        <f t="shared" si="164"/>
        <v/>
      </c>
      <c r="K2562">
        <f>IF(E2562="","",SUM(ContractsTbl[[#This Row],[salaryY1]:[salaryY4]]))</f>
        <v>494377.54647313402</v>
      </c>
      <c r="L2562" t="b">
        <f t="shared" si="165"/>
        <v>0</v>
      </c>
    </row>
    <row r="2563" spans="1:12" x14ac:dyDescent="0.2">
      <c r="A2563" t="s">
        <v>10324</v>
      </c>
      <c r="B2563" t="s">
        <v>74</v>
      </c>
      <c r="C2563" t="s">
        <v>9713</v>
      </c>
      <c r="D2563" t="s">
        <v>44</v>
      </c>
      <c r="E2563">
        <v>2025</v>
      </c>
      <c r="F2563">
        <v>2027</v>
      </c>
      <c r="G2563" s="11">
        <v>246148.14107461201</v>
      </c>
      <c r="H2563">
        <f t="shared" si="162"/>
        <v>246148.14107461201</v>
      </c>
      <c r="I2563" t="str">
        <f t="shared" si="163"/>
        <v/>
      </c>
      <c r="J2563" t="str">
        <f t="shared" si="164"/>
        <v/>
      </c>
      <c r="K2563">
        <f>IF(E2563="","",SUM(ContractsTbl[[#This Row],[salaryY1]:[salaryY4]]))</f>
        <v>492296.28214922402</v>
      </c>
      <c r="L2563" t="b">
        <f t="shared" si="165"/>
        <v>0</v>
      </c>
    </row>
    <row r="2564" spans="1:12" x14ac:dyDescent="0.2">
      <c r="A2564" t="s">
        <v>10325</v>
      </c>
      <c r="B2564" t="s">
        <v>74</v>
      </c>
      <c r="C2564" t="s">
        <v>9714</v>
      </c>
      <c r="D2564" t="s">
        <v>44</v>
      </c>
      <c r="E2564">
        <v>2025</v>
      </c>
      <c r="F2564">
        <v>2027</v>
      </c>
      <c r="G2564" s="11">
        <v>245107.50891265599</v>
      </c>
      <c r="H2564">
        <f t="shared" si="162"/>
        <v>245107.50891265599</v>
      </c>
      <c r="I2564" t="str">
        <f t="shared" si="163"/>
        <v/>
      </c>
      <c r="J2564" t="str">
        <f t="shared" si="164"/>
        <v/>
      </c>
      <c r="K2564">
        <f>IF(E2564="","",SUM(ContractsTbl[[#This Row],[salaryY1]:[salaryY4]]))</f>
        <v>490215.01782531198</v>
      </c>
      <c r="L2564" t="b">
        <f t="shared" si="165"/>
        <v>0</v>
      </c>
    </row>
    <row r="2565" spans="1:12" x14ac:dyDescent="0.2">
      <c r="A2565" t="s">
        <v>10326</v>
      </c>
      <c r="B2565" t="s">
        <v>74</v>
      </c>
      <c r="C2565" t="s">
        <v>9715</v>
      </c>
      <c r="D2565" t="s">
        <v>44</v>
      </c>
      <c r="E2565">
        <v>2025</v>
      </c>
      <c r="F2565">
        <v>2027</v>
      </c>
      <c r="G2565" s="11">
        <v>244066.8767507</v>
      </c>
      <c r="H2565">
        <f t="shared" si="162"/>
        <v>244066.8767507</v>
      </c>
      <c r="I2565" t="str">
        <f t="shared" si="163"/>
        <v/>
      </c>
      <c r="J2565" t="str">
        <f t="shared" si="164"/>
        <v/>
      </c>
      <c r="K2565">
        <f>IF(E2565="","",SUM(ContractsTbl[[#This Row],[salaryY1]:[salaryY4]]))</f>
        <v>488133.7535014</v>
      </c>
      <c r="L2565" t="b">
        <f t="shared" si="165"/>
        <v>0</v>
      </c>
    </row>
    <row r="2566" spans="1:12" x14ac:dyDescent="0.2">
      <c r="A2566" t="s">
        <v>10327</v>
      </c>
      <c r="B2566" t="s">
        <v>74</v>
      </c>
      <c r="C2566" t="s">
        <v>9716</v>
      </c>
      <c r="D2566" t="s">
        <v>44</v>
      </c>
      <c r="E2566">
        <v>2025</v>
      </c>
      <c r="F2566">
        <v>2027</v>
      </c>
      <c r="G2566" s="11">
        <v>243026.244588745</v>
      </c>
      <c r="H2566">
        <f t="shared" si="162"/>
        <v>243026.244588745</v>
      </c>
      <c r="I2566" t="str">
        <f t="shared" si="163"/>
        <v/>
      </c>
      <c r="J2566" t="str">
        <f t="shared" si="164"/>
        <v/>
      </c>
      <c r="K2566">
        <f>IF(E2566="","",SUM(ContractsTbl[[#This Row],[salaryY1]:[salaryY4]]))</f>
        <v>486052.48917749</v>
      </c>
      <c r="L2566" t="b">
        <f t="shared" si="165"/>
        <v>0</v>
      </c>
    </row>
    <row r="2567" spans="1:12" x14ac:dyDescent="0.2">
      <c r="A2567" t="s">
        <v>10328</v>
      </c>
      <c r="B2567" t="s">
        <v>74</v>
      </c>
      <c r="C2567" t="s">
        <v>9717</v>
      </c>
      <c r="D2567" t="s">
        <v>44</v>
      </c>
      <c r="E2567">
        <v>2025</v>
      </c>
      <c r="F2567">
        <v>2027</v>
      </c>
      <c r="G2567" s="11">
        <v>241985.61242678901</v>
      </c>
      <c r="H2567">
        <f t="shared" si="162"/>
        <v>241985.61242678901</v>
      </c>
      <c r="I2567" t="str">
        <f t="shared" si="163"/>
        <v/>
      </c>
      <c r="J2567" t="str">
        <f t="shared" si="164"/>
        <v/>
      </c>
      <c r="K2567">
        <f>IF(E2567="","",SUM(ContractsTbl[[#This Row],[salaryY1]:[salaryY4]]))</f>
        <v>483971.22485357802</v>
      </c>
      <c r="L2567" t="b">
        <f t="shared" si="165"/>
        <v>0</v>
      </c>
    </row>
    <row r="2568" spans="1:12" x14ac:dyDescent="0.2">
      <c r="A2568" t="s">
        <v>10329</v>
      </c>
      <c r="B2568" t="s">
        <v>74</v>
      </c>
      <c r="C2568" t="s">
        <v>9718</v>
      </c>
      <c r="D2568" t="s">
        <v>44</v>
      </c>
      <c r="E2568">
        <v>2025</v>
      </c>
      <c r="F2568">
        <v>2027</v>
      </c>
      <c r="G2568" s="11">
        <v>240944.98026483299</v>
      </c>
      <c r="H2568">
        <f t="shared" si="162"/>
        <v>240944.98026483299</v>
      </c>
      <c r="I2568" t="str">
        <f t="shared" si="163"/>
        <v/>
      </c>
      <c r="J2568" t="str">
        <f t="shared" si="164"/>
        <v/>
      </c>
      <c r="K2568">
        <f>IF(E2568="","",SUM(ContractsTbl[[#This Row],[salaryY1]:[salaryY4]]))</f>
        <v>481889.96052966599</v>
      </c>
      <c r="L2568" t="b">
        <f t="shared" si="165"/>
        <v>0</v>
      </c>
    </row>
    <row r="2569" spans="1:12" x14ac:dyDescent="0.2">
      <c r="A2569" t="s">
        <v>10330</v>
      </c>
      <c r="B2569" t="s">
        <v>74</v>
      </c>
      <c r="C2569" t="s">
        <v>9719</v>
      </c>
      <c r="D2569" t="s">
        <v>44</v>
      </c>
      <c r="E2569">
        <v>2025</v>
      </c>
      <c r="F2569">
        <v>2027</v>
      </c>
      <c r="G2569" s="11">
        <v>239904.34810287799</v>
      </c>
      <c r="H2569">
        <f t="shared" si="162"/>
        <v>239904.34810287799</v>
      </c>
      <c r="I2569" t="str">
        <f t="shared" si="163"/>
        <v/>
      </c>
      <c r="J2569" t="str">
        <f t="shared" si="164"/>
        <v/>
      </c>
      <c r="K2569">
        <f>IF(E2569="","",SUM(ContractsTbl[[#This Row],[salaryY1]:[salaryY4]]))</f>
        <v>479808.69620575599</v>
      </c>
      <c r="L2569" t="b">
        <f t="shared" si="165"/>
        <v>0</v>
      </c>
    </row>
    <row r="2570" spans="1:12" x14ac:dyDescent="0.2">
      <c r="A2570" t="s">
        <v>10331</v>
      </c>
      <c r="B2570" t="s">
        <v>74</v>
      </c>
      <c r="C2570" t="s">
        <v>9720</v>
      </c>
      <c r="D2570" t="s">
        <v>44</v>
      </c>
      <c r="E2570">
        <v>2025</v>
      </c>
      <c r="F2570">
        <v>2027</v>
      </c>
      <c r="G2570" s="11">
        <v>238863.715940922</v>
      </c>
      <c r="H2570">
        <f t="shared" si="162"/>
        <v>238863.715940922</v>
      </c>
      <c r="I2570" t="str">
        <f t="shared" si="163"/>
        <v/>
      </c>
      <c r="J2570" t="str">
        <f t="shared" si="164"/>
        <v/>
      </c>
      <c r="K2570">
        <f>IF(E2570="","",SUM(ContractsTbl[[#This Row],[salaryY1]:[salaryY4]]))</f>
        <v>477727.43188184401</v>
      </c>
      <c r="L2570" t="b">
        <f t="shared" si="165"/>
        <v>0</v>
      </c>
    </row>
    <row r="2571" spans="1:12" x14ac:dyDescent="0.2">
      <c r="A2571" t="s">
        <v>10332</v>
      </c>
      <c r="B2571" t="s">
        <v>74</v>
      </c>
      <c r="C2571" t="s">
        <v>9721</v>
      </c>
      <c r="D2571" t="s">
        <v>44</v>
      </c>
      <c r="E2571">
        <v>2025</v>
      </c>
      <c r="F2571">
        <v>2027</v>
      </c>
      <c r="G2571" s="11">
        <v>237823.08377896601</v>
      </c>
      <c r="H2571">
        <f t="shared" si="162"/>
        <v>237823.08377896601</v>
      </c>
      <c r="I2571" t="str">
        <f t="shared" si="163"/>
        <v/>
      </c>
      <c r="J2571" t="str">
        <f t="shared" si="164"/>
        <v/>
      </c>
      <c r="K2571">
        <f>IF(E2571="","",SUM(ContractsTbl[[#This Row],[salaryY1]:[salaryY4]]))</f>
        <v>475646.16755793203</v>
      </c>
      <c r="L2571" t="b">
        <f t="shared" si="165"/>
        <v>0</v>
      </c>
    </row>
    <row r="2572" spans="1:12" x14ac:dyDescent="0.2">
      <c r="A2572" t="s">
        <v>10333</v>
      </c>
      <c r="B2572" t="s">
        <v>74</v>
      </c>
      <c r="C2572" t="s">
        <v>9722</v>
      </c>
      <c r="D2572" t="s">
        <v>44</v>
      </c>
      <c r="E2572">
        <v>2025</v>
      </c>
      <c r="F2572">
        <v>2027</v>
      </c>
      <c r="G2572" s="11">
        <v>236782.45161701099</v>
      </c>
      <c r="H2572">
        <f t="shared" si="162"/>
        <v>236782.45161701099</v>
      </c>
      <c r="I2572" t="str">
        <f t="shared" si="163"/>
        <v/>
      </c>
      <c r="J2572" t="str">
        <f t="shared" si="164"/>
        <v/>
      </c>
      <c r="K2572">
        <f>IF(E2572="","",SUM(ContractsTbl[[#This Row],[salaryY1]:[salaryY4]]))</f>
        <v>473564.90323402197</v>
      </c>
      <c r="L2572" t="b">
        <f t="shared" si="165"/>
        <v>0</v>
      </c>
    </row>
    <row r="2573" spans="1:12" x14ac:dyDescent="0.2">
      <c r="A2573" t="s">
        <v>10334</v>
      </c>
      <c r="B2573" t="s">
        <v>74</v>
      </c>
      <c r="C2573" t="s">
        <v>9723</v>
      </c>
      <c r="D2573" t="s">
        <v>44</v>
      </c>
      <c r="E2573">
        <v>2025</v>
      </c>
      <c r="F2573">
        <v>2027</v>
      </c>
      <c r="G2573" s="11">
        <v>235741.819455055</v>
      </c>
      <c r="H2573">
        <f t="shared" si="162"/>
        <v>235741.819455055</v>
      </c>
      <c r="I2573" t="str">
        <f t="shared" si="163"/>
        <v/>
      </c>
      <c r="J2573" t="str">
        <f t="shared" si="164"/>
        <v/>
      </c>
      <c r="K2573">
        <f>IF(E2573="","",SUM(ContractsTbl[[#This Row],[salaryY1]:[salaryY4]]))</f>
        <v>471483.63891010999</v>
      </c>
      <c r="L2573" t="b">
        <f t="shared" si="165"/>
        <v>0</v>
      </c>
    </row>
    <row r="2574" spans="1:12" x14ac:dyDescent="0.2">
      <c r="A2574" t="s">
        <v>10335</v>
      </c>
      <c r="B2574" t="s">
        <v>74</v>
      </c>
      <c r="C2574" t="s">
        <v>9724</v>
      </c>
      <c r="D2574" t="s">
        <v>44</v>
      </c>
      <c r="E2574">
        <v>2025</v>
      </c>
      <c r="F2574">
        <v>2027</v>
      </c>
      <c r="G2574" s="11">
        <v>234701.18729309901</v>
      </c>
      <c r="H2574">
        <f t="shared" si="162"/>
        <v>234701.18729309901</v>
      </c>
      <c r="I2574" t="str">
        <f t="shared" si="163"/>
        <v/>
      </c>
      <c r="J2574" t="str">
        <f t="shared" si="164"/>
        <v/>
      </c>
      <c r="K2574">
        <f>IF(E2574="","",SUM(ContractsTbl[[#This Row],[salaryY1]:[salaryY4]]))</f>
        <v>469402.37458619801</v>
      </c>
      <c r="L2574" t="b">
        <f t="shared" si="165"/>
        <v>0</v>
      </c>
    </row>
    <row r="2575" spans="1:12" x14ac:dyDescent="0.2">
      <c r="A2575" t="s">
        <v>10336</v>
      </c>
      <c r="B2575" t="s">
        <v>74</v>
      </c>
      <c r="C2575" t="s">
        <v>9725</v>
      </c>
      <c r="D2575" t="s">
        <v>44</v>
      </c>
      <c r="E2575">
        <v>2025</v>
      </c>
      <c r="F2575">
        <v>2027</v>
      </c>
      <c r="G2575" s="11">
        <v>233660.55513114299</v>
      </c>
      <c r="H2575">
        <f t="shared" si="162"/>
        <v>233660.55513114299</v>
      </c>
      <c r="I2575" t="str">
        <f t="shared" si="163"/>
        <v/>
      </c>
      <c r="J2575" t="str">
        <f t="shared" si="164"/>
        <v/>
      </c>
      <c r="K2575">
        <f>IF(E2575="","",SUM(ContractsTbl[[#This Row],[salaryY1]:[salaryY4]]))</f>
        <v>467321.11026228598</v>
      </c>
      <c r="L2575" t="b">
        <f t="shared" si="165"/>
        <v>0</v>
      </c>
    </row>
    <row r="2576" spans="1:12" x14ac:dyDescent="0.2">
      <c r="A2576" t="s">
        <v>10337</v>
      </c>
      <c r="B2576" t="s">
        <v>74</v>
      </c>
      <c r="C2576" t="s">
        <v>9726</v>
      </c>
      <c r="D2576" t="s">
        <v>44</v>
      </c>
      <c r="E2576">
        <v>2025</v>
      </c>
      <c r="F2576">
        <v>2027</v>
      </c>
      <c r="G2576" s="11">
        <v>232619.92296918799</v>
      </c>
      <c r="H2576">
        <f t="shared" si="162"/>
        <v>232619.92296918799</v>
      </c>
      <c r="I2576" t="str">
        <f t="shared" si="163"/>
        <v/>
      </c>
      <c r="J2576" t="str">
        <f t="shared" si="164"/>
        <v/>
      </c>
      <c r="K2576">
        <f>IF(E2576="","",SUM(ContractsTbl[[#This Row],[salaryY1]:[salaryY4]]))</f>
        <v>465239.84593837598</v>
      </c>
      <c r="L2576" t="b">
        <f t="shared" si="165"/>
        <v>0</v>
      </c>
    </row>
    <row r="2577" spans="1:12" x14ac:dyDescent="0.2">
      <c r="A2577" t="s">
        <v>10338</v>
      </c>
      <c r="B2577" t="s">
        <v>74</v>
      </c>
      <c r="C2577" t="s">
        <v>9727</v>
      </c>
      <c r="D2577" t="s">
        <v>44</v>
      </c>
      <c r="E2577">
        <v>2025</v>
      </c>
      <c r="F2577">
        <v>2027</v>
      </c>
      <c r="G2577" s="11">
        <v>231579.290807232</v>
      </c>
      <c r="H2577">
        <f t="shared" si="162"/>
        <v>231579.290807232</v>
      </c>
      <c r="I2577" t="str">
        <f t="shared" si="163"/>
        <v/>
      </c>
      <c r="J2577" t="str">
        <f t="shared" si="164"/>
        <v/>
      </c>
      <c r="K2577">
        <f>IF(E2577="","",SUM(ContractsTbl[[#This Row],[salaryY1]:[salaryY4]]))</f>
        <v>463158.581614464</v>
      </c>
      <c r="L2577" t="b">
        <f t="shared" si="165"/>
        <v>0</v>
      </c>
    </row>
    <row r="2578" spans="1:12" x14ac:dyDescent="0.2">
      <c r="A2578" t="s">
        <v>10339</v>
      </c>
      <c r="B2578" t="s">
        <v>74</v>
      </c>
      <c r="C2578" t="s">
        <v>9728</v>
      </c>
      <c r="D2578" t="s">
        <v>44</v>
      </c>
      <c r="E2578">
        <v>2025</v>
      </c>
      <c r="F2578">
        <v>2027</v>
      </c>
      <c r="G2578" s="11">
        <v>230538.65864527601</v>
      </c>
      <c r="H2578">
        <f t="shared" si="162"/>
        <v>230538.65864527601</v>
      </c>
      <c r="I2578" t="str">
        <f t="shared" si="163"/>
        <v/>
      </c>
      <c r="J2578" t="str">
        <f t="shared" si="164"/>
        <v/>
      </c>
      <c r="K2578">
        <f>IF(E2578="","",SUM(ContractsTbl[[#This Row],[salaryY1]:[salaryY4]]))</f>
        <v>461077.31729055202</v>
      </c>
      <c r="L2578" t="b">
        <f t="shared" si="165"/>
        <v>0</v>
      </c>
    </row>
    <row r="2579" spans="1:12" x14ac:dyDescent="0.2">
      <c r="A2579" t="s">
        <v>10340</v>
      </c>
      <c r="B2579" t="s">
        <v>74</v>
      </c>
      <c r="C2579" t="s">
        <v>9729</v>
      </c>
      <c r="D2579" t="s">
        <v>44</v>
      </c>
      <c r="E2579">
        <v>2025</v>
      </c>
      <c r="F2579">
        <v>2027</v>
      </c>
      <c r="G2579" s="11">
        <v>229498.02648332101</v>
      </c>
      <c r="H2579">
        <f t="shared" si="162"/>
        <v>229498.02648332101</v>
      </c>
      <c r="I2579" t="str">
        <f t="shared" si="163"/>
        <v/>
      </c>
      <c r="J2579" t="str">
        <f t="shared" si="164"/>
        <v/>
      </c>
      <c r="K2579">
        <f>IF(E2579="","",SUM(ContractsTbl[[#This Row],[salaryY1]:[salaryY4]]))</f>
        <v>458996.05296664202</v>
      </c>
      <c r="L2579" t="b">
        <f t="shared" si="165"/>
        <v>0</v>
      </c>
    </row>
    <row r="2580" spans="1:12" x14ac:dyDescent="0.2">
      <c r="A2580" t="s">
        <v>10341</v>
      </c>
      <c r="B2580" t="s">
        <v>74</v>
      </c>
      <c r="C2580" t="s">
        <v>9730</v>
      </c>
      <c r="D2580" t="s">
        <v>44</v>
      </c>
      <c r="E2580">
        <v>2025</v>
      </c>
      <c r="F2580">
        <v>2027</v>
      </c>
      <c r="G2580" s="11">
        <v>228457.39432136499</v>
      </c>
      <c r="H2580">
        <f t="shared" si="162"/>
        <v>228457.39432136499</v>
      </c>
      <c r="I2580" t="str">
        <f t="shared" si="163"/>
        <v/>
      </c>
      <c r="J2580" t="str">
        <f t="shared" si="164"/>
        <v/>
      </c>
      <c r="K2580">
        <f>IF(E2580="","",SUM(ContractsTbl[[#This Row],[salaryY1]:[salaryY4]]))</f>
        <v>456914.78864272998</v>
      </c>
      <c r="L2580" t="b">
        <f t="shared" si="165"/>
        <v>0</v>
      </c>
    </row>
    <row r="2581" spans="1:12" x14ac:dyDescent="0.2">
      <c r="A2581" t="s">
        <v>10342</v>
      </c>
      <c r="B2581" t="s">
        <v>74</v>
      </c>
      <c r="C2581" t="s">
        <v>9731</v>
      </c>
      <c r="D2581" t="s">
        <v>44</v>
      </c>
      <c r="E2581">
        <v>2025</v>
      </c>
      <c r="F2581">
        <v>2027</v>
      </c>
      <c r="G2581" s="11">
        <v>227416.762159409</v>
      </c>
      <c r="H2581">
        <f t="shared" si="162"/>
        <v>227416.762159409</v>
      </c>
      <c r="I2581" t="str">
        <f t="shared" si="163"/>
        <v/>
      </c>
      <c r="J2581" t="str">
        <f t="shared" si="164"/>
        <v/>
      </c>
      <c r="K2581">
        <f>IF(E2581="","",SUM(ContractsTbl[[#This Row],[salaryY1]:[salaryY4]]))</f>
        <v>454833.524318818</v>
      </c>
      <c r="L2581" t="b">
        <f t="shared" si="165"/>
        <v>0</v>
      </c>
    </row>
    <row r="2582" spans="1:12" x14ac:dyDescent="0.2">
      <c r="A2582" t="s">
        <v>10343</v>
      </c>
      <c r="B2582" t="s">
        <v>74</v>
      </c>
      <c r="C2582" t="s">
        <v>9732</v>
      </c>
      <c r="D2582" t="s">
        <v>44</v>
      </c>
      <c r="E2582">
        <v>2025</v>
      </c>
      <c r="F2582">
        <v>2027</v>
      </c>
      <c r="G2582" s="11">
        <v>226376.129997454</v>
      </c>
      <c r="H2582">
        <f t="shared" si="162"/>
        <v>226376.129997454</v>
      </c>
      <c r="I2582" t="str">
        <f t="shared" si="163"/>
        <v/>
      </c>
      <c r="J2582" t="str">
        <f t="shared" si="164"/>
        <v/>
      </c>
      <c r="K2582">
        <f>IF(E2582="","",SUM(ContractsTbl[[#This Row],[salaryY1]:[salaryY4]]))</f>
        <v>452752.259994908</v>
      </c>
      <c r="L2582" t="b">
        <f t="shared" si="165"/>
        <v>0</v>
      </c>
    </row>
    <row r="2583" spans="1:12" x14ac:dyDescent="0.2">
      <c r="A2583" t="s">
        <v>10344</v>
      </c>
      <c r="B2583" t="s">
        <v>74</v>
      </c>
      <c r="C2583" t="s">
        <v>9733</v>
      </c>
      <c r="D2583" t="s">
        <v>44</v>
      </c>
      <c r="E2583">
        <v>2025</v>
      </c>
      <c r="F2583">
        <v>2027</v>
      </c>
      <c r="G2583" s="11">
        <v>225335.49783549801</v>
      </c>
      <c r="H2583">
        <f t="shared" si="162"/>
        <v>225335.49783549801</v>
      </c>
      <c r="I2583" t="str">
        <f t="shared" si="163"/>
        <v/>
      </c>
      <c r="J2583" t="str">
        <f t="shared" si="164"/>
        <v/>
      </c>
      <c r="K2583">
        <f>IF(E2583="","",SUM(ContractsTbl[[#This Row],[salaryY1]:[salaryY4]]))</f>
        <v>450670.99567099602</v>
      </c>
      <c r="L2583" t="b">
        <f t="shared" si="165"/>
        <v>0</v>
      </c>
    </row>
    <row r="2584" spans="1:12" x14ac:dyDescent="0.2">
      <c r="A2584" t="s">
        <v>10345</v>
      </c>
      <c r="B2584" t="s">
        <v>74</v>
      </c>
      <c r="C2584" t="s">
        <v>9734</v>
      </c>
      <c r="D2584" t="s">
        <v>44</v>
      </c>
      <c r="E2584">
        <v>2025</v>
      </c>
      <c r="F2584">
        <v>2027</v>
      </c>
      <c r="G2584" s="11">
        <v>224294.86567354199</v>
      </c>
      <c r="H2584">
        <f t="shared" si="162"/>
        <v>224294.86567354199</v>
      </c>
      <c r="I2584" t="str">
        <f t="shared" si="163"/>
        <v/>
      </c>
      <c r="J2584" t="str">
        <f t="shared" si="164"/>
        <v/>
      </c>
      <c r="K2584">
        <f>IF(E2584="","",SUM(ContractsTbl[[#This Row],[salaryY1]:[salaryY4]]))</f>
        <v>448589.73134708399</v>
      </c>
      <c r="L2584" t="b">
        <f t="shared" si="165"/>
        <v>0</v>
      </c>
    </row>
    <row r="2585" spans="1:12" x14ac:dyDescent="0.2">
      <c r="A2585" t="s">
        <v>10346</v>
      </c>
      <c r="B2585" t="s">
        <v>74</v>
      </c>
      <c r="C2585" t="s">
        <v>9735</v>
      </c>
      <c r="D2585" t="s">
        <v>44</v>
      </c>
      <c r="E2585">
        <v>2025</v>
      </c>
      <c r="F2585">
        <v>2027</v>
      </c>
      <c r="G2585" s="11">
        <v>223254.23351158699</v>
      </c>
      <c r="H2585">
        <f t="shared" si="162"/>
        <v>223254.23351158699</v>
      </c>
      <c r="I2585" t="str">
        <f t="shared" si="163"/>
        <v/>
      </c>
      <c r="J2585" t="str">
        <f t="shared" si="164"/>
        <v/>
      </c>
      <c r="K2585">
        <f>IF(E2585="","",SUM(ContractsTbl[[#This Row],[salaryY1]:[salaryY4]]))</f>
        <v>446508.46702317399</v>
      </c>
      <c r="L2585" t="b">
        <f t="shared" si="165"/>
        <v>0</v>
      </c>
    </row>
    <row r="2586" spans="1:12" x14ac:dyDescent="0.2">
      <c r="A2586" t="s">
        <v>10347</v>
      </c>
      <c r="B2586" t="s">
        <v>74</v>
      </c>
      <c r="C2586" t="s">
        <v>9736</v>
      </c>
      <c r="D2586" t="s">
        <v>44</v>
      </c>
      <c r="E2586">
        <v>2025</v>
      </c>
      <c r="F2586">
        <v>2027</v>
      </c>
      <c r="G2586" s="11">
        <v>222213.601349631</v>
      </c>
      <c r="H2586">
        <f t="shared" ref="H2586:H2590" si="166">IF(F2586&gt;=2027,G2586,"")</f>
        <v>222213.601349631</v>
      </c>
      <c r="I2586" t="str">
        <f t="shared" ref="I2586:I2590" si="167">IF(F2586&gt;=2028,G2586,"")</f>
        <v/>
      </c>
      <c r="J2586" t="str">
        <f t="shared" ref="J2586:J2590" si="168">IF(F2586&gt;=2029,G2586,"")</f>
        <v/>
      </c>
      <c r="K2586">
        <f>IF(E2586="","",SUM(ContractsTbl[[#This Row],[salaryY1]:[salaryY4]]))</f>
        <v>444427.20269926201</v>
      </c>
      <c r="L2586" t="b">
        <f t="shared" ref="L2586:L2590" si="169">IF(F2586="",TRUE,FALSE)</f>
        <v>0</v>
      </c>
    </row>
    <row r="2587" spans="1:12" x14ac:dyDescent="0.2">
      <c r="A2587" t="s">
        <v>10348</v>
      </c>
      <c r="B2587" t="s">
        <v>74</v>
      </c>
      <c r="C2587" t="s">
        <v>9737</v>
      </c>
      <c r="D2587" t="s">
        <v>44</v>
      </c>
      <c r="E2587">
        <v>2025</v>
      </c>
      <c r="F2587">
        <v>2027</v>
      </c>
      <c r="G2587" s="11">
        <v>221172.96918767499</v>
      </c>
      <c r="H2587">
        <f t="shared" si="166"/>
        <v>221172.96918767499</v>
      </c>
      <c r="I2587" t="str">
        <f t="shared" si="167"/>
        <v/>
      </c>
      <c r="J2587" t="str">
        <f t="shared" si="168"/>
        <v/>
      </c>
      <c r="K2587">
        <f>IF(E2587="","",SUM(ContractsTbl[[#This Row],[salaryY1]:[salaryY4]]))</f>
        <v>442345.93837534997</v>
      </c>
      <c r="L2587" t="b">
        <f t="shared" si="169"/>
        <v>0</v>
      </c>
    </row>
    <row r="2588" spans="1:12" x14ac:dyDescent="0.2">
      <c r="A2588" t="s">
        <v>10349</v>
      </c>
      <c r="B2588" t="s">
        <v>74</v>
      </c>
      <c r="C2588" t="s">
        <v>9738</v>
      </c>
      <c r="D2588" t="s">
        <v>44</v>
      </c>
      <c r="E2588">
        <v>2025</v>
      </c>
      <c r="F2588">
        <v>2027</v>
      </c>
      <c r="G2588" s="11">
        <v>220132.337025719</v>
      </c>
      <c r="H2588">
        <f t="shared" si="166"/>
        <v>220132.337025719</v>
      </c>
      <c r="I2588" t="str">
        <f t="shared" si="167"/>
        <v/>
      </c>
      <c r="J2588" t="str">
        <f t="shared" si="168"/>
        <v/>
      </c>
      <c r="K2588">
        <f>IF(E2588="","",SUM(ContractsTbl[[#This Row],[salaryY1]:[salaryY4]]))</f>
        <v>440264.67405143799</v>
      </c>
      <c r="L2588" t="b">
        <f t="shared" si="169"/>
        <v>0</v>
      </c>
    </row>
    <row r="2589" spans="1:12" x14ac:dyDescent="0.2">
      <c r="A2589" t="s">
        <v>10350</v>
      </c>
      <c r="B2589" t="s">
        <v>74</v>
      </c>
      <c r="C2589" t="s">
        <v>9739</v>
      </c>
      <c r="D2589" t="s">
        <v>44</v>
      </c>
      <c r="E2589">
        <v>2025</v>
      </c>
      <c r="F2589">
        <v>2027</v>
      </c>
      <c r="G2589" s="11">
        <v>219091.704863764</v>
      </c>
      <c r="H2589">
        <f t="shared" si="166"/>
        <v>219091.704863764</v>
      </c>
      <c r="I2589" t="str">
        <f t="shared" si="167"/>
        <v/>
      </c>
      <c r="J2589" t="str">
        <f t="shared" si="168"/>
        <v/>
      </c>
      <c r="K2589">
        <f>IF(E2589="","",SUM(ContractsTbl[[#This Row],[salaryY1]:[salaryY4]]))</f>
        <v>438183.40972752799</v>
      </c>
      <c r="L2589" t="b">
        <f t="shared" si="169"/>
        <v>0</v>
      </c>
    </row>
    <row r="2590" spans="1:12" x14ac:dyDescent="0.2">
      <c r="A2590" t="s">
        <v>10351</v>
      </c>
      <c r="B2590" t="s">
        <v>74</v>
      </c>
      <c r="C2590" t="s">
        <v>9740</v>
      </c>
      <c r="D2590" t="s">
        <v>44</v>
      </c>
      <c r="E2590">
        <v>2025</v>
      </c>
      <c r="F2590">
        <v>2027</v>
      </c>
      <c r="G2590" s="11">
        <v>218051.07270180801</v>
      </c>
      <c r="H2590">
        <f t="shared" si="166"/>
        <v>218051.07270180801</v>
      </c>
      <c r="I2590" t="str">
        <f t="shared" si="167"/>
        <v/>
      </c>
      <c r="J2590" t="str">
        <f t="shared" si="168"/>
        <v/>
      </c>
      <c r="K2590">
        <f>IF(E2590="","",SUM(ContractsTbl[[#This Row],[salaryY1]:[salaryY4]]))</f>
        <v>436102.14540361601</v>
      </c>
      <c r="L2590" t="b">
        <f t="shared" si="169"/>
        <v>0</v>
      </c>
    </row>
    <row r="2591" spans="1:12" x14ac:dyDescent="0.2">
      <c r="G2591" s="11"/>
    </row>
    <row r="2592" spans="1:12" x14ac:dyDescent="0.2">
      <c r="G2592" s="11"/>
    </row>
    <row r="2593" spans="7:7" x14ac:dyDescent="0.2">
      <c r="G2593" s="11"/>
    </row>
    <row r="2594" spans="7:7" x14ac:dyDescent="0.2">
      <c r="G2594" s="11"/>
    </row>
    <row r="2595" spans="7:7" x14ac:dyDescent="0.2">
      <c r="G2595" s="11"/>
    </row>
    <row r="2596" spans="7:7" x14ac:dyDescent="0.2">
      <c r="G2596" s="11"/>
    </row>
    <row r="2597" spans="7:7" x14ac:dyDescent="0.2">
      <c r="G2597" s="11"/>
    </row>
    <row r="2598" spans="7:7" x14ac:dyDescent="0.2">
      <c r="G2598" s="11"/>
    </row>
    <row r="2599" spans="7:7" x14ac:dyDescent="0.2">
      <c r="G2599" s="11"/>
    </row>
    <row r="2600" spans="7:7" x14ac:dyDescent="0.2">
      <c r="G2600" s="11"/>
    </row>
    <row r="2601" spans="7:7" x14ac:dyDescent="0.2">
      <c r="G2601" s="11"/>
    </row>
    <row r="2602" spans="7:7" x14ac:dyDescent="0.2">
      <c r="G2602" s="11"/>
    </row>
    <row r="2603" spans="7:7" x14ac:dyDescent="0.2">
      <c r="G2603" s="11"/>
    </row>
    <row r="2604" spans="7:7" x14ac:dyDescent="0.2">
      <c r="G2604" s="11"/>
    </row>
    <row r="2605" spans="7:7" x14ac:dyDescent="0.2">
      <c r="G2605" s="11"/>
    </row>
    <row r="2606" spans="7:7" x14ac:dyDescent="0.2">
      <c r="G2606" s="11"/>
    </row>
    <row r="2607" spans="7:7" x14ac:dyDescent="0.2">
      <c r="G2607" s="11"/>
    </row>
    <row r="2608" spans="7:7" x14ac:dyDescent="0.2">
      <c r="G2608" s="11"/>
    </row>
    <row r="2609" spans="7:7" x14ac:dyDescent="0.2">
      <c r="G2609" s="11"/>
    </row>
    <row r="2610" spans="7:7" x14ac:dyDescent="0.2">
      <c r="G2610" s="11"/>
    </row>
    <row r="2611" spans="7:7" x14ac:dyDescent="0.2">
      <c r="G2611" s="11"/>
    </row>
    <row r="2612" spans="7:7" x14ac:dyDescent="0.2">
      <c r="G2612" s="11"/>
    </row>
    <row r="2613" spans="7:7" x14ac:dyDescent="0.2">
      <c r="G2613" s="11"/>
    </row>
    <row r="2614" spans="7:7" x14ac:dyDescent="0.2">
      <c r="G2614" s="11"/>
    </row>
    <row r="2615" spans="7:7" x14ac:dyDescent="0.2">
      <c r="G2615" s="11"/>
    </row>
    <row r="2616" spans="7:7" x14ac:dyDescent="0.2">
      <c r="G2616" s="11"/>
    </row>
    <row r="2617" spans="7:7" x14ac:dyDescent="0.2">
      <c r="G2617" s="11"/>
    </row>
    <row r="2618" spans="7:7" x14ac:dyDescent="0.2">
      <c r="G2618" s="11"/>
    </row>
    <row r="2619" spans="7:7" x14ac:dyDescent="0.2">
      <c r="G2619" s="11"/>
    </row>
    <row r="2620" spans="7:7" x14ac:dyDescent="0.2">
      <c r="G2620" s="11"/>
    </row>
    <row r="2621" spans="7:7" x14ac:dyDescent="0.2">
      <c r="G2621" s="11"/>
    </row>
    <row r="2622" spans="7:7" x14ac:dyDescent="0.2">
      <c r="G2622" s="11"/>
    </row>
    <row r="2623" spans="7:7" x14ac:dyDescent="0.2">
      <c r="G2623" s="11"/>
    </row>
    <row r="2624" spans="7:7" x14ac:dyDescent="0.2">
      <c r="G2624" s="11"/>
    </row>
    <row r="2625" spans="7:7" x14ac:dyDescent="0.2">
      <c r="G2625" s="11"/>
    </row>
    <row r="2626" spans="7:7" x14ac:dyDescent="0.2">
      <c r="G2626" s="11"/>
    </row>
    <row r="2627" spans="7:7" x14ac:dyDescent="0.2">
      <c r="G2627" s="11"/>
    </row>
    <row r="2628" spans="7:7" x14ac:dyDescent="0.2">
      <c r="G2628" s="11"/>
    </row>
    <row r="2629" spans="7:7" x14ac:dyDescent="0.2">
      <c r="G2629" s="11"/>
    </row>
    <row r="2630" spans="7:7" x14ac:dyDescent="0.2">
      <c r="G2630" s="11"/>
    </row>
    <row r="2631" spans="7:7" x14ac:dyDescent="0.2">
      <c r="G2631" s="11"/>
    </row>
    <row r="2632" spans="7:7" x14ac:dyDescent="0.2">
      <c r="G2632" s="11"/>
    </row>
    <row r="2633" spans="7:7" x14ac:dyDescent="0.2">
      <c r="G2633" s="11"/>
    </row>
    <row r="2634" spans="7:7" x14ac:dyDescent="0.2">
      <c r="G2634" s="11"/>
    </row>
    <row r="2635" spans="7:7" x14ac:dyDescent="0.2">
      <c r="G2635" s="11"/>
    </row>
    <row r="2636" spans="7:7" x14ac:dyDescent="0.2">
      <c r="G2636" s="11"/>
    </row>
    <row r="2637" spans="7:7" x14ac:dyDescent="0.2">
      <c r="G2637" s="11"/>
    </row>
    <row r="2638" spans="7:7" x14ac:dyDescent="0.2">
      <c r="G2638" s="11"/>
    </row>
    <row r="2639" spans="7:7" x14ac:dyDescent="0.2">
      <c r="G2639" s="11"/>
    </row>
    <row r="2640" spans="7:7" x14ac:dyDescent="0.2">
      <c r="G2640" s="11"/>
    </row>
    <row r="2641" spans="7:7" x14ac:dyDescent="0.2">
      <c r="G2641" s="11"/>
    </row>
    <row r="2642" spans="7:7" x14ac:dyDescent="0.2">
      <c r="G2642" s="11"/>
    </row>
    <row r="2643" spans="7:7" x14ac:dyDescent="0.2">
      <c r="G2643" s="11"/>
    </row>
    <row r="2644" spans="7:7" x14ac:dyDescent="0.2">
      <c r="G2644" s="11"/>
    </row>
    <row r="2645" spans="7:7" x14ac:dyDescent="0.2">
      <c r="G2645" s="11"/>
    </row>
    <row r="2646" spans="7:7" x14ac:dyDescent="0.2">
      <c r="G2646" s="11"/>
    </row>
    <row r="2647" spans="7:7" x14ac:dyDescent="0.2">
      <c r="G2647" s="11"/>
    </row>
    <row r="2648" spans="7:7" x14ac:dyDescent="0.2">
      <c r="G2648" s="11"/>
    </row>
    <row r="2649" spans="7:7" x14ac:dyDescent="0.2">
      <c r="G2649" s="11"/>
    </row>
    <row r="2650" spans="7:7" x14ac:dyDescent="0.2">
      <c r="G2650" s="11"/>
    </row>
    <row r="2651" spans="7:7" x14ac:dyDescent="0.2">
      <c r="G2651" s="11"/>
    </row>
    <row r="2652" spans="7:7" x14ac:dyDescent="0.2">
      <c r="G2652" s="11"/>
    </row>
    <row r="2653" spans="7:7" x14ac:dyDescent="0.2">
      <c r="G2653" s="11"/>
    </row>
    <row r="2654" spans="7:7" x14ac:dyDescent="0.2">
      <c r="G2654" s="11"/>
    </row>
    <row r="2655" spans="7:7" x14ac:dyDescent="0.2">
      <c r="G2655" s="11"/>
    </row>
    <row r="2656" spans="7:7" x14ac:dyDescent="0.2">
      <c r="G2656" s="11"/>
    </row>
    <row r="2657" spans="7:7" x14ac:dyDescent="0.2">
      <c r="G2657" s="11"/>
    </row>
    <row r="2658" spans="7:7" x14ac:dyDescent="0.2">
      <c r="G2658" s="11"/>
    </row>
    <row r="2659" spans="7:7" x14ac:dyDescent="0.2">
      <c r="G2659" s="11"/>
    </row>
    <row r="2660" spans="7:7" x14ac:dyDescent="0.2">
      <c r="G2660" s="11"/>
    </row>
    <row r="2661" spans="7:7" x14ac:dyDescent="0.2">
      <c r="G2661" s="11"/>
    </row>
    <row r="2662" spans="7:7" x14ac:dyDescent="0.2">
      <c r="G2662" s="11"/>
    </row>
    <row r="2663" spans="7:7" x14ac:dyDescent="0.2">
      <c r="G2663" s="11"/>
    </row>
    <row r="2664" spans="7:7" x14ac:dyDescent="0.2">
      <c r="G2664" s="11"/>
    </row>
    <row r="2665" spans="7:7" x14ac:dyDescent="0.2">
      <c r="G2665" s="11"/>
    </row>
    <row r="2666" spans="7:7" x14ac:dyDescent="0.2">
      <c r="G2666" s="11"/>
    </row>
    <row r="2667" spans="7:7" x14ac:dyDescent="0.2">
      <c r="G2667" s="11"/>
    </row>
    <row r="2668" spans="7:7" x14ac:dyDescent="0.2">
      <c r="G2668" s="11"/>
    </row>
    <row r="2669" spans="7:7" x14ac:dyDescent="0.2">
      <c r="G2669" s="11"/>
    </row>
    <row r="2670" spans="7:7" x14ac:dyDescent="0.2">
      <c r="G2670" s="11"/>
    </row>
    <row r="2671" spans="7:7" x14ac:dyDescent="0.2">
      <c r="G2671" s="11"/>
    </row>
    <row r="2672" spans="7:7" x14ac:dyDescent="0.2">
      <c r="G2672" s="11"/>
    </row>
    <row r="2673" spans="7:7" x14ac:dyDescent="0.2">
      <c r="G2673" s="11"/>
    </row>
    <row r="2674" spans="7:7" x14ac:dyDescent="0.2">
      <c r="G2674" s="11"/>
    </row>
    <row r="2675" spans="7:7" x14ac:dyDescent="0.2">
      <c r="G2675" s="11"/>
    </row>
    <row r="2676" spans="7:7" x14ac:dyDescent="0.2">
      <c r="G2676" s="11"/>
    </row>
    <row r="2677" spans="7:7" x14ac:dyDescent="0.2">
      <c r="G2677" s="11"/>
    </row>
    <row r="2678" spans="7:7" x14ac:dyDescent="0.2">
      <c r="G2678" s="11"/>
    </row>
    <row r="2679" spans="7:7" x14ac:dyDescent="0.2">
      <c r="G2679" s="11"/>
    </row>
    <row r="2680" spans="7:7" x14ac:dyDescent="0.2">
      <c r="G2680" s="11"/>
    </row>
    <row r="2681" spans="7:7" x14ac:dyDescent="0.2">
      <c r="G2681" s="11"/>
    </row>
    <row r="2682" spans="7:7" x14ac:dyDescent="0.2">
      <c r="G2682" s="11"/>
    </row>
    <row r="2683" spans="7:7" x14ac:dyDescent="0.2">
      <c r="G2683" s="11"/>
    </row>
    <row r="2684" spans="7:7" x14ac:dyDescent="0.2">
      <c r="G2684" s="11"/>
    </row>
    <row r="2685" spans="7:7" x14ac:dyDescent="0.2">
      <c r="G2685" s="11"/>
    </row>
    <row r="2686" spans="7:7" x14ac:dyDescent="0.2">
      <c r="G2686" s="11"/>
    </row>
    <row r="2687" spans="7:7" x14ac:dyDescent="0.2">
      <c r="G2687" s="11"/>
    </row>
    <row r="2688" spans="7:7" x14ac:dyDescent="0.2">
      <c r="G2688" s="11"/>
    </row>
    <row r="2689" spans="7:7" x14ac:dyDescent="0.2">
      <c r="G2689" s="11"/>
    </row>
    <row r="2690" spans="7:7" x14ac:dyDescent="0.2">
      <c r="G2690" s="11"/>
    </row>
    <row r="2691" spans="7:7" x14ac:dyDescent="0.2">
      <c r="G2691" s="11"/>
    </row>
    <row r="2692" spans="7:7" x14ac:dyDescent="0.2">
      <c r="G2692" s="11"/>
    </row>
    <row r="2693" spans="7:7" x14ac:dyDescent="0.2">
      <c r="G2693" s="11"/>
    </row>
    <row r="2694" spans="7:7" x14ac:dyDescent="0.2">
      <c r="G2694" s="11"/>
    </row>
    <row r="2695" spans="7:7" x14ac:dyDescent="0.2">
      <c r="G2695" s="11"/>
    </row>
    <row r="2696" spans="7:7" x14ac:dyDescent="0.2">
      <c r="G2696" s="11"/>
    </row>
    <row r="2697" spans="7:7" x14ac:dyDescent="0.2">
      <c r="G2697" s="11"/>
    </row>
    <row r="2698" spans="7:7" x14ac:dyDescent="0.2">
      <c r="G2698" s="11"/>
    </row>
    <row r="2699" spans="7:7" x14ac:dyDescent="0.2">
      <c r="G2699" s="11"/>
    </row>
    <row r="2700" spans="7:7" x14ac:dyDescent="0.2">
      <c r="G2700" s="11"/>
    </row>
    <row r="2701" spans="7:7" x14ac:dyDescent="0.2">
      <c r="G2701" s="11"/>
    </row>
    <row r="2702" spans="7:7" x14ac:dyDescent="0.2">
      <c r="G2702" s="11"/>
    </row>
    <row r="2703" spans="7:7" x14ac:dyDescent="0.2">
      <c r="G2703" s="11"/>
    </row>
    <row r="2704" spans="7:7" x14ac:dyDescent="0.2">
      <c r="G2704" s="11"/>
    </row>
    <row r="2705" spans="7:7" x14ac:dyDescent="0.2">
      <c r="G2705" s="11"/>
    </row>
    <row r="2706" spans="7:7" x14ac:dyDescent="0.2">
      <c r="G2706" s="11"/>
    </row>
    <row r="2707" spans="7:7" x14ac:dyDescent="0.2">
      <c r="G2707" s="11"/>
    </row>
    <row r="2708" spans="7:7" x14ac:dyDescent="0.2">
      <c r="G2708" s="11"/>
    </row>
    <row r="2709" spans="7:7" x14ac:dyDescent="0.2">
      <c r="G2709" s="11"/>
    </row>
    <row r="2710" spans="7:7" x14ac:dyDescent="0.2">
      <c r="G2710" s="11"/>
    </row>
    <row r="2711" spans="7:7" x14ac:dyDescent="0.2">
      <c r="G2711" s="11"/>
    </row>
    <row r="2712" spans="7:7" x14ac:dyDescent="0.2">
      <c r="G2712" s="11"/>
    </row>
    <row r="2713" spans="7:7" x14ac:dyDescent="0.2">
      <c r="G2713" s="11"/>
    </row>
    <row r="2714" spans="7:7" x14ac:dyDescent="0.2">
      <c r="G2714" s="11"/>
    </row>
    <row r="2715" spans="7:7" x14ac:dyDescent="0.2">
      <c r="G2715" s="11"/>
    </row>
    <row r="2716" spans="7:7" x14ac:dyDescent="0.2">
      <c r="G2716" s="11"/>
    </row>
    <row r="2717" spans="7:7" x14ac:dyDescent="0.2">
      <c r="G2717" s="11"/>
    </row>
    <row r="2718" spans="7:7" x14ac:dyDescent="0.2">
      <c r="G2718" s="11"/>
    </row>
    <row r="2719" spans="7:7" x14ac:dyDescent="0.2">
      <c r="G2719" s="11"/>
    </row>
    <row r="2720" spans="7:7" x14ac:dyDescent="0.2">
      <c r="G2720" s="11"/>
    </row>
    <row r="2721" spans="7:7" x14ac:dyDescent="0.2">
      <c r="G2721" s="11"/>
    </row>
    <row r="2722" spans="7:7" x14ac:dyDescent="0.2">
      <c r="G2722" s="11"/>
    </row>
    <row r="2723" spans="7:7" x14ac:dyDescent="0.2">
      <c r="G2723" s="11"/>
    </row>
    <row r="2724" spans="7:7" x14ac:dyDescent="0.2">
      <c r="G2724" s="11"/>
    </row>
    <row r="2725" spans="7:7" x14ac:dyDescent="0.2">
      <c r="G2725" s="11"/>
    </row>
    <row r="2726" spans="7:7" x14ac:dyDescent="0.2">
      <c r="G2726" s="11"/>
    </row>
    <row r="2727" spans="7:7" x14ac:dyDescent="0.2">
      <c r="G2727" s="11"/>
    </row>
    <row r="2728" spans="7:7" x14ac:dyDescent="0.2">
      <c r="G2728" s="11"/>
    </row>
    <row r="2729" spans="7:7" x14ac:dyDescent="0.2">
      <c r="G2729" s="11"/>
    </row>
    <row r="2730" spans="7:7" x14ac:dyDescent="0.2">
      <c r="G2730" s="11"/>
    </row>
    <row r="2731" spans="7:7" x14ac:dyDescent="0.2">
      <c r="G2731" s="11"/>
    </row>
    <row r="2732" spans="7:7" x14ac:dyDescent="0.2">
      <c r="G2732" s="11"/>
    </row>
    <row r="2733" spans="7:7" x14ac:dyDescent="0.2">
      <c r="G2733" s="11"/>
    </row>
    <row r="2734" spans="7:7" x14ac:dyDescent="0.2">
      <c r="G2734" s="11"/>
    </row>
    <row r="2735" spans="7:7" x14ac:dyDescent="0.2">
      <c r="G2735" s="11"/>
    </row>
    <row r="2736" spans="7:7" x14ac:dyDescent="0.2">
      <c r="G2736" s="11"/>
    </row>
    <row r="2737" spans="7:7" x14ac:dyDescent="0.2">
      <c r="G2737" s="11"/>
    </row>
    <row r="2738" spans="7:7" x14ac:dyDescent="0.2">
      <c r="G2738" s="11"/>
    </row>
    <row r="2739" spans="7:7" x14ac:dyDescent="0.2">
      <c r="G2739" s="11"/>
    </row>
    <row r="2740" spans="7:7" x14ac:dyDescent="0.2">
      <c r="G2740" s="11"/>
    </row>
    <row r="2741" spans="7:7" x14ac:dyDescent="0.2">
      <c r="G2741" s="11"/>
    </row>
    <row r="2742" spans="7:7" x14ac:dyDescent="0.2">
      <c r="G2742" s="11"/>
    </row>
    <row r="2743" spans="7:7" x14ac:dyDescent="0.2">
      <c r="G2743" s="11"/>
    </row>
    <row r="2744" spans="7:7" x14ac:dyDescent="0.2">
      <c r="G2744" s="11"/>
    </row>
    <row r="2745" spans="7:7" x14ac:dyDescent="0.2">
      <c r="G2745" s="11"/>
    </row>
    <row r="2746" spans="7:7" x14ac:dyDescent="0.2">
      <c r="G2746" s="11"/>
    </row>
    <row r="2747" spans="7:7" x14ac:dyDescent="0.2">
      <c r="G2747" s="11"/>
    </row>
    <row r="2748" spans="7:7" x14ac:dyDescent="0.2">
      <c r="G2748" s="11"/>
    </row>
    <row r="2749" spans="7:7" x14ac:dyDescent="0.2">
      <c r="G2749" s="11"/>
    </row>
    <row r="2750" spans="7:7" x14ac:dyDescent="0.2">
      <c r="G2750" s="11"/>
    </row>
    <row r="2751" spans="7:7" x14ac:dyDescent="0.2">
      <c r="G2751" s="11"/>
    </row>
    <row r="2752" spans="7:7" x14ac:dyDescent="0.2">
      <c r="G2752" s="11"/>
    </row>
    <row r="2753" spans="7:7" x14ac:dyDescent="0.2">
      <c r="G2753" s="11"/>
    </row>
    <row r="2754" spans="7:7" x14ac:dyDescent="0.2">
      <c r="G2754" s="11"/>
    </row>
    <row r="2755" spans="7:7" x14ac:dyDescent="0.2">
      <c r="G2755" s="11"/>
    </row>
    <row r="2756" spans="7:7" x14ac:dyDescent="0.2">
      <c r="G2756" s="11"/>
    </row>
    <row r="2757" spans="7:7" x14ac:dyDescent="0.2">
      <c r="G2757" s="11"/>
    </row>
    <row r="2758" spans="7:7" x14ac:dyDescent="0.2">
      <c r="G2758" s="11"/>
    </row>
    <row r="2759" spans="7:7" x14ac:dyDescent="0.2">
      <c r="G2759" s="11"/>
    </row>
    <row r="2760" spans="7:7" x14ac:dyDescent="0.2">
      <c r="G2760" s="11"/>
    </row>
    <row r="2761" spans="7:7" x14ac:dyDescent="0.2">
      <c r="G2761" s="11"/>
    </row>
    <row r="2762" spans="7:7" x14ac:dyDescent="0.2">
      <c r="G2762" s="11"/>
    </row>
    <row r="2763" spans="7:7" x14ac:dyDescent="0.2">
      <c r="G2763" s="11"/>
    </row>
    <row r="2764" spans="7:7" x14ac:dyDescent="0.2">
      <c r="G2764" s="11"/>
    </row>
    <row r="2765" spans="7:7" x14ac:dyDescent="0.2">
      <c r="G2765" s="11"/>
    </row>
    <row r="2766" spans="7:7" x14ac:dyDescent="0.2">
      <c r="G2766" s="11"/>
    </row>
    <row r="2767" spans="7:7" x14ac:dyDescent="0.2">
      <c r="G2767" s="11"/>
    </row>
    <row r="2768" spans="7:7" x14ac:dyDescent="0.2">
      <c r="G2768" s="11"/>
    </row>
    <row r="2769" spans="7:7" x14ac:dyDescent="0.2">
      <c r="G2769" s="11"/>
    </row>
    <row r="2770" spans="7:7" x14ac:dyDescent="0.2">
      <c r="G2770" s="11"/>
    </row>
    <row r="2771" spans="7:7" x14ac:dyDescent="0.2">
      <c r="G2771" s="11"/>
    </row>
    <row r="2772" spans="7:7" x14ac:dyDescent="0.2">
      <c r="G2772" s="11"/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5"/>
  <sheetViews>
    <sheetView zoomScale="93" workbookViewId="0">
      <pane ySplit="1" topLeftCell="A2" activePane="bottomLeft" state="frozen"/>
      <selection pane="bottomLeft" activeCell="D26" sqref="D26"/>
    </sheetView>
  </sheetViews>
  <sheetFormatPr baseColWidth="10" defaultColWidth="8.83203125" defaultRowHeight="15" x14ac:dyDescent="0.2"/>
  <cols>
    <col min="1" max="3" width="12" customWidth="1"/>
    <col min="4" max="4" width="27" customWidth="1"/>
    <col min="5" max="5" width="44" customWidth="1"/>
  </cols>
  <sheetData>
    <row r="1" spans="1:5" x14ac:dyDescent="0.2">
      <c r="A1" s="1" t="s">
        <v>1</v>
      </c>
      <c r="B1" s="1" t="s">
        <v>75</v>
      </c>
      <c r="C1" s="1" t="s">
        <v>76</v>
      </c>
      <c r="D1" s="1" t="s">
        <v>16</v>
      </c>
      <c r="E1" s="1" t="s">
        <v>4</v>
      </c>
    </row>
    <row r="2" spans="1:5" x14ac:dyDescent="0.2">
      <c r="A2">
        <v>2026</v>
      </c>
      <c r="B2">
        <v>1</v>
      </c>
      <c r="C2">
        <v>1</v>
      </c>
      <c r="D2" t="s">
        <v>144</v>
      </c>
    </row>
    <row r="3" spans="1:5" x14ac:dyDescent="0.2">
      <c r="A3">
        <v>2026</v>
      </c>
      <c r="B3">
        <v>1</v>
      </c>
      <c r="C3">
        <v>2</v>
      </c>
      <c r="D3" t="s">
        <v>148</v>
      </c>
    </row>
    <row r="4" spans="1:5" x14ac:dyDescent="0.2">
      <c r="A4">
        <v>2026</v>
      </c>
      <c r="B4">
        <v>1</v>
      </c>
      <c r="C4">
        <v>3</v>
      </c>
      <c r="D4" t="s">
        <v>157</v>
      </c>
    </row>
    <row r="5" spans="1:5" x14ac:dyDescent="0.2">
      <c r="A5">
        <v>2026</v>
      </c>
      <c r="B5">
        <v>1</v>
      </c>
      <c r="C5">
        <v>4</v>
      </c>
      <c r="D5" t="s">
        <v>150</v>
      </c>
    </row>
    <row r="6" spans="1:5" x14ac:dyDescent="0.2">
      <c r="A6">
        <v>2026</v>
      </c>
      <c r="B6">
        <v>1</v>
      </c>
      <c r="C6">
        <v>5</v>
      </c>
      <c r="D6" t="s">
        <v>146</v>
      </c>
    </row>
    <row r="7" spans="1:5" x14ac:dyDescent="0.2">
      <c r="A7">
        <v>2026</v>
      </c>
      <c r="B7">
        <v>1</v>
      </c>
      <c r="C7">
        <v>6</v>
      </c>
      <c r="D7" t="s">
        <v>143</v>
      </c>
    </row>
    <row r="8" spans="1:5" x14ac:dyDescent="0.2">
      <c r="A8">
        <v>2026</v>
      </c>
      <c r="B8">
        <v>1</v>
      </c>
      <c r="C8">
        <v>7</v>
      </c>
      <c r="D8" t="s">
        <v>134</v>
      </c>
    </row>
    <row r="9" spans="1:5" x14ac:dyDescent="0.2">
      <c r="A9">
        <v>2026</v>
      </c>
      <c r="B9">
        <v>1</v>
      </c>
      <c r="C9">
        <v>8</v>
      </c>
      <c r="D9" t="s">
        <v>137</v>
      </c>
    </row>
    <row r="10" spans="1:5" x14ac:dyDescent="0.2">
      <c r="A10">
        <v>2026</v>
      </c>
      <c r="B10">
        <v>1</v>
      </c>
      <c r="C10">
        <v>9</v>
      </c>
      <c r="D10" t="s">
        <v>142</v>
      </c>
    </row>
    <row r="11" spans="1:5" x14ac:dyDescent="0.2">
      <c r="A11">
        <v>2026</v>
      </c>
      <c r="B11">
        <v>1</v>
      </c>
      <c r="C11">
        <v>10</v>
      </c>
      <c r="D11" t="s">
        <v>140</v>
      </c>
    </row>
    <row r="12" spans="1:5" x14ac:dyDescent="0.2">
      <c r="A12">
        <v>2026</v>
      </c>
      <c r="B12">
        <v>1</v>
      </c>
      <c r="C12">
        <v>11</v>
      </c>
      <c r="D12" t="s">
        <v>130</v>
      </c>
    </row>
    <row r="13" spans="1:5" x14ac:dyDescent="0.2">
      <c r="A13">
        <v>2026</v>
      </c>
      <c r="B13">
        <v>1</v>
      </c>
      <c r="C13">
        <v>12</v>
      </c>
      <c r="D13" t="s">
        <v>149</v>
      </c>
    </row>
    <row r="14" spans="1:5" x14ac:dyDescent="0.2">
      <c r="A14">
        <v>2026</v>
      </c>
      <c r="B14">
        <v>1</v>
      </c>
      <c r="C14">
        <v>13</v>
      </c>
      <c r="D14" t="s">
        <v>136</v>
      </c>
    </row>
    <row r="15" spans="1:5" x14ac:dyDescent="0.2">
      <c r="A15">
        <v>2026</v>
      </c>
      <c r="B15">
        <v>1</v>
      </c>
      <c r="C15">
        <v>14</v>
      </c>
      <c r="D15" t="s">
        <v>132</v>
      </c>
    </row>
    <row r="16" spans="1:5" x14ac:dyDescent="0.2">
      <c r="A16">
        <v>2026</v>
      </c>
      <c r="B16">
        <v>1</v>
      </c>
      <c r="C16">
        <v>15</v>
      </c>
      <c r="D16" t="s">
        <v>131</v>
      </c>
    </row>
    <row r="17" spans="1:4" x14ac:dyDescent="0.2">
      <c r="A17">
        <v>2026</v>
      </c>
      <c r="B17">
        <v>1</v>
      </c>
      <c r="C17">
        <v>16</v>
      </c>
      <c r="D17" t="s">
        <v>141</v>
      </c>
    </row>
    <row r="18" spans="1:4" x14ac:dyDescent="0.2">
      <c r="A18">
        <v>2026</v>
      </c>
      <c r="B18">
        <v>1</v>
      </c>
      <c r="C18">
        <v>17</v>
      </c>
      <c r="D18" t="s">
        <v>153</v>
      </c>
    </row>
    <row r="19" spans="1:4" x14ac:dyDescent="0.2">
      <c r="A19">
        <v>2026</v>
      </c>
      <c r="B19">
        <v>1</v>
      </c>
      <c r="C19">
        <v>18</v>
      </c>
      <c r="D19" t="s">
        <v>152</v>
      </c>
    </row>
    <row r="20" spans="1:4" x14ac:dyDescent="0.2">
      <c r="A20">
        <v>2026</v>
      </c>
      <c r="B20">
        <v>1</v>
      </c>
      <c r="C20">
        <v>19</v>
      </c>
      <c r="D20" t="s">
        <v>147</v>
      </c>
    </row>
    <row r="21" spans="1:4" x14ac:dyDescent="0.2">
      <c r="A21">
        <v>2026</v>
      </c>
      <c r="B21">
        <v>1</v>
      </c>
      <c r="C21">
        <v>20</v>
      </c>
      <c r="D21" t="s">
        <v>158</v>
      </c>
    </row>
    <row r="22" spans="1:4" x14ac:dyDescent="0.2">
      <c r="A22">
        <v>2026</v>
      </c>
      <c r="B22">
        <v>1</v>
      </c>
      <c r="C22">
        <v>21</v>
      </c>
      <c r="D22" t="s">
        <v>155</v>
      </c>
    </row>
    <row r="23" spans="1:4" x14ac:dyDescent="0.2">
      <c r="A23">
        <v>2026</v>
      </c>
      <c r="B23">
        <v>1</v>
      </c>
      <c r="C23">
        <v>22</v>
      </c>
      <c r="D23" t="s">
        <v>138</v>
      </c>
    </row>
    <row r="24" spans="1:4" x14ac:dyDescent="0.2">
      <c r="A24">
        <v>2026</v>
      </c>
      <c r="B24">
        <v>1</v>
      </c>
      <c r="C24">
        <v>23</v>
      </c>
      <c r="D24" t="s">
        <v>22</v>
      </c>
    </row>
    <row r="25" spans="1:4" x14ac:dyDescent="0.2">
      <c r="A25">
        <v>2026</v>
      </c>
      <c r="B25">
        <v>1</v>
      </c>
      <c r="C25">
        <v>24</v>
      </c>
      <c r="D25" t="s">
        <v>139</v>
      </c>
    </row>
    <row r="26" spans="1:4" x14ac:dyDescent="0.2">
      <c r="A26">
        <v>2026</v>
      </c>
      <c r="B26">
        <v>1</v>
      </c>
      <c r="C26">
        <v>25</v>
      </c>
      <c r="D26" t="s">
        <v>129</v>
      </c>
    </row>
    <row r="27" spans="1:4" x14ac:dyDescent="0.2">
      <c r="A27">
        <v>2026</v>
      </c>
      <c r="B27">
        <v>1</v>
      </c>
      <c r="C27">
        <v>26</v>
      </c>
      <c r="D27" t="s">
        <v>154</v>
      </c>
    </row>
    <row r="28" spans="1:4" x14ac:dyDescent="0.2">
      <c r="A28">
        <v>2026</v>
      </c>
      <c r="B28">
        <v>1</v>
      </c>
      <c r="C28">
        <v>27</v>
      </c>
      <c r="D28" t="s">
        <v>25</v>
      </c>
    </row>
    <row r="29" spans="1:4" x14ac:dyDescent="0.2">
      <c r="A29">
        <v>2026</v>
      </c>
      <c r="B29">
        <v>1</v>
      </c>
      <c r="C29">
        <v>28</v>
      </c>
      <c r="D29" t="s">
        <v>145</v>
      </c>
    </row>
    <row r="30" spans="1:4" x14ac:dyDescent="0.2">
      <c r="A30">
        <v>2026</v>
      </c>
      <c r="B30">
        <v>1</v>
      </c>
      <c r="C30">
        <v>29</v>
      </c>
      <c r="D30" t="s">
        <v>135</v>
      </c>
    </row>
    <row r="31" spans="1:4" x14ac:dyDescent="0.2">
      <c r="A31">
        <v>2026</v>
      </c>
      <c r="B31">
        <v>1</v>
      </c>
      <c r="C31">
        <v>30</v>
      </c>
      <c r="D31" t="s">
        <v>156</v>
      </c>
    </row>
    <row r="32" spans="1:4" x14ac:dyDescent="0.2">
      <c r="A32">
        <v>2026</v>
      </c>
      <c r="B32">
        <v>1</v>
      </c>
      <c r="C32">
        <v>31</v>
      </c>
      <c r="D32" t="s">
        <v>151</v>
      </c>
    </row>
    <row r="33" spans="1:4" x14ac:dyDescent="0.2">
      <c r="A33">
        <v>2026</v>
      </c>
      <c r="B33">
        <v>1</v>
      </c>
      <c r="C33">
        <v>32</v>
      </c>
      <c r="D33" t="s">
        <v>133</v>
      </c>
    </row>
    <row r="34" spans="1:4" x14ac:dyDescent="0.2">
      <c r="A34">
        <v>2026</v>
      </c>
      <c r="B34">
        <v>2</v>
      </c>
      <c r="C34">
        <v>33</v>
      </c>
      <c r="D34" t="s">
        <v>144</v>
      </c>
    </row>
    <row r="35" spans="1:4" x14ac:dyDescent="0.2">
      <c r="A35">
        <v>2026</v>
      </c>
      <c r="B35">
        <v>2</v>
      </c>
      <c r="C35">
        <v>34</v>
      </c>
      <c r="D35" t="s">
        <v>148</v>
      </c>
    </row>
    <row r="36" spans="1:4" x14ac:dyDescent="0.2">
      <c r="A36">
        <v>2026</v>
      </c>
      <c r="B36">
        <v>2</v>
      </c>
      <c r="C36">
        <v>35</v>
      </c>
      <c r="D36" t="s">
        <v>157</v>
      </c>
    </row>
    <row r="37" spans="1:4" x14ac:dyDescent="0.2">
      <c r="A37">
        <v>2026</v>
      </c>
      <c r="B37">
        <v>2</v>
      </c>
      <c r="C37">
        <v>36</v>
      </c>
      <c r="D37" t="s">
        <v>150</v>
      </c>
    </row>
    <row r="38" spans="1:4" x14ac:dyDescent="0.2">
      <c r="A38">
        <v>2026</v>
      </c>
      <c r="B38">
        <v>2</v>
      </c>
      <c r="C38">
        <v>37</v>
      </c>
      <c r="D38" t="s">
        <v>146</v>
      </c>
    </row>
    <row r="39" spans="1:4" x14ac:dyDescent="0.2">
      <c r="A39">
        <v>2026</v>
      </c>
      <c r="B39">
        <v>2</v>
      </c>
      <c r="C39">
        <v>38</v>
      </c>
      <c r="D39" t="s">
        <v>143</v>
      </c>
    </row>
    <row r="40" spans="1:4" x14ac:dyDescent="0.2">
      <c r="A40">
        <v>2026</v>
      </c>
      <c r="B40">
        <v>2</v>
      </c>
      <c r="C40">
        <v>39</v>
      </c>
      <c r="D40" t="s">
        <v>134</v>
      </c>
    </row>
    <row r="41" spans="1:4" x14ac:dyDescent="0.2">
      <c r="A41">
        <v>2026</v>
      </c>
      <c r="B41">
        <v>2</v>
      </c>
      <c r="C41">
        <v>40</v>
      </c>
      <c r="D41" t="s">
        <v>137</v>
      </c>
    </row>
    <row r="42" spans="1:4" x14ac:dyDescent="0.2">
      <c r="A42">
        <v>2026</v>
      </c>
      <c r="B42">
        <v>2</v>
      </c>
      <c r="C42">
        <v>41</v>
      </c>
      <c r="D42" t="s">
        <v>142</v>
      </c>
    </row>
    <row r="43" spans="1:4" x14ac:dyDescent="0.2">
      <c r="A43">
        <v>2026</v>
      </c>
      <c r="B43">
        <v>2</v>
      </c>
      <c r="C43">
        <v>42</v>
      </c>
      <c r="D43" t="s">
        <v>140</v>
      </c>
    </row>
    <row r="44" spans="1:4" x14ac:dyDescent="0.2">
      <c r="A44">
        <v>2026</v>
      </c>
      <c r="B44">
        <v>2</v>
      </c>
      <c r="C44">
        <v>43</v>
      </c>
      <c r="D44" t="s">
        <v>130</v>
      </c>
    </row>
    <row r="45" spans="1:4" x14ac:dyDescent="0.2">
      <c r="A45">
        <v>2026</v>
      </c>
      <c r="B45">
        <v>2</v>
      </c>
      <c r="C45">
        <v>44</v>
      </c>
      <c r="D45" t="s">
        <v>149</v>
      </c>
    </row>
    <row r="46" spans="1:4" x14ac:dyDescent="0.2">
      <c r="A46">
        <v>2026</v>
      </c>
      <c r="B46">
        <v>2</v>
      </c>
      <c r="C46">
        <v>45</v>
      </c>
      <c r="D46" t="s">
        <v>136</v>
      </c>
    </row>
    <row r="47" spans="1:4" x14ac:dyDescent="0.2">
      <c r="A47">
        <v>2026</v>
      </c>
      <c r="B47">
        <v>2</v>
      </c>
      <c r="C47">
        <v>46</v>
      </c>
      <c r="D47" t="s">
        <v>132</v>
      </c>
    </row>
    <row r="48" spans="1:4" x14ac:dyDescent="0.2">
      <c r="A48">
        <v>2026</v>
      </c>
      <c r="B48">
        <v>2</v>
      </c>
      <c r="C48">
        <v>47</v>
      </c>
      <c r="D48" t="s">
        <v>131</v>
      </c>
    </row>
    <row r="49" spans="1:4" x14ac:dyDescent="0.2">
      <c r="A49">
        <v>2026</v>
      </c>
      <c r="B49">
        <v>2</v>
      </c>
      <c r="C49">
        <v>48</v>
      </c>
      <c r="D49" t="s">
        <v>141</v>
      </c>
    </row>
    <row r="50" spans="1:4" x14ac:dyDescent="0.2">
      <c r="A50">
        <v>2026</v>
      </c>
      <c r="B50">
        <v>2</v>
      </c>
      <c r="C50">
        <v>49</v>
      </c>
      <c r="D50" t="s">
        <v>153</v>
      </c>
    </row>
    <row r="51" spans="1:4" x14ac:dyDescent="0.2">
      <c r="A51">
        <v>2026</v>
      </c>
      <c r="B51">
        <v>2</v>
      </c>
      <c r="C51">
        <v>50</v>
      </c>
      <c r="D51" t="s">
        <v>152</v>
      </c>
    </row>
    <row r="52" spans="1:4" x14ac:dyDescent="0.2">
      <c r="A52">
        <v>2026</v>
      </c>
      <c r="B52">
        <v>2</v>
      </c>
      <c r="C52">
        <v>51</v>
      </c>
      <c r="D52" t="s">
        <v>147</v>
      </c>
    </row>
    <row r="53" spans="1:4" x14ac:dyDescent="0.2">
      <c r="A53">
        <v>2026</v>
      </c>
      <c r="B53">
        <v>2</v>
      </c>
      <c r="C53">
        <v>52</v>
      </c>
      <c r="D53" t="s">
        <v>158</v>
      </c>
    </row>
    <row r="54" spans="1:4" x14ac:dyDescent="0.2">
      <c r="A54">
        <v>2026</v>
      </c>
      <c r="B54">
        <v>2</v>
      </c>
      <c r="C54">
        <v>53</v>
      </c>
      <c r="D54" t="s">
        <v>155</v>
      </c>
    </row>
    <row r="55" spans="1:4" x14ac:dyDescent="0.2">
      <c r="A55">
        <v>2026</v>
      </c>
      <c r="B55">
        <v>2</v>
      </c>
      <c r="C55">
        <v>54</v>
      </c>
      <c r="D55" t="s">
        <v>138</v>
      </c>
    </row>
    <row r="56" spans="1:4" x14ac:dyDescent="0.2">
      <c r="A56">
        <v>2026</v>
      </c>
      <c r="B56">
        <v>2</v>
      </c>
      <c r="C56">
        <v>55</v>
      </c>
      <c r="D56" t="s">
        <v>22</v>
      </c>
    </row>
    <row r="57" spans="1:4" x14ac:dyDescent="0.2">
      <c r="A57">
        <v>2026</v>
      </c>
      <c r="B57">
        <v>2</v>
      </c>
      <c r="C57">
        <v>56</v>
      </c>
      <c r="D57" t="s">
        <v>139</v>
      </c>
    </row>
    <row r="58" spans="1:4" x14ac:dyDescent="0.2">
      <c r="A58">
        <v>2026</v>
      </c>
      <c r="B58">
        <v>2</v>
      </c>
      <c r="C58">
        <v>57</v>
      </c>
      <c r="D58" t="s">
        <v>129</v>
      </c>
    </row>
    <row r="59" spans="1:4" x14ac:dyDescent="0.2">
      <c r="A59">
        <v>2026</v>
      </c>
      <c r="B59">
        <v>2</v>
      </c>
      <c r="C59">
        <v>58</v>
      </c>
      <c r="D59" t="s">
        <v>154</v>
      </c>
    </row>
    <row r="60" spans="1:4" x14ac:dyDescent="0.2">
      <c r="A60">
        <v>2026</v>
      </c>
      <c r="B60">
        <v>2</v>
      </c>
      <c r="C60">
        <v>59</v>
      </c>
      <c r="D60" t="s">
        <v>25</v>
      </c>
    </row>
    <row r="61" spans="1:4" x14ac:dyDescent="0.2">
      <c r="A61">
        <v>2026</v>
      </c>
      <c r="B61">
        <v>2</v>
      </c>
      <c r="C61">
        <v>60</v>
      </c>
      <c r="D61" t="s">
        <v>145</v>
      </c>
    </row>
    <row r="62" spans="1:4" x14ac:dyDescent="0.2">
      <c r="A62">
        <v>2026</v>
      </c>
      <c r="B62">
        <v>2</v>
      </c>
      <c r="C62">
        <v>61</v>
      </c>
      <c r="D62" t="s">
        <v>135</v>
      </c>
    </row>
    <row r="63" spans="1:4" x14ac:dyDescent="0.2">
      <c r="A63">
        <v>2026</v>
      </c>
      <c r="B63">
        <v>2</v>
      </c>
      <c r="C63">
        <v>62</v>
      </c>
      <c r="D63" t="s">
        <v>156</v>
      </c>
    </row>
    <row r="64" spans="1:4" x14ac:dyDescent="0.2">
      <c r="A64">
        <v>2026</v>
      </c>
      <c r="B64">
        <v>2</v>
      </c>
      <c r="C64">
        <v>63</v>
      </c>
      <c r="D64" t="s">
        <v>151</v>
      </c>
    </row>
    <row r="65" spans="1:4" x14ac:dyDescent="0.2">
      <c r="A65">
        <v>2026</v>
      </c>
      <c r="B65">
        <v>2</v>
      </c>
      <c r="C65">
        <v>64</v>
      </c>
      <c r="D65" t="s">
        <v>133</v>
      </c>
    </row>
    <row r="66" spans="1:4" x14ac:dyDescent="0.2">
      <c r="A66">
        <v>2026</v>
      </c>
      <c r="B66">
        <v>3</v>
      </c>
      <c r="C66">
        <v>65</v>
      </c>
      <c r="D66" t="s">
        <v>144</v>
      </c>
    </row>
    <row r="67" spans="1:4" x14ac:dyDescent="0.2">
      <c r="A67">
        <v>2026</v>
      </c>
      <c r="B67">
        <v>3</v>
      </c>
      <c r="C67">
        <v>66</v>
      </c>
      <c r="D67" t="s">
        <v>148</v>
      </c>
    </row>
    <row r="68" spans="1:4" x14ac:dyDescent="0.2">
      <c r="A68">
        <v>2026</v>
      </c>
      <c r="B68">
        <v>3</v>
      </c>
      <c r="C68">
        <v>67</v>
      </c>
      <c r="D68" t="s">
        <v>157</v>
      </c>
    </row>
    <row r="69" spans="1:4" x14ac:dyDescent="0.2">
      <c r="A69">
        <v>2026</v>
      </c>
      <c r="B69">
        <v>3</v>
      </c>
      <c r="C69">
        <v>68</v>
      </c>
      <c r="D69" t="s">
        <v>150</v>
      </c>
    </row>
    <row r="70" spans="1:4" x14ac:dyDescent="0.2">
      <c r="A70">
        <v>2026</v>
      </c>
      <c r="B70">
        <v>3</v>
      </c>
      <c r="C70">
        <v>69</v>
      </c>
      <c r="D70" t="s">
        <v>146</v>
      </c>
    </row>
    <row r="71" spans="1:4" x14ac:dyDescent="0.2">
      <c r="A71">
        <v>2026</v>
      </c>
      <c r="B71">
        <v>3</v>
      </c>
      <c r="C71">
        <v>70</v>
      </c>
      <c r="D71" t="s">
        <v>143</v>
      </c>
    </row>
    <row r="72" spans="1:4" x14ac:dyDescent="0.2">
      <c r="A72">
        <v>2026</v>
      </c>
      <c r="B72">
        <v>3</v>
      </c>
      <c r="C72">
        <v>71</v>
      </c>
      <c r="D72" t="s">
        <v>134</v>
      </c>
    </row>
    <row r="73" spans="1:4" x14ac:dyDescent="0.2">
      <c r="A73">
        <v>2026</v>
      </c>
      <c r="B73">
        <v>3</v>
      </c>
      <c r="C73">
        <v>72</v>
      </c>
      <c r="D73" t="s">
        <v>137</v>
      </c>
    </row>
    <row r="74" spans="1:4" x14ac:dyDescent="0.2">
      <c r="A74">
        <v>2026</v>
      </c>
      <c r="B74">
        <v>3</v>
      </c>
      <c r="C74">
        <v>73</v>
      </c>
      <c r="D74" t="s">
        <v>142</v>
      </c>
    </row>
    <row r="75" spans="1:4" x14ac:dyDescent="0.2">
      <c r="A75">
        <v>2026</v>
      </c>
      <c r="B75">
        <v>3</v>
      </c>
      <c r="C75">
        <v>74</v>
      </c>
      <c r="D75" t="s">
        <v>140</v>
      </c>
    </row>
    <row r="76" spans="1:4" x14ac:dyDescent="0.2">
      <c r="A76">
        <v>2026</v>
      </c>
      <c r="B76">
        <v>3</v>
      </c>
      <c r="C76">
        <v>75</v>
      </c>
      <c r="D76" t="s">
        <v>130</v>
      </c>
    </row>
    <row r="77" spans="1:4" x14ac:dyDescent="0.2">
      <c r="A77">
        <v>2026</v>
      </c>
      <c r="B77">
        <v>3</v>
      </c>
      <c r="C77">
        <v>76</v>
      </c>
      <c r="D77" t="s">
        <v>149</v>
      </c>
    </row>
    <row r="78" spans="1:4" x14ac:dyDescent="0.2">
      <c r="A78">
        <v>2026</v>
      </c>
      <c r="B78">
        <v>3</v>
      </c>
      <c r="C78">
        <v>77</v>
      </c>
      <c r="D78" t="s">
        <v>136</v>
      </c>
    </row>
    <row r="79" spans="1:4" x14ac:dyDescent="0.2">
      <c r="A79">
        <v>2026</v>
      </c>
      <c r="B79">
        <v>3</v>
      </c>
      <c r="C79">
        <v>78</v>
      </c>
      <c r="D79" t="s">
        <v>132</v>
      </c>
    </row>
    <row r="80" spans="1:4" x14ac:dyDescent="0.2">
      <c r="A80">
        <v>2026</v>
      </c>
      <c r="B80">
        <v>3</v>
      </c>
      <c r="C80">
        <v>79</v>
      </c>
      <c r="D80" t="s">
        <v>131</v>
      </c>
    </row>
    <row r="81" spans="1:4" x14ac:dyDescent="0.2">
      <c r="A81">
        <v>2026</v>
      </c>
      <c r="B81">
        <v>3</v>
      </c>
      <c r="C81">
        <v>80</v>
      </c>
      <c r="D81" t="s">
        <v>141</v>
      </c>
    </row>
    <row r="82" spans="1:4" x14ac:dyDescent="0.2">
      <c r="A82">
        <v>2026</v>
      </c>
      <c r="B82">
        <v>3</v>
      </c>
      <c r="C82">
        <v>81</v>
      </c>
      <c r="D82" t="s">
        <v>153</v>
      </c>
    </row>
    <row r="83" spans="1:4" x14ac:dyDescent="0.2">
      <c r="A83">
        <v>2026</v>
      </c>
      <c r="B83">
        <v>3</v>
      </c>
      <c r="C83">
        <v>82</v>
      </c>
      <c r="D83" t="s">
        <v>152</v>
      </c>
    </row>
    <row r="84" spans="1:4" x14ac:dyDescent="0.2">
      <c r="A84">
        <v>2026</v>
      </c>
      <c r="B84">
        <v>3</v>
      </c>
      <c r="C84">
        <v>83</v>
      </c>
      <c r="D84" t="s">
        <v>147</v>
      </c>
    </row>
    <row r="85" spans="1:4" x14ac:dyDescent="0.2">
      <c r="A85">
        <v>2026</v>
      </c>
      <c r="B85">
        <v>3</v>
      </c>
      <c r="C85">
        <v>84</v>
      </c>
      <c r="D85" t="s">
        <v>158</v>
      </c>
    </row>
    <row r="86" spans="1:4" x14ac:dyDescent="0.2">
      <c r="A86">
        <v>2026</v>
      </c>
      <c r="B86">
        <v>3</v>
      </c>
      <c r="C86">
        <v>85</v>
      </c>
      <c r="D86" t="s">
        <v>155</v>
      </c>
    </row>
    <row r="87" spans="1:4" x14ac:dyDescent="0.2">
      <c r="A87">
        <v>2026</v>
      </c>
      <c r="B87">
        <v>3</v>
      </c>
      <c r="C87">
        <v>86</v>
      </c>
      <c r="D87" t="s">
        <v>138</v>
      </c>
    </row>
    <row r="88" spans="1:4" x14ac:dyDescent="0.2">
      <c r="A88">
        <v>2026</v>
      </c>
      <c r="B88">
        <v>3</v>
      </c>
      <c r="C88">
        <v>87</v>
      </c>
      <c r="D88" t="s">
        <v>22</v>
      </c>
    </row>
    <row r="89" spans="1:4" x14ac:dyDescent="0.2">
      <c r="A89">
        <v>2026</v>
      </c>
      <c r="B89">
        <v>3</v>
      </c>
      <c r="C89">
        <v>88</v>
      </c>
      <c r="D89" t="s">
        <v>139</v>
      </c>
    </row>
    <row r="90" spans="1:4" x14ac:dyDescent="0.2">
      <c r="A90">
        <v>2026</v>
      </c>
      <c r="B90">
        <v>3</v>
      </c>
      <c r="C90">
        <v>89</v>
      </c>
      <c r="D90" t="s">
        <v>129</v>
      </c>
    </row>
    <row r="91" spans="1:4" x14ac:dyDescent="0.2">
      <c r="A91">
        <v>2026</v>
      </c>
      <c r="B91">
        <v>3</v>
      </c>
      <c r="C91">
        <v>90</v>
      </c>
      <c r="D91" t="s">
        <v>154</v>
      </c>
    </row>
    <row r="92" spans="1:4" x14ac:dyDescent="0.2">
      <c r="A92">
        <v>2026</v>
      </c>
      <c r="B92">
        <v>3</v>
      </c>
      <c r="C92">
        <v>91</v>
      </c>
      <c r="D92" t="s">
        <v>25</v>
      </c>
    </row>
    <row r="93" spans="1:4" x14ac:dyDescent="0.2">
      <c r="A93">
        <v>2026</v>
      </c>
      <c r="B93">
        <v>3</v>
      </c>
      <c r="C93">
        <v>92</v>
      </c>
      <c r="D93" t="s">
        <v>145</v>
      </c>
    </row>
    <row r="94" spans="1:4" x14ac:dyDescent="0.2">
      <c r="A94">
        <v>2026</v>
      </c>
      <c r="B94">
        <v>3</v>
      </c>
      <c r="C94">
        <v>93</v>
      </c>
      <c r="D94" t="s">
        <v>135</v>
      </c>
    </row>
    <row r="95" spans="1:4" x14ac:dyDescent="0.2">
      <c r="A95">
        <v>2026</v>
      </c>
      <c r="B95">
        <v>3</v>
      </c>
      <c r="C95">
        <v>94</v>
      </c>
      <c r="D95" t="s">
        <v>156</v>
      </c>
    </row>
    <row r="96" spans="1:4" x14ac:dyDescent="0.2">
      <c r="A96">
        <v>2026</v>
      </c>
      <c r="B96">
        <v>3</v>
      </c>
      <c r="C96">
        <v>95</v>
      </c>
      <c r="D96" t="s">
        <v>151</v>
      </c>
    </row>
    <row r="97" spans="1:4" x14ac:dyDescent="0.2">
      <c r="A97">
        <v>2026</v>
      </c>
      <c r="B97">
        <v>3</v>
      </c>
      <c r="C97">
        <v>96</v>
      </c>
      <c r="D97" t="s">
        <v>133</v>
      </c>
    </row>
    <row r="98" spans="1:4" x14ac:dyDescent="0.2">
      <c r="A98">
        <v>2026</v>
      </c>
      <c r="B98">
        <v>4</v>
      </c>
      <c r="C98">
        <v>97</v>
      </c>
      <c r="D98" t="s">
        <v>144</v>
      </c>
    </row>
    <row r="99" spans="1:4" x14ac:dyDescent="0.2">
      <c r="A99">
        <v>2026</v>
      </c>
      <c r="B99">
        <v>4</v>
      </c>
      <c r="C99">
        <v>98</v>
      </c>
      <c r="D99" t="s">
        <v>148</v>
      </c>
    </row>
    <row r="100" spans="1:4" x14ac:dyDescent="0.2">
      <c r="A100">
        <v>2026</v>
      </c>
      <c r="B100">
        <v>4</v>
      </c>
      <c r="C100">
        <v>99</v>
      </c>
      <c r="D100" t="s">
        <v>157</v>
      </c>
    </row>
    <row r="101" spans="1:4" x14ac:dyDescent="0.2">
      <c r="A101">
        <v>2026</v>
      </c>
      <c r="B101">
        <v>4</v>
      </c>
      <c r="C101">
        <v>100</v>
      </c>
      <c r="D101" t="s">
        <v>150</v>
      </c>
    </row>
    <row r="102" spans="1:4" x14ac:dyDescent="0.2">
      <c r="A102">
        <v>2026</v>
      </c>
      <c r="B102">
        <v>4</v>
      </c>
      <c r="C102">
        <v>101</v>
      </c>
      <c r="D102" t="s">
        <v>146</v>
      </c>
    </row>
    <row r="103" spans="1:4" x14ac:dyDescent="0.2">
      <c r="A103">
        <v>2026</v>
      </c>
      <c r="B103">
        <v>4</v>
      </c>
      <c r="C103">
        <v>102</v>
      </c>
      <c r="D103" t="s">
        <v>143</v>
      </c>
    </row>
    <row r="104" spans="1:4" x14ac:dyDescent="0.2">
      <c r="A104">
        <v>2026</v>
      </c>
      <c r="B104">
        <v>4</v>
      </c>
      <c r="C104">
        <v>103</v>
      </c>
      <c r="D104" t="s">
        <v>134</v>
      </c>
    </row>
    <row r="105" spans="1:4" x14ac:dyDescent="0.2">
      <c r="A105">
        <v>2026</v>
      </c>
      <c r="B105">
        <v>4</v>
      </c>
      <c r="C105">
        <v>104</v>
      </c>
      <c r="D105" t="s">
        <v>137</v>
      </c>
    </row>
    <row r="106" spans="1:4" x14ac:dyDescent="0.2">
      <c r="A106">
        <v>2026</v>
      </c>
      <c r="B106">
        <v>4</v>
      </c>
      <c r="C106">
        <v>105</v>
      </c>
      <c r="D106" t="s">
        <v>142</v>
      </c>
    </row>
    <row r="107" spans="1:4" x14ac:dyDescent="0.2">
      <c r="A107">
        <v>2026</v>
      </c>
      <c r="B107">
        <v>4</v>
      </c>
      <c r="C107">
        <v>106</v>
      </c>
      <c r="D107" t="s">
        <v>140</v>
      </c>
    </row>
    <row r="108" spans="1:4" x14ac:dyDescent="0.2">
      <c r="A108">
        <v>2026</v>
      </c>
      <c r="B108">
        <v>4</v>
      </c>
      <c r="C108">
        <v>107</v>
      </c>
      <c r="D108" t="s">
        <v>130</v>
      </c>
    </row>
    <row r="109" spans="1:4" x14ac:dyDescent="0.2">
      <c r="A109">
        <v>2026</v>
      </c>
      <c r="B109">
        <v>4</v>
      </c>
      <c r="C109">
        <v>108</v>
      </c>
      <c r="D109" t="s">
        <v>149</v>
      </c>
    </row>
    <row r="110" spans="1:4" x14ac:dyDescent="0.2">
      <c r="A110">
        <v>2026</v>
      </c>
      <c r="B110">
        <v>4</v>
      </c>
      <c r="C110">
        <v>109</v>
      </c>
      <c r="D110" t="s">
        <v>136</v>
      </c>
    </row>
    <row r="111" spans="1:4" x14ac:dyDescent="0.2">
      <c r="A111">
        <v>2026</v>
      </c>
      <c r="B111">
        <v>4</v>
      </c>
      <c r="C111">
        <v>110</v>
      </c>
      <c r="D111" t="s">
        <v>132</v>
      </c>
    </row>
    <row r="112" spans="1:4" x14ac:dyDescent="0.2">
      <c r="A112">
        <v>2026</v>
      </c>
      <c r="B112">
        <v>4</v>
      </c>
      <c r="C112">
        <v>111</v>
      </c>
      <c r="D112" t="s">
        <v>131</v>
      </c>
    </row>
    <row r="113" spans="1:4" x14ac:dyDescent="0.2">
      <c r="A113">
        <v>2026</v>
      </c>
      <c r="B113">
        <v>4</v>
      </c>
      <c r="C113">
        <v>112</v>
      </c>
      <c r="D113" t="s">
        <v>141</v>
      </c>
    </row>
    <row r="114" spans="1:4" x14ac:dyDescent="0.2">
      <c r="A114">
        <v>2026</v>
      </c>
      <c r="B114">
        <v>4</v>
      </c>
      <c r="C114">
        <v>113</v>
      </c>
      <c r="D114" t="s">
        <v>153</v>
      </c>
    </row>
    <row r="115" spans="1:4" x14ac:dyDescent="0.2">
      <c r="A115">
        <v>2026</v>
      </c>
      <c r="B115">
        <v>4</v>
      </c>
      <c r="C115">
        <v>114</v>
      </c>
      <c r="D115" t="s">
        <v>152</v>
      </c>
    </row>
    <row r="116" spans="1:4" x14ac:dyDescent="0.2">
      <c r="A116">
        <v>2026</v>
      </c>
      <c r="B116">
        <v>4</v>
      </c>
      <c r="C116">
        <v>115</v>
      </c>
      <c r="D116" t="s">
        <v>147</v>
      </c>
    </row>
    <row r="117" spans="1:4" x14ac:dyDescent="0.2">
      <c r="A117">
        <v>2026</v>
      </c>
      <c r="B117">
        <v>4</v>
      </c>
      <c r="C117">
        <v>116</v>
      </c>
      <c r="D117" t="s">
        <v>158</v>
      </c>
    </row>
    <row r="118" spans="1:4" x14ac:dyDescent="0.2">
      <c r="A118">
        <v>2026</v>
      </c>
      <c r="B118">
        <v>4</v>
      </c>
      <c r="C118">
        <v>117</v>
      </c>
      <c r="D118" t="s">
        <v>155</v>
      </c>
    </row>
    <row r="119" spans="1:4" x14ac:dyDescent="0.2">
      <c r="A119">
        <v>2026</v>
      </c>
      <c r="B119">
        <v>4</v>
      </c>
      <c r="C119">
        <v>118</v>
      </c>
      <c r="D119" t="s">
        <v>138</v>
      </c>
    </row>
    <row r="120" spans="1:4" x14ac:dyDescent="0.2">
      <c r="A120">
        <v>2026</v>
      </c>
      <c r="B120">
        <v>4</v>
      </c>
      <c r="C120">
        <v>119</v>
      </c>
      <c r="D120" t="s">
        <v>22</v>
      </c>
    </row>
    <row r="121" spans="1:4" x14ac:dyDescent="0.2">
      <c r="A121">
        <v>2026</v>
      </c>
      <c r="B121">
        <v>4</v>
      </c>
      <c r="C121">
        <v>120</v>
      </c>
      <c r="D121" t="s">
        <v>139</v>
      </c>
    </row>
    <row r="122" spans="1:4" x14ac:dyDescent="0.2">
      <c r="A122">
        <v>2026</v>
      </c>
      <c r="B122">
        <v>4</v>
      </c>
      <c r="C122">
        <v>121</v>
      </c>
      <c r="D122" t="s">
        <v>129</v>
      </c>
    </row>
    <row r="123" spans="1:4" x14ac:dyDescent="0.2">
      <c r="A123">
        <v>2026</v>
      </c>
      <c r="B123">
        <v>4</v>
      </c>
      <c r="C123">
        <v>122</v>
      </c>
      <c r="D123" t="s">
        <v>154</v>
      </c>
    </row>
    <row r="124" spans="1:4" x14ac:dyDescent="0.2">
      <c r="A124">
        <v>2026</v>
      </c>
      <c r="B124">
        <v>4</v>
      </c>
      <c r="C124">
        <v>123</v>
      </c>
      <c r="D124" t="s">
        <v>25</v>
      </c>
    </row>
    <row r="125" spans="1:4" x14ac:dyDescent="0.2">
      <c r="A125">
        <v>2026</v>
      </c>
      <c r="B125">
        <v>4</v>
      </c>
      <c r="C125">
        <v>124</v>
      </c>
      <c r="D125" t="s">
        <v>145</v>
      </c>
    </row>
    <row r="126" spans="1:4" x14ac:dyDescent="0.2">
      <c r="A126">
        <v>2026</v>
      </c>
      <c r="B126">
        <v>4</v>
      </c>
      <c r="C126">
        <v>125</v>
      </c>
      <c r="D126" t="s">
        <v>135</v>
      </c>
    </row>
    <row r="127" spans="1:4" x14ac:dyDescent="0.2">
      <c r="A127">
        <v>2026</v>
      </c>
      <c r="B127">
        <v>4</v>
      </c>
      <c r="C127">
        <v>126</v>
      </c>
      <c r="D127" t="s">
        <v>156</v>
      </c>
    </row>
    <row r="128" spans="1:4" x14ac:dyDescent="0.2">
      <c r="A128">
        <v>2026</v>
      </c>
      <c r="B128">
        <v>4</v>
      </c>
      <c r="C128">
        <v>127</v>
      </c>
      <c r="D128" t="s">
        <v>151</v>
      </c>
    </row>
    <row r="129" spans="1:4" x14ac:dyDescent="0.2">
      <c r="A129">
        <v>2026</v>
      </c>
      <c r="B129">
        <v>4</v>
      </c>
      <c r="C129">
        <v>128</v>
      </c>
      <c r="D129" t="s">
        <v>133</v>
      </c>
    </row>
    <row r="130" spans="1:4" x14ac:dyDescent="0.2">
      <c r="A130">
        <v>2026</v>
      </c>
      <c r="B130">
        <v>5</v>
      </c>
      <c r="C130">
        <v>129</v>
      </c>
      <c r="D130" t="s">
        <v>144</v>
      </c>
    </row>
    <row r="131" spans="1:4" x14ac:dyDescent="0.2">
      <c r="A131">
        <v>2026</v>
      </c>
      <c r="B131">
        <v>5</v>
      </c>
      <c r="C131">
        <v>130</v>
      </c>
      <c r="D131" t="s">
        <v>148</v>
      </c>
    </row>
    <row r="132" spans="1:4" x14ac:dyDescent="0.2">
      <c r="A132">
        <v>2026</v>
      </c>
      <c r="B132">
        <v>5</v>
      </c>
      <c r="C132">
        <v>131</v>
      </c>
      <c r="D132" t="s">
        <v>157</v>
      </c>
    </row>
    <row r="133" spans="1:4" x14ac:dyDescent="0.2">
      <c r="A133">
        <v>2026</v>
      </c>
      <c r="B133">
        <v>5</v>
      </c>
      <c r="C133">
        <v>132</v>
      </c>
      <c r="D133" t="s">
        <v>150</v>
      </c>
    </row>
    <row r="134" spans="1:4" x14ac:dyDescent="0.2">
      <c r="A134">
        <v>2026</v>
      </c>
      <c r="B134">
        <v>5</v>
      </c>
      <c r="C134">
        <v>133</v>
      </c>
      <c r="D134" t="s">
        <v>146</v>
      </c>
    </row>
    <row r="135" spans="1:4" x14ac:dyDescent="0.2">
      <c r="A135">
        <v>2026</v>
      </c>
      <c r="B135">
        <v>5</v>
      </c>
      <c r="C135">
        <v>134</v>
      </c>
      <c r="D135" t="s">
        <v>143</v>
      </c>
    </row>
    <row r="136" spans="1:4" x14ac:dyDescent="0.2">
      <c r="A136">
        <v>2026</v>
      </c>
      <c r="B136">
        <v>5</v>
      </c>
      <c r="C136">
        <v>135</v>
      </c>
      <c r="D136" t="s">
        <v>134</v>
      </c>
    </row>
    <row r="137" spans="1:4" x14ac:dyDescent="0.2">
      <c r="A137">
        <v>2026</v>
      </c>
      <c r="B137">
        <v>5</v>
      </c>
      <c r="C137">
        <v>136</v>
      </c>
      <c r="D137" t="s">
        <v>137</v>
      </c>
    </row>
    <row r="138" spans="1:4" x14ac:dyDescent="0.2">
      <c r="A138">
        <v>2026</v>
      </c>
      <c r="B138">
        <v>5</v>
      </c>
      <c r="C138">
        <v>137</v>
      </c>
      <c r="D138" t="s">
        <v>142</v>
      </c>
    </row>
    <row r="139" spans="1:4" x14ac:dyDescent="0.2">
      <c r="A139">
        <v>2026</v>
      </c>
      <c r="B139">
        <v>5</v>
      </c>
      <c r="C139">
        <v>138</v>
      </c>
      <c r="D139" t="s">
        <v>140</v>
      </c>
    </row>
    <row r="140" spans="1:4" x14ac:dyDescent="0.2">
      <c r="A140">
        <v>2026</v>
      </c>
      <c r="B140">
        <v>5</v>
      </c>
      <c r="C140">
        <v>139</v>
      </c>
      <c r="D140" t="s">
        <v>130</v>
      </c>
    </row>
    <row r="141" spans="1:4" x14ac:dyDescent="0.2">
      <c r="A141">
        <v>2026</v>
      </c>
      <c r="B141">
        <v>5</v>
      </c>
      <c r="C141">
        <v>140</v>
      </c>
      <c r="D141" t="s">
        <v>149</v>
      </c>
    </row>
    <row r="142" spans="1:4" x14ac:dyDescent="0.2">
      <c r="A142">
        <v>2026</v>
      </c>
      <c r="B142">
        <v>5</v>
      </c>
      <c r="C142">
        <v>141</v>
      </c>
      <c r="D142" t="s">
        <v>136</v>
      </c>
    </row>
    <row r="143" spans="1:4" x14ac:dyDescent="0.2">
      <c r="A143">
        <v>2026</v>
      </c>
      <c r="B143">
        <v>5</v>
      </c>
      <c r="C143">
        <v>142</v>
      </c>
      <c r="D143" t="s">
        <v>132</v>
      </c>
    </row>
    <row r="144" spans="1:4" x14ac:dyDescent="0.2">
      <c r="A144">
        <v>2026</v>
      </c>
      <c r="B144">
        <v>5</v>
      </c>
      <c r="C144">
        <v>143</v>
      </c>
      <c r="D144" t="s">
        <v>131</v>
      </c>
    </row>
    <row r="145" spans="1:4" x14ac:dyDescent="0.2">
      <c r="A145">
        <v>2026</v>
      </c>
      <c r="B145">
        <v>5</v>
      </c>
      <c r="C145">
        <v>144</v>
      </c>
      <c r="D145" t="s">
        <v>141</v>
      </c>
    </row>
    <row r="146" spans="1:4" x14ac:dyDescent="0.2">
      <c r="A146">
        <v>2026</v>
      </c>
      <c r="B146">
        <v>5</v>
      </c>
      <c r="C146">
        <v>145</v>
      </c>
      <c r="D146" t="s">
        <v>153</v>
      </c>
    </row>
    <row r="147" spans="1:4" x14ac:dyDescent="0.2">
      <c r="A147">
        <v>2026</v>
      </c>
      <c r="B147">
        <v>5</v>
      </c>
      <c r="C147">
        <v>146</v>
      </c>
      <c r="D147" t="s">
        <v>152</v>
      </c>
    </row>
    <row r="148" spans="1:4" x14ac:dyDescent="0.2">
      <c r="A148">
        <v>2026</v>
      </c>
      <c r="B148">
        <v>5</v>
      </c>
      <c r="C148">
        <v>147</v>
      </c>
      <c r="D148" t="s">
        <v>147</v>
      </c>
    </row>
    <row r="149" spans="1:4" x14ac:dyDescent="0.2">
      <c r="A149">
        <v>2026</v>
      </c>
      <c r="B149">
        <v>5</v>
      </c>
      <c r="C149">
        <v>148</v>
      </c>
      <c r="D149" t="s">
        <v>158</v>
      </c>
    </row>
    <row r="150" spans="1:4" x14ac:dyDescent="0.2">
      <c r="A150">
        <v>2026</v>
      </c>
      <c r="B150">
        <v>5</v>
      </c>
      <c r="C150">
        <v>149</v>
      </c>
      <c r="D150" t="s">
        <v>155</v>
      </c>
    </row>
    <row r="151" spans="1:4" x14ac:dyDescent="0.2">
      <c r="A151">
        <v>2026</v>
      </c>
      <c r="B151">
        <v>5</v>
      </c>
      <c r="C151">
        <v>150</v>
      </c>
      <c r="D151" t="s">
        <v>138</v>
      </c>
    </row>
    <row r="152" spans="1:4" x14ac:dyDescent="0.2">
      <c r="A152">
        <v>2026</v>
      </c>
      <c r="B152">
        <v>5</v>
      </c>
      <c r="C152">
        <v>151</v>
      </c>
      <c r="D152" t="s">
        <v>22</v>
      </c>
    </row>
    <row r="153" spans="1:4" x14ac:dyDescent="0.2">
      <c r="A153">
        <v>2026</v>
      </c>
      <c r="B153">
        <v>5</v>
      </c>
      <c r="C153">
        <v>152</v>
      </c>
      <c r="D153" t="s">
        <v>139</v>
      </c>
    </row>
    <row r="154" spans="1:4" x14ac:dyDescent="0.2">
      <c r="A154">
        <v>2026</v>
      </c>
      <c r="B154">
        <v>5</v>
      </c>
      <c r="C154">
        <v>153</v>
      </c>
      <c r="D154" t="s">
        <v>129</v>
      </c>
    </row>
    <row r="155" spans="1:4" x14ac:dyDescent="0.2">
      <c r="A155">
        <v>2026</v>
      </c>
      <c r="B155">
        <v>5</v>
      </c>
      <c r="C155">
        <v>154</v>
      </c>
      <c r="D155" t="s">
        <v>154</v>
      </c>
    </row>
    <row r="156" spans="1:4" x14ac:dyDescent="0.2">
      <c r="A156">
        <v>2026</v>
      </c>
      <c r="B156">
        <v>5</v>
      </c>
      <c r="C156">
        <v>155</v>
      </c>
      <c r="D156" t="s">
        <v>25</v>
      </c>
    </row>
    <row r="157" spans="1:4" x14ac:dyDescent="0.2">
      <c r="A157">
        <v>2026</v>
      </c>
      <c r="B157">
        <v>5</v>
      </c>
      <c r="C157">
        <v>156</v>
      </c>
      <c r="D157" t="s">
        <v>145</v>
      </c>
    </row>
    <row r="158" spans="1:4" x14ac:dyDescent="0.2">
      <c r="A158">
        <v>2026</v>
      </c>
      <c r="B158">
        <v>5</v>
      </c>
      <c r="C158">
        <v>157</v>
      </c>
      <c r="D158" t="s">
        <v>135</v>
      </c>
    </row>
    <row r="159" spans="1:4" x14ac:dyDescent="0.2">
      <c r="A159">
        <v>2026</v>
      </c>
      <c r="B159">
        <v>5</v>
      </c>
      <c r="C159">
        <v>158</v>
      </c>
      <c r="D159" t="s">
        <v>156</v>
      </c>
    </row>
    <row r="160" spans="1:4" x14ac:dyDescent="0.2">
      <c r="A160">
        <v>2026</v>
      </c>
      <c r="B160">
        <v>5</v>
      </c>
      <c r="C160">
        <v>159</v>
      </c>
      <c r="D160" t="s">
        <v>151</v>
      </c>
    </row>
    <row r="161" spans="1:4" x14ac:dyDescent="0.2">
      <c r="A161">
        <v>2026</v>
      </c>
      <c r="B161">
        <v>5</v>
      </c>
      <c r="C161">
        <v>160</v>
      </c>
      <c r="D161" t="s">
        <v>133</v>
      </c>
    </row>
    <row r="162" spans="1:4" x14ac:dyDescent="0.2">
      <c r="A162">
        <v>2026</v>
      </c>
      <c r="B162">
        <v>6</v>
      </c>
      <c r="C162">
        <v>161</v>
      </c>
      <c r="D162" t="s">
        <v>144</v>
      </c>
    </row>
    <row r="163" spans="1:4" x14ac:dyDescent="0.2">
      <c r="A163">
        <v>2026</v>
      </c>
      <c r="B163">
        <v>6</v>
      </c>
      <c r="C163">
        <v>162</v>
      </c>
      <c r="D163" t="s">
        <v>148</v>
      </c>
    </row>
    <row r="164" spans="1:4" x14ac:dyDescent="0.2">
      <c r="A164">
        <v>2026</v>
      </c>
      <c r="B164">
        <v>6</v>
      </c>
      <c r="C164">
        <v>163</v>
      </c>
      <c r="D164" t="s">
        <v>157</v>
      </c>
    </row>
    <row r="165" spans="1:4" x14ac:dyDescent="0.2">
      <c r="A165">
        <v>2026</v>
      </c>
      <c r="B165">
        <v>6</v>
      </c>
      <c r="C165">
        <v>164</v>
      </c>
      <c r="D165" t="s">
        <v>150</v>
      </c>
    </row>
    <row r="166" spans="1:4" x14ac:dyDescent="0.2">
      <c r="A166">
        <v>2026</v>
      </c>
      <c r="B166">
        <v>6</v>
      </c>
      <c r="C166">
        <v>165</v>
      </c>
      <c r="D166" t="s">
        <v>146</v>
      </c>
    </row>
    <row r="167" spans="1:4" x14ac:dyDescent="0.2">
      <c r="A167">
        <v>2026</v>
      </c>
      <c r="B167">
        <v>6</v>
      </c>
      <c r="C167">
        <v>166</v>
      </c>
      <c r="D167" t="s">
        <v>143</v>
      </c>
    </row>
    <row r="168" spans="1:4" x14ac:dyDescent="0.2">
      <c r="A168">
        <v>2026</v>
      </c>
      <c r="B168">
        <v>6</v>
      </c>
      <c r="C168">
        <v>167</v>
      </c>
      <c r="D168" t="s">
        <v>134</v>
      </c>
    </row>
    <row r="169" spans="1:4" x14ac:dyDescent="0.2">
      <c r="A169">
        <v>2026</v>
      </c>
      <c r="B169">
        <v>6</v>
      </c>
      <c r="C169">
        <v>168</v>
      </c>
      <c r="D169" t="s">
        <v>137</v>
      </c>
    </row>
    <row r="170" spans="1:4" x14ac:dyDescent="0.2">
      <c r="A170">
        <v>2026</v>
      </c>
      <c r="B170">
        <v>6</v>
      </c>
      <c r="C170">
        <v>169</v>
      </c>
      <c r="D170" t="s">
        <v>142</v>
      </c>
    </row>
    <row r="171" spans="1:4" x14ac:dyDescent="0.2">
      <c r="A171">
        <v>2026</v>
      </c>
      <c r="B171">
        <v>6</v>
      </c>
      <c r="C171">
        <v>170</v>
      </c>
      <c r="D171" t="s">
        <v>140</v>
      </c>
    </row>
    <row r="172" spans="1:4" x14ac:dyDescent="0.2">
      <c r="A172">
        <v>2026</v>
      </c>
      <c r="B172">
        <v>6</v>
      </c>
      <c r="C172">
        <v>171</v>
      </c>
      <c r="D172" t="s">
        <v>130</v>
      </c>
    </row>
    <row r="173" spans="1:4" x14ac:dyDescent="0.2">
      <c r="A173">
        <v>2026</v>
      </c>
      <c r="B173">
        <v>6</v>
      </c>
      <c r="C173">
        <v>172</v>
      </c>
      <c r="D173" t="s">
        <v>149</v>
      </c>
    </row>
    <row r="174" spans="1:4" x14ac:dyDescent="0.2">
      <c r="A174">
        <v>2026</v>
      </c>
      <c r="B174">
        <v>6</v>
      </c>
      <c r="C174">
        <v>173</v>
      </c>
      <c r="D174" t="s">
        <v>136</v>
      </c>
    </row>
    <row r="175" spans="1:4" x14ac:dyDescent="0.2">
      <c r="A175">
        <v>2026</v>
      </c>
      <c r="B175">
        <v>6</v>
      </c>
      <c r="C175">
        <v>174</v>
      </c>
      <c r="D175" t="s">
        <v>132</v>
      </c>
    </row>
    <row r="176" spans="1:4" x14ac:dyDescent="0.2">
      <c r="A176">
        <v>2026</v>
      </c>
      <c r="B176">
        <v>6</v>
      </c>
      <c r="C176">
        <v>175</v>
      </c>
      <c r="D176" t="s">
        <v>131</v>
      </c>
    </row>
    <row r="177" spans="1:4" x14ac:dyDescent="0.2">
      <c r="A177">
        <v>2026</v>
      </c>
      <c r="B177">
        <v>6</v>
      </c>
      <c r="C177">
        <v>176</v>
      </c>
      <c r="D177" t="s">
        <v>141</v>
      </c>
    </row>
    <row r="178" spans="1:4" x14ac:dyDescent="0.2">
      <c r="A178">
        <v>2026</v>
      </c>
      <c r="B178">
        <v>6</v>
      </c>
      <c r="C178">
        <v>177</v>
      </c>
      <c r="D178" t="s">
        <v>153</v>
      </c>
    </row>
    <row r="179" spans="1:4" x14ac:dyDescent="0.2">
      <c r="A179">
        <v>2026</v>
      </c>
      <c r="B179">
        <v>6</v>
      </c>
      <c r="C179">
        <v>178</v>
      </c>
      <c r="D179" t="s">
        <v>152</v>
      </c>
    </row>
    <row r="180" spans="1:4" x14ac:dyDescent="0.2">
      <c r="A180">
        <v>2026</v>
      </c>
      <c r="B180">
        <v>6</v>
      </c>
      <c r="C180">
        <v>179</v>
      </c>
      <c r="D180" t="s">
        <v>147</v>
      </c>
    </row>
    <row r="181" spans="1:4" x14ac:dyDescent="0.2">
      <c r="A181">
        <v>2026</v>
      </c>
      <c r="B181">
        <v>6</v>
      </c>
      <c r="C181">
        <v>180</v>
      </c>
      <c r="D181" t="s">
        <v>158</v>
      </c>
    </row>
    <row r="182" spans="1:4" x14ac:dyDescent="0.2">
      <c r="A182">
        <v>2026</v>
      </c>
      <c r="B182">
        <v>6</v>
      </c>
      <c r="C182">
        <v>181</v>
      </c>
      <c r="D182" t="s">
        <v>155</v>
      </c>
    </row>
    <row r="183" spans="1:4" x14ac:dyDescent="0.2">
      <c r="A183">
        <v>2026</v>
      </c>
      <c r="B183">
        <v>6</v>
      </c>
      <c r="C183">
        <v>182</v>
      </c>
      <c r="D183" t="s">
        <v>138</v>
      </c>
    </row>
    <row r="184" spans="1:4" x14ac:dyDescent="0.2">
      <c r="A184">
        <v>2026</v>
      </c>
      <c r="B184">
        <v>6</v>
      </c>
      <c r="C184">
        <v>183</v>
      </c>
      <c r="D184" t="s">
        <v>22</v>
      </c>
    </row>
    <row r="185" spans="1:4" x14ac:dyDescent="0.2">
      <c r="A185">
        <v>2026</v>
      </c>
      <c r="B185">
        <v>6</v>
      </c>
      <c r="C185">
        <v>184</v>
      </c>
      <c r="D185" t="s">
        <v>139</v>
      </c>
    </row>
    <row r="186" spans="1:4" x14ac:dyDescent="0.2">
      <c r="A186">
        <v>2026</v>
      </c>
      <c r="B186">
        <v>6</v>
      </c>
      <c r="C186">
        <v>185</v>
      </c>
      <c r="D186" t="s">
        <v>129</v>
      </c>
    </row>
    <row r="187" spans="1:4" x14ac:dyDescent="0.2">
      <c r="A187">
        <v>2026</v>
      </c>
      <c r="B187">
        <v>6</v>
      </c>
      <c r="C187">
        <v>186</v>
      </c>
      <c r="D187" t="s">
        <v>154</v>
      </c>
    </row>
    <row r="188" spans="1:4" x14ac:dyDescent="0.2">
      <c r="A188">
        <v>2026</v>
      </c>
      <c r="B188">
        <v>6</v>
      </c>
      <c r="C188">
        <v>187</v>
      </c>
      <c r="D188" t="s">
        <v>25</v>
      </c>
    </row>
    <row r="189" spans="1:4" x14ac:dyDescent="0.2">
      <c r="A189">
        <v>2026</v>
      </c>
      <c r="B189">
        <v>6</v>
      </c>
      <c r="C189">
        <v>188</v>
      </c>
      <c r="D189" t="s">
        <v>145</v>
      </c>
    </row>
    <row r="190" spans="1:4" x14ac:dyDescent="0.2">
      <c r="A190">
        <v>2026</v>
      </c>
      <c r="B190">
        <v>6</v>
      </c>
      <c r="C190">
        <v>189</v>
      </c>
      <c r="D190" t="s">
        <v>135</v>
      </c>
    </row>
    <row r="191" spans="1:4" x14ac:dyDescent="0.2">
      <c r="A191">
        <v>2026</v>
      </c>
      <c r="B191">
        <v>6</v>
      </c>
      <c r="C191">
        <v>190</v>
      </c>
      <c r="D191" t="s">
        <v>156</v>
      </c>
    </row>
    <row r="192" spans="1:4" x14ac:dyDescent="0.2">
      <c r="A192">
        <v>2026</v>
      </c>
      <c r="B192">
        <v>6</v>
      </c>
      <c r="C192">
        <v>191</v>
      </c>
      <c r="D192" t="s">
        <v>151</v>
      </c>
    </row>
    <row r="193" spans="1:4" x14ac:dyDescent="0.2">
      <c r="A193">
        <v>2026</v>
      </c>
      <c r="B193">
        <v>6</v>
      </c>
      <c r="C193">
        <v>192</v>
      </c>
      <c r="D193" t="s">
        <v>133</v>
      </c>
    </row>
    <row r="194" spans="1:4" x14ac:dyDescent="0.2">
      <c r="A194">
        <v>2026</v>
      </c>
      <c r="B194">
        <v>7</v>
      </c>
      <c r="C194">
        <v>193</v>
      </c>
      <c r="D194" t="s">
        <v>144</v>
      </c>
    </row>
    <row r="195" spans="1:4" x14ac:dyDescent="0.2">
      <c r="A195">
        <v>2026</v>
      </c>
      <c r="B195">
        <v>7</v>
      </c>
      <c r="C195">
        <v>194</v>
      </c>
      <c r="D195" t="s">
        <v>148</v>
      </c>
    </row>
    <row r="196" spans="1:4" x14ac:dyDescent="0.2">
      <c r="A196">
        <v>2026</v>
      </c>
      <c r="B196">
        <v>7</v>
      </c>
      <c r="C196">
        <v>195</v>
      </c>
      <c r="D196" t="s">
        <v>157</v>
      </c>
    </row>
    <row r="197" spans="1:4" x14ac:dyDescent="0.2">
      <c r="A197">
        <v>2026</v>
      </c>
      <c r="B197">
        <v>7</v>
      </c>
      <c r="C197">
        <v>196</v>
      </c>
      <c r="D197" t="s">
        <v>150</v>
      </c>
    </row>
    <row r="198" spans="1:4" x14ac:dyDescent="0.2">
      <c r="A198">
        <v>2026</v>
      </c>
      <c r="B198">
        <v>7</v>
      </c>
      <c r="C198">
        <v>197</v>
      </c>
      <c r="D198" t="s">
        <v>146</v>
      </c>
    </row>
    <row r="199" spans="1:4" x14ac:dyDescent="0.2">
      <c r="A199">
        <v>2026</v>
      </c>
      <c r="B199">
        <v>7</v>
      </c>
      <c r="C199">
        <v>198</v>
      </c>
      <c r="D199" t="s">
        <v>143</v>
      </c>
    </row>
    <row r="200" spans="1:4" x14ac:dyDescent="0.2">
      <c r="A200">
        <v>2026</v>
      </c>
      <c r="B200">
        <v>7</v>
      </c>
      <c r="C200">
        <v>199</v>
      </c>
      <c r="D200" t="s">
        <v>134</v>
      </c>
    </row>
    <row r="201" spans="1:4" x14ac:dyDescent="0.2">
      <c r="A201">
        <v>2026</v>
      </c>
      <c r="B201">
        <v>7</v>
      </c>
      <c r="C201">
        <v>200</v>
      </c>
      <c r="D201" t="s">
        <v>137</v>
      </c>
    </row>
    <row r="202" spans="1:4" x14ac:dyDescent="0.2">
      <c r="A202">
        <v>2026</v>
      </c>
      <c r="B202">
        <v>7</v>
      </c>
      <c r="C202">
        <v>201</v>
      </c>
      <c r="D202" t="s">
        <v>142</v>
      </c>
    </row>
    <row r="203" spans="1:4" x14ac:dyDescent="0.2">
      <c r="A203">
        <v>2026</v>
      </c>
      <c r="B203">
        <v>7</v>
      </c>
      <c r="C203">
        <v>202</v>
      </c>
      <c r="D203" t="s">
        <v>140</v>
      </c>
    </row>
    <row r="204" spans="1:4" x14ac:dyDescent="0.2">
      <c r="A204">
        <v>2026</v>
      </c>
      <c r="B204">
        <v>7</v>
      </c>
      <c r="C204">
        <v>203</v>
      </c>
      <c r="D204" t="s">
        <v>130</v>
      </c>
    </row>
    <row r="205" spans="1:4" x14ac:dyDescent="0.2">
      <c r="A205">
        <v>2026</v>
      </c>
      <c r="B205">
        <v>7</v>
      </c>
      <c r="C205">
        <v>204</v>
      </c>
      <c r="D205" t="s">
        <v>149</v>
      </c>
    </row>
    <row r="206" spans="1:4" x14ac:dyDescent="0.2">
      <c r="A206">
        <v>2026</v>
      </c>
      <c r="B206">
        <v>7</v>
      </c>
      <c r="C206">
        <v>205</v>
      </c>
      <c r="D206" t="s">
        <v>136</v>
      </c>
    </row>
    <row r="207" spans="1:4" x14ac:dyDescent="0.2">
      <c r="A207">
        <v>2026</v>
      </c>
      <c r="B207">
        <v>7</v>
      </c>
      <c r="C207">
        <v>206</v>
      </c>
      <c r="D207" t="s">
        <v>132</v>
      </c>
    </row>
    <row r="208" spans="1:4" x14ac:dyDescent="0.2">
      <c r="A208">
        <v>2026</v>
      </c>
      <c r="B208">
        <v>7</v>
      </c>
      <c r="C208">
        <v>207</v>
      </c>
      <c r="D208" t="s">
        <v>131</v>
      </c>
    </row>
    <row r="209" spans="1:4" x14ac:dyDescent="0.2">
      <c r="A209">
        <v>2026</v>
      </c>
      <c r="B209">
        <v>7</v>
      </c>
      <c r="C209">
        <v>208</v>
      </c>
      <c r="D209" t="s">
        <v>141</v>
      </c>
    </row>
    <row r="210" spans="1:4" x14ac:dyDescent="0.2">
      <c r="A210">
        <v>2026</v>
      </c>
      <c r="B210">
        <v>7</v>
      </c>
      <c r="C210">
        <v>209</v>
      </c>
      <c r="D210" t="s">
        <v>153</v>
      </c>
    </row>
    <row r="211" spans="1:4" x14ac:dyDescent="0.2">
      <c r="A211">
        <v>2026</v>
      </c>
      <c r="B211">
        <v>7</v>
      </c>
      <c r="C211">
        <v>210</v>
      </c>
      <c r="D211" t="s">
        <v>152</v>
      </c>
    </row>
    <row r="212" spans="1:4" x14ac:dyDescent="0.2">
      <c r="A212">
        <v>2026</v>
      </c>
      <c r="B212">
        <v>7</v>
      </c>
      <c r="C212">
        <v>211</v>
      </c>
      <c r="D212" t="s">
        <v>147</v>
      </c>
    </row>
    <row r="213" spans="1:4" x14ac:dyDescent="0.2">
      <c r="A213">
        <v>2026</v>
      </c>
      <c r="B213">
        <v>7</v>
      </c>
      <c r="C213">
        <v>212</v>
      </c>
      <c r="D213" t="s">
        <v>158</v>
      </c>
    </row>
    <row r="214" spans="1:4" x14ac:dyDescent="0.2">
      <c r="A214">
        <v>2026</v>
      </c>
      <c r="B214">
        <v>7</v>
      </c>
      <c r="C214">
        <v>213</v>
      </c>
      <c r="D214" t="s">
        <v>155</v>
      </c>
    </row>
    <row r="215" spans="1:4" x14ac:dyDescent="0.2">
      <c r="A215">
        <v>2026</v>
      </c>
      <c r="B215">
        <v>7</v>
      </c>
      <c r="C215">
        <v>214</v>
      </c>
      <c r="D215" t="s">
        <v>138</v>
      </c>
    </row>
    <row r="216" spans="1:4" x14ac:dyDescent="0.2">
      <c r="A216">
        <v>2026</v>
      </c>
      <c r="B216">
        <v>7</v>
      </c>
      <c r="C216">
        <v>215</v>
      </c>
      <c r="D216" t="s">
        <v>22</v>
      </c>
    </row>
    <row r="217" spans="1:4" x14ac:dyDescent="0.2">
      <c r="A217">
        <v>2026</v>
      </c>
      <c r="B217">
        <v>7</v>
      </c>
      <c r="C217">
        <v>216</v>
      </c>
      <c r="D217" t="s">
        <v>139</v>
      </c>
    </row>
    <row r="218" spans="1:4" x14ac:dyDescent="0.2">
      <c r="A218">
        <v>2026</v>
      </c>
      <c r="B218">
        <v>7</v>
      </c>
      <c r="C218">
        <v>217</v>
      </c>
      <c r="D218" t="s">
        <v>129</v>
      </c>
    </row>
    <row r="219" spans="1:4" x14ac:dyDescent="0.2">
      <c r="A219">
        <v>2026</v>
      </c>
      <c r="B219">
        <v>7</v>
      </c>
      <c r="C219">
        <v>218</v>
      </c>
      <c r="D219" t="s">
        <v>154</v>
      </c>
    </row>
    <row r="220" spans="1:4" x14ac:dyDescent="0.2">
      <c r="A220">
        <v>2026</v>
      </c>
      <c r="B220">
        <v>7</v>
      </c>
      <c r="C220">
        <v>219</v>
      </c>
      <c r="D220" t="s">
        <v>25</v>
      </c>
    </row>
    <row r="221" spans="1:4" x14ac:dyDescent="0.2">
      <c r="A221">
        <v>2026</v>
      </c>
      <c r="B221">
        <v>7</v>
      </c>
      <c r="C221">
        <v>220</v>
      </c>
      <c r="D221" t="s">
        <v>145</v>
      </c>
    </row>
    <row r="222" spans="1:4" x14ac:dyDescent="0.2">
      <c r="A222">
        <v>2026</v>
      </c>
      <c r="B222">
        <v>7</v>
      </c>
      <c r="C222">
        <v>221</v>
      </c>
      <c r="D222" t="s">
        <v>135</v>
      </c>
    </row>
    <row r="223" spans="1:4" x14ac:dyDescent="0.2">
      <c r="A223">
        <v>2026</v>
      </c>
      <c r="B223">
        <v>7</v>
      </c>
      <c r="C223">
        <v>222</v>
      </c>
      <c r="D223" t="s">
        <v>156</v>
      </c>
    </row>
    <row r="224" spans="1:4" x14ac:dyDescent="0.2">
      <c r="A224">
        <v>2026</v>
      </c>
      <c r="B224">
        <v>7</v>
      </c>
      <c r="C224">
        <v>223</v>
      </c>
      <c r="D224" t="s">
        <v>151</v>
      </c>
    </row>
    <row r="225" spans="1:4" x14ac:dyDescent="0.2">
      <c r="A225">
        <v>2026</v>
      </c>
      <c r="B225">
        <v>7</v>
      </c>
      <c r="C225">
        <v>224</v>
      </c>
      <c r="D225" t="s">
        <v>133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5"/>
  <sheetViews>
    <sheetView workbookViewId="0">
      <pane ySplit="1" topLeftCell="A174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18" customWidth="1"/>
    <col min="2" max="3" width="12" customWidth="1"/>
    <col min="4" max="5" width="27" customWidth="1"/>
    <col min="6" max="7" width="12" customWidth="1"/>
    <col min="8" max="8" width="44" customWidth="1"/>
  </cols>
  <sheetData>
    <row r="1" spans="1:8" x14ac:dyDescent="0.2">
      <c r="A1" s="1" t="s">
        <v>77</v>
      </c>
      <c r="B1" s="1" t="s">
        <v>1</v>
      </c>
      <c r="C1" s="1" t="s">
        <v>75</v>
      </c>
      <c r="D1" s="1" t="s">
        <v>78</v>
      </c>
      <c r="E1" s="1" t="s">
        <v>79</v>
      </c>
      <c r="F1" s="1" t="s">
        <v>80</v>
      </c>
      <c r="G1" s="1" t="s">
        <v>45</v>
      </c>
      <c r="H1" s="1" t="s">
        <v>4</v>
      </c>
    </row>
    <row r="2" spans="1:8" x14ac:dyDescent="0.2">
      <c r="A2" t="s">
        <v>8338</v>
      </c>
      <c r="B2">
        <v>2026</v>
      </c>
      <c r="C2">
        <v>1</v>
      </c>
      <c r="D2" t="s">
        <v>144</v>
      </c>
      <c r="E2" t="s">
        <v>144</v>
      </c>
      <c r="F2" t="b">
        <v>0</v>
      </c>
    </row>
    <row r="3" spans="1:8" x14ac:dyDescent="0.2">
      <c r="A3" t="s">
        <v>8339</v>
      </c>
      <c r="B3">
        <v>2026</v>
      </c>
      <c r="C3">
        <v>1</v>
      </c>
      <c r="D3" t="s">
        <v>148</v>
      </c>
      <c r="E3" t="s">
        <v>148</v>
      </c>
      <c r="F3" t="b">
        <v>0</v>
      </c>
    </row>
    <row r="4" spans="1:8" x14ac:dyDescent="0.2">
      <c r="A4" t="s">
        <v>8340</v>
      </c>
      <c r="B4">
        <v>2026</v>
      </c>
      <c r="C4">
        <v>1</v>
      </c>
      <c r="D4" t="s">
        <v>157</v>
      </c>
      <c r="E4" t="s">
        <v>157</v>
      </c>
      <c r="F4" t="b">
        <v>0</v>
      </c>
    </row>
    <row r="5" spans="1:8" x14ac:dyDescent="0.2">
      <c r="A5" t="s">
        <v>8341</v>
      </c>
      <c r="B5">
        <v>2026</v>
      </c>
      <c r="C5">
        <v>1</v>
      </c>
      <c r="D5" t="s">
        <v>150</v>
      </c>
      <c r="E5" t="s">
        <v>150</v>
      </c>
      <c r="F5" t="b">
        <v>0</v>
      </c>
    </row>
    <row r="6" spans="1:8" x14ac:dyDescent="0.2">
      <c r="A6" t="s">
        <v>8342</v>
      </c>
      <c r="B6">
        <v>2026</v>
      </c>
      <c r="C6">
        <v>1</v>
      </c>
      <c r="D6" t="s">
        <v>146</v>
      </c>
      <c r="E6" t="s">
        <v>146</v>
      </c>
      <c r="F6" t="b">
        <v>0</v>
      </c>
    </row>
    <row r="7" spans="1:8" x14ac:dyDescent="0.2">
      <c r="A7" t="s">
        <v>8343</v>
      </c>
      <c r="B7">
        <v>2026</v>
      </c>
      <c r="C7">
        <v>1</v>
      </c>
      <c r="D7" t="s">
        <v>143</v>
      </c>
      <c r="E7" t="s">
        <v>143</v>
      </c>
      <c r="F7" t="b">
        <v>0</v>
      </c>
    </row>
    <row r="8" spans="1:8" x14ac:dyDescent="0.2">
      <c r="A8" t="s">
        <v>8344</v>
      </c>
      <c r="B8">
        <v>2026</v>
      </c>
      <c r="C8">
        <v>1</v>
      </c>
      <c r="D8" t="s">
        <v>134</v>
      </c>
      <c r="E8" t="s">
        <v>134</v>
      </c>
      <c r="F8" t="b">
        <v>0</v>
      </c>
    </row>
    <row r="9" spans="1:8" x14ac:dyDescent="0.2">
      <c r="A9" t="s">
        <v>8345</v>
      </c>
      <c r="B9">
        <v>2026</v>
      </c>
      <c r="C9">
        <v>1</v>
      </c>
      <c r="D9" t="s">
        <v>137</v>
      </c>
      <c r="E9" t="s">
        <v>137</v>
      </c>
      <c r="F9" t="b">
        <v>0</v>
      </c>
    </row>
    <row r="10" spans="1:8" x14ac:dyDescent="0.2">
      <c r="A10" t="s">
        <v>8346</v>
      </c>
      <c r="B10">
        <v>2026</v>
      </c>
      <c r="C10">
        <v>1</v>
      </c>
      <c r="D10" t="s">
        <v>142</v>
      </c>
      <c r="E10" t="s">
        <v>142</v>
      </c>
      <c r="F10" t="b">
        <v>0</v>
      </c>
    </row>
    <row r="11" spans="1:8" x14ac:dyDescent="0.2">
      <c r="A11" t="s">
        <v>8347</v>
      </c>
      <c r="B11">
        <v>2026</v>
      </c>
      <c r="C11">
        <v>1</v>
      </c>
      <c r="D11" t="s">
        <v>140</v>
      </c>
      <c r="E11" t="s">
        <v>140</v>
      </c>
      <c r="F11" t="b">
        <v>0</v>
      </c>
    </row>
    <row r="12" spans="1:8" x14ac:dyDescent="0.2">
      <c r="A12" t="s">
        <v>8348</v>
      </c>
      <c r="B12">
        <v>2026</v>
      </c>
      <c r="C12">
        <v>1</v>
      </c>
      <c r="D12" t="s">
        <v>130</v>
      </c>
      <c r="E12" t="s">
        <v>130</v>
      </c>
      <c r="F12" t="b">
        <v>0</v>
      </c>
    </row>
    <row r="13" spans="1:8" x14ac:dyDescent="0.2">
      <c r="A13" t="s">
        <v>8349</v>
      </c>
      <c r="B13">
        <v>2026</v>
      </c>
      <c r="C13">
        <v>1</v>
      </c>
      <c r="D13" t="s">
        <v>149</v>
      </c>
      <c r="E13" t="s">
        <v>149</v>
      </c>
      <c r="F13" t="b">
        <v>0</v>
      </c>
    </row>
    <row r="14" spans="1:8" x14ac:dyDescent="0.2">
      <c r="A14" t="s">
        <v>8350</v>
      </c>
      <c r="B14">
        <v>2026</v>
      </c>
      <c r="C14">
        <v>1</v>
      </c>
      <c r="D14" t="s">
        <v>136</v>
      </c>
      <c r="E14" t="s">
        <v>136</v>
      </c>
      <c r="F14" t="b">
        <v>0</v>
      </c>
    </row>
    <row r="15" spans="1:8" x14ac:dyDescent="0.2">
      <c r="A15" t="s">
        <v>8351</v>
      </c>
      <c r="B15">
        <v>2026</v>
      </c>
      <c r="C15">
        <v>1</v>
      </c>
      <c r="D15" t="s">
        <v>132</v>
      </c>
      <c r="E15" t="s">
        <v>132</v>
      </c>
      <c r="F15" t="b">
        <v>0</v>
      </c>
    </row>
    <row r="16" spans="1:8" x14ac:dyDescent="0.2">
      <c r="A16" t="s">
        <v>8352</v>
      </c>
      <c r="B16">
        <v>2026</v>
      </c>
      <c r="C16">
        <v>1</v>
      </c>
      <c r="D16" t="s">
        <v>131</v>
      </c>
      <c r="E16" t="s">
        <v>131</v>
      </c>
      <c r="F16" t="b">
        <v>0</v>
      </c>
    </row>
    <row r="17" spans="1:6" x14ac:dyDescent="0.2">
      <c r="A17" t="s">
        <v>8353</v>
      </c>
      <c r="B17">
        <v>2026</v>
      </c>
      <c r="C17">
        <v>1</v>
      </c>
      <c r="D17" t="s">
        <v>141</v>
      </c>
      <c r="E17" t="s">
        <v>141</v>
      </c>
      <c r="F17" t="b">
        <v>0</v>
      </c>
    </row>
    <row r="18" spans="1:6" x14ac:dyDescent="0.2">
      <c r="A18" t="s">
        <v>8354</v>
      </c>
      <c r="B18">
        <v>2026</v>
      </c>
      <c r="C18">
        <v>1</v>
      </c>
      <c r="D18" t="s">
        <v>153</v>
      </c>
      <c r="E18" t="s">
        <v>153</v>
      </c>
      <c r="F18" t="b">
        <v>0</v>
      </c>
    </row>
    <row r="19" spans="1:6" x14ac:dyDescent="0.2">
      <c r="A19" t="s">
        <v>8355</v>
      </c>
      <c r="B19">
        <v>2026</v>
      </c>
      <c r="C19">
        <v>1</v>
      </c>
      <c r="D19" t="s">
        <v>152</v>
      </c>
      <c r="E19" t="s">
        <v>152</v>
      </c>
      <c r="F19" t="b">
        <v>0</v>
      </c>
    </row>
    <row r="20" spans="1:6" x14ac:dyDescent="0.2">
      <c r="A20" t="s">
        <v>8356</v>
      </c>
      <c r="B20">
        <v>2026</v>
      </c>
      <c r="C20">
        <v>1</v>
      </c>
      <c r="D20" t="s">
        <v>147</v>
      </c>
      <c r="E20" t="s">
        <v>147</v>
      </c>
      <c r="F20" t="b">
        <v>0</v>
      </c>
    </row>
    <row r="21" spans="1:6" x14ac:dyDescent="0.2">
      <c r="A21" t="s">
        <v>8357</v>
      </c>
      <c r="B21">
        <v>2026</v>
      </c>
      <c r="C21">
        <v>1</v>
      </c>
      <c r="D21" t="s">
        <v>158</v>
      </c>
      <c r="E21" t="s">
        <v>158</v>
      </c>
      <c r="F21" t="b">
        <v>0</v>
      </c>
    </row>
    <row r="22" spans="1:6" x14ac:dyDescent="0.2">
      <c r="A22" t="s">
        <v>8358</v>
      </c>
      <c r="B22">
        <v>2026</v>
      </c>
      <c r="C22">
        <v>1</v>
      </c>
      <c r="D22" t="s">
        <v>155</v>
      </c>
      <c r="E22" t="s">
        <v>155</v>
      </c>
      <c r="F22" t="b">
        <v>0</v>
      </c>
    </row>
    <row r="23" spans="1:6" x14ac:dyDescent="0.2">
      <c r="A23" t="s">
        <v>8359</v>
      </c>
      <c r="B23">
        <v>2026</v>
      </c>
      <c r="C23">
        <v>1</v>
      </c>
      <c r="D23" t="s">
        <v>138</v>
      </c>
      <c r="E23" t="s">
        <v>138</v>
      </c>
      <c r="F23" t="b">
        <v>0</v>
      </c>
    </row>
    <row r="24" spans="1:6" x14ac:dyDescent="0.2">
      <c r="A24" t="s">
        <v>81</v>
      </c>
      <c r="B24">
        <v>2026</v>
      </c>
      <c r="C24">
        <v>1</v>
      </c>
      <c r="D24" t="s">
        <v>22</v>
      </c>
      <c r="E24" t="s">
        <v>22</v>
      </c>
      <c r="F24" t="b">
        <v>0</v>
      </c>
    </row>
    <row r="25" spans="1:6" x14ac:dyDescent="0.2">
      <c r="A25" t="s">
        <v>8360</v>
      </c>
      <c r="B25">
        <v>2026</v>
      </c>
      <c r="C25">
        <v>1</v>
      </c>
      <c r="D25" t="s">
        <v>139</v>
      </c>
      <c r="E25" t="s">
        <v>139</v>
      </c>
      <c r="F25" t="b">
        <v>0</v>
      </c>
    </row>
    <row r="26" spans="1:6" x14ac:dyDescent="0.2">
      <c r="A26" t="s">
        <v>8361</v>
      </c>
      <c r="B26">
        <v>2026</v>
      </c>
      <c r="C26">
        <v>1</v>
      </c>
      <c r="D26" t="s">
        <v>129</v>
      </c>
      <c r="E26" t="s">
        <v>129</v>
      </c>
      <c r="F26" t="b">
        <v>0</v>
      </c>
    </row>
    <row r="27" spans="1:6" x14ac:dyDescent="0.2">
      <c r="A27" t="s">
        <v>8362</v>
      </c>
      <c r="B27">
        <v>2026</v>
      </c>
      <c r="C27">
        <v>1</v>
      </c>
      <c r="D27" t="s">
        <v>154</v>
      </c>
      <c r="E27" t="s">
        <v>154</v>
      </c>
      <c r="F27" t="b">
        <v>0</v>
      </c>
    </row>
    <row r="28" spans="1:6" x14ac:dyDescent="0.2">
      <c r="A28" t="s">
        <v>82</v>
      </c>
      <c r="B28">
        <v>2026</v>
      </c>
      <c r="C28">
        <v>1</v>
      </c>
      <c r="D28" t="s">
        <v>25</v>
      </c>
      <c r="E28" t="s">
        <v>25</v>
      </c>
      <c r="F28" t="b">
        <v>0</v>
      </c>
    </row>
    <row r="29" spans="1:6" x14ac:dyDescent="0.2">
      <c r="A29" t="s">
        <v>8363</v>
      </c>
      <c r="B29">
        <v>2026</v>
      </c>
      <c r="C29">
        <v>1</v>
      </c>
      <c r="D29" t="s">
        <v>145</v>
      </c>
      <c r="E29" t="s">
        <v>145</v>
      </c>
      <c r="F29" t="b">
        <v>0</v>
      </c>
    </row>
    <row r="30" spans="1:6" x14ac:dyDescent="0.2">
      <c r="A30" t="s">
        <v>8364</v>
      </c>
      <c r="B30">
        <v>2026</v>
      </c>
      <c r="C30">
        <v>1</v>
      </c>
      <c r="D30" t="s">
        <v>135</v>
      </c>
      <c r="E30" t="s">
        <v>135</v>
      </c>
      <c r="F30" t="b">
        <v>0</v>
      </c>
    </row>
    <row r="31" spans="1:6" x14ac:dyDescent="0.2">
      <c r="A31" t="s">
        <v>8365</v>
      </c>
      <c r="B31">
        <v>2026</v>
      </c>
      <c r="C31">
        <v>1</v>
      </c>
      <c r="D31" t="s">
        <v>156</v>
      </c>
      <c r="E31" t="s">
        <v>156</v>
      </c>
      <c r="F31" t="b">
        <v>0</v>
      </c>
    </row>
    <row r="32" spans="1:6" x14ac:dyDescent="0.2">
      <c r="A32" t="s">
        <v>8366</v>
      </c>
      <c r="B32">
        <v>2026</v>
      </c>
      <c r="C32">
        <v>1</v>
      </c>
      <c r="D32" t="s">
        <v>151</v>
      </c>
      <c r="E32" t="s">
        <v>151</v>
      </c>
      <c r="F32" t="b">
        <v>0</v>
      </c>
    </row>
    <row r="33" spans="1:6" x14ac:dyDescent="0.2">
      <c r="A33" t="s">
        <v>8367</v>
      </c>
      <c r="B33">
        <v>2026</v>
      </c>
      <c r="C33">
        <v>1</v>
      </c>
      <c r="D33" t="s">
        <v>133</v>
      </c>
      <c r="E33" t="s">
        <v>133</v>
      </c>
      <c r="F33" t="b">
        <v>0</v>
      </c>
    </row>
    <row r="34" spans="1:6" x14ac:dyDescent="0.2">
      <c r="A34" t="s">
        <v>8368</v>
      </c>
      <c r="B34">
        <v>2026</v>
      </c>
      <c r="C34">
        <v>2</v>
      </c>
      <c r="D34" t="s">
        <v>144</v>
      </c>
      <c r="E34" t="s">
        <v>144</v>
      </c>
      <c r="F34" t="b">
        <v>0</v>
      </c>
    </row>
    <row r="35" spans="1:6" x14ac:dyDescent="0.2">
      <c r="A35" t="s">
        <v>8369</v>
      </c>
      <c r="B35">
        <v>2026</v>
      </c>
      <c r="C35">
        <v>2</v>
      </c>
      <c r="D35" t="s">
        <v>148</v>
      </c>
      <c r="E35" t="s">
        <v>148</v>
      </c>
      <c r="F35" t="b">
        <v>0</v>
      </c>
    </row>
    <row r="36" spans="1:6" x14ac:dyDescent="0.2">
      <c r="A36" t="s">
        <v>8370</v>
      </c>
      <c r="B36">
        <v>2026</v>
      </c>
      <c r="C36">
        <v>2</v>
      </c>
      <c r="D36" t="s">
        <v>157</v>
      </c>
      <c r="E36" t="s">
        <v>157</v>
      </c>
      <c r="F36" t="b">
        <v>0</v>
      </c>
    </row>
    <row r="37" spans="1:6" x14ac:dyDescent="0.2">
      <c r="A37" t="s">
        <v>8371</v>
      </c>
      <c r="B37">
        <v>2026</v>
      </c>
      <c r="C37">
        <v>2</v>
      </c>
      <c r="D37" t="s">
        <v>150</v>
      </c>
      <c r="E37" t="s">
        <v>150</v>
      </c>
      <c r="F37" t="b">
        <v>0</v>
      </c>
    </row>
    <row r="38" spans="1:6" x14ac:dyDescent="0.2">
      <c r="A38" t="s">
        <v>8372</v>
      </c>
      <c r="B38">
        <v>2026</v>
      </c>
      <c r="C38">
        <v>2</v>
      </c>
      <c r="D38" t="s">
        <v>146</v>
      </c>
      <c r="E38" t="s">
        <v>146</v>
      </c>
      <c r="F38" t="b">
        <v>0</v>
      </c>
    </row>
    <row r="39" spans="1:6" x14ac:dyDescent="0.2">
      <c r="A39" t="s">
        <v>8373</v>
      </c>
      <c r="B39">
        <v>2026</v>
      </c>
      <c r="C39">
        <v>2</v>
      </c>
      <c r="D39" t="s">
        <v>143</v>
      </c>
      <c r="E39" t="s">
        <v>143</v>
      </c>
      <c r="F39" t="b">
        <v>0</v>
      </c>
    </row>
    <row r="40" spans="1:6" x14ac:dyDescent="0.2">
      <c r="A40" t="s">
        <v>8374</v>
      </c>
      <c r="B40">
        <v>2026</v>
      </c>
      <c r="C40">
        <v>2</v>
      </c>
      <c r="D40" t="s">
        <v>134</v>
      </c>
      <c r="E40" t="s">
        <v>134</v>
      </c>
      <c r="F40" t="b">
        <v>0</v>
      </c>
    </row>
    <row r="41" spans="1:6" x14ac:dyDescent="0.2">
      <c r="A41" t="s">
        <v>8375</v>
      </c>
      <c r="B41">
        <v>2026</v>
      </c>
      <c r="C41">
        <v>2</v>
      </c>
      <c r="D41" t="s">
        <v>137</v>
      </c>
      <c r="E41" t="s">
        <v>137</v>
      </c>
      <c r="F41" t="b">
        <v>0</v>
      </c>
    </row>
    <row r="42" spans="1:6" x14ac:dyDescent="0.2">
      <c r="A42" t="s">
        <v>8376</v>
      </c>
      <c r="B42">
        <v>2026</v>
      </c>
      <c r="C42">
        <v>2</v>
      </c>
      <c r="D42" t="s">
        <v>142</v>
      </c>
      <c r="E42" t="s">
        <v>142</v>
      </c>
      <c r="F42" t="b">
        <v>0</v>
      </c>
    </row>
    <row r="43" spans="1:6" x14ac:dyDescent="0.2">
      <c r="A43" t="s">
        <v>8377</v>
      </c>
      <c r="B43">
        <v>2026</v>
      </c>
      <c r="C43">
        <v>2</v>
      </c>
      <c r="D43" t="s">
        <v>140</v>
      </c>
      <c r="E43" t="s">
        <v>140</v>
      </c>
      <c r="F43" t="b">
        <v>0</v>
      </c>
    </row>
    <row r="44" spans="1:6" x14ac:dyDescent="0.2">
      <c r="A44" t="s">
        <v>8378</v>
      </c>
      <c r="B44">
        <v>2026</v>
      </c>
      <c r="C44">
        <v>2</v>
      </c>
      <c r="D44" t="s">
        <v>130</v>
      </c>
      <c r="E44" t="s">
        <v>130</v>
      </c>
      <c r="F44" t="b">
        <v>0</v>
      </c>
    </row>
    <row r="45" spans="1:6" x14ac:dyDescent="0.2">
      <c r="A45" t="s">
        <v>8379</v>
      </c>
      <c r="B45">
        <v>2026</v>
      </c>
      <c r="C45">
        <v>2</v>
      </c>
      <c r="D45" t="s">
        <v>149</v>
      </c>
      <c r="E45" t="s">
        <v>149</v>
      </c>
      <c r="F45" t="b">
        <v>0</v>
      </c>
    </row>
    <row r="46" spans="1:6" x14ac:dyDescent="0.2">
      <c r="A46" t="s">
        <v>8380</v>
      </c>
      <c r="B46">
        <v>2026</v>
      </c>
      <c r="C46">
        <v>2</v>
      </c>
      <c r="D46" t="s">
        <v>136</v>
      </c>
      <c r="E46" t="s">
        <v>136</v>
      </c>
      <c r="F46" t="b">
        <v>0</v>
      </c>
    </row>
    <row r="47" spans="1:6" x14ac:dyDescent="0.2">
      <c r="A47" t="s">
        <v>8381</v>
      </c>
      <c r="B47">
        <v>2026</v>
      </c>
      <c r="C47">
        <v>2</v>
      </c>
      <c r="D47" t="s">
        <v>132</v>
      </c>
      <c r="E47" t="s">
        <v>132</v>
      </c>
      <c r="F47" t="b">
        <v>0</v>
      </c>
    </row>
    <row r="48" spans="1:6" x14ac:dyDescent="0.2">
      <c r="A48" t="s">
        <v>8382</v>
      </c>
      <c r="B48">
        <v>2026</v>
      </c>
      <c r="C48">
        <v>2</v>
      </c>
      <c r="D48" t="s">
        <v>131</v>
      </c>
      <c r="E48" t="s">
        <v>131</v>
      </c>
      <c r="F48" t="b">
        <v>0</v>
      </c>
    </row>
    <row r="49" spans="1:6" x14ac:dyDescent="0.2">
      <c r="A49" t="s">
        <v>8383</v>
      </c>
      <c r="B49">
        <v>2026</v>
      </c>
      <c r="C49">
        <v>2</v>
      </c>
      <c r="D49" t="s">
        <v>141</v>
      </c>
      <c r="E49" t="s">
        <v>141</v>
      </c>
      <c r="F49" t="b">
        <v>0</v>
      </c>
    </row>
    <row r="50" spans="1:6" x14ac:dyDescent="0.2">
      <c r="A50" t="s">
        <v>8384</v>
      </c>
      <c r="B50">
        <v>2026</v>
      </c>
      <c r="C50">
        <v>2</v>
      </c>
      <c r="D50" t="s">
        <v>153</v>
      </c>
      <c r="E50" t="s">
        <v>153</v>
      </c>
      <c r="F50" t="b">
        <v>0</v>
      </c>
    </row>
    <row r="51" spans="1:6" x14ac:dyDescent="0.2">
      <c r="A51" t="s">
        <v>8385</v>
      </c>
      <c r="B51">
        <v>2026</v>
      </c>
      <c r="C51">
        <v>2</v>
      </c>
      <c r="D51" t="s">
        <v>152</v>
      </c>
      <c r="E51" t="s">
        <v>152</v>
      </c>
      <c r="F51" t="b">
        <v>0</v>
      </c>
    </row>
    <row r="52" spans="1:6" x14ac:dyDescent="0.2">
      <c r="A52" t="s">
        <v>8386</v>
      </c>
      <c r="B52">
        <v>2026</v>
      </c>
      <c r="C52">
        <v>2</v>
      </c>
      <c r="D52" t="s">
        <v>147</v>
      </c>
      <c r="E52" t="s">
        <v>147</v>
      </c>
      <c r="F52" t="b">
        <v>0</v>
      </c>
    </row>
    <row r="53" spans="1:6" x14ac:dyDescent="0.2">
      <c r="A53" t="s">
        <v>8387</v>
      </c>
      <c r="B53">
        <v>2026</v>
      </c>
      <c r="C53">
        <v>2</v>
      </c>
      <c r="D53" t="s">
        <v>158</v>
      </c>
      <c r="E53" t="s">
        <v>158</v>
      </c>
      <c r="F53" t="b">
        <v>0</v>
      </c>
    </row>
    <row r="54" spans="1:6" x14ac:dyDescent="0.2">
      <c r="A54" t="s">
        <v>8388</v>
      </c>
      <c r="B54">
        <v>2026</v>
      </c>
      <c r="C54">
        <v>2</v>
      </c>
      <c r="D54" t="s">
        <v>155</v>
      </c>
      <c r="E54" t="s">
        <v>155</v>
      </c>
      <c r="F54" t="b">
        <v>0</v>
      </c>
    </row>
    <row r="55" spans="1:6" x14ac:dyDescent="0.2">
      <c r="A55" t="s">
        <v>8389</v>
      </c>
      <c r="B55">
        <v>2026</v>
      </c>
      <c r="C55">
        <v>2</v>
      </c>
      <c r="D55" t="s">
        <v>138</v>
      </c>
      <c r="E55" t="s">
        <v>138</v>
      </c>
      <c r="F55" t="b">
        <v>0</v>
      </c>
    </row>
    <row r="56" spans="1:6" x14ac:dyDescent="0.2">
      <c r="A56" t="s">
        <v>8390</v>
      </c>
      <c r="B56">
        <v>2026</v>
      </c>
      <c r="C56">
        <v>2</v>
      </c>
      <c r="D56" t="s">
        <v>22</v>
      </c>
      <c r="E56" t="s">
        <v>22</v>
      </c>
      <c r="F56" t="b">
        <v>0</v>
      </c>
    </row>
    <row r="57" spans="1:6" x14ac:dyDescent="0.2">
      <c r="A57" t="s">
        <v>8391</v>
      </c>
      <c r="B57">
        <v>2026</v>
      </c>
      <c r="C57">
        <v>2</v>
      </c>
      <c r="D57" t="s">
        <v>139</v>
      </c>
      <c r="E57" t="s">
        <v>139</v>
      </c>
      <c r="F57" t="b">
        <v>0</v>
      </c>
    </row>
    <row r="58" spans="1:6" x14ac:dyDescent="0.2">
      <c r="A58" t="s">
        <v>8392</v>
      </c>
      <c r="B58">
        <v>2026</v>
      </c>
      <c r="C58">
        <v>2</v>
      </c>
      <c r="D58" t="s">
        <v>129</v>
      </c>
      <c r="E58" t="s">
        <v>129</v>
      </c>
      <c r="F58" t="b">
        <v>0</v>
      </c>
    </row>
    <row r="59" spans="1:6" x14ac:dyDescent="0.2">
      <c r="A59" t="s">
        <v>8393</v>
      </c>
      <c r="B59">
        <v>2026</v>
      </c>
      <c r="C59">
        <v>2</v>
      </c>
      <c r="D59" t="s">
        <v>154</v>
      </c>
      <c r="E59" t="s">
        <v>154</v>
      </c>
      <c r="F59" t="b">
        <v>0</v>
      </c>
    </row>
    <row r="60" spans="1:6" x14ac:dyDescent="0.2">
      <c r="A60" t="s">
        <v>8394</v>
      </c>
      <c r="B60">
        <v>2026</v>
      </c>
      <c r="C60">
        <v>2</v>
      </c>
      <c r="D60" t="s">
        <v>25</v>
      </c>
      <c r="E60" t="s">
        <v>25</v>
      </c>
      <c r="F60" t="b">
        <v>0</v>
      </c>
    </row>
    <row r="61" spans="1:6" x14ac:dyDescent="0.2">
      <c r="A61" t="s">
        <v>8395</v>
      </c>
      <c r="B61">
        <v>2026</v>
      </c>
      <c r="C61">
        <v>2</v>
      </c>
      <c r="D61" t="s">
        <v>145</v>
      </c>
      <c r="E61" t="s">
        <v>145</v>
      </c>
      <c r="F61" t="b">
        <v>0</v>
      </c>
    </row>
    <row r="62" spans="1:6" x14ac:dyDescent="0.2">
      <c r="A62" t="s">
        <v>8396</v>
      </c>
      <c r="B62">
        <v>2026</v>
      </c>
      <c r="C62">
        <v>2</v>
      </c>
      <c r="D62" t="s">
        <v>135</v>
      </c>
      <c r="E62" t="s">
        <v>135</v>
      </c>
      <c r="F62" t="b">
        <v>0</v>
      </c>
    </row>
    <row r="63" spans="1:6" x14ac:dyDescent="0.2">
      <c r="A63" t="s">
        <v>8397</v>
      </c>
      <c r="B63">
        <v>2026</v>
      </c>
      <c r="C63">
        <v>2</v>
      </c>
      <c r="D63" t="s">
        <v>156</v>
      </c>
      <c r="E63" t="s">
        <v>156</v>
      </c>
      <c r="F63" t="b">
        <v>0</v>
      </c>
    </row>
    <row r="64" spans="1:6" x14ac:dyDescent="0.2">
      <c r="A64" t="s">
        <v>8398</v>
      </c>
      <c r="B64">
        <v>2026</v>
      </c>
      <c r="C64">
        <v>2</v>
      </c>
      <c r="D64" t="s">
        <v>151</v>
      </c>
      <c r="E64" t="s">
        <v>151</v>
      </c>
      <c r="F64" t="b">
        <v>0</v>
      </c>
    </row>
    <row r="65" spans="1:6" x14ac:dyDescent="0.2">
      <c r="A65" t="s">
        <v>8399</v>
      </c>
      <c r="B65">
        <v>2026</v>
      </c>
      <c r="C65">
        <v>2</v>
      </c>
      <c r="D65" t="s">
        <v>133</v>
      </c>
      <c r="E65" t="s">
        <v>133</v>
      </c>
      <c r="F65" t="b">
        <v>0</v>
      </c>
    </row>
    <row r="66" spans="1:6" x14ac:dyDescent="0.2">
      <c r="A66" t="s">
        <v>8400</v>
      </c>
      <c r="B66">
        <v>2026</v>
      </c>
      <c r="C66">
        <v>3</v>
      </c>
      <c r="D66" t="s">
        <v>144</v>
      </c>
      <c r="E66" t="s">
        <v>144</v>
      </c>
      <c r="F66" t="b">
        <v>0</v>
      </c>
    </row>
    <row r="67" spans="1:6" x14ac:dyDescent="0.2">
      <c r="A67" t="s">
        <v>8401</v>
      </c>
      <c r="B67">
        <v>2026</v>
      </c>
      <c r="C67">
        <v>3</v>
      </c>
      <c r="D67" t="s">
        <v>148</v>
      </c>
      <c r="E67" t="s">
        <v>148</v>
      </c>
      <c r="F67" t="b">
        <v>0</v>
      </c>
    </row>
    <row r="68" spans="1:6" x14ac:dyDescent="0.2">
      <c r="A68" t="s">
        <v>8402</v>
      </c>
      <c r="B68">
        <v>2026</v>
      </c>
      <c r="C68">
        <v>3</v>
      </c>
      <c r="D68" t="s">
        <v>157</v>
      </c>
      <c r="E68" t="s">
        <v>157</v>
      </c>
      <c r="F68" t="b">
        <v>0</v>
      </c>
    </row>
    <row r="69" spans="1:6" x14ac:dyDescent="0.2">
      <c r="A69" t="s">
        <v>8403</v>
      </c>
      <c r="B69">
        <v>2026</v>
      </c>
      <c r="C69">
        <v>3</v>
      </c>
      <c r="D69" t="s">
        <v>150</v>
      </c>
      <c r="E69" t="s">
        <v>150</v>
      </c>
      <c r="F69" t="b">
        <v>0</v>
      </c>
    </row>
    <row r="70" spans="1:6" x14ac:dyDescent="0.2">
      <c r="A70" t="s">
        <v>8404</v>
      </c>
      <c r="B70">
        <v>2026</v>
      </c>
      <c r="C70">
        <v>3</v>
      </c>
      <c r="D70" t="s">
        <v>146</v>
      </c>
      <c r="E70" t="s">
        <v>146</v>
      </c>
      <c r="F70" t="b">
        <v>0</v>
      </c>
    </row>
    <row r="71" spans="1:6" x14ac:dyDescent="0.2">
      <c r="A71" t="s">
        <v>8405</v>
      </c>
      <c r="B71">
        <v>2026</v>
      </c>
      <c r="C71">
        <v>3</v>
      </c>
      <c r="D71" t="s">
        <v>143</v>
      </c>
      <c r="E71" t="s">
        <v>143</v>
      </c>
      <c r="F71" t="b">
        <v>0</v>
      </c>
    </row>
    <row r="72" spans="1:6" x14ac:dyDescent="0.2">
      <c r="A72" t="s">
        <v>8406</v>
      </c>
      <c r="B72">
        <v>2026</v>
      </c>
      <c r="C72">
        <v>3</v>
      </c>
      <c r="D72" t="s">
        <v>134</v>
      </c>
      <c r="E72" t="s">
        <v>134</v>
      </c>
      <c r="F72" t="b">
        <v>0</v>
      </c>
    </row>
    <row r="73" spans="1:6" x14ac:dyDescent="0.2">
      <c r="A73" t="s">
        <v>8407</v>
      </c>
      <c r="B73">
        <v>2026</v>
      </c>
      <c r="C73">
        <v>3</v>
      </c>
      <c r="D73" t="s">
        <v>137</v>
      </c>
      <c r="E73" t="s">
        <v>137</v>
      </c>
      <c r="F73" t="b">
        <v>0</v>
      </c>
    </row>
    <row r="74" spans="1:6" x14ac:dyDescent="0.2">
      <c r="A74" t="s">
        <v>8408</v>
      </c>
      <c r="B74">
        <v>2026</v>
      </c>
      <c r="C74">
        <v>3</v>
      </c>
      <c r="D74" t="s">
        <v>142</v>
      </c>
      <c r="E74" t="s">
        <v>142</v>
      </c>
      <c r="F74" t="b">
        <v>0</v>
      </c>
    </row>
    <row r="75" spans="1:6" x14ac:dyDescent="0.2">
      <c r="A75" t="s">
        <v>8409</v>
      </c>
      <c r="B75">
        <v>2026</v>
      </c>
      <c r="C75">
        <v>3</v>
      </c>
      <c r="D75" t="s">
        <v>140</v>
      </c>
      <c r="E75" t="s">
        <v>140</v>
      </c>
      <c r="F75" t="b">
        <v>0</v>
      </c>
    </row>
    <row r="76" spans="1:6" x14ac:dyDescent="0.2">
      <c r="A76" t="s">
        <v>8410</v>
      </c>
      <c r="B76">
        <v>2026</v>
      </c>
      <c r="C76">
        <v>3</v>
      </c>
      <c r="D76" t="s">
        <v>130</v>
      </c>
      <c r="E76" t="s">
        <v>130</v>
      </c>
      <c r="F76" t="b">
        <v>0</v>
      </c>
    </row>
    <row r="77" spans="1:6" x14ac:dyDescent="0.2">
      <c r="A77" t="s">
        <v>8411</v>
      </c>
      <c r="B77">
        <v>2026</v>
      </c>
      <c r="C77">
        <v>3</v>
      </c>
      <c r="D77" t="s">
        <v>149</v>
      </c>
      <c r="E77" t="s">
        <v>149</v>
      </c>
      <c r="F77" t="b">
        <v>0</v>
      </c>
    </row>
    <row r="78" spans="1:6" x14ac:dyDescent="0.2">
      <c r="A78" t="s">
        <v>8412</v>
      </c>
      <c r="B78">
        <v>2026</v>
      </c>
      <c r="C78">
        <v>3</v>
      </c>
      <c r="D78" t="s">
        <v>136</v>
      </c>
      <c r="E78" t="s">
        <v>136</v>
      </c>
      <c r="F78" t="b">
        <v>0</v>
      </c>
    </row>
    <row r="79" spans="1:6" x14ac:dyDescent="0.2">
      <c r="A79" t="s">
        <v>8413</v>
      </c>
      <c r="B79">
        <v>2026</v>
      </c>
      <c r="C79">
        <v>3</v>
      </c>
      <c r="D79" t="s">
        <v>132</v>
      </c>
      <c r="E79" t="s">
        <v>132</v>
      </c>
      <c r="F79" t="b">
        <v>0</v>
      </c>
    </row>
    <row r="80" spans="1:6" x14ac:dyDescent="0.2">
      <c r="A80" t="s">
        <v>8414</v>
      </c>
      <c r="B80">
        <v>2026</v>
      </c>
      <c r="C80">
        <v>3</v>
      </c>
      <c r="D80" t="s">
        <v>131</v>
      </c>
      <c r="E80" t="s">
        <v>131</v>
      </c>
      <c r="F80" t="b">
        <v>0</v>
      </c>
    </row>
    <row r="81" spans="1:6" x14ac:dyDescent="0.2">
      <c r="A81" t="s">
        <v>8415</v>
      </c>
      <c r="B81">
        <v>2026</v>
      </c>
      <c r="C81">
        <v>3</v>
      </c>
      <c r="D81" t="s">
        <v>141</v>
      </c>
      <c r="E81" t="s">
        <v>141</v>
      </c>
      <c r="F81" t="b">
        <v>0</v>
      </c>
    </row>
    <row r="82" spans="1:6" x14ac:dyDescent="0.2">
      <c r="A82" t="s">
        <v>8416</v>
      </c>
      <c r="B82">
        <v>2026</v>
      </c>
      <c r="C82">
        <v>3</v>
      </c>
      <c r="D82" t="s">
        <v>153</v>
      </c>
      <c r="E82" t="s">
        <v>153</v>
      </c>
      <c r="F82" t="b">
        <v>0</v>
      </c>
    </row>
    <row r="83" spans="1:6" x14ac:dyDescent="0.2">
      <c r="A83" t="s">
        <v>8417</v>
      </c>
      <c r="B83">
        <v>2026</v>
      </c>
      <c r="C83">
        <v>3</v>
      </c>
      <c r="D83" t="s">
        <v>152</v>
      </c>
      <c r="E83" t="s">
        <v>152</v>
      </c>
      <c r="F83" t="b">
        <v>0</v>
      </c>
    </row>
    <row r="84" spans="1:6" x14ac:dyDescent="0.2">
      <c r="A84" t="s">
        <v>8418</v>
      </c>
      <c r="B84">
        <v>2026</v>
      </c>
      <c r="C84">
        <v>3</v>
      </c>
      <c r="D84" t="s">
        <v>147</v>
      </c>
      <c r="E84" t="s">
        <v>147</v>
      </c>
      <c r="F84" t="b">
        <v>0</v>
      </c>
    </row>
    <row r="85" spans="1:6" x14ac:dyDescent="0.2">
      <c r="A85" t="s">
        <v>8419</v>
      </c>
      <c r="B85">
        <v>2026</v>
      </c>
      <c r="C85">
        <v>3</v>
      </c>
      <c r="D85" t="s">
        <v>158</v>
      </c>
      <c r="E85" t="s">
        <v>158</v>
      </c>
      <c r="F85" t="b">
        <v>0</v>
      </c>
    </row>
    <row r="86" spans="1:6" x14ac:dyDescent="0.2">
      <c r="A86" t="s">
        <v>8420</v>
      </c>
      <c r="B86">
        <v>2026</v>
      </c>
      <c r="C86">
        <v>3</v>
      </c>
      <c r="D86" t="s">
        <v>155</v>
      </c>
      <c r="E86" t="s">
        <v>155</v>
      </c>
      <c r="F86" t="b">
        <v>0</v>
      </c>
    </row>
    <row r="87" spans="1:6" x14ac:dyDescent="0.2">
      <c r="A87" t="s">
        <v>8421</v>
      </c>
      <c r="B87">
        <v>2026</v>
      </c>
      <c r="C87">
        <v>3</v>
      </c>
      <c r="D87" t="s">
        <v>138</v>
      </c>
      <c r="E87" t="s">
        <v>138</v>
      </c>
      <c r="F87" t="b">
        <v>0</v>
      </c>
    </row>
    <row r="88" spans="1:6" x14ac:dyDescent="0.2">
      <c r="A88" t="s">
        <v>8422</v>
      </c>
      <c r="B88">
        <v>2026</v>
      </c>
      <c r="C88">
        <v>3</v>
      </c>
      <c r="D88" t="s">
        <v>22</v>
      </c>
      <c r="E88" t="s">
        <v>22</v>
      </c>
      <c r="F88" t="b">
        <v>0</v>
      </c>
    </row>
    <row r="89" spans="1:6" x14ac:dyDescent="0.2">
      <c r="A89" t="s">
        <v>8423</v>
      </c>
      <c r="B89">
        <v>2026</v>
      </c>
      <c r="C89">
        <v>3</v>
      </c>
      <c r="D89" t="s">
        <v>139</v>
      </c>
      <c r="E89" t="s">
        <v>139</v>
      </c>
      <c r="F89" t="b">
        <v>0</v>
      </c>
    </row>
    <row r="90" spans="1:6" x14ac:dyDescent="0.2">
      <c r="A90" t="s">
        <v>8424</v>
      </c>
      <c r="B90">
        <v>2026</v>
      </c>
      <c r="C90">
        <v>3</v>
      </c>
      <c r="D90" t="s">
        <v>129</v>
      </c>
      <c r="E90" t="s">
        <v>129</v>
      </c>
      <c r="F90" t="b">
        <v>0</v>
      </c>
    </row>
    <row r="91" spans="1:6" x14ac:dyDescent="0.2">
      <c r="A91" t="s">
        <v>8425</v>
      </c>
      <c r="B91">
        <v>2026</v>
      </c>
      <c r="C91">
        <v>3</v>
      </c>
      <c r="D91" t="s">
        <v>154</v>
      </c>
      <c r="E91" t="s">
        <v>154</v>
      </c>
      <c r="F91" t="b">
        <v>0</v>
      </c>
    </row>
    <row r="92" spans="1:6" x14ac:dyDescent="0.2">
      <c r="A92" t="s">
        <v>8426</v>
      </c>
      <c r="B92">
        <v>2026</v>
      </c>
      <c r="C92">
        <v>3</v>
      </c>
      <c r="D92" t="s">
        <v>25</v>
      </c>
      <c r="E92" t="s">
        <v>25</v>
      </c>
      <c r="F92" t="b">
        <v>0</v>
      </c>
    </row>
    <row r="93" spans="1:6" x14ac:dyDescent="0.2">
      <c r="A93" t="s">
        <v>8427</v>
      </c>
      <c r="B93">
        <v>2026</v>
      </c>
      <c r="C93">
        <v>3</v>
      </c>
      <c r="D93" t="s">
        <v>145</v>
      </c>
      <c r="E93" t="s">
        <v>145</v>
      </c>
      <c r="F93" t="b">
        <v>0</v>
      </c>
    </row>
    <row r="94" spans="1:6" x14ac:dyDescent="0.2">
      <c r="A94" t="s">
        <v>8428</v>
      </c>
      <c r="B94">
        <v>2026</v>
      </c>
      <c r="C94">
        <v>3</v>
      </c>
      <c r="D94" t="s">
        <v>135</v>
      </c>
      <c r="E94" t="s">
        <v>135</v>
      </c>
      <c r="F94" t="b">
        <v>0</v>
      </c>
    </row>
    <row r="95" spans="1:6" x14ac:dyDescent="0.2">
      <c r="A95" t="s">
        <v>8429</v>
      </c>
      <c r="B95">
        <v>2026</v>
      </c>
      <c r="C95">
        <v>3</v>
      </c>
      <c r="D95" t="s">
        <v>156</v>
      </c>
      <c r="E95" t="s">
        <v>156</v>
      </c>
      <c r="F95" t="b">
        <v>0</v>
      </c>
    </row>
    <row r="96" spans="1:6" x14ac:dyDescent="0.2">
      <c r="A96" t="s">
        <v>8430</v>
      </c>
      <c r="B96">
        <v>2026</v>
      </c>
      <c r="C96">
        <v>3</v>
      </c>
      <c r="D96" t="s">
        <v>151</v>
      </c>
      <c r="E96" t="s">
        <v>151</v>
      </c>
      <c r="F96" t="b">
        <v>0</v>
      </c>
    </row>
    <row r="97" spans="1:6" x14ac:dyDescent="0.2">
      <c r="A97" t="s">
        <v>8431</v>
      </c>
      <c r="B97">
        <v>2026</v>
      </c>
      <c r="C97">
        <v>3</v>
      </c>
      <c r="D97" t="s">
        <v>133</v>
      </c>
      <c r="E97" t="s">
        <v>133</v>
      </c>
      <c r="F97" t="b">
        <v>0</v>
      </c>
    </row>
    <row r="98" spans="1:6" x14ac:dyDescent="0.2">
      <c r="A98" t="s">
        <v>8432</v>
      </c>
      <c r="B98">
        <v>2026</v>
      </c>
      <c r="C98">
        <v>4</v>
      </c>
      <c r="D98" t="s">
        <v>144</v>
      </c>
      <c r="E98" t="s">
        <v>144</v>
      </c>
      <c r="F98" t="b">
        <v>0</v>
      </c>
    </row>
    <row r="99" spans="1:6" x14ac:dyDescent="0.2">
      <c r="A99" t="s">
        <v>8433</v>
      </c>
      <c r="B99">
        <v>2026</v>
      </c>
      <c r="C99">
        <v>4</v>
      </c>
      <c r="D99" t="s">
        <v>148</v>
      </c>
      <c r="E99" t="s">
        <v>148</v>
      </c>
      <c r="F99" t="b">
        <v>0</v>
      </c>
    </row>
    <row r="100" spans="1:6" x14ac:dyDescent="0.2">
      <c r="A100" t="s">
        <v>8434</v>
      </c>
      <c r="B100">
        <v>2026</v>
      </c>
      <c r="C100">
        <v>4</v>
      </c>
      <c r="D100" t="s">
        <v>157</v>
      </c>
      <c r="E100" t="s">
        <v>157</v>
      </c>
      <c r="F100" t="b">
        <v>0</v>
      </c>
    </row>
    <row r="101" spans="1:6" x14ac:dyDescent="0.2">
      <c r="A101" t="s">
        <v>8435</v>
      </c>
      <c r="B101">
        <v>2026</v>
      </c>
      <c r="C101">
        <v>4</v>
      </c>
      <c r="D101" t="s">
        <v>150</v>
      </c>
      <c r="E101" t="s">
        <v>150</v>
      </c>
      <c r="F101" t="b">
        <v>0</v>
      </c>
    </row>
    <row r="102" spans="1:6" x14ac:dyDescent="0.2">
      <c r="A102" t="s">
        <v>8436</v>
      </c>
      <c r="B102">
        <v>2026</v>
      </c>
      <c r="C102">
        <v>4</v>
      </c>
      <c r="D102" t="s">
        <v>146</v>
      </c>
      <c r="E102" t="s">
        <v>146</v>
      </c>
      <c r="F102" t="b">
        <v>0</v>
      </c>
    </row>
    <row r="103" spans="1:6" x14ac:dyDescent="0.2">
      <c r="A103" t="s">
        <v>8437</v>
      </c>
      <c r="B103">
        <v>2026</v>
      </c>
      <c r="C103">
        <v>4</v>
      </c>
      <c r="D103" t="s">
        <v>143</v>
      </c>
      <c r="E103" t="s">
        <v>143</v>
      </c>
      <c r="F103" t="b">
        <v>0</v>
      </c>
    </row>
    <row r="104" spans="1:6" x14ac:dyDescent="0.2">
      <c r="A104" t="s">
        <v>8438</v>
      </c>
      <c r="B104">
        <v>2026</v>
      </c>
      <c r="C104">
        <v>4</v>
      </c>
      <c r="D104" t="s">
        <v>134</v>
      </c>
      <c r="E104" t="s">
        <v>134</v>
      </c>
      <c r="F104" t="b">
        <v>0</v>
      </c>
    </row>
    <row r="105" spans="1:6" x14ac:dyDescent="0.2">
      <c r="A105" t="s">
        <v>8439</v>
      </c>
      <c r="B105">
        <v>2026</v>
      </c>
      <c r="C105">
        <v>4</v>
      </c>
      <c r="D105" t="s">
        <v>137</v>
      </c>
      <c r="E105" t="s">
        <v>137</v>
      </c>
      <c r="F105" t="b">
        <v>0</v>
      </c>
    </row>
    <row r="106" spans="1:6" x14ac:dyDescent="0.2">
      <c r="A106" t="s">
        <v>8440</v>
      </c>
      <c r="B106">
        <v>2026</v>
      </c>
      <c r="C106">
        <v>4</v>
      </c>
      <c r="D106" t="s">
        <v>142</v>
      </c>
      <c r="E106" t="s">
        <v>142</v>
      </c>
      <c r="F106" t="b">
        <v>0</v>
      </c>
    </row>
    <row r="107" spans="1:6" x14ac:dyDescent="0.2">
      <c r="A107" t="s">
        <v>8441</v>
      </c>
      <c r="B107">
        <v>2026</v>
      </c>
      <c r="C107">
        <v>4</v>
      </c>
      <c r="D107" t="s">
        <v>140</v>
      </c>
      <c r="E107" t="s">
        <v>140</v>
      </c>
      <c r="F107" t="b">
        <v>0</v>
      </c>
    </row>
    <row r="108" spans="1:6" x14ac:dyDescent="0.2">
      <c r="A108" t="s">
        <v>8442</v>
      </c>
      <c r="B108">
        <v>2026</v>
      </c>
      <c r="C108">
        <v>4</v>
      </c>
      <c r="D108" t="s">
        <v>130</v>
      </c>
      <c r="E108" t="s">
        <v>130</v>
      </c>
      <c r="F108" t="b">
        <v>0</v>
      </c>
    </row>
    <row r="109" spans="1:6" x14ac:dyDescent="0.2">
      <c r="A109" t="s">
        <v>8443</v>
      </c>
      <c r="B109">
        <v>2026</v>
      </c>
      <c r="C109">
        <v>4</v>
      </c>
      <c r="D109" t="s">
        <v>149</v>
      </c>
      <c r="E109" t="s">
        <v>149</v>
      </c>
      <c r="F109" t="b">
        <v>0</v>
      </c>
    </row>
    <row r="110" spans="1:6" x14ac:dyDescent="0.2">
      <c r="A110" t="s">
        <v>8444</v>
      </c>
      <c r="B110">
        <v>2026</v>
      </c>
      <c r="C110">
        <v>4</v>
      </c>
      <c r="D110" t="s">
        <v>136</v>
      </c>
      <c r="E110" t="s">
        <v>136</v>
      </c>
      <c r="F110" t="b">
        <v>0</v>
      </c>
    </row>
    <row r="111" spans="1:6" x14ac:dyDescent="0.2">
      <c r="A111" t="s">
        <v>8445</v>
      </c>
      <c r="B111">
        <v>2026</v>
      </c>
      <c r="C111">
        <v>4</v>
      </c>
      <c r="D111" t="s">
        <v>132</v>
      </c>
      <c r="E111" t="s">
        <v>132</v>
      </c>
      <c r="F111" t="b">
        <v>0</v>
      </c>
    </row>
    <row r="112" spans="1:6" x14ac:dyDescent="0.2">
      <c r="A112" t="s">
        <v>8446</v>
      </c>
      <c r="B112">
        <v>2026</v>
      </c>
      <c r="C112">
        <v>4</v>
      </c>
      <c r="D112" t="s">
        <v>131</v>
      </c>
      <c r="E112" t="s">
        <v>131</v>
      </c>
      <c r="F112" t="b">
        <v>0</v>
      </c>
    </row>
    <row r="113" spans="1:6" x14ac:dyDescent="0.2">
      <c r="A113" t="s">
        <v>8447</v>
      </c>
      <c r="B113">
        <v>2026</v>
      </c>
      <c r="C113">
        <v>4</v>
      </c>
      <c r="D113" t="s">
        <v>141</v>
      </c>
      <c r="E113" t="s">
        <v>141</v>
      </c>
      <c r="F113" t="b">
        <v>0</v>
      </c>
    </row>
    <row r="114" spans="1:6" x14ac:dyDescent="0.2">
      <c r="A114" t="s">
        <v>8448</v>
      </c>
      <c r="B114">
        <v>2026</v>
      </c>
      <c r="C114">
        <v>4</v>
      </c>
      <c r="D114" t="s">
        <v>153</v>
      </c>
      <c r="E114" t="s">
        <v>153</v>
      </c>
      <c r="F114" t="b">
        <v>0</v>
      </c>
    </row>
    <row r="115" spans="1:6" x14ac:dyDescent="0.2">
      <c r="A115" t="s">
        <v>8449</v>
      </c>
      <c r="B115">
        <v>2026</v>
      </c>
      <c r="C115">
        <v>4</v>
      </c>
      <c r="D115" t="s">
        <v>152</v>
      </c>
      <c r="E115" t="s">
        <v>152</v>
      </c>
      <c r="F115" t="b">
        <v>0</v>
      </c>
    </row>
    <row r="116" spans="1:6" x14ac:dyDescent="0.2">
      <c r="A116" t="s">
        <v>8450</v>
      </c>
      <c r="B116">
        <v>2026</v>
      </c>
      <c r="C116">
        <v>4</v>
      </c>
      <c r="D116" t="s">
        <v>147</v>
      </c>
      <c r="E116" t="s">
        <v>147</v>
      </c>
      <c r="F116" t="b">
        <v>0</v>
      </c>
    </row>
    <row r="117" spans="1:6" x14ac:dyDescent="0.2">
      <c r="A117" t="s">
        <v>8451</v>
      </c>
      <c r="B117">
        <v>2026</v>
      </c>
      <c r="C117">
        <v>4</v>
      </c>
      <c r="D117" t="s">
        <v>158</v>
      </c>
      <c r="E117" t="s">
        <v>158</v>
      </c>
      <c r="F117" t="b">
        <v>0</v>
      </c>
    </row>
    <row r="118" spans="1:6" x14ac:dyDescent="0.2">
      <c r="A118" t="s">
        <v>8452</v>
      </c>
      <c r="B118">
        <v>2026</v>
      </c>
      <c r="C118">
        <v>4</v>
      </c>
      <c r="D118" t="s">
        <v>155</v>
      </c>
      <c r="E118" t="s">
        <v>155</v>
      </c>
      <c r="F118" t="b">
        <v>0</v>
      </c>
    </row>
    <row r="119" spans="1:6" x14ac:dyDescent="0.2">
      <c r="A119" t="s">
        <v>8453</v>
      </c>
      <c r="B119">
        <v>2026</v>
      </c>
      <c r="C119">
        <v>4</v>
      </c>
      <c r="D119" t="s">
        <v>138</v>
      </c>
      <c r="E119" t="s">
        <v>138</v>
      </c>
      <c r="F119" t="b">
        <v>0</v>
      </c>
    </row>
    <row r="120" spans="1:6" x14ac:dyDescent="0.2">
      <c r="A120" t="s">
        <v>8454</v>
      </c>
      <c r="B120">
        <v>2026</v>
      </c>
      <c r="C120">
        <v>4</v>
      </c>
      <c r="D120" t="s">
        <v>22</v>
      </c>
      <c r="E120" t="s">
        <v>22</v>
      </c>
      <c r="F120" t="b">
        <v>0</v>
      </c>
    </row>
    <row r="121" spans="1:6" x14ac:dyDescent="0.2">
      <c r="A121" t="s">
        <v>8455</v>
      </c>
      <c r="B121">
        <v>2026</v>
      </c>
      <c r="C121">
        <v>4</v>
      </c>
      <c r="D121" t="s">
        <v>139</v>
      </c>
      <c r="E121" t="s">
        <v>139</v>
      </c>
      <c r="F121" t="b">
        <v>0</v>
      </c>
    </row>
    <row r="122" spans="1:6" x14ac:dyDescent="0.2">
      <c r="A122" t="s">
        <v>8456</v>
      </c>
      <c r="B122">
        <v>2026</v>
      </c>
      <c r="C122">
        <v>4</v>
      </c>
      <c r="D122" t="s">
        <v>129</v>
      </c>
      <c r="E122" t="s">
        <v>129</v>
      </c>
      <c r="F122" t="b">
        <v>0</v>
      </c>
    </row>
    <row r="123" spans="1:6" x14ac:dyDescent="0.2">
      <c r="A123" t="s">
        <v>8457</v>
      </c>
      <c r="B123">
        <v>2026</v>
      </c>
      <c r="C123">
        <v>4</v>
      </c>
      <c r="D123" t="s">
        <v>154</v>
      </c>
      <c r="E123" t="s">
        <v>154</v>
      </c>
      <c r="F123" t="b">
        <v>0</v>
      </c>
    </row>
    <row r="124" spans="1:6" x14ac:dyDescent="0.2">
      <c r="A124" t="s">
        <v>8458</v>
      </c>
      <c r="B124">
        <v>2026</v>
      </c>
      <c r="C124">
        <v>4</v>
      </c>
      <c r="D124" t="s">
        <v>25</v>
      </c>
      <c r="E124" t="s">
        <v>25</v>
      </c>
      <c r="F124" t="b">
        <v>0</v>
      </c>
    </row>
    <row r="125" spans="1:6" x14ac:dyDescent="0.2">
      <c r="A125" t="s">
        <v>8459</v>
      </c>
      <c r="B125">
        <v>2026</v>
      </c>
      <c r="C125">
        <v>4</v>
      </c>
      <c r="D125" t="s">
        <v>145</v>
      </c>
      <c r="E125" t="s">
        <v>145</v>
      </c>
      <c r="F125" t="b">
        <v>0</v>
      </c>
    </row>
    <row r="126" spans="1:6" x14ac:dyDescent="0.2">
      <c r="A126" t="s">
        <v>8460</v>
      </c>
      <c r="B126">
        <v>2026</v>
      </c>
      <c r="C126">
        <v>4</v>
      </c>
      <c r="D126" t="s">
        <v>135</v>
      </c>
      <c r="E126" t="s">
        <v>135</v>
      </c>
      <c r="F126" t="b">
        <v>0</v>
      </c>
    </row>
    <row r="127" spans="1:6" x14ac:dyDescent="0.2">
      <c r="A127" t="s">
        <v>8461</v>
      </c>
      <c r="B127">
        <v>2026</v>
      </c>
      <c r="C127">
        <v>4</v>
      </c>
      <c r="D127" t="s">
        <v>156</v>
      </c>
      <c r="E127" t="s">
        <v>156</v>
      </c>
      <c r="F127" t="b">
        <v>0</v>
      </c>
    </row>
    <row r="128" spans="1:6" x14ac:dyDescent="0.2">
      <c r="A128" t="s">
        <v>8462</v>
      </c>
      <c r="B128">
        <v>2026</v>
      </c>
      <c r="C128">
        <v>4</v>
      </c>
      <c r="D128" t="s">
        <v>151</v>
      </c>
      <c r="E128" t="s">
        <v>151</v>
      </c>
      <c r="F128" t="b">
        <v>0</v>
      </c>
    </row>
    <row r="129" spans="1:6" x14ac:dyDescent="0.2">
      <c r="A129" t="s">
        <v>8463</v>
      </c>
      <c r="B129">
        <v>2026</v>
      </c>
      <c r="C129">
        <v>4</v>
      </c>
      <c r="D129" t="s">
        <v>133</v>
      </c>
      <c r="E129" t="s">
        <v>133</v>
      </c>
      <c r="F129" t="b">
        <v>0</v>
      </c>
    </row>
    <row r="130" spans="1:6" x14ac:dyDescent="0.2">
      <c r="A130" t="s">
        <v>8464</v>
      </c>
      <c r="B130">
        <v>2026</v>
      </c>
      <c r="C130">
        <v>5</v>
      </c>
      <c r="D130" t="s">
        <v>144</v>
      </c>
      <c r="E130" t="s">
        <v>144</v>
      </c>
      <c r="F130" t="b">
        <v>0</v>
      </c>
    </row>
    <row r="131" spans="1:6" x14ac:dyDescent="0.2">
      <c r="A131" t="s">
        <v>8465</v>
      </c>
      <c r="B131">
        <v>2026</v>
      </c>
      <c r="C131">
        <v>5</v>
      </c>
      <c r="D131" t="s">
        <v>148</v>
      </c>
      <c r="E131" t="s">
        <v>148</v>
      </c>
      <c r="F131" t="b">
        <v>0</v>
      </c>
    </row>
    <row r="132" spans="1:6" x14ac:dyDescent="0.2">
      <c r="A132" t="s">
        <v>8466</v>
      </c>
      <c r="B132">
        <v>2026</v>
      </c>
      <c r="C132">
        <v>5</v>
      </c>
      <c r="D132" t="s">
        <v>157</v>
      </c>
      <c r="E132" t="s">
        <v>157</v>
      </c>
      <c r="F132" t="b">
        <v>0</v>
      </c>
    </row>
    <row r="133" spans="1:6" x14ac:dyDescent="0.2">
      <c r="A133" t="s">
        <v>8467</v>
      </c>
      <c r="B133">
        <v>2026</v>
      </c>
      <c r="C133">
        <v>5</v>
      </c>
      <c r="D133" t="s">
        <v>150</v>
      </c>
      <c r="E133" t="s">
        <v>150</v>
      </c>
      <c r="F133" t="b">
        <v>0</v>
      </c>
    </row>
    <row r="134" spans="1:6" x14ac:dyDescent="0.2">
      <c r="A134" t="s">
        <v>8468</v>
      </c>
      <c r="B134">
        <v>2026</v>
      </c>
      <c r="C134">
        <v>5</v>
      </c>
      <c r="D134" t="s">
        <v>146</v>
      </c>
      <c r="E134" t="s">
        <v>146</v>
      </c>
      <c r="F134" t="b">
        <v>0</v>
      </c>
    </row>
    <row r="135" spans="1:6" x14ac:dyDescent="0.2">
      <c r="A135" t="s">
        <v>8469</v>
      </c>
      <c r="B135">
        <v>2026</v>
      </c>
      <c r="C135">
        <v>5</v>
      </c>
      <c r="D135" t="s">
        <v>143</v>
      </c>
      <c r="E135" t="s">
        <v>143</v>
      </c>
      <c r="F135" t="b">
        <v>0</v>
      </c>
    </row>
    <row r="136" spans="1:6" x14ac:dyDescent="0.2">
      <c r="A136" t="s">
        <v>8470</v>
      </c>
      <c r="B136">
        <v>2026</v>
      </c>
      <c r="C136">
        <v>5</v>
      </c>
      <c r="D136" t="s">
        <v>134</v>
      </c>
      <c r="E136" t="s">
        <v>134</v>
      </c>
      <c r="F136" t="b">
        <v>0</v>
      </c>
    </row>
    <row r="137" spans="1:6" x14ac:dyDescent="0.2">
      <c r="A137" t="s">
        <v>8471</v>
      </c>
      <c r="B137">
        <v>2026</v>
      </c>
      <c r="C137">
        <v>5</v>
      </c>
      <c r="D137" t="s">
        <v>137</v>
      </c>
      <c r="E137" t="s">
        <v>137</v>
      </c>
      <c r="F137" t="b">
        <v>0</v>
      </c>
    </row>
    <row r="138" spans="1:6" x14ac:dyDescent="0.2">
      <c r="A138" t="s">
        <v>8472</v>
      </c>
      <c r="B138">
        <v>2026</v>
      </c>
      <c r="C138">
        <v>5</v>
      </c>
      <c r="D138" t="s">
        <v>142</v>
      </c>
      <c r="E138" t="s">
        <v>142</v>
      </c>
      <c r="F138" t="b">
        <v>0</v>
      </c>
    </row>
    <row r="139" spans="1:6" x14ac:dyDescent="0.2">
      <c r="A139" t="s">
        <v>8473</v>
      </c>
      <c r="B139">
        <v>2026</v>
      </c>
      <c r="C139">
        <v>5</v>
      </c>
      <c r="D139" t="s">
        <v>140</v>
      </c>
      <c r="E139" t="s">
        <v>140</v>
      </c>
      <c r="F139" t="b">
        <v>0</v>
      </c>
    </row>
    <row r="140" spans="1:6" x14ac:dyDescent="0.2">
      <c r="A140" t="s">
        <v>8474</v>
      </c>
      <c r="B140">
        <v>2026</v>
      </c>
      <c r="C140">
        <v>5</v>
      </c>
      <c r="D140" t="s">
        <v>130</v>
      </c>
      <c r="E140" t="s">
        <v>130</v>
      </c>
      <c r="F140" t="b">
        <v>0</v>
      </c>
    </row>
    <row r="141" spans="1:6" x14ac:dyDescent="0.2">
      <c r="A141" t="s">
        <v>8475</v>
      </c>
      <c r="B141">
        <v>2026</v>
      </c>
      <c r="C141">
        <v>5</v>
      </c>
      <c r="D141" t="s">
        <v>149</v>
      </c>
      <c r="E141" t="s">
        <v>149</v>
      </c>
      <c r="F141" t="b">
        <v>0</v>
      </c>
    </row>
    <row r="142" spans="1:6" x14ac:dyDescent="0.2">
      <c r="A142" t="s">
        <v>8476</v>
      </c>
      <c r="B142">
        <v>2026</v>
      </c>
      <c r="C142">
        <v>5</v>
      </c>
      <c r="D142" t="s">
        <v>136</v>
      </c>
      <c r="E142" t="s">
        <v>136</v>
      </c>
      <c r="F142" t="b">
        <v>0</v>
      </c>
    </row>
    <row r="143" spans="1:6" x14ac:dyDescent="0.2">
      <c r="A143" t="s">
        <v>8477</v>
      </c>
      <c r="B143">
        <v>2026</v>
      </c>
      <c r="C143">
        <v>5</v>
      </c>
      <c r="D143" t="s">
        <v>132</v>
      </c>
      <c r="E143" t="s">
        <v>132</v>
      </c>
      <c r="F143" t="b">
        <v>0</v>
      </c>
    </row>
    <row r="144" spans="1:6" x14ac:dyDescent="0.2">
      <c r="A144" t="s">
        <v>8478</v>
      </c>
      <c r="B144">
        <v>2026</v>
      </c>
      <c r="C144">
        <v>5</v>
      </c>
      <c r="D144" t="s">
        <v>131</v>
      </c>
      <c r="E144" t="s">
        <v>131</v>
      </c>
      <c r="F144" t="b">
        <v>0</v>
      </c>
    </row>
    <row r="145" spans="1:6" x14ac:dyDescent="0.2">
      <c r="A145" t="s">
        <v>8479</v>
      </c>
      <c r="B145">
        <v>2026</v>
      </c>
      <c r="C145">
        <v>5</v>
      </c>
      <c r="D145" t="s">
        <v>141</v>
      </c>
      <c r="E145" t="s">
        <v>141</v>
      </c>
      <c r="F145" t="b">
        <v>0</v>
      </c>
    </row>
    <row r="146" spans="1:6" x14ac:dyDescent="0.2">
      <c r="A146" t="s">
        <v>8480</v>
      </c>
      <c r="B146">
        <v>2026</v>
      </c>
      <c r="C146">
        <v>5</v>
      </c>
      <c r="D146" t="s">
        <v>153</v>
      </c>
      <c r="E146" t="s">
        <v>153</v>
      </c>
      <c r="F146" t="b">
        <v>0</v>
      </c>
    </row>
    <row r="147" spans="1:6" x14ac:dyDescent="0.2">
      <c r="A147" t="s">
        <v>8481</v>
      </c>
      <c r="B147">
        <v>2026</v>
      </c>
      <c r="C147">
        <v>5</v>
      </c>
      <c r="D147" t="s">
        <v>152</v>
      </c>
      <c r="E147" t="s">
        <v>152</v>
      </c>
      <c r="F147" t="b">
        <v>0</v>
      </c>
    </row>
    <row r="148" spans="1:6" x14ac:dyDescent="0.2">
      <c r="A148" t="s">
        <v>8482</v>
      </c>
      <c r="B148">
        <v>2026</v>
      </c>
      <c r="C148">
        <v>5</v>
      </c>
      <c r="D148" t="s">
        <v>147</v>
      </c>
      <c r="E148" t="s">
        <v>147</v>
      </c>
      <c r="F148" t="b">
        <v>0</v>
      </c>
    </row>
    <row r="149" spans="1:6" x14ac:dyDescent="0.2">
      <c r="A149" t="s">
        <v>8483</v>
      </c>
      <c r="B149">
        <v>2026</v>
      </c>
      <c r="C149">
        <v>5</v>
      </c>
      <c r="D149" t="s">
        <v>158</v>
      </c>
      <c r="E149" t="s">
        <v>158</v>
      </c>
      <c r="F149" t="b">
        <v>0</v>
      </c>
    </row>
    <row r="150" spans="1:6" x14ac:dyDescent="0.2">
      <c r="A150" t="s">
        <v>8484</v>
      </c>
      <c r="B150">
        <v>2026</v>
      </c>
      <c r="C150">
        <v>5</v>
      </c>
      <c r="D150" t="s">
        <v>155</v>
      </c>
      <c r="E150" t="s">
        <v>155</v>
      </c>
      <c r="F150" t="b">
        <v>0</v>
      </c>
    </row>
    <row r="151" spans="1:6" x14ac:dyDescent="0.2">
      <c r="A151" t="s">
        <v>8485</v>
      </c>
      <c r="B151">
        <v>2026</v>
      </c>
      <c r="C151">
        <v>5</v>
      </c>
      <c r="D151" t="s">
        <v>138</v>
      </c>
      <c r="E151" t="s">
        <v>138</v>
      </c>
      <c r="F151" t="b">
        <v>0</v>
      </c>
    </row>
    <row r="152" spans="1:6" x14ac:dyDescent="0.2">
      <c r="A152" t="s">
        <v>8486</v>
      </c>
      <c r="B152">
        <v>2026</v>
      </c>
      <c r="C152">
        <v>5</v>
      </c>
      <c r="D152" t="s">
        <v>22</v>
      </c>
      <c r="E152" t="s">
        <v>22</v>
      </c>
      <c r="F152" t="b">
        <v>0</v>
      </c>
    </row>
    <row r="153" spans="1:6" x14ac:dyDescent="0.2">
      <c r="A153" t="s">
        <v>8487</v>
      </c>
      <c r="B153">
        <v>2026</v>
      </c>
      <c r="C153">
        <v>5</v>
      </c>
      <c r="D153" t="s">
        <v>139</v>
      </c>
      <c r="E153" t="s">
        <v>139</v>
      </c>
      <c r="F153" t="b">
        <v>0</v>
      </c>
    </row>
    <row r="154" spans="1:6" x14ac:dyDescent="0.2">
      <c r="A154" t="s">
        <v>8488</v>
      </c>
      <c r="B154">
        <v>2026</v>
      </c>
      <c r="C154">
        <v>5</v>
      </c>
      <c r="D154" t="s">
        <v>129</v>
      </c>
      <c r="E154" t="s">
        <v>129</v>
      </c>
      <c r="F154" t="b">
        <v>0</v>
      </c>
    </row>
    <row r="155" spans="1:6" x14ac:dyDescent="0.2">
      <c r="A155" t="s">
        <v>8489</v>
      </c>
      <c r="B155">
        <v>2026</v>
      </c>
      <c r="C155">
        <v>5</v>
      </c>
      <c r="D155" t="s">
        <v>154</v>
      </c>
      <c r="E155" t="s">
        <v>154</v>
      </c>
      <c r="F155" t="b">
        <v>0</v>
      </c>
    </row>
    <row r="156" spans="1:6" x14ac:dyDescent="0.2">
      <c r="A156" t="s">
        <v>8490</v>
      </c>
      <c r="B156">
        <v>2026</v>
      </c>
      <c r="C156">
        <v>5</v>
      </c>
      <c r="D156" t="s">
        <v>25</v>
      </c>
      <c r="E156" t="s">
        <v>25</v>
      </c>
      <c r="F156" t="b">
        <v>0</v>
      </c>
    </row>
    <row r="157" spans="1:6" x14ac:dyDescent="0.2">
      <c r="A157" t="s">
        <v>8491</v>
      </c>
      <c r="B157">
        <v>2026</v>
      </c>
      <c r="C157">
        <v>5</v>
      </c>
      <c r="D157" t="s">
        <v>145</v>
      </c>
      <c r="E157" t="s">
        <v>145</v>
      </c>
      <c r="F157" t="b">
        <v>0</v>
      </c>
    </row>
    <row r="158" spans="1:6" x14ac:dyDescent="0.2">
      <c r="A158" t="s">
        <v>8492</v>
      </c>
      <c r="B158">
        <v>2026</v>
      </c>
      <c r="C158">
        <v>5</v>
      </c>
      <c r="D158" t="s">
        <v>135</v>
      </c>
      <c r="E158" t="s">
        <v>135</v>
      </c>
      <c r="F158" t="b">
        <v>0</v>
      </c>
    </row>
    <row r="159" spans="1:6" x14ac:dyDescent="0.2">
      <c r="A159" t="s">
        <v>8493</v>
      </c>
      <c r="B159">
        <v>2026</v>
      </c>
      <c r="C159">
        <v>5</v>
      </c>
      <c r="D159" t="s">
        <v>156</v>
      </c>
      <c r="E159" t="s">
        <v>156</v>
      </c>
      <c r="F159" t="b">
        <v>0</v>
      </c>
    </row>
    <row r="160" spans="1:6" x14ac:dyDescent="0.2">
      <c r="A160" t="s">
        <v>8494</v>
      </c>
      <c r="B160">
        <v>2026</v>
      </c>
      <c r="C160">
        <v>5</v>
      </c>
      <c r="D160" t="s">
        <v>151</v>
      </c>
      <c r="E160" t="s">
        <v>151</v>
      </c>
      <c r="F160" t="b">
        <v>0</v>
      </c>
    </row>
    <row r="161" spans="1:6" x14ac:dyDescent="0.2">
      <c r="A161" t="s">
        <v>8495</v>
      </c>
      <c r="B161">
        <v>2026</v>
      </c>
      <c r="C161">
        <v>5</v>
      </c>
      <c r="D161" t="s">
        <v>133</v>
      </c>
      <c r="E161" t="s">
        <v>133</v>
      </c>
      <c r="F161" t="b">
        <v>0</v>
      </c>
    </row>
    <row r="162" spans="1:6" x14ac:dyDescent="0.2">
      <c r="A162" t="s">
        <v>8496</v>
      </c>
      <c r="B162">
        <v>2026</v>
      </c>
      <c r="C162">
        <v>6</v>
      </c>
      <c r="D162" t="s">
        <v>144</v>
      </c>
      <c r="E162" t="s">
        <v>144</v>
      </c>
      <c r="F162" t="b">
        <v>0</v>
      </c>
    </row>
    <row r="163" spans="1:6" x14ac:dyDescent="0.2">
      <c r="A163" t="s">
        <v>8497</v>
      </c>
      <c r="B163">
        <v>2026</v>
      </c>
      <c r="C163">
        <v>6</v>
      </c>
      <c r="D163" t="s">
        <v>148</v>
      </c>
      <c r="E163" t="s">
        <v>148</v>
      </c>
      <c r="F163" t="b">
        <v>0</v>
      </c>
    </row>
    <row r="164" spans="1:6" x14ac:dyDescent="0.2">
      <c r="A164" t="s">
        <v>8498</v>
      </c>
      <c r="B164">
        <v>2026</v>
      </c>
      <c r="C164">
        <v>6</v>
      </c>
      <c r="D164" t="s">
        <v>157</v>
      </c>
      <c r="E164" t="s">
        <v>157</v>
      </c>
      <c r="F164" t="b">
        <v>0</v>
      </c>
    </row>
    <row r="165" spans="1:6" x14ac:dyDescent="0.2">
      <c r="A165" t="s">
        <v>8499</v>
      </c>
      <c r="B165">
        <v>2026</v>
      </c>
      <c r="C165">
        <v>6</v>
      </c>
      <c r="D165" t="s">
        <v>150</v>
      </c>
      <c r="E165" t="s">
        <v>150</v>
      </c>
      <c r="F165" t="b">
        <v>0</v>
      </c>
    </row>
    <row r="166" spans="1:6" x14ac:dyDescent="0.2">
      <c r="A166" t="s">
        <v>8500</v>
      </c>
      <c r="B166">
        <v>2026</v>
      </c>
      <c r="C166">
        <v>6</v>
      </c>
      <c r="D166" t="s">
        <v>146</v>
      </c>
      <c r="E166" t="s">
        <v>146</v>
      </c>
      <c r="F166" t="b">
        <v>0</v>
      </c>
    </row>
    <row r="167" spans="1:6" x14ac:dyDescent="0.2">
      <c r="A167" t="s">
        <v>8501</v>
      </c>
      <c r="B167">
        <v>2026</v>
      </c>
      <c r="C167">
        <v>6</v>
      </c>
      <c r="D167" t="s">
        <v>143</v>
      </c>
      <c r="E167" t="s">
        <v>143</v>
      </c>
      <c r="F167" t="b">
        <v>0</v>
      </c>
    </row>
    <row r="168" spans="1:6" x14ac:dyDescent="0.2">
      <c r="A168" t="s">
        <v>8502</v>
      </c>
      <c r="B168">
        <v>2026</v>
      </c>
      <c r="C168">
        <v>6</v>
      </c>
      <c r="D168" t="s">
        <v>134</v>
      </c>
      <c r="E168" t="s">
        <v>134</v>
      </c>
      <c r="F168" t="b">
        <v>0</v>
      </c>
    </row>
    <row r="169" spans="1:6" x14ac:dyDescent="0.2">
      <c r="A169" t="s">
        <v>8503</v>
      </c>
      <c r="B169">
        <v>2026</v>
      </c>
      <c r="C169">
        <v>6</v>
      </c>
      <c r="D169" t="s">
        <v>137</v>
      </c>
      <c r="E169" t="s">
        <v>137</v>
      </c>
      <c r="F169" t="b">
        <v>0</v>
      </c>
    </row>
    <row r="170" spans="1:6" x14ac:dyDescent="0.2">
      <c r="A170" t="s">
        <v>8504</v>
      </c>
      <c r="B170">
        <v>2026</v>
      </c>
      <c r="C170">
        <v>6</v>
      </c>
      <c r="D170" t="s">
        <v>142</v>
      </c>
      <c r="E170" t="s">
        <v>142</v>
      </c>
      <c r="F170" t="b">
        <v>0</v>
      </c>
    </row>
    <row r="171" spans="1:6" x14ac:dyDescent="0.2">
      <c r="A171" t="s">
        <v>8505</v>
      </c>
      <c r="B171">
        <v>2026</v>
      </c>
      <c r="C171">
        <v>6</v>
      </c>
      <c r="D171" t="s">
        <v>140</v>
      </c>
      <c r="E171" t="s">
        <v>140</v>
      </c>
      <c r="F171" t="b">
        <v>0</v>
      </c>
    </row>
    <row r="172" spans="1:6" x14ac:dyDescent="0.2">
      <c r="A172" t="s">
        <v>8506</v>
      </c>
      <c r="B172">
        <v>2026</v>
      </c>
      <c r="C172">
        <v>6</v>
      </c>
      <c r="D172" t="s">
        <v>130</v>
      </c>
      <c r="E172" t="s">
        <v>130</v>
      </c>
      <c r="F172" t="b">
        <v>0</v>
      </c>
    </row>
    <row r="173" spans="1:6" x14ac:dyDescent="0.2">
      <c r="A173" t="s">
        <v>8507</v>
      </c>
      <c r="B173">
        <v>2026</v>
      </c>
      <c r="C173">
        <v>6</v>
      </c>
      <c r="D173" t="s">
        <v>149</v>
      </c>
      <c r="E173" t="s">
        <v>149</v>
      </c>
      <c r="F173" t="b">
        <v>0</v>
      </c>
    </row>
    <row r="174" spans="1:6" x14ac:dyDescent="0.2">
      <c r="A174" t="s">
        <v>8508</v>
      </c>
      <c r="B174">
        <v>2026</v>
      </c>
      <c r="C174">
        <v>6</v>
      </c>
      <c r="D174" t="s">
        <v>136</v>
      </c>
      <c r="E174" t="s">
        <v>136</v>
      </c>
      <c r="F174" t="b">
        <v>0</v>
      </c>
    </row>
    <row r="175" spans="1:6" x14ac:dyDescent="0.2">
      <c r="A175" t="s">
        <v>8509</v>
      </c>
      <c r="B175">
        <v>2026</v>
      </c>
      <c r="C175">
        <v>6</v>
      </c>
      <c r="D175" t="s">
        <v>132</v>
      </c>
      <c r="E175" t="s">
        <v>132</v>
      </c>
      <c r="F175" t="b">
        <v>0</v>
      </c>
    </row>
    <row r="176" spans="1:6" x14ac:dyDescent="0.2">
      <c r="A176" t="s">
        <v>8510</v>
      </c>
      <c r="B176">
        <v>2026</v>
      </c>
      <c r="C176">
        <v>6</v>
      </c>
      <c r="D176" t="s">
        <v>131</v>
      </c>
      <c r="E176" t="s">
        <v>131</v>
      </c>
      <c r="F176" t="b">
        <v>0</v>
      </c>
    </row>
    <row r="177" spans="1:6" x14ac:dyDescent="0.2">
      <c r="A177" t="s">
        <v>8511</v>
      </c>
      <c r="B177">
        <v>2026</v>
      </c>
      <c r="C177">
        <v>6</v>
      </c>
      <c r="D177" t="s">
        <v>141</v>
      </c>
      <c r="E177" t="s">
        <v>141</v>
      </c>
      <c r="F177" t="b">
        <v>0</v>
      </c>
    </row>
    <row r="178" spans="1:6" x14ac:dyDescent="0.2">
      <c r="A178" t="s">
        <v>8512</v>
      </c>
      <c r="B178">
        <v>2026</v>
      </c>
      <c r="C178">
        <v>6</v>
      </c>
      <c r="D178" t="s">
        <v>153</v>
      </c>
      <c r="E178" t="s">
        <v>153</v>
      </c>
      <c r="F178" t="b">
        <v>0</v>
      </c>
    </row>
    <row r="179" spans="1:6" x14ac:dyDescent="0.2">
      <c r="A179" t="s">
        <v>8513</v>
      </c>
      <c r="B179">
        <v>2026</v>
      </c>
      <c r="C179">
        <v>6</v>
      </c>
      <c r="D179" t="s">
        <v>152</v>
      </c>
      <c r="E179" t="s">
        <v>152</v>
      </c>
      <c r="F179" t="b">
        <v>0</v>
      </c>
    </row>
    <row r="180" spans="1:6" x14ac:dyDescent="0.2">
      <c r="A180" t="s">
        <v>8514</v>
      </c>
      <c r="B180">
        <v>2026</v>
      </c>
      <c r="C180">
        <v>6</v>
      </c>
      <c r="D180" t="s">
        <v>147</v>
      </c>
      <c r="E180" t="s">
        <v>147</v>
      </c>
      <c r="F180" t="b">
        <v>0</v>
      </c>
    </row>
    <row r="181" spans="1:6" x14ac:dyDescent="0.2">
      <c r="A181" t="s">
        <v>8515</v>
      </c>
      <c r="B181">
        <v>2026</v>
      </c>
      <c r="C181">
        <v>6</v>
      </c>
      <c r="D181" t="s">
        <v>158</v>
      </c>
      <c r="E181" t="s">
        <v>158</v>
      </c>
      <c r="F181" t="b">
        <v>0</v>
      </c>
    </row>
    <row r="182" spans="1:6" x14ac:dyDescent="0.2">
      <c r="A182" t="s">
        <v>8516</v>
      </c>
      <c r="B182">
        <v>2026</v>
      </c>
      <c r="C182">
        <v>6</v>
      </c>
      <c r="D182" t="s">
        <v>155</v>
      </c>
      <c r="E182" t="s">
        <v>155</v>
      </c>
      <c r="F182" t="b">
        <v>0</v>
      </c>
    </row>
    <row r="183" spans="1:6" x14ac:dyDescent="0.2">
      <c r="A183" t="s">
        <v>8517</v>
      </c>
      <c r="B183">
        <v>2026</v>
      </c>
      <c r="C183">
        <v>6</v>
      </c>
      <c r="D183" t="s">
        <v>138</v>
      </c>
      <c r="E183" t="s">
        <v>138</v>
      </c>
      <c r="F183" t="b">
        <v>0</v>
      </c>
    </row>
    <row r="184" spans="1:6" x14ac:dyDescent="0.2">
      <c r="A184" t="s">
        <v>8518</v>
      </c>
      <c r="B184">
        <v>2026</v>
      </c>
      <c r="C184">
        <v>6</v>
      </c>
      <c r="D184" t="s">
        <v>22</v>
      </c>
      <c r="E184" t="s">
        <v>22</v>
      </c>
      <c r="F184" t="b">
        <v>0</v>
      </c>
    </row>
    <row r="185" spans="1:6" x14ac:dyDescent="0.2">
      <c r="A185" t="s">
        <v>8519</v>
      </c>
      <c r="B185">
        <v>2026</v>
      </c>
      <c r="C185">
        <v>6</v>
      </c>
      <c r="D185" t="s">
        <v>139</v>
      </c>
      <c r="E185" t="s">
        <v>139</v>
      </c>
      <c r="F185" t="b">
        <v>0</v>
      </c>
    </row>
    <row r="186" spans="1:6" x14ac:dyDescent="0.2">
      <c r="A186" t="s">
        <v>8520</v>
      </c>
      <c r="B186">
        <v>2026</v>
      </c>
      <c r="C186">
        <v>6</v>
      </c>
      <c r="D186" t="s">
        <v>129</v>
      </c>
      <c r="E186" t="s">
        <v>129</v>
      </c>
      <c r="F186" t="b">
        <v>0</v>
      </c>
    </row>
    <row r="187" spans="1:6" x14ac:dyDescent="0.2">
      <c r="A187" t="s">
        <v>8521</v>
      </c>
      <c r="B187">
        <v>2026</v>
      </c>
      <c r="C187">
        <v>6</v>
      </c>
      <c r="D187" t="s">
        <v>154</v>
      </c>
      <c r="E187" t="s">
        <v>154</v>
      </c>
      <c r="F187" t="b">
        <v>0</v>
      </c>
    </row>
    <row r="188" spans="1:6" x14ac:dyDescent="0.2">
      <c r="A188" t="s">
        <v>8522</v>
      </c>
      <c r="B188">
        <v>2026</v>
      </c>
      <c r="C188">
        <v>6</v>
      </c>
      <c r="D188" t="s">
        <v>25</v>
      </c>
      <c r="E188" t="s">
        <v>25</v>
      </c>
      <c r="F188" t="b">
        <v>0</v>
      </c>
    </row>
    <row r="189" spans="1:6" x14ac:dyDescent="0.2">
      <c r="A189" t="s">
        <v>8523</v>
      </c>
      <c r="B189">
        <v>2026</v>
      </c>
      <c r="C189">
        <v>6</v>
      </c>
      <c r="D189" t="s">
        <v>145</v>
      </c>
      <c r="E189" t="s">
        <v>145</v>
      </c>
      <c r="F189" t="b">
        <v>0</v>
      </c>
    </row>
    <row r="190" spans="1:6" x14ac:dyDescent="0.2">
      <c r="A190" t="s">
        <v>8524</v>
      </c>
      <c r="B190">
        <v>2026</v>
      </c>
      <c r="C190">
        <v>6</v>
      </c>
      <c r="D190" t="s">
        <v>135</v>
      </c>
      <c r="E190" t="s">
        <v>135</v>
      </c>
      <c r="F190" t="b">
        <v>0</v>
      </c>
    </row>
    <row r="191" spans="1:6" x14ac:dyDescent="0.2">
      <c r="A191" t="s">
        <v>8525</v>
      </c>
      <c r="B191">
        <v>2026</v>
      </c>
      <c r="C191">
        <v>6</v>
      </c>
      <c r="D191" t="s">
        <v>156</v>
      </c>
      <c r="E191" t="s">
        <v>156</v>
      </c>
      <c r="F191" t="b">
        <v>0</v>
      </c>
    </row>
    <row r="192" spans="1:6" x14ac:dyDescent="0.2">
      <c r="A192" t="s">
        <v>8526</v>
      </c>
      <c r="B192">
        <v>2026</v>
      </c>
      <c r="C192">
        <v>6</v>
      </c>
      <c r="D192" t="s">
        <v>151</v>
      </c>
      <c r="E192" t="s">
        <v>151</v>
      </c>
      <c r="F192" t="b">
        <v>0</v>
      </c>
    </row>
    <row r="193" spans="1:6" x14ac:dyDescent="0.2">
      <c r="A193" t="s">
        <v>8527</v>
      </c>
      <c r="B193">
        <v>2026</v>
      </c>
      <c r="C193">
        <v>6</v>
      </c>
      <c r="D193" t="s">
        <v>133</v>
      </c>
      <c r="E193" t="s">
        <v>133</v>
      </c>
      <c r="F193" t="b">
        <v>0</v>
      </c>
    </row>
    <row r="194" spans="1:6" x14ac:dyDescent="0.2">
      <c r="A194" t="s">
        <v>8528</v>
      </c>
      <c r="B194">
        <v>2026</v>
      </c>
      <c r="C194">
        <v>7</v>
      </c>
      <c r="D194" t="s">
        <v>144</v>
      </c>
      <c r="E194" t="s">
        <v>144</v>
      </c>
      <c r="F194" t="b">
        <v>0</v>
      </c>
    </row>
    <row r="195" spans="1:6" x14ac:dyDescent="0.2">
      <c r="A195" t="s">
        <v>8529</v>
      </c>
      <c r="B195">
        <v>2026</v>
      </c>
      <c r="C195">
        <v>7</v>
      </c>
      <c r="D195" t="s">
        <v>148</v>
      </c>
      <c r="E195" t="s">
        <v>148</v>
      </c>
      <c r="F195" t="b">
        <v>0</v>
      </c>
    </row>
    <row r="196" spans="1:6" x14ac:dyDescent="0.2">
      <c r="A196" t="s">
        <v>8530</v>
      </c>
      <c r="B196">
        <v>2026</v>
      </c>
      <c r="C196">
        <v>7</v>
      </c>
      <c r="D196" t="s">
        <v>157</v>
      </c>
      <c r="E196" t="s">
        <v>157</v>
      </c>
      <c r="F196" t="b">
        <v>0</v>
      </c>
    </row>
    <row r="197" spans="1:6" x14ac:dyDescent="0.2">
      <c r="A197" t="s">
        <v>8531</v>
      </c>
      <c r="B197">
        <v>2026</v>
      </c>
      <c r="C197">
        <v>7</v>
      </c>
      <c r="D197" t="s">
        <v>150</v>
      </c>
      <c r="E197" t="s">
        <v>150</v>
      </c>
      <c r="F197" t="b">
        <v>0</v>
      </c>
    </row>
    <row r="198" spans="1:6" x14ac:dyDescent="0.2">
      <c r="A198" t="s">
        <v>8532</v>
      </c>
      <c r="B198">
        <v>2026</v>
      </c>
      <c r="C198">
        <v>7</v>
      </c>
      <c r="D198" t="s">
        <v>146</v>
      </c>
      <c r="E198" t="s">
        <v>146</v>
      </c>
      <c r="F198" t="b">
        <v>0</v>
      </c>
    </row>
    <row r="199" spans="1:6" x14ac:dyDescent="0.2">
      <c r="A199" t="s">
        <v>8533</v>
      </c>
      <c r="B199">
        <v>2026</v>
      </c>
      <c r="C199">
        <v>7</v>
      </c>
      <c r="D199" t="s">
        <v>143</v>
      </c>
      <c r="E199" t="s">
        <v>143</v>
      </c>
      <c r="F199" t="b">
        <v>0</v>
      </c>
    </row>
    <row r="200" spans="1:6" x14ac:dyDescent="0.2">
      <c r="A200" t="s">
        <v>8534</v>
      </c>
      <c r="B200">
        <v>2026</v>
      </c>
      <c r="C200">
        <v>7</v>
      </c>
      <c r="D200" t="s">
        <v>134</v>
      </c>
      <c r="E200" t="s">
        <v>134</v>
      </c>
      <c r="F200" t="b">
        <v>0</v>
      </c>
    </row>
    <row r="201" spans="1:6" x14ac:dyDescent="0.2">
      <c r="A201" t="s">
        <v>8535</v>
      </c>
      <c r="B201">
        <v>2026</v>
      </c>
      <c r="C201">
        <v>7</v>
      </c>
      <c r="D201" t="s">
        <v>137</v>
      </c>
      <c r="E201" t="s">
        <v>137</v>
      </c>
      <c r="F201" t="b">
        <v>0</v>
      </c>
    </row>
    <row r="202" spans="1:6" x14ac:dyDescent="0.2">
      <c r="A202" t="s">
        <v>8536</v>
      </c>
      <c r="B202">
        <v>2026</v>
      </c>
      <c r="C202">
        <v>7</v>
      </c>
      <c r="D202" t="s">
        <v>142</v>
      </c>
      <c r="E202" t="s">
        <v>142</v>
      </c>
      <c r="F202" t="b">
        <v>0</v>
      </c>
    </row>
    <row r="203" spans="1:6" x14ac:dyDescent="0.2">
      <c r="A203" t="s">
        <v>8537</v>
      </c>
      <c r="B203">
        <v>2026</v>
      </c>
      <c r="C203">
        <v>7</v>
      </c>
      <c r="D203" t="s">
        <v>140</v>
      </c>
      <c r="E203" t="s">
        <v>140</v>
      </c>
      <c r="F203" t="b">
        <v>0</v>
      </c>
    </row>
    <row r="204" spans="1:6" x14ac:dyDescent="0.2">
      <c r="A204" t="s">
        <v>8538</v>
      </c>
      <c r="B204">
        <v>2026</v>
      </c>
      <c r="C204">
        <v>7</v>
      </c>
      <c r="D204" t="s">
        <v>130</v>
      </c>
      <c r="E204" t="s">
        <v>130</v>
      </c>
      <c r="F204" t="b">
        <v>0</v>
      </c>
    </row>
    <row r="205" spans="1:6" x14ac:dyDescent="0.2">
      <c r="A205" t="s">
        <v>8539</v>
      </c>
      <c r="B205">
        <v>2026</v>
      </c>
      <c r="C205">
        <v>7</v>
      </c>
      <c r="D205" t="s">
        <v>149</v>
      </c>
      <c r="E205" t="s">
        <v>149</v>
      </c>
      <c r="F205" t="b">
        <v>0</v>
      </c>
    </row>
    <row r="206" spans="1:6" x14ac:dyDescent="0.2">
      <c r="A206" t="s">
        <v>8540</v>
      </c>
      <c r="B206">
        <v>2026</v>
      </c>
      <c r="C206">
        <v>7</v>
      </c>
      <c r="D206" t="s">
        <v>136</v>
      </c>
      <c r="E206" t="s">
        <v>136</v>
      </c>
      <c r="F206" t="b">
        <v>0</v>
      </c>
    </row>
    <row r="207" spans="1:6" x14ac:dyDescent="0.2">
      <c r="A207" t="s">
        <v>8541</v>
      </c>
      <c r="B207">
        <v>2026</v>
      </c>
      <c r="C207">
        <v>7</v>
      </c>
      <c r="D207" t="s">
        <v>132</v>
      </c>
      <c r="E207" t="s">
        <v>132</v>
      </c>
      <c r="F207" t="b">
        <v>0</v>
      </c>
    </row>
    <row r="208" spans="1:6" x14ac:dyDescent="0.2">
      <c r="A208" t="s">
        <v>8542</v>
      </c>
      <c r="B208">
        <v>2026</v>
      </c>
      <c r="C208">
        <v>7</v>
      </c>
      <c r="D208" t="s">
        <v>131</v>
      </c>
      <c r="E208" t="s">
        <v>131</v>
      </c>
      <c r="F208" t="b">
        <v>0</v>
      </c>
    </row>
    <row r="209" spans="1:6" x14ac:dyDescent="0.2">
      <c r="A209" t="s">
        <v>8543</v>
      </c>
      <c r="B209">
        <v>2026</v>
      </c>
      <c r="C209">
        <v>7</v>
      </c>
      <c r="D209" t="s">
        <v>141</v>
      </c>
      <c r="E209" t="s">
        <v>141</v>
      </c>
      <c r="F209" t="b">
        <v>0</v>
      </c>
    </row>
    <row r="210" spans="1:6" x14ac:dyDescent="0.2">
      <c r="A210" t="s">
        <v>8544</v>
      </c>
      <c r="B210">
        <v>2026</v>
      </c>
      <c r="C210">
        <v>7</v>
      </c>
      <c r="D210" t="s">
        <v>153</v>
      </c>
      <c r="E210" t="s">
        <v>153</v>
      </c>
      <c r="F210" t="b">
        <v>0</v>
      </c>
    </row>
    <row r="211" spans="1:6" x14ac:dyDescent="0.2">
      <c r="A211" t="s">
        <v>8545</v>
      </c>
      <c r="B211">
        <v>2026</v>
      </c>
      <c r="C211">
        <v>7</v>
      </c>
      <c r="D211" t="s">
        <v>152</v>
      </c>
      <c r="E211" t="s">
        <v>152</v>
      </c>
      <c r="F211" t="b">
        <v>0</v>
      </c>
    </row>
    <row r="212" spans="1:6" x14ac:dyDescent="0.2">
      <c r="A212" t="s">
        <v>8546</v>
      </c>
      <c r="B212">
        <v>2026</v>
      </c>
      <c r="C212">
        <v>7</v>
      </c>
      <c r="D212" t="s">
        <v>147</v>
      </c>
      <c r="E212" t="s">
        <v>147</v>
      </c>
      <c r="F212" t="b">
        <v>0</v>
      </c>
    </row>
    <row r="213" spans="1:6" x14ac:dyDescent="0.2">
      <c r="A213" t="s">
        <v>8547</v>
      </c>
      <c r="B213">
        <v>2026</v>
      </c>
      <c r="C213">
        <v>7</v>
      </c>
      <c r="D213" t="s">
        <v>158</v>
      </c>
      <c r="E213" t="s">
        <v>158</v>
      </c>
      <c r="F213" t="b">
        <v>0</v>
      </c>
    </row>
    <row r="214" spans="1:6" x14ac:dyDescent="0.2">
      <c r="A214" t="s">
        <v>8548</v>
      </c>
      <c r="B214">
        <v>2026</v>
      </c>
      <c r="C214">
        <v>7</v>
      </c>
      <c r="D214" t="s">
        <v>155</v>
      </c>
      <c r="E214" t="s">
        <v>155</v>
      </c>
      <c r="F214" t="b">
        <v>0</v>
      </c>
    </row>
    <row r="215" spans="1:6" x14ac:dyDescent="0.2">
      <c r="A215" t="s">
        <v>8549</v>
      </c>
      <c r="B215">
        <v>2026</v>
      </c>
      <c r="C215">
        <v>7</v>
      </c>
      <c r="D215" t="s">
        <v>138</v>
      </c>
      <c r="E215" t="s">
        <v>138</v>
      </c>
      <c r="F215" t="b">
        <v>0</v>
      </c>
    </row>
    <row r="216" spans="1:6" x14ac:dyDescent="0.2">
      <c r="A216" t="s">
        <v>8550</v>
      </c>
      <c r="B216">
        <v>2026</v>
      </c>
      <c r="C216">
        <v>7</v>
      </c>
      <c r="D216" t="s">
        <v>22</v>
      </c>
      <c r="E216" t="s">
        <v>22</v>
      </c>
      <c r="F216" t="b">
        <v>0</v>
      </c>
    </row>
    <row r="217" spans="1:6" x14ac:dyDescent="0.2">
      <c r="A217" t="s">
        <v>8551</v>
      </c>
      <c r="B217">
        <v>2026</v>
      </c>
      <c r="C217">
        <v>7</v>
      </c>
      <c r="D217" t="s">
        <v>139</v>
      </c>
      <c r="E217" t="s">
        <v>139</v>
      </c>
      <c r="F217" t="b">
        <v>0</v>
      </c>
    </row>
    <row r="218" spans="1:6" x14ac:dyDescent="0.2">
      <c r="A218" t="s">
        <v>8552</v>
      </c>
      <c r="B218">
        <v>2026</v>
      </c>
      <c r="C218">
        <v>7</v>
      </c>
      <c r="D218" t="s">
        <v>129</v>
      </c>
      <c r="E218" t="s">
        <v>129</v>
      </c>
      <c r="F218" t="b">
        <v>0</v>
      </c>
    </row>
    <row r="219" spans="1:6" x14ac:dyDescent="0.2">
      <c r="A219" t="s">
        <v>8553</v>
      </c>
      <c r="B219">
        <v>2026</v>
      </c>
      <c r="C219">
        <v>7</v>
      </c>
      <c r="D219" t="s">
        <v>154</v>
      </c>
      <c r="E219" t="s">
        <v>154</v>
      </c>
      <c r="F219" t="b">
        <v>0</v>
      </c>
    </row>
    <row r="220" spans="1:6" x14ac:dyDescent="0.2">
      <c r="A220" t="s">
        <v>8554</v>
      </c>
      <c r="B220">
        <v>2026</v>
      </c>
      <c r="C220">
        <v>7</v>
      </c>
      <c r="D220" t="s">
        <v>25</v>
      </c>
      <c r="E220" t="s">
        <v>25</v>
      </c>
      <c r="F220" t="b">
        <v>0</v>
      </c>
    </row>
    <row r="221" spans="1:6" x14ac:dyDescent="0.2">
      <c r="A221" t="s">
        <v>8555</v>
      </c>
      <c r="B221">
        <v>2026</v>
      </c>
      <c r="C221">
        <v>7</v>
      </c>
      <c r="D221" t="s">
        <v>145</v>
      </c>
      <c r="E221" t="s">
        <v>145</v>
      </c>
      <c r="F221" t="b">
        <v>0</v>
      </c>
    </row>
    <row r="222" spans="1:6" x14ac:dyDescent="0.2">
      <c r="A222" t="s">
        <v>8556</v>
      </c>
      <c r="B222">
        <v>2026</v>
      </c>
      <c r="C222">
        <v>7</v>
      </c>
      <c r="D222" t="s">
        <v>135</v>
      </c>
      <c r="E222" t="s">
        <v>135</v>
      </c>
      <c r="F222" t="b">
        <v>0</v>
      </c>
    </row>
    <row r="223" spans="1:6" x14ac:dyDescent="0.2">
      <c r="A223" t="s">
        <v>8557</v>
      </c>
      <c r="B223">
        <v>2026</v>
      </c>
      <c r="C223">
        <v>7</v>
      </c>
      <c r="D223" t="s">
        <v>156</v>
      </c>
      <c r="E223" t="s">
        <v>156</v>
      </c>
      <c r="F223" t="b">
        <v>0</v>
      </c>
    </row>
    <row r="224" spans="1:6" x14ac:dyDescent="0.2">
      <c r="A224" t="s">
        <v>8558</v>
      </c>
      <c r="B224">
        <v>2026</v>
      </c>
      <c r="C224">
        <v>7</v>
      </c>
      <c r="D224" t="s">
        <v>151</v>
      </c>
      <c r="E224" t="s">
        <v>151</v>
      </c>
      <c r="F224" t="b">
        <v>0</v>
      </c>
    </row>
    <row r="225" spans="1:6" x14ac:dyDescent="0.2">
      <c r="A225" t="s">
        <v>8559</v>
      </c>
      <c r="B225">
        <v>2026</v>
      </c>
      <c r="C225">
        <v>7</v>
      </c>
      <c r="D225" t="s">
        <v>133</v>
      </c>
      <c r="E225" t="s">
        <v>133</v>
      </c>
      <c r="F225" t="b">
        <v>0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>
      <pane ySplit="1" topLeftCell="A2" activePane="bottomLeft" state="frozen"/>
      <selection pane="bottomLeft" activeCell="E40" sqref="E40"/>
    </sheetView>
  </sheetViews>
  <sheetFormatPr baseColWidth="10" defaultColWidth="8.83203125" defaultRowHeight="15" x14ac:dyDescent="0.2"/>
  <cols>
    <col min="1" max="1" width="34" customWidth="1"/>
    <col min="2" max="6" width="12" customWidth="1"/>
    <col min="7" max="7" width="44" customWidth="1"/>
  </cols>
  <sheetData>
    <row r="1" spans="1:7" x14ac:dyDescent="0.2">
      <c r="A1" s="1" t="s">
        <v>16</v>
      </c>
      <c r="B1" s="1" t="s">
        <v>1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4</v>
      </c>
    </row>
    <row r="2" spans="1:7" x14ac:dyDescent="0.2">
      <c r="A2" s="7" t="s">
        <v>129</v>
      </c>
      <c r="B2">
        <v>2026</v>
      </c>
      <c r="C2">
        <v>250000000</v>
      </c>
      <c r="D2">
        <v>450000000</v>
      </c>
      <c r="E2">
        <v>0</v>
      </c>
      <c r="F2">
        <v>0</v>
      </c>
    </row>
    <row r="3" spans="1:7" x14ac:dyDescent="0.2">
      <c r="A3" s="7" t="s">
        <v>130</v>
      </c>
      <c r="B3">
        <v>2026</v>
      </c>
      <c r="C3">
        <v>250000000</v>
      </c>
      <c r="D3">
        <v>220000000</v>
      </c>
      <c r="E3">
        <v>0</v>
      </c>
      <c r="F3">
        <v>0</v>
      </c>
    </row>
    <row r="4" spans="1:7" x14ac:dyDescent="0.2">
      <c r="A4" s="7" t="s">
        <v>131</v>
      </c>
      <c r="B4">
        <v>2026</v>
      </c>
      <c r="C4">
        <v>250000000</v>
      </c>
      <c r="D4">
        <v>350000000</v>
      </c>
      <c r="E4">
        <v>0</v>
      </c>
      <c r="F4">
        <v>0</v>
      </c>
    </row>
    <row r="5" spans="1:7" x14ac:dyDescent="0.2">
      <c r="A5" s="7" t="s">
        <v>132</v>
      </c>
      <c r="B5">
        <v>2026</v>
      </c>
      <c r="C5">
        <v>250000000</v>
      </c>
      <c r="D5">
        <v>330000000</v>
      </c>
      <c r="E5">
        <v>0</v>
      </c>
      <c r="F5">
        <v>0</v>
      </c>
    </row>
    <row r="6" spans="1:7" x14ac:dyDescent="0.2">
      <c r="A6" s="7" t="s">
        <v>133</v>
      </c>
      <c r="B6">
        <v>2026</v>
      </c>
      <c r="C6">
        <v>250000000</v>
      </c>
      <c r="D6">
        <v>550000000</v>
      </c>
      <c r="E6">
        <v>0</v>
      </c>
      <c r="F6">
        <v>0</v>
      </c>
    </row>
    <row r="7" spans="1:7" x14ac:dyDescent="0.2">
      <c r="A7" s="7" t="s">
        <v>134</v>
      </c>
      <c r="B7">
        <v>2026</v>
      </c>
      <c r="C7">
        <v>250000000</v>
      </c>
      <c r="D7">
        <v>200000000</v>
      </c>
      <c r="E7">
        <v>0</v>
      </c>
      <c r="F7">
        <v>0</v>
      </c>
    </row>
    <row r="8" spans="1:7" x14ac:dyDescent="0.2">
      <c r="A8" s="7" t="s">
        <v>135</v>
      </c>
      <c r="B8">
        <v>2026</v>
      </c>
      <c r="C8">
        <v>250000000</v>
      </c>
      <c r="D8">
        <v>450000000</v>
      </c>
      <c r="E8">
        <v>0</v>
      </c>
      <c r="F8">
        <v>0</v>
      </c>
    </row>
    <row r="9" spans="1:7" x14ac:dyDescent="0.2">
      <c r="A9" s="7" t="s">
        <v>136</v>
      </c>
      <c r="B9">
        <v>2026</v>
      </c>
      <c r="C9">
        <v>250000000</v>
      </c>
      <c r="D9">
        <v>550000000</v>
      </c>
      <c r="E9">
        <v>0</v>
      </c>
      <c r="F9">
        <v>0</v>
      </c>
    </row>
    <row r="10" spans="1:7" x14ac:dyDescent="0.2">
      <c r="A10" s="7" t="s">
        <v>137</v>
      </c>
      <c r="B10">
        <v>2026</v>
      </c>
      <c r="C10">
        <v>250000000</v>
      </c>
      <c r="D10">
        <v>260000000</v>
      </c>
      <c r="E10">
        <v>0</v>
      </c>
      <c r="F10">
        <v>0</v>
      </c>
    </row>
    <row r="11" spans="1:7" x14ac:dyDescent="0.2">
      <c r="A11" s="7" t="s">
        <v>138</v>
      </c>
      <c r="B11">
        <v>2026</v>
      </c>
      <c r="C11">
        <v>250000000</v>
      </c>
      <c r="D11">
        <v>500000000</v>
      </c>
      <c r="E11">
        <v>0</v>
      </c>
      <c r="F11">
        <v>0</v>
      </c>
    </row>
    <row r="12" spans="1:7" x14ac:dyDescent="0.2">
      <c r="A12" s="7" t="s">
        <v>139</v>
      </c>
      <c r="B12">
        <v>2026</v>
      </c>
      <c r="C12">
        <v>250000000</v>
      </c>
      <c r="D12">
        <v>380000000</v>
      </c>
      <c r="E12">
        <v>0</v>
      </c>
      <c r="F12">
        <v>0</v>
      </c>
    </row>
    <row r="13" spans="1:7" x14ac:dyDescent="0.2">
      <c r="A13" s="7" t="s">
        <v>140</v>
      </c>
      <c r="B13">
        <v>2026</v>
      </c>
      <c r="C13">
        <v>250000000</v>
      </c>
      <c r="D13">
        <v>300000000</v>
      </c>
      <c r="E13">
        <v>0</v>
      </c>
      <c r="F13">
        <v>0</v>
      </c>
    </row>
    <row r="14" spans="1:7" x14ac:dyDescent="0.2">
      <c r="A14" s="7" t="s">
        <v>141</v>
      </c>
      <c r="B14">
        <v>2026</v>
      </c>
      <c r="C14">
        <v>250000000</v>
      </c>
      <c r="D14">
        <v>450000000</v>
      </c>
      <c r="E14">
        <v>0</v>
      </c>
      <c r="F14">
        <v>0</v>
      </c>
    </row>
    <row r="15" spans="1:7" x14ac:dyDescent="0.2">
      <c r="A15" s="7" t="s">
        <v>142</v>
      </c>
      <c r="B15">
        <v>2026</v>
      </c>
      <c r="C15">
        <v>250000000</v>
      </c>
      <c r="D15">
        <v>280000000</v>
      </c>
      <c r="E15">
        <v>0</v>
      </c>
      <c r="F15">
        <v>0</v>
      </c>
    </row>
    <row r="16" spans="1:7" x14ac:dyDescent="0.2">
      <c r="A16" s="7" t="s">
        <v>143</v>
      </c>
      <c r="B16">
        <v>2026</v>
      </c>
      <c r="C16">
        <v>250000000</v>
      </c>
      <c r="D16">
        <v>230000000</v>
      </c>
      <c r="E16">
        <v>0</v>
      </c>
      <c r="F16">
        <v>0</v>
      </c>
    </row>
    <row r="17" spans="1:6" x14ac:dyDescent="0.2">
      <c r="A17" s="7" t="s">
        <v>144</v>
      </c>
      <c r="B17">
        <v>2026</v>
      </c>
      <c r="C17">
        <v>250000000</v>
      </c>
      <c r="D17">
        <v>260000000</v>
      </c>
      <c r="E17">
        <v>0</v>
      </c>
      <c r="F17">
        <v>0</v>
      </c>
    </row>
    <row r="18" spans="1:6" x14ac:dyDescent="0.2">
      <c r="A18" s="7" t="s">
        <v>145</v>
      </c>
      <c r="B18">
        <v>2026</v>
      </c>
      <c r="C18">
        <v>250000000</v>
      </c>
      <c r="D18">
        <v>320000000</v>
      </c>
      <c r="E18">
        <v>0</v>
      </c>
      <c r="F18">
        <v>0</v>
      </c>
    </row>
    <row r="19" spans="1:6" x14ac:dyDescent="0.2">
      <c r="A19" s="7" t="s">
        <v>146</v>
      </c>
      <c r="B19">
        <v>2026</v>
      </c>
      <c r="C19">
        <v>250000000</v>
      </c>
      <c r="D19">
        <v>350000000</v>
      </c>
      <c r="E19">
        <v>0</v>
      </c>
      <c r="F19">
        <v>0</v>
      </c>
    </row>
    <row r="20" spans="1:6" x14ac:dyDescent="0.2">
      <c r="A20" s="7" t="s">
        <v>147</v>
      </c>
      <c r="B20">
        <v>2026</v>
      </c>
      <c r="C20">
        <v>250000000</v>
      </c>
      <c r="D20">
        <v>450000000</v>
      </c>
      <c r="E20">
        <v>0</v>
      </c>
      <c r="F20">
        <v>0</v>
      </c>
    </row>
    <row r="21" spans="1:6" x14ac:dyDescent="0.2">
      <c r="A21" s="7" t="s">
        <v>148</v>
      </c>
      <c r="B21">
        <v>2026</v>
      </c>
      <c r="C21">
        <v>250000000</v>
      </c>
      <c r="D21">
        <v>200000000</v>
      </c>
      <c r="E21">
        <v>0</v>
      </c>
      <c r="F21">
        <v>0</v>
      </c>
    </row>
    <row r="22" spans="1:6" x14ac:dyDescent="0.2">
      <c r="A22" s="7" t="s">
        <v>149</v>
      </c>
      <c r="B22">
        <v>2026</v>
      </c>
      <c r="C22">
        <v>250000000</v>
      </c>
      <c r="D22">
        <v>280000000</v>
      </c>
      <c r="E22">
        <v>0</v>
      </c>
      <c r="F22">
        <v>0</v>
      </c>
    </row>
    <row r="23" spans="1:6" x14ac:dyDescent="0.2">
      <c r="A23" s="7" t="s">
        <v>22</v>
      </c>
      <c r="B23">
        <v>2026</v>
      </c>
      <c r="C23">
        <v>250000000</v>
      </c>
      <c r="D23">
        <v>260000000</v>
      </c>
      <c r="E23">
        <v>0</v>
      </c>
      <c r="F23">
        <v>0</v>
      </c>
    </row>
    <row r="24" spans="1:6" x14ac:dyDescent="0.2">
      <c r="A24" s="7" t="s">
        <v>25</v>
      </c>
      <c r="B24">
        <v>2026</v>
      </c>
      <c r="C24">
        <v>250000000</v>
      </c>
      <c r="D24">
        <v>700000000</v>
      </c>
      <c r="E24">
        <v>0</v>
      </c>
      <c r="F24">
        <v>0</v>
      </c>
    </row>
    <row r="25" spans="1:6" x14ac:dyDescent="0.2">
      <c r="A25" s="7" t="s">
        <v>150</v>
      </c>
      <c r="B25">
        <v>2026</v>
      </c>
      <c r="C25">
        <v>250000000</v>
      </c>
      <c r="D25">
        <v>250000000</v>
      </c>
      <c r="E25">
        <v>0</v>
      </c>
      <c r="F25">
        <v>0</v>
      </c>
    </row>
    <row r="26" spans="1:6" x14ac:dyDescent="0.2">
      <c r="A26" s="7" t="s">
        <v>151</v>
      </c>
      <c r="B26">
        <v>2026</v>
      </c>
      <c r="C26">
        <v>250000000</v>
      </c>
      <c r="D26">
        <v>500000000</v>
      </c>
      <c r="E26">
        <v>0</v>
      </c>
      <c r="F26">
        <v>0</v>
      </c>
    </row>
    <row r="27" spans="1:6" x14ac:dyDescent="0.2">
      <c r="A27" s="7" t="s">
        <v>152</v>
      </c>
      <c r="B27">
        <v>2026</v>
      </c>
      <c r="C27">
        <v>250000000</v>
      </c>
      <c r="D27">
        <v>380000000</v>
      </c>
      <c r="E27">
        <v>0</v>
      </c>
      <c r="F27">
        <v>0</v>
      </c>
    </row>
    <row r="28" spans="1:6" x14ac:dyDescent="0.2">
      <c r="A28" s="7" t="s">
        <v>153</v>
      </c>
      <c r="B28">
        <v>2026</v>
      </c>
      <c r="C28">
        <v>250000000</v>
      </c>
      <c r="D28">
        <v>320000000</v>
      </c>
      <c r="E28">
        <v>0</v>
      </c>
      <c r="F28">
        <v>0</v>
      </c>
    </row>
    <row r="29" spans="1:6" x14ac:dyDescent="0.2">
      <c r="A29" s="7" t="s">
        <v>154</v>
      </c>
      <c r="B29">
        <v>2026</v>
      </c>
      <c r="C29">
        <v>250000000</v>
      </c>
      <c r="D29">
        <v>400000000</v>
      </c>
      <c r="E29">
        <v>0</v>
      </c>
      <c r="F29">
        <v>0</v>
      </c>
    </row>
    <row r="30" spans="1:6" x14ac:dyDescent="0.2">
      <c r="A30" s="7" t="s">
        <v>155</v>
      </c>
      <c r="B30">
        <v>2026</v>
      </c>
      <c r="C30">
        <v>250000000</v>
      </c>
      <c r="D30">
        <v>700000000</v>
      </c>
      <c r="E30">
        <v>0</v>
      </c>
      <c r="F30">
        <v>0</v>
      </c>
    </row>
    <row r="31" spans="1:6" x14ac:dyDescent="0.2">
      <c r="A31" s="7" t="s">
        <v>156</v>
      </c>
      <c r="B31">
        <v>2026</v>
      </c>
      <c r="C31">
        <v>250000000</v>
      </c>
      <c r="D31">
        <v>450000000</v>
      </c>
      <c r="E31">
        <v>0</v>
      </c>
      <c r="F31">
        <v>0</v>
      </c>
    </row>
    <row r="32" spans="1:6" x14ac:dyDescent="0.2">
      <c r="A32" s="7" t="s">
        <v>157</v>
      </c>
      <c r="B32">
        <v>2026</v>
      </c>
      <c r="C32">
        <v>250000000</v>
      </c>
      <c r="D32">
        <v>230000000</v>
      </c>
      <c r="E32">
        <v>0</v>
      </c>
      <c r="F32">
        <v>0</v>
      </c>
    </row>
    <row r="33" spans="1:6" x14ac:dyDescent="0.2">
      <c r="A33" s="7" t="s">
        <v>158</v>
      </c>
      <c r="B33">
        <v>2026</v>
      </c>
      <c r="C33">
        <v>250000000</v>
      </c>
      <c r="D33">
        <v>450000000</v>
      </c>
      <c r="E33">
        <v>0</v>
      </c>
      <c r="F3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League</vt:lpstr>
      <vt:lpstr>Conferences</vt:lpstr>
      <vt:lpstr>Divisions</vt:lpstr>
      <vt:lpstr>Teams</vt:lpstr>
      <vt:lpstr>Personnel</vt:lpstr>
      <vt:lpstr>Players</vt:lpstr>
      <vt:lpstr>Contracts</vt:lpstr>
      <vt:lpstr>DraftOrder</vt:lpstr>
      <vt:lpstr>DraftPicks</vt:lpstr>
      <vt:lpstr>TeamFinances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Kogan, C. Taylor</cp:lastModifiedBy>
  <dcterms:created xsi:type="dcterms:W3CDTF">2026-02-10T20:27:09Z</dcterms:created>
  <dcterms:modified xsi:type="dcterms:W3CDTF">2026-02-12T02:16:41Z</dcterms:modified>
</cp:coreProperties>
</file>